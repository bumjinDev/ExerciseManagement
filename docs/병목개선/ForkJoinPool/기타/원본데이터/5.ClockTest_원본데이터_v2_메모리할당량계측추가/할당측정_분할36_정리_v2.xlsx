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hh:mm:ss.000"/>
    <numFmt numFmtId="166" formatCode="0.0"/>
    <numFmt numFmtId="167" formatCode="#,##0.0"/>
    <numFmt numFmtId="168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7" fontId="5" fillId="0" borderId="1" pivotButton="0" quotePrefix="0" xfId="0"/>
    <xf numFmtId="3" fontId="5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8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데이터'!$Q$5:$Q$75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데이터'!$R$5:$R$75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데이터'!$S$5:$S$75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데이터'!$T$5:$T$75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데이터'!$U$5:$U$75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데이터'!$V$5:$V$75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데이터'!$W$5:$W$75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데이터'!$X$5:$X$75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데이터'!$Y$5:$Y$75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데이터'!$Z$5:$Z$75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데이터'!$AA$5:$AA$75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데이터'!$AB$5:$AB$75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데이터'!$AC$5:$AC$75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데이터'!$AD$5:$AD$75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데이터'!$AE$5:$AE$75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데이터'!$AF$5:$AF$75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데이터'!$AG$5:$AG$75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데이터'!$AH$5:$AH$75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데이터'!$AI$5:$AI$75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데이터'!$AJ$5:$AJ$75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데이터'!$AK$5:$AK$75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데이터'!$AL$5:$AL$75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데이터'!$AM$5:$AM$75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데이터'!$AN$5:$AN$75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데이터'!$AO$5:$AO$75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데이터'!$AP$5:$AP$75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데이터'!$AQ$5:$AQ$75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데이터'!$AR$5:$AR$75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데이터'!$AS$5:$AS$75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데이터'!$AT$5:$AT$75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데이터'!$AU$5:$AU$75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데이터'!$AV$5:$AV$75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데이터'!$AW$5:$AW$75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데이터'!$AX$5:$AX$75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데이터'!$AY$5:$AY$75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데이터'!$AZ$5:$AZ$75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데이터'!$BA$5:$BA$75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데이터'!$BB$5:$BB$75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데이터'!$BC$5:$BC$75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데이터'!$BD$5:$BD$75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데이터'!$BE$5:$BE$75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데이터'!$BF$5:$BF$75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데이터'!$BG$5:$BG$75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데이터'!$BH$5:$BH$75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데이터'!$BI$5:$BI$75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데이터'!$BJ$5:$BJ$75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데이터'!$BK$5:$BK$75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데이터'!$BL$5:$BL$75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데이터'!$BM$5:$BM$75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데이터'!$BN$5:$BN$75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데이터'!$BO$5:$BO$75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데이터'!$BP$5:$BP$75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데이터'!$BQ$5:$BQ$75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데이터'!$BR$5:$BR$75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데이터'!$BS$5:$BS$75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데이터'!$BT$5:$BT$75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데이터'!$BU$5:$BU$75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데이터'!$BV$5:$BV$75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데이터'!$BW$5:$BW$75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데이터'!$BX$5:$BX$75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데이터'!$BY$5:$BY$75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데이터'!$BZ$5:$BZ$75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데이터'!$CA$5:$CA$75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데이터'!$CB$5:$CB$75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데이터'!$CC$5:$CC$75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데이터'!$CD$5:$CD$75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데이터'!$CE$5:$CE$75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데이터'!$CF$5:$CF$75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데이터'!$CG$5:$CG$75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데이터'!$CH$5:$CH$75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데이터'!$CI$5:$CI$75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데이터'!$CJ$5:$CJ$75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데이터'!$CK$5:$CK$75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데이터'!$CL$5:$CL$75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데이터'!$CM$5:$CM$75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데이터'!$CN$5:$CN$75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데이터'!$CO$5:$CO$75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데이터'!$CP$5:$CP$75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데이터'!$CQ$5:$CQ$75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데이터'!$CR$5:$CR$75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데이터'!$CS$5:$CS$75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데이터'!$CT$5:$CT$75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데이터'!$CU$5:$CU$75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데이터'!$CV$5:$CV$75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데이터'!$CW$5:$CW$75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데이터'!$CX$5:$CX$75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데이터'!$CY$5:$CY$75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데이터'!$CZ$5:$CZ$75</f>
            </numRef>
          </val>
        </ser>
        <ser>
          <idx val="88"/>
          <order val="88"/>
          <tx>
            <strRef>
              <f>'차트 데이터'!DA4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데이터'!$DA$5:$DA$75</f>
            </numRef>
          </val>
        </ser>
        <ser>
          <idx val="89"/>
          <order val="89"/>
          <tx>
            <strRef>
              <f>'차트 데이터'!DB4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데이터'!$DB$5:$DB$75</f>
            </numRef>
          </val>
        </ser>
        <ser>
          <idx val="90"/>
          <order val="90"/>
          <tx>
            <strRef>
              <f>'차트 데이터'!DC4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데이터'!$DC$5:$DC$75</f>
            </numRef>
          </val>
        </ser>
        <ser>
          <idx val="91"/>
          <order val="91"/>
          <tx>
            <strRef>
              <f>'차트 데이터'!DD4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데이터'!$P$5:$P$75</f>
            </numRef>
          </cat>
          <val>
            <numRef>
              <f>'차트 데이터'!$DD$5:$DD$75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데이터'!$A$25:$A$27</f>
            </numRef>
          </cat>
          <val>
            <numRef>
              <f>'차트 데이터'!$B$25:$B$27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데이터'!$A$25:$A$27</f>
            </numRef>
          </cat>
          <val>
            <numRef>
              <f>'차트 데이터'!$C$25:$C$27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데이터'!$A$25:$A$27</f>
            </numRef>
          </cat>
          <val>
            <numRef>
              <f>'차트 데이터'!$D$25:$D$27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데이터'!$A$25:$A$27</f>
            </numRef>
          </cat>
          <val>
            <numRef>
              <f>'차트 데이터'!$E$25:$E$27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데이터'!$A$25:$A$27</f>
            </numRef>
          </cat>
          <val>
            <numRef>
              <f>'차트 데이터'!$F$25:$F$27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데이터'!$A$25:$A$27</f>
            </numRef>
          </cat>
          <val>
            <numRef>
              <f>'차트 데이터'!$G$25:$G$27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데이터'!$A$25:$A$27</f>
            </numRef>
          </cat>
          <val>
            <numRef>
              <f>'차트 데이터'!$H$25:$H$27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데이터'!$B$31</f>
            </numRef>
          </val>
        </ser>
        <ser>
          <idx val="1"/>
          <order val="1"/>
          <tx>
            <strRef>
              <f>'차트 데이터'!C30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데이터'!$C$31</f>
            </numRef>
          </val>
        </ser>
        <ser>
          <idx val="2"/>
          <order val="2"/>
          <tx>
            <strRef>
              <f>'차트 데이터'!D30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데이터'!$D$31</f>
            </numRef>
          </val>
        </ser>
        <ser>
          <idx val="3"/>
          <order val="3"/>
          <tx>
            <strRef>
              <f>'차트 데이터'!E30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데이터'!$E$31</f>
            </numRef>
          </val>
        </ser>
        <ser>
          <idx val="4"/>
          <order val="4"/>
          <tx>
            <strRef>
              <f>'차트 데이터'!F30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데이터'!$F$31</f>
            </numRef>
          </val>
        </ser>
        <ser>
          <idx val="5"/>
          <order val="5"/>
          <tx>
            <strRef>
              <f>'차트 데이터'!G30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데이터'!$G$31</f>
            </numRef>
          </val>
        </ser>
        <ser>
          <idx val="6"/>
          <order val="6"/>
          <tx>
            <strRef>
              <f>'차트 데이터'!H30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데이터'!$H$31</f>
            </numRef>
          </val>
        </ser>
        <ser>
          <idx val="7"/>
          <order val="7"/>
          <tx>
            <strRef>
              <f>'차트 데이터'!I30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데이터'!$I$31</f>
            </numRef>
          </val>
        </ser>
        <ser>
          <idx val="8"/>
          <order val="8"/>
          <tx>
            <strRef>
              <f>'차트 데이터'!J30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데이터'!$J$31</f>
            </numRef>
          </val>
        </ser>
        <ser>
          <idx val="9"/>
          <order val="9"/>
          <tx>
            <strRef>
              <f>'차트 데이터'!K30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데이터'!$K$31</f>
            </numRef>
          </val>
        </ser>
        <ser>
          <idx val="10"/>
          <order val="10"/>
          <tx>
            <strRef>
              <f>'차트 데이터'!L30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데이터'!$L$31</f>
            </numRef>
          </val>
        </ser>
        <ser>
          <idx val="11"/>
          <order val="11"/>
          <tx>
            <strRef>
              <f>'차트 데이터'!M30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데이터'!$M$31</f>
            </numRef>
          </val>
        </ser>
        <ser>
          <idx val="12"/>
          <order val="12"/>
          <tx>
            <strRef>
              <f>'차트 데이터'!N30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데이터'!$N$31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데이터'!$B$35</f>
            </numRef>
          </val>
        </ser>
        <ser>
          <idx val="1"/>
          <order val="1"/>
          <tx>
            <strRef>
              <f>'차트 데이터'!C34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데이터'!$C$35</f>
            </numRef>
          </val>
        </ser>
        <ser>
          <idx val="2"/>
          <order val="2"/>
          <tx>
            <strRef>
              <f>'차트 데이터'!D34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데이터'!$D$35</f>
            </numRef>
          </val>
        </ser>
        <ser>
          <idx val="3"/>
          <order val="3"/>
          <tx>
            <strRef>
              <f>'차트 데이터'!E34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데이터'!$E$35</f>
            </numRef>
          </val>
        </ser>
        <ser>
          <idx val="4"/>
          <order val="4"/>
          <tx>
            <strRef>
              <f>'차트 데이터'!F34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데이터'!$F$35</f>
            </numRef>
          </val>
        </ser>
        <ser>
          <idx val="5"/>
          <order val="5"/>
          <tx>
            <strRef>
              <f>'차트 데이터'!G34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데이터'!$G$35</f>
            </numRef>
          </val>
        </ser>
        <ser>
          <idx val="6"/>
          <order val="6"/>
          <tx>
            <strRef>
              <f>'차트 데이터'!H34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데이터'!$H$35</f>
            </numRef>
          </val>
        </ser>
        <ser>
          <idx val="7"/>
          <order val="7"/>
          <tx>
            <strRef>
              <f>'차트 데이터'!I34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데이터'!$I$35</f>
            </numRef>
          </val>
        </ser>
        <ser>
          <idx val="8"/>
          <order val="8"/>
          <tx>
            <strRef>
              <f>'차트 데이터'!J34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데이터'!$J$35</f>
            </numRef>
          </val>
        </ser>
        <ser>
          <idx val="9"/>
          <order val="9"/>
          <tx>
            <strRef>
              <f>'차트 데이터'!K34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데이터'!$K$35</f>
            </numRef>
          </val>
        </ser>
        <ser>
          <idx val="10"/>
          <order val="10"/>
          <tx>
            <strRef>
              <f>'차트 데이터'!L34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데이터'!$L$35</f>
            </numRef>
          </val>
        </ser>
        <ser>
          <idx val="11"/>
          <order val="11"/>
          <tx>
            <strRef>
              <f>'차트 데이터'!M34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데이터'!$M$35</f>
            </numRef>
          </val>
        </ser>
        <ser>
          <idx val="12"/>
          <order val="12"/>
          <tx>
            <strRef>
              <f>'차트 데이터'!N34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데이터'!$N$35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데이터'!$B$39:$B$40</f>
            </numRef>
          </val>
        </ser>
        <ser>
          <idx val="1"/>
          <order val="1"/>
          <tx>
            <strRef>
              <f>'차트 데이터'!C38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데이터'!$C$39:$C$40</f>
            </numRef>
          </val>
        </ser>
        <ser>
          <idx val="2"/>
          <order val="2"/>
          <tx>
            <strRef>
              <f>'차트 데이터'!D38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데이터'!$D$39:$D$40</f>
            </numRef>
          </val>
        </ser>
        <ser>
          <idx val="3"/>
          <order val="3"/>
          <tx>
            <strRef>
              <f>'차트 데이터'!E38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데이터'!$E$39:$E$40</f>
            </numRef>
          </val>
        </ser>
        <ser>
          <idx val="4"/>
          <order val="4"/>
          <tx>
            <strRef>
              <f>'차트 데이터'!F38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데이터'!$F$39:$F$40</f>
            </numRef>
          </val>
        </ser>
        <ser>
          <idx val="5"/>
          <order val="5"/>
          <tx>
            <strRef>
              <f>'차트 데이터'!G38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데이터'!$G$39:$G$40</f>
            </numRef>
          </val>
        </ser>
        <ser>
          <idx val="6"/>
          <order val="6"/>
          <tx>
            <strRef>
              <f>'차트 데이터'!H38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데이터'!$H$39:$H$40</f>
            </numRef>
          </val>
        </ser>
        <ser>
          <idx val="7"/>
          <order val="7"/>
          <tx>
            <strRef>
              <f>'차트 데이터'!I38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데이터'!$I$39:$I$40</f>
            </numRef>
          </val>
        </ser>
        <ser>
          <idx val="8"/>
          <order val="8"/>
          <tx>
            <strRef>
              <f>'차트 데이터'!J38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데이터'!$J$39:$J$40</f>
            </numRef>
          </val>
        </ser>
        <ser>
          <idx val="9"/>
          <order val="9"/>
          <tx>
            <strRef>
              <f>'차트 데이터'!K38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데이터'!$K$39:$K$40</f>
            </numRef>
          </val>
        </ser>
        <ser>
          <idx val="10"/>
          <order val="10"/>
          <tx>
            <strRef>
              <f>'차트 데이터'!L38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데이터'!$L$39:$L$40</f>
            </numRef>
          </val>
        </ser>
        <ser>
          <idx val="11"/>
          <order val="11"/>
          <tx>
            <strRef>
              <f>'차트 데이터'!M38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데이터'!$M$39:$M$40</f>
            </numRef>
          </val>
        </ser>
        <ser>
          <idx val="12"/>
          <order val="12"/>
          <tx>
            <strRef>
              <f>'차트 데이터'!N38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데이터'!$N$39:$N$40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데이터'!$B$44</f>
            </numRef>
          </val>
        </ser>
        <ser>
          <idx val="1"/>
          <order val="1"/>
          <tx>
            <strRef>
              <f>'차트 데이터'!C43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데이터'!$C$44</f>
            </numRef>
          </val>
        </ser>
        <ser>
          <idx val="2"/>
          <order val="2"/>
          <tx>
            <strRef>
              <f>'차트 데이터'!D43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데이터'!$D$44</f>
            </numRef>
          </val>
        </ser>
        <ser>
          <idx val="3"/>
          <order val="3"/>
          <tx>
            <strRef>
              <f>'차트 데이터'!E43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데이터'!$E$44</f>
            </numRef>
          </val>
        </ser>
        <ser>
          <idx val="4"/>
          <order val="4"/>
          <tx>
            <strRef>
              <f>'차트 데이터'!F43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데이터'!$F$44</f>
            </numRef>
          </val>
        </ser>
        <ser>
          <idx val="5"/>
          <order val="5"/>
          <tx>
            <strRef>
              <f>'차트 데이터'!G43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데이터'!$G$44</f>
            </numRef>
          </val>
        </ser>
        <ser>
          <idx val="6"/>
          <order val="6"/>
          <tx>
            <strRef>
              <f>'차트 데이터'!H43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데이터'!$H$44</f>
            </numRef>
          </val>
        </ser>
        <ser>
          <idx val="7"/>
          <order val="7"/>
          <tx>
            <strRef>
              <f>'차트 데이터'!I43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데이터'!$I$44</f>
            </numRef>
          </val>
        </ser>
        <ser>
          <idx val="8"/>
          <order val="8"/>
          <tx>
            <strRef>
              <f>'차트 데이터'!J43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데이터'!$J$44</f>
            </numRef>
          </val>
        </ser>
        <ser>
          <idx val="9"/>
          <order val="9"/>
          <tx>
            <strRef>
              <f>'차트 데이터'!K43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데이터'!$K$44</f>
            </numRef>
          </val>
        </ser>
        <ser>
          <idx val="10"/>
          <order val="10"/>
          <tx>
            <strRef>
              <f>'차트 데이터'!L43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데이터'!$L$44</f>
            </numRef>
          </val>
        </ser>
        <ser>
          <idx val="11"/>
          <order val="11"/>
          <tx>
            <strRef>
              <f>'차트 데이터'!M43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데이터'!$M$44</f>
            </numRef>
          </val>
        </ser>
        <ser>
          <idx val="12"/>
          <order val="12"/>
          <tx>
            <strRef>
              <f>'차트 데이터'!N43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데이터'!$N$44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데이터'!$B$48:$B$49</f>
            </numRef>
          </val>
        </ser>
        <ser>
          <idx val="1"/>
          <order val="1"/>
          <tx>
            <strRef>
              <f>'차트 데이터'!C47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데이터'!$C$48:$C$49</f>
            </numRef>
          </val>
        </ser>
        <ser>
          <idx val="2"/>
          <order val="2"/>
          <tx>
            <strRef>
              <f>'차트 데이터'!D47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데이터'!$D$48:$D$49</f>
            </numRef>
          </val>
        </ser>
        <ser>
          <idx val="3"/>
          <order val="3"/>
          <tx>
            <strRef>
              <f>'차트 데이터'!E47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데이터'!$E$48:$E$49</f>
            </numRef>
          </val>
        </ser>
        <ser>
          <idx val="4"/>
          <order val="4"/>
          <tx>
            <strRef>
              <f>'차트 데이터'!F47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데이터'!$F$48:$F$49</f>
            </numRef>
          </val>
        </ser>
        <ser>
          <idx val="5"/>
          <order val="5"/>
          <tx>
            <strRef>
              <f>'차트 데이터'!G47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데이터'!$G$48:$G$49</f>
            </numRef>
          </val>
        </ser>
        <ser>
          <idx val="6"/>
          <order val="6"/>
          <tx>
            <strRef>
              <f>'차트 데이터'!H47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데이터'!$H$48:$H$49</f>
            </numRef>
          </val>
        </ser>
        <ser>
          <idx val="7"/>
          <order val="7"/>
          <tx>
            <strRef>
              <f>'차트 데이터'!I47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데이터'!$I$48:$I$49</f>
            </numRef>
          </val>
        </ser>
        <ser>
          <idx val="8"/>
          <order val="8"/>
          <tx>
            <strRef>
              <f>'차트 데이터'!J47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데이터'!$J$48:$J$49</f>
            </numRef>
          </val>
        </ser>
        <ser>
          <idx val="9"/>
          <order val="9"/>
          <tx>
            <strRef>
              <f>'차트 데이터'!K47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데이터'!$K$48:$K$49</f>
            </numRef>
          </val>
        </ser>
        <ser>
          <idx val="10"/>
          <order val="10"/>
          <tx>
            <strRef>
              <f>'차트 데이터'!L47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데이터'!$L$48:$L$49</f>
            </numRef>
          </val>
        </ser>
        <ser>
          <idx val="11"/>
          <order val="11"/>
          <tx>
            <strRef>
              <f>'차트 데이터'!M47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데이터'!$M$48:$M$49</f>
            </numRef>
          </val>
        </ser>
        <ser>
          <idx val="12"/>
          <order val="12"/>
          <tx>
            <strRef>
              <f>'차트 데이터'!N47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데이터'!$N$48:$N$49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46238.6571728125</v>
      </c>
      <c r="B6" s="7" t="n">
        <v>143.8062077077001</v>
      </c>
      <c r="C6" s="7" t="n">
        <v>155.3530900961201</v>
      </c>
      <c r="D6" s="7" t="n">
        <v>154.2122589191651</v>
      </c>
      <c r="E6" s="7" t="n">
        <v>150.6132143901092</v>
      </c>
      <c r="F6" s="7" t="n">
        <v>147.0305895321476</v>
      </c>
      <c r="G6" s="7" t="n">
        <v>143.4213606971347</v>
      </c>
      <c r="H6" s="7" t="n">
        <v>149.4914036813264</v>
      </c>
      <c r="I6" s="7" t="n">
        <v>143.9979927404111</v>
      </c>
      <c r="J6" s="7" t="n">
        <v>150.3176461440519</v>
      </c>
      <c r="K6" s="7" t="n">
        <v>150.2255079644083</v>
      </c>
      <c r="L6" s="7" t="n">
        <v>148.0357374077431</v>
      </c>
      <c r="M6" s="7" t="n">
        <v>148.6547402361017</v>
      </c>
      <c r="N6" s="7" t="n">
        <v>149.2939158482786</v>
      </c>
      <c r="O6" s="8">
        <f>N6*$B$2/100</f>
        <v/>
      </c>
    </row>
    <row r="7">
      <c r="A7" s="6" t="n">
        <v>46238.65718451389</v>
      </c>
      <c r="B7" s="7" t="n">
        <v>150.4874907652862</v>
      </c>
      <c r="C7" s="7" t="n">
        <v>150.8198549931094</v>
      </c>
      <c r="D7" s="7" t="n">
        <v>150.7511830675483</v>
      </c>
      <c r="E7" s="7" t="n">
        <v>150.6603566911962</v>
      </c>
      <c r="F7" s="7" t="n">
        <v>150.9655770750278</v>
      </c>
      <c r="G7" s="7" t="n">
        <v>150.2038360806861</v>
      </c>
      <c r="H7" s="7" t="n">
        <v>150.9585292637643</v>
      </c>
      <c r="I7" s="7" t="n">
        <v>150.9950766763456</v>
      </c>
      <c r="J7" s="7" t="n">
        <v>150.5760257564763</v>
      </c>
      <c r="K7" s="7" t="n">
        <v>150.5033900538455</v>
      </c>
      <c r="L7" s="7" t="n">
        <v>150.5472010518883</v>
      </c>
      <c r="M7" s="7" t="n">
        <v>150.6735326341345</v>
      </c>
      <c r="N7" s="7" t="n">
        <v>150.6749757008266</v>
      </c>
      <c r="O7" s="8">
        <f>N7*$B$2/100</f>
        <v/>
      </c>
    </row>
    <row r="8">
      <c r="A8" s="6" t="n">
        <v>46238.65719613426</v>
      </c>
      <c r="B8" s="7" t="n">
        <v>150.4726011119554</v>
      </c>
      <c r="C8" s="7" t="n">
        <v>151.3915044648757</v>
      </c>
      <c r="D8" s="7" t="n">
        <v>151.5001011420309</v>
      </c>
      <c r="E8" s="7" t="n">
        <v>151.2877327743293</v>
      </c>
      <c r="F8" s="7" t="n">
        <v>151.2686060986509</v>
      </c>
      <c r="G8" s="7" t="n">
        <v>151.4198707043212</v>
      </c>
      <c r="H8" s="7" t="n">
        <v>151.4242180785097</v>
      </c>
      <c r="I8" s="7" t="n">
        <v>151.6780445472953</v>
      </c>
      <c r="J8" s="7" t="n">
        <v>151.2593564598311</v>
      </c>
      <c r="K8" s="7" t="n">
        <v>151.6435484372893</v>
      </c>
      <c r="L8" s="7" t="n">
        <v>151.3879802345618</v>
      </c>
      <c r="M8" s="7" t="n">
        <v>151.7355408468255</v>
      </c>
      <c r="N8" s="7" t="n">
        <v>151.346487932531</v>
      </c>
      <c r="O8" s="8">
        <f>N8*$B$2/100</f>
        <v/>
      </c>
    </row>
    <row r="9">
      <c r="A9" s="6" t="n">
        <v>46238.65720773148</v>
      </c>
      <c r="B9" s="7" t="n">
        <v>147.1801435002381</v>
      </c>
      <c r="C9" s="7" t="n">
        <v>157.4153831634579</v>
      </c>
      <c r="D9" s="7" t="n">
        <v>151.7736062159968</v>
      </c>
      <c r="E9" s="7" t="n">
        <v>153.2687797654781</v>
      </c>
      <c r="F9" s="7" t="n">
        <v>148.8177025684689</v>
      </c>
      <c r="G9" s="7" t="n">
        <v>154.8148729530195</v>
      </c>
      <c r="H9" s="7" t="n">
        <v>151.4599279792312</v>
      </c>
      <c r="I9" s="7" t="n">
        <v>149.1228747218941</v>
      </c>
      <c r="J9" s="7" t="n">
        <v>154.865941598396</v>
      </c>
      <c r="K9" s="7" t="n">
        <v>151.11208639808</v>
      </c>
      <c r="L9" s="7" t="n">
        <v>154.870127437927</v>
      </c>
      <c r="M9" s="7" t="n">
        <v>156.7249222098918</v>
      </c>
      <c r="N9" s="7" t="n">
        <v>153.4948212888845</v>
      </c>
      <c r="O9" s="8">
        <f>N9*$B$2/100</f>
        <v/>
      </c>
    </row>
    <row r="10">
      <c r="A10" s="6" t="n">
        <v>46238.65721950232</v>
      </c>
      <c r="B10" s="7" t="n">
        <v>151.5430214511569</v>
      </c>
      <c r="C10" s="7" t="n">
        <v>159.4455114619114</v>
      </c>
      <c r="D10" s="7" t="n">
        <v>150.819300417892</v>
      </c>
      <c r="E10" s="7" t="n">
        <v>154.9903574713738</v>
      </c>
      <c r="F10" s="7" t="n">
        <v>157.7761031636495</v>
      </c>
      <c r="G10" s="7" t="n">
        <v>153.5376955249491</v>
      </c>
      <c r="H10" s="7" t="n">
        <v>149.3144110213588</v>
      </c>
      <c r="I10" s="7" t="n">
        <v>150.9659741327515</v>
      </c>
      <c r="J10" s="7" t="n">
        <v>154.3945593252936</v>
      </c>
      <c r="K10" s="7" t="n">
        <v>157.7236987326014</v>
      </c>
      <c r="L10" s="7" t="n">
        <v>158.0223411927322</v>
      </c>
      <c r="M10" s="7" t="n">
        <v>154.8740733394491</v>
      </c>
      <c r="N10" s="7" t="n">
        <v>155.8940234245627</v>
      </c>
      <c r="O10" s="8">
        <f>N10*$B$2/100</f>
        <v/>
      </c>
    </row>
    <row r="11">
      <c r="A11" s="6" t="n">
        <v>46238.65723125</v>
      </c>
      <c r="B11" s="7" t="n">
        <v>150.4185695921468</v>
      </c>
      <c r="C11" s="7" t="n">
        <v>155.4460670908039</v>
      </c>
      <c r="D11" s="7" t="n">
        <v>156.7571869221042</v>
      </c>
      <c r="E11" s="7" t="n">
        <v>157.0737773840448</v>
      </c>
      <c r="F11" s="7" t="n">
        <v>155.3181739170742</v>
      </c>
      <c r="G11" s="7" t="n">
        <v>144.4333976144561</v>
      </c>
      <c r="H11" s="7" t="n">
        <v>154.162028234506</v>
      </c>
      <c r="I11" s="7" t="n">
        <v>156.5885302911427</v>
      </c>
      <c r="J11" s="7" t="n">
        <v>153.89609446734</v>
      </c>
      <c r="K11" s="7" t="n">
        <v>154.6463801584619</v>
      </c>
      <c r="L11" s="7" t="n">
        <v>157.2186122395414</v>
      </c>
      <c r="M11" s="7" t="n">
        <v>156.3492768920245</v>
      </c>
      <c r="N11" s="7" t="n">
        <v>155.3122471780252</v>
      </c>
      <c r="O11" s="8">
        <f>N11*$B$2/100</f>
        <v/>
      </c>
    </row>
    <row r="12">
      <c r="A12" s="6" t="n">
        <v>46238.65724299769</v>
      </c>
      <c r="B12" s="7" t="n">
        <v>158.4617992552819</v>
      </c>
      <c r="C12" s="7" t="n">
        <v>159.9621643121462</v>
      </c>
      <c r="D12" s="7" t="n">
        <v>161.1184982899355</v>
      </c>
      <c r="E12" s="7" t="n">
        <v>157.0055499932016</v>
      </c>
      <c r="F12" s="7" t="n">
        <v>144.9505139110402</v>
      </c>
      <c r="G12" s="7" t="n">
        <v>145.9462892496373</v>
      </c>
      <c r="H12" s="7" t="n">
        <v>154.7028369931079</v>
      </c>
      <c r="I12" s="7" t="n">
        <v>152.8886897606819</v>
      </c>
      <c r="J12" s="7" t="n">
        <v>150.6772737170647</v>
      </c>
      <c r="K12" s="7" t="n">
        <v>123.8444870106549</v>
      </c>
      <c r="L12" s="7" t="n">
        <v>159.5904595189168</v>
      </c>
      <c r="M12" s="7" t="n">
        <v>157.9585465760686</v>
      </c>
      <c r="N12" s="7" t="n">
        <v>157.4252491414009</v>
      </c>
      <c r="O12" s="8">
        <f>N12*$B$2/100</f>
        <v/>
      </c>
    </row>
    <row r="13">
      <c r="A13" s="6" t="n">
        <v>46238.65725471065</v>
      </c>
      <c r="B13" s="7" t="n">
        <v>156.8262359907285</v>
      </c>
      <c r="C13" s="7" t="n">
        <v>156.383584753429</v>
      </c>
      <c r="D13" s="7" t="n">
        <v>151.9730828159019</v>
      </c>
      <c r="E13" s="7" t="n">
        <v>157.9896195543629</v>
      </c>
      <c r="F13" s="7" t="n">
        <v>150.2090184312045</v>
      </c>
      <c r="G13" s="7" t="n">
        <v>147.0677718870095</v>
      </c>
      <c r="H13" s="7" t="n">
        <v>151.8234945822725</v>
      </c>
      <c r="I13" s="7" t="n">
        <v>149.0704109666638</v>
      </c>
      <c r="J13" s="7" t="n">
        <v>147.9508569982923</v>
      </c>
      <c r="K13" s="7" t="n">
        <v>135.2573957322987</v>
      </c>
      <c r="L13" s="7" t="n">
        <v>158.5487782269639</v>
      </c>
      <c r="M13" s="7" t="n">
        <v>158.9803381484545</v>
      </c>
      <c r="N13" s="7" t="n">
        <v>156.0283397309541</v>
      </c>
      <c r="O13" s="8">
        <f>N13*$B$2/100</f>
        <v/>
      </c>
    </row>
    <row r="14">
      <c r="A14" s="6" t="n">
        <v>46238.65726648148</v>
      </c>
      <c r="B14" s="7" t="n">
        <v>158.1502857378639</v>
      </c>
      <c r="C14" s="7" t="n">
        <v>160.1661127875312</v>
      </c>
      <c r="D14" s="7" t="n">
        <v>157.7398060598074</v>
      </c>
      <c r="E14" s="7" t="n">
        <v>159.2997260603871</v>
      </c>
      <c r="F14" s="7" t="n">
        <v>149.9062111580667</v>
      </c>
      <c r="G14" s="7" t="n">
        <v>147.3211912380015</v>
      </c>
      <c r="H14" s="7" t="n">
        <v>152.6051960878015</v>
      </c>
      <c r="I14" s="7" t="n">
        <v>136.1121841300499</v>
      </c>
      <c r="J14" s="7" t="n">
        <v>142.8469692445506</v>
      </c>
      <c r="K14" s="7" t="n">
        <v>133.5389002966005</v>
      </c>
      <c r="L14" s="7" t="n">
        <v>158.5348446918311</v>
      </c>
      <c r="M14" s="7" t="n">
        <v>158.5531321550449</v>
      </c>
      <c r="N14" s="7" t="n">
        <v>157.0000865101794</v>
      </c>
      <c r="O14" s="8">
        <f>N14*$B$2/100</f>
        <v/>
      </c>
    </row>
    <row r="15">
      <c r="A15" s="6" t="n">
        <v>46238.65727822917</v>
      </c>
      <c r="B15" s="7" t="n">
        <v>159.047185918066</v>
      </c>
      <c r="C15" s="7" t="n">
        <v>156.9053788267488</v>
      </c>
      <c r="D15" s="7" t="n">
        <v>155.0347200708121</v>
      </c>
      <c r="E15" s="7" t="n">
        <v>157.7198503863507</v>
      </c>
      <c r="F15" s="7" t="n">
        <v>154.6590054325115</v>
      </c>
      <c r="G15" s="7" t="n">
        <v>142.7639834932631</v>
      </c>
      <c r="H15" s="7" t="n">
        <v>143.2528776612</v>
      </c>
      <c r="I15" s="7" t="n">
        <v>141.8201069872608</v>
      </c>
      <c r="J15" s="7" t="n">
        <v>148.4672439672093</v>
      </c>
      <c r="K15" s="7" t="n">
        <v>146.1163964515142</v>
      </c>
      <c r="L15" s="7" t="n">
        <v>159.0904374196052</v>
      </c>
      <c r="M15" s="7" t="n">
        <v>158.8240426522591</v>
      </c>
      <c r="N15" s="7" t="n">
        <v>156.6218888764506</v>
      </c>
      <c r="O15" s="8">
        <f>N15*$B$2/100</f>
        <v/>
      </c>
    </row>
    <row r="16">
      <c r="A16" s="6" t="n">
        <v>46238.65728994213</v>
      </c>
      <c r="B16" s="7" t="n">
        <v>157.6717028939605</v>
      </c>
      <c r="C16" s="7" t="n">
        <v>157.9270243252249</v>
      </c>
      <c r="D16" s="7" t="n">
        <v>154.064620355412</v>
      </c>
      <c r="E16" s="7" t="n">
        <v>157.6312012704803</v>
      </c>
      <c r="F16" s="7" t="n">
        <v>142.4512397906783</v>
      </c>
      <c r="G16" s="7" t="n">
        <v>142.13555420957</v>
      </c>
      <c r="H16" s="7" t="n">
        <v>149.2818824262509</v>
      </c>
      <c r="I16" s="7" t="n">
        <v>137.2686567164179</v>
      </c>
      <c r="J16" s="7" t="n">
        <v>136.3473793731305</v>
      </c>
      <c r="K16" s="7" t="n">
        <v>118.6223437305828</v>
      </c>
      <c r="L16" s="7" t="n">
        <v>159.0279882580322</v>
      </c>
      <c r="M16" s="7" t="n">
        <v>158.7004649360713</v>
      </c>
      <c r="N16" s="7" t="n">
        <v>155.8612019623876</v>
      </c>
      <c r="O16" s="8">
        <f>N16*$B$2/100</f>
        <v/>
      </c>
    </row>
    <row r="17">
      <c r="A17" s="6" t="n">
        <v>46238.65730170139</v>
      </c>
      <c r="B17" s="7" t="n">
        <v>149.7618955512573</v>
      </c>
      <c r="C17" s="7" t="n">
        <v>160.2409751984824</v>
      </c>
      <c r="D17" s="7" t="n">
        <v>159.4273463755725</v>
      </c>
      <c r="E17" s="7" t="n">
        <v>147.1106790950856</v>
      </c>
      <c r="F17" s="7" t="n">
        <v>155.0587842516569</v>
      </c>
      <c r="G17" s="7" t="n">
        <v>157.6922364826</v>
      </c>
      <c r="H17" s="7" t="n">
        <v>148.1090511846934</v>
      </c>
      <c r="I17" s="7" t="n">
        <v>149.7908254282883</v>
      </c>
      <c r="J17" s="7" t="n">
        <v>139.8720145609518</v>
      </c>
      <c r="K17" s="7" t="n">
        <v>157.8175713611966</v>
      </c>
      <c r="L17" s="7" t="n">
        <v>158.9564565182863</v>
      </c>
      <c r="M17" s="7" t="n">
        <v>158.0314194115748</v>
      </c>
      <c r="N17" s="7" t="n">
        <v>156.2964234002144</v>
      </c>
      <c r="O17" s="8">
        <f>N17*$B$2/100</f>
        <v/>
      </c>
    </row>
    <row r="18">
      <c r="A18" s="6" t="n">
        <v>46238.65731342592</v>
      </c>
      <c r="B18" s="7" t="n">
        <v>156.1800436744196</v>
      </c>
      <c r="C18" s="7" t="n">
        <v>158.249981121532</v>
      </c>
      <c r="D18" s="7" t="n">
        <v>159.3542675655973</v>
      </c>
      <c r="E18" s="7" t="n">
        <v>153.1950350409634</v>
      </c>
      <c r="F18" s="7" t="n">
        <v>156.4146532405641</v>
      </c>
      <c r="G18" s="7" t="n">
        <v>151.0667638483965</v>
      </c>
      <c r="H18" s="7" t="n">
        <v>153.3016211222696</v>
      </c>
      <c r="I18" s="7" t="n">
        <v>143.6377141674</v>
      </c>
      <c r="J18" s="7" t="n">
        <v>151.7333275693124</v>
      </c>
      <c r="K18" s="7" t="n">
        <v>155.0718451880777</v>
      </c>
      <c r="L18" s="7" t="n">
        <v>159.4990054994539</v>
      </c>
      <c r="M18" s="7" t="n">
        <v>160.0151790060627</v>
      </c>
      <c r="N18" s="7" t="n">
        <v>157.2421212121212</v>
      </c>
      <c r="O18" s="8">
        <f>N18*$B$2/100</f>
        <v/>
      </c>
    </row>
    <row r="19">
      <c r="A19" s="6" t="n">
        <v>46238.65732517361</v>
      </c>
      <c r="B19" s="7" t="n">
        <v>156.2639753798321</v>
      </c>
      <c r="C19" s="7" t="n">
        <v>161.40149412003</v>
      </c>
      <c r="D19" s="7" t="n">
        <v>159.2981607601648</v>
      </c>
      <c r="E19" s="7" t="n">
        <v>154.0898759918657</v>
      </c>
      <c r="F19" s="7" t="n">
        <v>148.5005721979132</v>
      </c>
      <c r="G19" s="7" t="n">
        <v>154.9101275417724</v>
      </c>
      <c r="H19" s="7" t="n">
        <v>149.7090515737316</v>
      </c>
      <c r="I19" s="7" t="n">
        <v>144.3389034376689</v>
      </c>
      <c r="J19" s="7" t="n">
        <v>151.7358273316325</v>
      </c>
      <c r="K19" s="7" t="n">
        <v>130.7924642353415</v>
      </c>
      <c r="L19" s="7" t="n">
        <v>160.24974867574</v>
      </c>
      <c r="M19" s="7" t="n">
        <v>159.0653290230974</v>
      </c>
      <c r="N19" s="7" t="n">
        <v>157.3672601811349</v>
      </c>
      <c r="O19" s="8">
        <f>N19*$B$2/100</f>
        <v/>
      </c>
    </row>
    <row r="20">
      <c r="A20" s="6" t="n">
        <v>46238.65733689815</v>
      </c>
      <c r="B20" s="7" t="n">
        <v>152.0470362046088</v>
      </c>
      <c r="C20" s="7" t="n">
        <v>160.2933929372085</v>
      </c>
      <c r="D20" s="7" t="n">
        <v>154.1907481010895</v>
      </c>
      <c r="E20" s="7" t="n">
        <v>157.3913936874298</v>
      </c>
      <c r="F20" s="7" t="n">
        <v>142.5407066052227</v>
      </c>
      <c r="G20" s="7" t="n">
        <v>147.6344449947719</v>
      </c>
      <c r="H20" s="7" t="n">
        <v>153.5951556639652</v>
      </c>
      <c r="I20" s="7" t="n">
        <v>144.3070366212993</v>
      </c>
      <c r="J20" s="7" t="n">
        <v>160.2565445320357</v>
      </c>
      <c r="K20" s="7" t="n">
        <v>150.2805576168769</v>
      </c>
      <c r="L20" s="7" t="n">
        <v>160.8128739419569</v>
      </c>
      <c r="M20" s="7" t="n">
        <v>159.8664981604077</v>
      </c>
      <c r="N20" s="7" t="n">
        <v>157.2141245487365</v>
      </c>
      <c r="O20" s="8">
        <f>N20*$B$2/100</f>
        <v/>
      </c>
    </row>
    <row r="21">
      <c r="A21" s="6" t="n">
        <v>46238.65734856481</v>
      </c>
      <c r="B21" s="7" t="n">
        <v>155.1447439409465</v>
      </c>
      <c r="C21" s="7" t="n">
        <v>145.7790682668731</v>
      </c>
      <c r="D21" s="7" t="n">
        <v>152.0329925851271</v>
      </c>
      <c r="E21" s="7" t="n">
        <v>149.3555983346018</v>
      </c>
      <c r="F21" s="7" t="n">
        <v>157.6511111381313</v>
      </c>
      <c r="G21" s="7" t="n">
        <v>156.2882867938439</v>
      </c>
      <c r="H21" s="7" t="n">
        <v>148.1662525039937</v>
      </c>
      <c r="I21" s="7" t="n">
        <v>147.500118829361</v>
      </c>
      <c r="J21" s="7" t="n">
        <v>139.8076999404644</v>
      </c>
      <c r="K21" s="7" t="n">
        <v>148.1738065695814</v>
      </c>
      <c r="L21" s="7" t="n">
        <v>156.4971226645197</v>
      </c>
      <c r="M21" s="7" t="n">
        <v>159.0606607036131</v>
      </c>
      <c r="N21" s="7" t="n">
        <v>154.4852357614485</v>
      </c>
      <c r="O21" s="8">
        <f>N21*$B$2/100</f>
        <v/>
      </c>
    </row>
    <row r="22">
      <c r="A22" s="6" t="n">
        <v>46238.65736027778</v>
      </c>
      <c r="B22" s="7" t="n">
        <v>158.0301651418176</v>
      </c>
      <c r="C22" s="7" t="n">
        <v>157.8206374256625</v>
      </c>
      <c r="D22" s="7" t="n">
        <v>143.0261016113121</v>
      </c>
      <c r="E22" s="7" t="n">
        <v>157.1905579018217</v>
      </c>
      <c r="F22" s="7" t="n">
        <v>151.7515253275316</v>
      </c>
      <c r="G22" s="7" t="n">
        <v>142.4386084583902</v>
      </c>
      <c r="H22" s="7" t="n">
        <v>152.296353507833</v>
      </c>
      <c r="I22" s="7" t="n">
        <v>153.8653393992515</v>
      </c>
      <c r="J22" s="7" t="n">
        <v>144.2672826234335</v>
      </c>
      <c r="K22" s="7" t="n">
        <v>141.9978947368421</v>
      </c>
      <c r="L22" s="7" t="n">
        <v>158.6719475304691</v>
      </c>
      <c r="M22" s="7" t="n">
        <v>159.7184969142386</v>
      </c>
      <c r="N22" s="7" t="n">
        <v>155.8671287593985</v>
      </c>
      <c r="O22" s="8">
        <f>N22*$B$2/100</f>
        <v/>
      </c>
    </row>
    <row r="23">
      <c r="A23" s="6" t="n">
        <v>46238.65737202546</v>
      </c>
      <c r="B23" s="7" t="n">
        <v>155.5978792572503</v>
      </c>
      <c r="C23" s="7" t="n">
        <v>157.4269214674292</v>
      </c>
      <c r="D23" s="7" t="n">
        <v>156.5690139911774</v>
      </c>
      <c r="E23" s="7" t="n">
        <v>150.2951214115825</v>
      </c>
      <c r="F23" s="7" t="n">
        <v>157.183411493522</v>
      </c>
      <c r="G23" s="7" t="n">
        <v>146.6803771296245</v>
      </c>
      <c r="H23" s="7" t="n">
        <v>156.186208292416</v>
      </c>
      <c r="I23" s="7" t="n">
        <v>151.7194870748047</v>
      </c>
      <c r="J23" s="7" t="n">
        <v>140.5462436985122</v>
      </c>
      <c r="K23" s="7" t="n">
        <v>132.1319455962846</v>
      </c>
      <c r="L23" s="7" t="n">
        <v>156.843355265722</v>
      </c>
      <c r="M23" s="7" t="n">
        <v>159.519525895508</v>
      </c>
      <c r="N23" s="7" t="n">
        <v>155.6962351902773</v>
      </c>
      <c r="O23" s="8">
        <f>N23*$B$2/100</f>
        <v/>
      </c>
    </row>
    <row r="24">
      <c r="A24" s="6" t="n">
        <v>46238.65738378472</v>
      </c>
      <c r="B24" s="7" t="n">
        <v>158.8910077340413</v>
      </c>
      <c r="C24" s="7" t="n">
        <v>162.7465194969895</v>
      </c>
      <c r="D24" s="7" t="n">
        <v>159.6699323096798</v>
      </c>
      <c r="E24" s="7" t="n">
        <v>146.5497985283812</v>
      </c>
      <c r="F24" s="7" t="n">
        <v>157.6595483607087</v>
      </c>
      <c r="G24" s="7" t="n">
        <v>156.7139086706647</v>
      </c>
      <c r="H24" s="7" t="n">
        <v>148.4235630593228</v>
      </c>
      <c r="I24" s="7" t="n">
        <v>133.4065456209948</v>
      </c>
      <c r="J24" s="7" t="n">
        <v>145.1408463172804</v>
      </c>
      <c r="K24" s="7" t="n">
        <v>131.3204560444738</v>
      </c>
      <c r="L24" s="7" t="n">
        <v>161.2287779538455</v>
      </c>
      <c r="M24" s="7" t="n">
        <v>160.637387507322</v>
      </c>
      <c r="N24" s="7" t="n">
        <v>158.7745528831329</v>
      </c>
      <c r="O24" s="8">
        <f>N24*$B$2/100</f>
        <v/>
      </c>
    </row>
    <row r="25">
      <c r="A25" s="6" t="n">
        <v>46238.65739540509</v>
      </c>
      <c r="B25" s="7" t="n">
        <v>160.9694250866925</v>
      </c>
      <c r="C25" s="7" t="n">
        <v>160.7479015629245</v>
      </c>
      <c r="D25" s="7" t="n">
        <v>157.5813465597845</v>
      </c>
      <c r="E25" s="7" t="n">
        <v>162.0751208816739</v>
      </c>
      <c r="F25" s="7" t="n">
        <v>159.3604170513057</v>
      </c>
      <c r="G25" s="7" t="n">
        <v>155.8336246694456</v>
      </c>
      <c r="H25" s="7" t="n">
        <v>157.340607201605</v>
      </c>
      <c r="I25" s="7" t="n">
        <v>126.8459973674764</v>
      </c>
      <c r="J25" s="7" t="n">
        <v>120.6340089066618</v>
      </c>
      <c r="K25" s="7" t="n">
        <v>124.5327725201542</v>
      </c>
      <c r="L25" s="7" t="n">
        <v>156.7965358113661</v>
      </c>
      <c r="M25" s="7" t="n">
        <v>160.1123950623417</v>
      </c>
      <c r="N25" s="7" t="n">
        <v>158.6298379472684</v>
      </c>
      <c r="O25" s="8">
        <f>N25*$B$2/100</f>
        <v/>
      </c>
    </row>
    <row r="26">
      <c r="A26" s="6" t="n">
        <v>46238.65740703703</v>
      </c>
      <c r="B26" s="7" t="n">
        <v>153.5830167774612</v>
      </c>
      <c r="C26" s="7" t="n">
        <v>157.8581135778241</v>
      </c>
      <c r="D26" s="7" t="n">
        <v>152.9348695791327</v>
      </c>
      <c r="E26" s="7" t="n">
        <v>152.5394329734167</v>
      </c>
      <c r="F26" s="7" t="n">
        <v>135.2358411423472</v>
      </c>
      <c r="G26" s="7" t="n">
        <v>160.3297315541048</v>
      </c>
      <c r="H26" s="7" t="n">
        <v>145.798274519202</v>
      </c>
      <c r="I26" s="7" t="n">
        <v>150.1477218924136</v>
      </c>
      <c r="J26" s="7" t="n">
        <v>141.2109355915642</v>
      </c>
      <c r="K26" s="7" t="n">
        <v>120.1381077529566</v>
      </c>
      <c r="L26" s="7" t="n">
        <v>160.2373623147658</v>
      </c>
      <c r="M26" s="7" t="n">
        <v>158.810110974106</v>
      </c>
      <c r="N26" s="7" t="n">
        <v>156.4672680585876</v>
      </c>
      <c r="O26" s="8">
        <f>N26*$B$2/100</f>
        <v/>
      </c>
    </row>
    <row r="27">
      <c r="A27" s="6" t="n">
        <v>46238.65741883102</v>
      </c>
      <c r="B27" s="7" t="n">
        <v>160.6682700411533</v>
      </c>
      <c r="C27" s="7" t="n">
        <v>158.030371216192</v>
      </c>
      <c r="D27" s="7" t="n">
        <v>155.4419114936017</v>
      </c>
      <c r="E27" s="7" t="n">
        <v>160.5138844441858</v>
      </c>
      <c r="F27" s="7" t="n">
        <v>150.7366438069432</v>
      </c>
      <c r="G27" s="7" t="n">
        <v>157.9457268700727</v>
      </c>
      <c r="H27" s="7" t="n">
        <v>150.5932535619204</v>
      </c>
      <c r="I27" s="7" t="n">
        <v>140.1986734376619</v>
      </c>
      <c r="J27" s="7" t="n">
        <v>149.7009713306221</v>
      </c>
      <c r="K27" s="7" t="n">
        <v>149.5965989607936</v>
      </c>
      <c r="L27" s="7" t="n">
        <v>159.7891729774312</v>
      </c>
      <c r="M27" s="7" t="n">
        <v>159.1374024773854</v>
      </c>
      <c r="N27" s="7" t="n">
        <v>157.0011863026311</v>
      </c>
      <c r="O27" s="8">
        <f>N27*$B$2/100</f>
        <v/>
      </c>
    </row>
    <row r="28">
      <c r="A28" s="6" t="n">
        <v>46238.65743060185</v>
      </c>
      <c r="B28" s="7" t="n">
        <v>157.1094726304969</v>
      </c>
      <c r="C28" s="7" t="n">
        <v>158.3305130987249</v>
      </c>
      <c r="D28" s="7" t="n">
        <v>149.6473094688222</v>
      </c>
      <c r="E28" s="7" t="n">
        <v>151.3346746134995</v>
      </c>
      <c r="F28" s="7" t="n">
        <v>146.1992960415877</v>
      </c>
      <c r="G28" s="7" t="n">
        <v>157.9233529908797</v>
      </c>
      <c r="H28" s="7" t="n">
        <v>146.393480565371</v>
      </c>
      <c r="I28" s="7" t="n">
        <v>146.2832902318407</v>
      </c>
      <c r="J28" s="7" t="n">
        <v>143.7538714672861</v>
      </c>
      <c r="K28" s="7" t="n">
        <v>136.6875053671104</v>
      </c>
      <c r="L28" s="7" t="n">
        <v>159.6026159447557</v>
      </c>
      <c r="M28" s="7" t="n">
        <v>159.6876221717932</v>
      </c>
      <c r="N28" s="7" t="n">
        <v>155.4987871927555</v>
      </c>
      <c r="O28" s="8">
        <f>N28*$B$2/100</f>
        <v/>
      </c>
    </row>
    <row r="29">
      <c r="A29" s="6" t="n">
        <v>46238.65744219907</v>
      </c>
      <c r="B29" s="7" t="n">
        <v>155.6939964515768</v>
      </c>
      <c r="C29" s="7" t="n">
        <v>158.4397252816968</v>
      </c>
      <c r="D29" s="7" t="n">
        <v>152.9055837822657</v>
      </c>
      <c r="E29" s="7" t="n">
        <v>140.7493318789201</v>
      </c>
      <c r="F29" s="7" t="n">
        <v>153.3311074316835</v>
      </c>
      <c r="G29" s="7" t="n">
        <v>157.5167561503326</v>
      </c>
      <c r="H29" s="7" t="n">
        <v>148.786969059702</v>
      </c>
      <c r="I29" s="7" t="n">
        <v>136.0726956288908</v>
      </c>
      <c r="J29" s="7" t="n">
        <v>146.0827105652818</v>
      </c>
      <c r="K29" s="7" t="n">
        <v>148.5283561081461</v>
      </c>
      <c r="L29" s="7" t="n">
        <v>157.8137136159406</v>
      </c>
      <c r="M29" s="7" t="n">
        <v>158.8209256071349</v>
      </c>
      <c r="N29" s="7" t="n">
        <v>155.8338074406967</v>
      </c>
      <c r="O29" s="8">
        <f>N29*$B$2/100</f>
        <v/>
      </c>
    </row>
    <row r="30">
      <c r="A30" s="6" t="n">
        <v>46238.65745394676</v>
      </c>
      <c r="B30" s="7" t="n">
        <v>151.3268122206485</v>
      </c>
      <c r="C30" s="7" t="n">
        <v>152.1431967953275</v>
      </c>
      <c r="D30" s="7" t="n">
        <v>153.173012118207</v>
      </c>
      <c r="E30" s="7" t="n">
        <v>152.5303296370431</v>
      </c>
      <c r="F30" s="7" t="n">
        <v>151.5686282903608</v>
      </c>
      <c r="G30" s="7" t="n">
        <v>149.7394442946384</v>
      </c>
      <c r="H30" s="7" t="n">
        <v>153.3396709222218</v>
      </c>
      <c r="I30" s="7" t="n">
        <v>151.0743400436806</v>
      </c>
      <c r="J30" s="7" t="n">
        <v>150.5849639719838</v>
      </c>
      <c r="K30" s="7" t="n">
        <v>152.0201737016488</v>
      </c>
      <c r="L30" s="7" t="n">
        <v>152.3113103630596</v>
      </c>
      <c r="M30" s="7" t="n">
        <v>155.0445265231278</v>
      </c>
      <c r="N30" s="7" t="n">
        <v>152.3167385919267</v>
      </c>
      <c r="O30" s="8">
        <f>N30*$B$2/100</f>
        <v/>
      </c>
    </row>
    <row r="31">
      <c r="A31" s="6" t="n">
        <v>46238.65746563658</v>
      </c>
      <c r="B31" s="7" t="n">
        <v>153.6573993636446</v>
      </c>
      <c r="C31" s="7" t="n">
        <v>151.382002334717</v>
      </c>
      <c r="D31" s="7" t="n">
        <v>151.9047792343112</v>
      </c>
      <c r="E31" s="7" t="n">
        <v>154.6584089421448</v>
      </c>
      <c r="F31" s="7" t="n">
        <v>151.0398415834867</v>
      </c>
      <c r="G31" s="7" t="n">
        <v>154.2010803148779</v>
      </c>
      <c r="H31" s="7" t="n">
        <v>151.6018334303126</v>
      </c>
      <c r="I31" s="7" t="n">
        <v>150.1629809122986</v>
      </c>
      <c r="J31" s="7" t="n">
        <v>150.0591269965061</v>
      </c>
      <c r="K31" s="7" t="n">
        <v>150.3808606445414</v>
      </c>
      <c r="L31" s="7" t="n">
        <v>153.0521253027538</v>
      </c>
      <c r="M31" s="7" t="n">
        <v>150.1606928270226</v>
      </c>
      <c r="N31" s="7" t="n">
        <v>152.182896218707</v>
      </c>
      <c r="O31" s="8">
        <f>N31*$B$2/100</f>
        <v/>
      </c>
    </row>
    <row r="32">
      <c r="A32" s="6" t="n">
        <v>46238.65747740741</v>
      </c>
      <c r="B32" s="7" t="n">
        <v>159.470122172166</v>
      </c>
      <c r="C32" s="7" t="n">
        <v>163.6918615236559</v>
      </c>
      <c r="D32" s="7" t="n">
        <v>160.3964383980434</v>
      </c>
      <c r="E32" s="7" t="n">
        <v>162.8665251313625</v>
      </c>
      <c r="F32" s="7" t="n">
        <v>150.1278092765899</v>
      </c>
      <c r="G32" s="7" t="n">
        <v>162.0961063681423</v>
      </c>
      <c r="H32" s="7" t="n">
        <v>146.0878665933239</v>
      </c>
      <c r="I32" s="7" t="n">
        <v>151.4972031857751</v>
      </c>
      <c r="J32" s="7" t="n">
        <v>152.9840330488729</v>
      </c>
      <c r="K32" s="7" t="n">
        <v>148.1916768334011</v>
      </c>
      <c r="L32" s="7" t="n">
        <v>160.9483062024475</v>
      </c>
      <c r="M32" s="7" t="n">
        <v>154.9589464313767</v>
      </c>
      <c r="N32" s="7" t="n">
        <v>159.5718460561697</v>
      </c>
      <c r="O32" s="8">
        <f>N32*$B$2/100</f>
        <v/>
      </c>
    </row>
    <row r="33">
      <c r="A33" s="6" t="n">
        <v>46238.65748915509</v>
      </c>
      <c r="B33" s="7" t="n">
        <v>155.2484688532517</v>
      </c>
      <c r="C33" s="7" t="n">
        <v>160.7331850533808</v>
      </c>
      <c r="D33" s="7" t="n">
        <v>159.2827903972975</v>
      </c>
      <c r="E33" s="7" t="n">
        <v>150.741965973535</v>
      </c>
      <c r="F33" s="7" t="n">
        <v>135.6366310311669</v>
      </c>
      <c r="G33" s="7" t="n">
        <v>156.6172907372561</v>
      </c>
      <c r="H33" s="7" t="n">
        <v>145.7128730048577</v>
      </c>
      <c r="I33" s="7" t="n">
        <v>155.1551871123262</v>
      </c>
      <c r="J33" s="7" t="n">
        <v>146.3463451090862</v>
      </c>
      <c r="K33" s="7" t="n">
        <v>147.2195405840266</v>
      </c>
      <c r="L33" s="7" t="n">
        <v>160.1674999324379</v>
      </c>
      <c r="M33" s="7" t="n">
        <v>160.049121015914</v>
      </c>
      <c r="N33" s="7" t="n">
        <v>157.6274949625518</v>
      </c>
      <c r="O33" s="8">
        <f>N33*$B$2/100</f>
        <v/>
      </c>
    </row>
    <row r="34">
      <c r="A34" s="6" t="n">
        <v>46238.65750090278</v>
      </c>
      <c r="B34" s="7" t="n">
        <v>159.2739525541635</v>
      </c>
      <c r="C34" s="7" t="n">
        <v>158.7662755888845</v>
      </c>
      <c r="D34" s="7" t="n">
        <v>154.1308173188238</v>
      </c>
      <c r="E34" s="7" t="n">
        <v>159.2203907168209</v>
      </c>
      <c r="F34" s="7" t="n">
        <v>133.7747349288095</v>
      </c>
      <c r="G34" s="7" t="n">
        <v>160.2915749681468</v>
      </c>
      <c r="H34" s="7" t="n">
        <v>150.0524008295923</v>
      </c>
      <c r="I34" s="7" t="n">
        <v>106.7186619056568</v>
      </c>
      <c r="J34" s="7" t="n">
        <v>152.0804767429596</v>
      </c>
      <c r="K34" s="7" t="n">
        <v>146.0987887963664</v>
      </c>
      <c r="L34" s="7" t="n">
        <v>159.578116154921</v>
      </c>
      <c r="M34" s="7" t="n">
        <v>159.9161775346197</v>
      </c>
      <c r="N34" s="7" t="n">
        <v>157.9237664650735</v>
      </c>
      <c r="O34" s="8">
        <f>N34*$B$2/100</f>
        <v/>
      </c>
    </row>
    <row r="35">
      <c r="A35" s="6" t="n">
        <v>46238.65751266204</v>
      </c>
      <c r="B35" s="7" t="n">
        <v>157.9099494570751</v>
      </c>
      <c r="C35" s="7" t="n">
        <v>160.6268766322506</v>
      </c>
      <c r="D35" s="7" t="n">
        <v>149.1205650332258</v>
      </c>
      <c r="E35" s="7" t="n">
        <v>143.9901117338379</v>
      </c>
      <c r="F35" s="7" t="n">
        <v>151.6841663252765</v>
      </c>
      <c r="G35" s="7" t="n">
        <v>155.3561031577505</v>
      </c>
      <c r="H35" s="7" t="n">
        <v>152.4869323934156</v>
      </c>
      <c r="I35" s="7" t="n">
        <v>129.2887700534759</v>
      </c>
      <c r="J35" s="7" t="n">
        <v>150.299255112835</v>
      </c>
      <c r="K35" s="7" t="n">
        <v>144.0817079839592</v>
      </c>
      <c r="L35" s="7" t="n">
        <v>160.5495543740198</v>
      </c>
      <c r="M35" s="7" t="n">
        <v>160.5295768258463</v>
      </c>
      <c r="N35" s="7" t="n">
        <v>157.5211687537269</v>
      </c>
      <c r="O35" s="8">
        <f>N35*$B$2/100</f>
        <v/>
      </c>
    </row>
    <row r="36">
      <c r="A36" s="6" t="n">
        <v>46238.65752439815</v>
      </c>
      <c r="B36" s="7" t="n">
        <v>153.3950907989768</v>
      </c>
      <c r="C36" s="7" t="n">
        <v>153.0108037071844</v>
      </c>
      <c r="D36" s="7" t="n">
        <v>151.8840670446143</v>
      </c>
      <c r="E36" s="7" t="n">
        <v>151.6222513209655</v>
      </c>
      <c r="F36" s="7" t="n">
        <v>151.2059443318429</v>
      </c>
      <c r="G36" s="7" t="n">
        <v>151.4947697101621</v>
      </c>
      <c r="H36" s="7" t="n">
        <v>153.0944595642856</v>
      </c>
      <c r="I36" s="7" t="n">
        <v>151.9715396517558</v>
      </c>
      <c r="J36" s="7" t="n">
        <v>151.8076605677942</v>
      </c>
      <c r="K36" s="7" t="n">
        <v>151.6821575908771</v>
      </c>
      <c r="L36" s="7" t="n">
        <v>151.8348155089673</v>
      </c>
      <c r="M36" s="7" t="n">
        <v>153.786873694954</v>
      </c>
      <c r="N36" s="7" t="n">
        <v>152.2971897355122</v>
      </c>
      <c r="O36" s="8">
        <f>N36*$B$2/100</f>
        <v/>
      </c>
    </row>
    <row r="37">
      <c r="A37" s="6" t="n">
        <v>46238.65753609953</v>
      </c>
      <c r="B37" s="7" t="n">
        <v>151.767367820197</v>
      </c>
      <c r="C37" s="7" t="n">
        <v>151.8588192299531</v>
      </c>
      <c r="D37" s="7" t="n">
        <v>151.1434561125012</v>
      </c>
      <c r="E37" s="7" t="n">
        <v>151.7267307720568</v>
      </c>
      <c r="F37" s="7" t="n">
        <v>151.7608732836132</v>
      </c>
      <c r="G37" s="7" t="n">
        <v>151.7900425926508</v>
      </c>
      <c r="H37" s="7" t="n">
        <v>151.7945411780282</v>
      </c>
      <c r="I37" s="7" t="n">
        <v>152.0313306267099</v>
      </c>
      <c r="J37" s="7" t="n">
        <v>151.766235205238</v>
      </c>
      <c r="K37" s="7" t="n">
        <v>151.9273441846392</v>
      </c>
      <c r="L37" s="7" t="n">
        <v>151.7778028323274</v>
      </c>
      <c r="M37" s="7" t="n">
        <v>151.8833118023121</v>
      </c>
      <c r="N37" s="7" t="n">
        <v>151.7597067464203</v>
      </c>
      <c r="O37" s="8">
        <f>N37*$B$2/100</f>
        <v/>
      </c>
    </row>
    <row r="38">
      <c r="A38" s="6" t="n">
        <v>46238.65754783565</v>
      </c>
      <c r="B38" s="7" t="n">
        <v>151.5985894256696</v>
      </c>
      <c r="C38" s="7" t="n">
        <v>151.7766078086302</v>
      </c>
      <c r="D38" s="7" t="n">
        <v>151.5495910519018</v>
      </c>
      <c r="E38" s="7" t="n">
        <v>151.8570244176406</v>
      </c>
      <c r="F38" s="7" t="n">
        <v>151.6572648146603</v>
      </c>
      <c r="G38" s="7" t="n">
        <v>151.8231251174046</v>
      </c>
      <c r="H38" s="7" t="n">
        <v>151.6238824036874</v>
      </c>
      <c r="I38" s="7" t="n">
        <v>151.8474981532014</v>
      </c>
      <c r="J38" s="7" t="n">
        <v>151.5679874429975</v>
      </c>
      <c r="K38" s="7" t="n">
        <v>151.8783673146519</v>
      </c>
      <c r="L38" s="7" t="n">
        <v>151.7422074661769</v>
      </c>
      <c r="M38" s="7" t="n">
        <v>151.8444703506576</v>
      </c>
      <c r="N38" s="7" t="n">
        <v>151.7074621320298</v>
      </c>
      <c r="O38" s="8">
        <f>N38*$B$2/100</f>
        <v/>
      </c>
    </row>
    <row r="39">
      <c r="A39" s="6" t="n">
        <v>46238.65755957176</v>
      </c>
      <c r="B39" s="7" t="n">
        <v>151.6162360141484</v>
      </c>
      <c r="C39" s="7" t="n">
        <v>151.8774287219051</v>
      </c>
      <c r="D39" s="7" t="n">
        <v>151.6853580918996</v>
      </c>
      <c r="E39" s="7" t="n">
        <v>151.8175089662883</v>
      </c>
      <c r="F39" s="7" t="n">
        <v>151.7956342590751</v>
      </c>
      <c r="G39" s="7" t="n">
        <v>151.3545991511952</v>
      </c>
      <c r="H39" s="7" t="n">
        <v>151.8688708392166</v>
      </c>
      <c r="I39" s="7" t="n">
        <v>151.89455547898</v>
      </c>
      <c r="J39" s="7" t="n">
        <v>151.3780755678837</v>
      </c>
      <c r="K39" s="7" t="n">
        <v>151.6475069553957</v>
      </c>
      <c r="L39" s="7" t="n">
        <v>151.7747904692336</v>
      </c>
      <c r="M39" s="7" t="n">
        <v>151.8525549581184</v>
      </c>
      <c r="N39" s="7" t="n">
        <v>151.7091894388677</v>
      </c>
      <c r="O39" s="8">
        <f>N39*$B$2/100</f>
        <v/>
      </c>
    </row>
    <row r="40">
      <c r="A40" s="6" t="n">
        <v>46238.65757131945</v>
      </c>
      <c r="B40" s="7" t="n">
        <v>151.8709201613939</v>
      </c>
      <c r="C40" s="7" t="n">
        <v>151.8325670659693</v>
      </c>
      <c r="D40" s="7" t="n">
        <v>151.8224358852854</v>
      </c>
      <c r="E40" s="7" t="n">
        <v>152.1911644608469</v>
      </c>
      <c r="F40" s="7" t="n">
        <v>151.718748904649</v>
      </c>
      <c r="G40" s="7" t="n">
        <v>151.6273433087235</v>
      </c>
      <c r="H40" s="7" t="n">
        <v>151.7464133350666</v>
      </c>
      <c r="I40" s="7" t="n">
        <v>152.0620760844246</v>
      </c>
      <c r="J40" s="7" t="n">
        <v>152.0031149662146</v>
      </c>
      <c r="K40" s="7" t="n">
        <v>152.035612590083</v>
      </c>
      <c r="L40" s="7" t="n">
        <v>151.981090361325</v>
      </c>
      <c r="M40" s="7" t="n">
        <v>152.1805010694725</v>
      </c>
      <c r="N40" s="7" t="n">
        <v>151.9437241589831</v>
      </c>
      <c r="O40" s="8">
        <f>N40*$B$2/100</f>
        <v/>
      </c>
    </row>
    <row r="41">
      <c r="A41" s="6" t="n">
        <v>46238.65758305555</v>
      </c>
      <c r="B41" s="7" t="n">
        <v>151.4020925127279</v>
      </c>
      <c r="C41" s="7" t="n">
        <v>151.8006487115247</v>
      </c>
      <c r="D41" s="7" t="n">
        <v>151.5264341074207</v>
      </c>
      <c r="E41" s="7" t="n">
        <v>151.8026574917907</v>
      </c>
      <c r="F41" s="7" t="n">
        <v>151.6756537817691</v>
      </c>
      <c r="G41" s="7" t="n">
        <v>151.5102861815209</v>
      </c>
      <c r="H41" s="7" t="n">
        <v>151.6979552217684</v>
      </c>
      <c r="I41" s="7" t="n">
        <v>151.8469452215504</v>
      </c>
      <c r="J41" s="7" t="n">
        <v>151.6179716933103</v>
      </c>
      <c r="K41" s="7" t="n">
        <v>151.7872372565162</v>
      </c>
      <c r="L41" s="7" t="n">
        <v>151.6959468863959</v>
      </c>
      <c r="M41" s="7" t="n">
        <v>151.8020061474711</v>
      </c>
      <c r="N41" s="7" t="n">
        <v>151.696183382858</v>
      </c>
      <c r="O41" s="8">
        <f>N41*$B$2/100</f>
        <v/>
      </c>
    </row>
    <row r="42">
      <c r="A42" s="6" t="n">
        <v>46238.6575947801</v>
      </c>
      <c r="B42" s="7" t="n">
        <v>151.8165980024379</v>
      </c>
      <c r="C42" s="7" t="n">
        <v>152.1425120700015</v>
      </c>
      <c r="D42" s="7" t="n">
        <v>151.5560182522336</v>
      </c>
      <c r="E42" s="7" t="n">
        <v>151.8005786827733</v>
      </c>
      <c r="F42" s="7" t="n">
        <v>152.093114493639</v>
      </c>
      <c r="G42" s="7" t="n">
        <v>151.9879696793334</v>
      </c>
      <c r="H42" s="7" t="n">
        <v>151.9233593419468</v>
      </c>
      <c r="I42" s="7" t="n">
        <v>152.101347402279</v>
      </c>
      <c r="J42" s="7" t="n">
        <v>151.5782968485976</v>
      </c>
      <c r="K42" s="7" t="n">
        <v>151.9180887496756</v>
      </c>
      <c r="L42" s="7" t="n">
        <v>151.9262967718956</v>
      </c>
      <c r="M42" s="7" t="n">
        <v>152.0218988574837</v>
      </c>
      <c r="N42" s="7" t="n">
        <v>151.8921404277725</v>
      </c>
      <c r="O42" s="8">
        <f>N42*$B$2/100</f>
        <v/>
      </c>
    </row>
    <row r="43">
      <c r="A43" s="6" t="n">
        <v>46238.65760652778</v>
      </c>
      <c r="B43" s="7" t="n">
        <v>151.7679667672175</v>
      </c>
      <c r="C43" s="7" t="n">
        <v>151.9670154291984</v>
      </c>
      <c r="D43" s="7" t="n">
        <v>151.7487872637503</v>
      </c>
      <c r="E43" s="7" t="n">
        <v>151.8839350045475</v>
      </c>
      <c r="F43" s="7" t="n">
        <v>151.5548465536577</v>
      </c>
      <c r="G43" s="7" t="n">
        <v>151.8102275680291</v>
      </c>
      <c r="H43" s="7" t="n">
        <v>151.8285234604488</v>
      </c>
      <c r="I43" s="7" t="n">
        <v>151.9986581299352</v>
      </c>
      <c r="J43" s="7" t="n">
        <v>151.6079795709016</v>
      </c>
      <c r="K43" s="7" t="n">
        <v>151.7605323418897</v>
      </c>
      <c r="L43" s="7" t="n">
        <v>151.6170888586649</v>
      </c>
      <c r="M43" s="7" t="n">
        <v>151.7969117482027</v>
      </c>
      <c r="N43" s="7" t="n">
        <v>151.7725626177713</v>
      </c>
      <c r="O43" s="8">
        <f>N43*$B$2/100</f>
        <v/>
      </c>
    </row>
    <row r="44">
      <c r="A44" s="6" t="n">
        <v>46238.65761825231</v>
      </c>
      <c r="B44" s="7" t="n">
        <v>151.8610145096428</v>
      </c>
      <c r="C44" s="7" t="n">
        <v>151.790989837946</v>
      </c>
      <c r="D44" s="7" t="n">
        <v>151.802718054137</v>
      </c>
      <c r="E44" s="7" t="n">
        <v>151.803355521371</v>
      </c>
      <c r="F44" s="7" t="n">
        <v>151.784612238789</v>
      </c>
      <c r="G44" s="7" t="n">
        <v>152.1974610665924</v>
      </c>
      <c r="H44" s="7" t="n">
        <v>151.6600114888196</v>
      </c>
      <c r="I44" s="7" t="n">
        <v>151.8257731681758</v>
      </c>
      <c r="J44" s="7" t="n">
        <v>151.6985485329656</v>
      </c>
      <c r="K44" s="7" t="n">
        <v>151.842990551376</v>
      </c>
      <c r="L44" s="7" t="n">
        <v>151.790049863354</v>
      </c>
      <c r="M44" s="7" t="n">
        <v>151.8846368488209</v>
      </c>
      <c r="N44" s="7" t="n">
        <v>151.8062909741843</v>
      </c>
      <c r="O44" s="8">
        <f>N44*$B$2/100</f>
        <v/>
      </c>
    </row>
    <row r="45">
      <c r="A45" s="6" t="n">
        <v>46238.65763</v>
      </c>
      <c r="B45" s="7" t="n">
        <v>152.4913100830807</v>
      </c>
      <c r="C45" s="7" t="n">
        <v>152.2013975197484</v>
      </c>
      <c r="D45" s="7" t="n">
        <v>152.1991114641281</v>
      </c>
      <c r="E45" s="7" t="n">
        <v>152.2082642526985</v>
      </c>
      <c r="F45" s="7" t="n">
        <v>151.8574715450208</v>
      </c>
      <c r="G45" s="7" t="n">
        <v>151.8470956347011</v>
      </c>
      <c r="H45" s="7" t="n">
        <v>152.3110978163326</v>
      </c>
      <c r="I45" s="7" t="n">
        <v>152.2644218096455</v>
      </c>
      <c r="J45" s="7" t="n">
        <v>152.1110330257638</v>
      </c>
      <c r="K45" s="7" t="n">
        <v>152.0605277955773</v>
      </c>
      <c r="L45" s="7" t="n">
        <v>152.1094071188407</v>
      </c>
      <c r="M45" s="7" t="n">
        <v>152.1796668563367</v>
      </c>
      <c r="N45" s="7" t="n">
        <v>152.1607201953436</v>
      </c>
      <c r="O45" s="8">
        <f>N45*$B$2/100</f>
        <v/>
      </c>
    </row>
    <row r="46">
      <c r="A46" s="6" t="n">
        <v>46238.65764175926</v>
      </c>
      <c r="B46" s="7" t="n">
        <v>151.6217125302648</v>
      </c>
      <c r="C46" s="7" t="n">
        <v>151.6556455952645</v>
      </c>
      <c r="D46" s="7" t="n">
        <v>151.6788122786397</v>
      </c>
      <c r="E46" s="7" t="n">
        <v>151.6832120595541</v>
      </c>
      <c r="F46" s="7" t="n">
        <v>151.5127981222402</v>
      </c>
      <c r="G46" s="7" t="n">
        <v>151.5647965204938</v>
      </c>
      <c r="H46" s="7" t="n">
        <v>151.5433802592011</v>
      </c>
      <c r="I46" s="7" t="n">
        <v>151.7100323242655</v>
      </c>
      <c r="J46" s="7" t="n">
        <v>151.6316075802025</v>
      </c>
      <c r="K46" s="7" t="n">
        <v>151.627316649551</v>
      </c>
      <c r="L46" s="7" t="n">
        <v>151.6671506742495</v>
      </c>
      <c r="M46" s="7" t="n">
        <v>151.7654034718975</v>
      </c>
      <c r="N46" s="7" t="n">
        <v>151.6444783755745</v>
      </c>
      <c r="O46" s="8">
        <f>N46*$B$2/100</f>
        <v/>
      </c>
    </row>
    <row r="47">
      <c r="A47" s="6" t="n">
        <v>46238.65765349537</v>
      </c>
      <c r="B47" s="7" t="n">
        <v>151.8053508278717</v>
      </c>
      <c r="C47" s="7" t="n">
        <v>151.8396725083184</v>
      </c>
      <c r="D47" s="7" t="n">
        <v>151.6720120057764</v>
      </c>
      <c r="E47" s="7" t="n">
        <v>151.8766471435576</v>
      </c>
      <c r="F47" s="7" t="n">
        <v>151.6433424449746</v>
      </c>
      <c r="G47" s="7" t="n">
        <v>151.8408829494511</v>
      </c>
      <c r="H47" s="7" t="n">
        <v>151.6650676451864</v>
      </c>
      <c r="I47" s="7" t="n">
        <v>151.9012923962902</v>
      </c>
      <c r="J47" s="7" t="n">
        <v>151.6343130107398</v>
      </c>
      <c r="K47" s="7" t="n">
        <v>151.7996177942393</v>
      </c>
      <c r="L47" s="7" t="n">
        <v>151.7507734118335</v>
      </c>
      <c r="M47" s="7" t="n">
        <v>151.9212882234819</v>
      </c>
      <c r="N47" s="7" t="n">
        <v>151.7769178841109</v>
      </c>
      <c r="O47" s="8">
        <f>N47*$B$2/100</f>
        <v/>
      </c>
    </row>
    <row r="48">
      <c r="A48" s="6" t="n">
        <v>46238.65766523148</v>
      </c>
      <c r="B48" s="7" t="n">
        <v>151.976664781824</v>
      </c>
      <c r="C48" s="7" t="n">
        <v>152.5433335177705</v>
      </c>
      <c r="D48" s="7" t="n">
        <v>151.9985987548874</v>
      </c>
      <c r="E48" s="7" t="n">
        <v>151.9577250397841</v>
      </c>
      <c r="F48" s="7" t="n">
        <v>151.2734909313117</v>
      </c>
      <c r="G48" s="7" t="n">
        <v>151.8636620875713</v>
      </c>
      <c r="H48" s="7" t="n">
        <v>152.0139080773679</v>
      </c>
      <c r="I48" s="7" t="n">
        <v>152.2535020387525</v>
      </c>
      <c r="J48" s="7" t="n">
        <v>151.9395378203513</v>
      </c>
      <c r="K48" s="7" t="n">
        <v>152.009373193233</v>
      </c>
      <c r="L48" s="7" t="n">
        <v>151.9608117386771</v>
      </c>
      <c r="M48" s="7" t="n">
        <v>152.118560143292</v>
      </c>
      <c r="N48" s="7" t="n">
        <v>151.9792319488929</v>
      </c>
      <c r="O48" s="8">
        <f>N48*$B$2/100</f>
        <v/>
      </c>
    </row>
    <row r="49">
      <c r="A49" s="6" t="n">
        <v>46238.65767695602</v>
      </c>
      <c r="B49" s="7" t="n">
        <v>151.9156229793933</v>
      </c>
      <c r="C49" s="7" t="n">
        <v>151.8626474449211</v>
      </c>
      <c r="D49" s="7" t="n">
        <v>151.8902688192493</v>
      </c>
      <c r="E49" s="7" t="n">
        <v>151.8149146631794</v>
      </c>
      <c r="F49" s="7" t="n">
        <v>151.5543089442741</v>
      </c>
      <c r="G49" s="7" t="n">
        <v>151.8199435179832</v>
      </c>
      <c r="H49" s="7" t="n">
        <v>151.8174469909146</v>
      </c>
      <c r="I49" s="7" t="n">
        <v>151.9598605037517</v>
      </c>
      <c r="J49" s="7" t="n">
        <v>151.5972000932866</v>
      </c>
      <c r="K49" s="7" t="n">
        <v>151.93509628573</v>
      </c>
      <c r="L49" s="7" t="n">
        <v>151.8755084229076</v>
      </c>
      <c r="M49" s="7" t="n">
        <v>152.1704119284321</v>
      </c>
      <c r="N49" s="7" t="n">
        <v>151.8408558234516</v>
      </c>
      <c r="O49" s="8">
        <f>N49*$B$2/100</f>
        <v/>
      </c>
    </row>
    <row r="50">
      <c r="A50" s="6" t="n">
        <v>46238.65768869213</v>
      </c>
      <c r="B50" s="7" t="n">
        <v>151.7701110850086</v>
      </c>
      <c r="C50" s="7" t="n">
        <v>151.6440183981465</v>
      </c>
      <c r="D50" s="7" t="n">
        <v>151.9406364462917</v>
      </c>
      <c r="E50" s="7" t="n">
        <v>151.9230152443775</v>
      </c>
      <c r="F50" s="7" t="n">
        <v>151.3129526177926</v>
      </c>
      <c r="G50" s="7" t="n">
        <v>151.778034306154</v>
      </c>
      <c r="H50" s="7" t="n">
        <v>151.9450641209387</v>
      </c>
      <c r="I50" s="7" t="n">
        <v>151.9350602466242</v>
      </c>
      <c r="J50" s="7" t="n">
        <v>151.8096418660891</v>
      </c>
      <c r="K50" s="7" t="n">
        <v>151.9643046807004</v>
      </c>
      <c r="L50" s="7" t="n">
        <v>151.7936843571779</v>
      </c>
      <c r="M50" s="7" t="n">
        <v>152.0538014969438</v>
      </c>
      <c r="N50" s="7" t="n">
        <v>151.8268565499794</v>
      </c>
      <c r="O50" s="8">
        <f>N50*$B$2/100</f>
        <v/>
      </c>
    </row>
    <row r="51">
      <c r="A51" s="6" t="n">
        <v>46238.65770038195</v>
      </c>
      <c r="B51" s="7" t="n">
        <v>150.1437847478063</v>
      </c>
      <c r="C51" s="7" t="n">
        <v>149.8684800109455</v>
      </c>
      <c r="D51" s="7" t="n">
        <v>150.0429609567793</v>
      </c>
      <c r="E51" s="7" t="n">
        <v>150.0919318135771</v>
      </c>
      <c r="F51" s="7" t="n">
        <v>149.2790246960693</v>
      </c>
      <c r="G51" s="7" t="n">
        <v>150.3166104381758</v>
      </c>
      <c r="H51" s="7" t="n">
        <v>150.0079053240286</v>
      </c>
      <c r="I51" s="7" t="n">
        <v>149.9786605448664</v>
      </c>
      <c r="J51" s="7" t="n">
        <v>149.6741448375824</v>
      </c>
      <c r="K51" s="7" t="n">
        <v>149.8118027776302</v>
      </c>
      <c r="L51" s="7" t="n">
        <v>149.8886419308273</v>
      </c>
      <c r="M51" s="7" t="n">
        <v>150.222664737183</v>
      </c>
      <c r="N51" s="7" t="n">
        <v>149.9662831141876</v>
      </c>
      <c r="O51" s="8">
        <f>N51*$B$2/100</f>
        <v/>
      </c>
    </row>
    <row r="52">
      <c r="A52" s="6" t="n">
        <v>46238.65771197917</v>
      </c>
      <c r="B52" s="7" t="n">
        <v>151.7471260854333</v>
      </c>
      <c r="C52" s="7" t="n">
        <v>151.8421592465444</v>
      </c>
      <c r="D52" s="7" t="n">
        <v>151.635048364488</v>
      </c>
      <c r="E52" s="7" t="n">
        <v>151.9577690857241</v>
      </c>
      <c r="F52" s="7" t="n">
        <v>151.8441795486986</v>
      </c>
      <c r="G52" s="7" t="n">
        <v>152.032183908046</v>
      </c>
      <c r="H52" s="7" t="n">
        <v>151.8944327707561</v>
      </c>
      <c r="I52" s="7" t="n">
        <v>151.9996760722788</v>
      </c>
      <c r="J52" s="7" t="n">
        <v>151.819326943671</v>
      </c>
      <c r="K52" s="7" t="n">
        <v>151.617120929842</v>
      </c>
      <c r="L52" s="7" t="n">
        <v>152.0186984178962</v>
      </c>
      <c r="M52" s="7" t="n">
        <v>152.0049441186234</v>
      </c>
      <c r="N52" s="7" t="n">
        <v>151.85170600999</v>
      </c>
      <c r="O52" s="8">
        <f>N52*$B$2/100</f>
        <v/>
      </c>
    </row>
    <row r="53">
      <c r="A53" s="6" t="n">
        <v>46238.65772371527</v>
      </c>
      <c r="B53" s="7" t="n">
        <v>151.8128948937743</v>
      </c>
      <c r="C53" s="7" t="n">
        <v>151.9766838004324</v>
      </c>
      <c r="D53" s="7" t="n">
        <v>151.6427601342909</v>
      </c>
      <c r="E53" s="7" t="n">
        <v>151.84225247317</v>
      </c>
      <c r="F53" s="7" t="n">
        <v>151.5815183869556</v>
      </c>
      <c r="G53" s="7" t="n">
        <v>151.8004977691444</v>
      </c>
      <c r="H53" s="7" t="n">
        <v>151.8604365365115</v>
      </c>
      <c r="I53" s="7" t="n">
        <v>151.9314068704462</v>
      </c>
      <c r="J53" s="7" t="n">
        <v>151.800226980189</v>
      </c>
      <c r="K53" s="7" t="n">
        <v>151.9071305905202</v>
      </c>
      <c r="L53" s="7" t="n">
        <v>151.9283000629235</v>
      </c>
      <c r="M53" s="7" t="n">
        <v>151.9475833018707</v>
      </c>
      <c r="N53" s="7" t="n">
        <v>151.8272467629891</v>
      </c>
      <c r="O53" s="8">
        <f>N53*$B$2/100</f>
        <v/>
      </c>
    </row>
    <row r="54">
      <c r="A54" s="6" t="n">
        <v>46238.65773547454</v>
      </c>
      <c r="B54" s="7" t="n">
        <v>151.7460222725608</v>
      </c>
      <c r="C54" s="7" t="n">
        <v>151.7864861692829</v>
      </c>
      <c r="D54" s="7" t="n">
        <v>151.7050743243005</v>
      </c>
      <c r="E54" s="7" t="n">
        <v>151.8082334676932</v>
      </c>
      <c r="F54" s="7" t="n">
        <v>151.7250558392668</v>
      </c>
      <c r="G54" s="7" t="n">
        <v>151.7918843362607</v>
      </c>
      <c r="H54" s="7" t="n">
        <v>151.7333152802738</v>
      </c>
      <c r="I54" s="7" t="n">
        <v>151.7961569275055</v>
      </c>
      <c r="J54" s="7" t="n">
        <v>151.651909979814</v>
      </c>
      <c r="K54" s="7" t="n">
        <v>151.8131632373401</v>
      </c>
      <c r="L54" s="7" t="n">
        <v>151.681134696677</v>
      </c>
      <c r="M54" s="7" t="n">
        <v>151.8090233888287</v>
      </c>
      <c r="N54" s="7" t="n">
        <v>151.7508624344488</v>
      </c>
      <c r="O54" s="8">
        <f>N54*$B$2/100</f>
        <v/>
      </c>
    </row>
    <row r="55">
      <c r="A55" s="6" t="n">
        <v>46238.65774709491</v>
      </c>
      <c r="B55" s="7" t="n">
        <v>151.7102437486679</v>
      </c>
      <c r="C55" s="7" t="n">
        <v>151.7999025677818</v>
      </c>
      <c r="D55" s="7" t="n">
        <v>151.7469326770322</v>
      </c>
      <c r="E55" s="7" t="n">
        <v>151.7991017763536</v>
      </c>
      <c r="F55" s="7" t="n">
        <v>151.7361644442475</v>
      </c>
      <c r="G55" s="7" t="n">
        <v>151.7958065357596</v>
      </c>
      <c r="H55" s="7" t="n">
        <v>151.6859371177885</v>
      </c>
      <c r="I55" s="7" t="n">
        <v>151.7910291967569</v>
      </c>
      <c r="J55" s="7" t="n">
        <v>151.7316047132258</v>
      </c>
      <c r="K55" s="7" t="n">
        <v>151.8301545808355</v>
      </c>
      <c r="L55" s="7" t="n">
        <v>151.6457191428444</v>
      </c>
      <c r="M55" s="7" t="n">
        <v>151.799663287525</v>
      </c>
      <c r="N55" s="7" t="n">
        <v>151.7590375419313</v>
      </c>
      <c r="O55" s="8">
        <f>N55*$B$2/100</f>
        <v/>
      </c>
    </row>
    <row r="56">
      <c r="A56" s="6" t="n">
        <v>46238.65775884259</v>
      </c>
      <c r="B56" s="7" t="n">
        <v>151.724029662354</v>
      </c>
      <c r="C56" s="7" t="n">
        <v>151.8154434807463</v>
      </c>
      <c r="D56" s="7" t="n">
        <v>151.7592660550459</v>
      </c>
      <c r="E56" s="7" t="n">
        <v>151.8084324859099</v>
      </c>
      <c r="F56" s="7" t="n">
        <v>151.6877707988667</v>
      </c>
      <c r="G56" s="7" t="n">
        <v>151.773589649405</v>
      </c>
      <c r="H56" s="7" t="n">
        <v>151.7067119434343</v>
      </c>
      <c r="I56" s="7" t="n">
        <v>151.7694079962077</v>
      </c>
      <c r="J56" s="7" t="n">
        <v>151.7532007066967</v>
      </c>
      <c r="K56" s="7" t="n">
        <v>151.8111736276036</v>
      </c>
      <c r="L56" s="7" t="n">
        <v>151.6761304132465</v>
      </c>
      <c r="M56" s="7" t="n">
        <v>151.8087830240445</v>
      </c>
      <c r="N56" s="7" t="n">
        <v>151.7629355971651</v>
      </c>
      <c r="O56" s="8">
        <f>N56*$B$2/100</f>
        <v/>
      </c>
    </row>
    <row r="57">
      <c r="A57" s="6" t="n">
        <v>46238.65777054398</v>
      </c>
      <c r="B57" s="7" t="n">
        <v>151.6876676032864</v>
      </c>
      <c r="C57" s="7" t="n">
        <v>151.800201497043</v>
      </c>
      <c r="D57" s="7" t="n">
        <v>151.6950271833122</v>
      </c>
      <c r="E57" s="7" t="n">
        <v>151.7814147675479</v>
      </c>
      <c r="F57" s="7" t="n">
        <v>151.7592368630594</v>
      </c>
      <c r="G57" s="7" t="n">
        <v>151.7911798916829</v>
      </c>
      <c r="H57" s="7" t="n">
        <v>151.7336248527628</v>
      </c>
      <c r="I57" s="7" t="n">
        <v>151.8065842311026</v>
      </c>
      <c r="J57" s="7" t="n">
        <v>151.6695882827817</v>
      </c>
      <c r="K57" s="7" t="n">
        <v>151.8023033916581</v>
      </c>
      <c r="L57" s="7" t="n">
        <v>151.6788985751346</v>
      </c>
      <c r="M57" s="7" t="n">
        <v>151.8296268652497</v>
      </c>
      <c r="N57" s="7" t="n">
        <v>151.7476993246332</v>
      </c>
      <c r="O57" s="8">
        <f>N57*$B$2/100</f>
        <v/>
      </c>
    </row>
    <row r="58">
      <c r="A58" s="6" t="n">
        <v>46238.6577821875</v>
      </c>
      <c r="B58" s="7" t="n">
        <v>151.7085423459577</v>
      </c>
      <c r="C58" s="7" t="n">
        <v>151.7660291613531</v>
      </c>
      <c r="D58" s="7" t="n">
        <v>151.7259285286599</v>
      </c>
      <c r="E58" s="7" t="n">
        <v>151.80360638339</v>
      </c>
      <c r="F58" s="7" t="n">
        <v>151.7538538876992</v>
      </c>
      <c r="G58" s="7" t="n">
        <v>151.805162942683</v>
      </c>
      <c r="H58" s="7" t="n">
        <v>151.7060868787987</v>
      </c>
      <c r="I58" s="7" t="n">
        <v>151.796436647412</v>
      </c>
      <c r="J58" s="7" t="n">
        <v>151.5959639392769</v>
      </c>
      <c r="K58" s="7" t="n">
        <v>151.8071664593482</v>
      </c>
      <c r="L58" s="7" t="n">
        <v>151.7036887352037</v>
      </c>
      <c r="M58" s="7" t="n">
        <v>151.8029016463177</v>
      </c>
      <c r="N58" s="7" t="n">
        <v>151.7477890118856</v>
      </c>
      <c r="O58" s="8">
        <f>N58*$B$2/100</f>
        <v/>
      </c>
    </row>
    <row r="59">
      <c r="A59" s="6" t="n">
        <v>46238.65779388889</v>
      </c>
      <c r="B59" s="7" t="n">
        <v>151.7230873332046</v>
      </c>
      <c r="C59" s="7" t="n">
        <v>151.7948080425505</v>
      </c>
      <c r="D59" s="7" t="n">
        <v>151.7158804689755</v>
      </c>
      <c r="E59" s="7" t="n">
        <v>151.7715855769059</v>
      </c>
      <c r="F59" s="7" t="n">
        <v>151.7328119540782</v>
      </c>
      <c r="G59" s="7" t="n">
        <v>151.8107316398898</v>
      </c>
      <c r="H59" s="7" t="n">
        <v>151.6613294534939</v>
      </c>
      <c r="I59" s="7" t="n">
        <v>151.7874049305591</v>
      </c>
      <c r="J59" s="7" t="n">
        <v>151.6663139515433</v>
      </c>
      <c r="K59" s="7" t="n">
        <v>151.7869715268681</v>
      </c>
      <c r="L59" s="7" t="n">
        <v>151.6774800541924</v>
      </c>
      <c r="M59" s="7" t="n">
        <v>151.833169953792</v>
      </c>
      <c r="N59" s="7" t="n">
        <v>151.7469885557959</v>
      </c>
      <c r="O59" s="8">
        <f>N59*$B$2/100</f>
        <v/>
      </c>
    </row>
    <row r="60">
      <c r="A60" s="6" t="n">
        <v>46238.657805625</v>
      </c>
      <c r="B60" s="7" t="n">
        <v>151.710547243944</v>
      </c>
      <c r="C60" s="7" t="n">
        <v>151.7864021509174</v>
      </c>
      <c r="D60" s="7" t="n">
        <v>151.7092411452052</v>
      </c>
      <c r="E60" s="7" t="n">
        <v>151.7712622643825</v>
      </c>
      <c r="F60" s="7" t="n">
        <v>151.7414881858864</v>
      </c>
      <c r="G60" s="7" t="n">
        <v>151.7919831595539</v>
      </c>
      <c r="H60" s="7" t="n">
        <v>151.6981499600388</v>
      </c>
      <c r="I60" s="7" t="n">
        <v>151.7837567128321</v>
      </c>
      <c r="J60" s="7" t="n">
        <v>151.746952317587</v>
      </c>
      <c r="K60" s="7" t="n">
        <v>151.8004280191211</v>
      </c>
      <c r="L60" s="7" t="n">
        <v>151.6982266404048</v>
      </c>
      <c r="M60" s="7" t="n">
        <v>151.8330308074213</v>
      </c>
      <c r="N60" s="7" t="n">
        <v>151.7558896565464</v>
      </c>
      <c r="O60" s="8">
        <f>N60*$B$2/100</f>
        <v/>
      </c>
    </row>
    <row r="61">
      <c r="A61" s="6" t="n">
        <v>46238.65781730324</v>
      </c>
      <c r="B61" s="7" t="n">
        <v>151.7110402978929</v>
      </c>
      <c r="C61" s="7" t="n">
        <v>151.8379200237761</v>
      </c>
      <c r="D61" s="7" t="n">
        <v>151.7783291124596</v>
      </c>
      <c r="E61" s="7" t="n">
        <v>151.8095744187684</v>
      </c>
      <c r="F61" s="7" t="n">
        <v>151.7804757160011</v>
      </c>
      <c r="G61" s="7" t="n">
        <v>151.8083450868061</v>
      </c>
      <c r="H61" s="7" t="n">
        <v>151.6570947505635</v>
      </c>
      <c r="I61" s="7" t="n">
        <v>151.8066337766959</v>
      </c>
      <c r="J61" s="7" t="n">
        <v>151.6932416542668</v>
      </c>
      <c r="K61" s="7" t="n">
        <v>151.8214388713442</v>
      </c>
      <c r="L61" s="7" t="n">
        <v>151.6707598749685</v>
      </c>
      <c r="M61" s="7" t="n">
        <v>151.8154826714318</v>
      </c>
      <c r="N61" s="7" t="n">
        <v>151.7654871598177</v>
      </c>
      <c r="O61" s="8">
        <f>N61*$B$2/100</f>
        <v/>
      </c>
    </row>
    <row r="62">
      <c r="A62" s="6" t="n">
        <v>46238.65782895833</v>
      </c>
      <c r="B62" s="7" t="n">
        <v>151.6777109648592</v>
      </c>
      <c r="C62" s="7" t="n">
        <v>151.8055437465972</v>
      </c>
      <c r="D62" s="7" t="n">
        <v>151.7249794847721</v>
      </c>
      <c r="E62" s="7" t="n">
        <v>151.778988109704</v>
      </c>
      <c r="F62" s="7" t="n">
        <v>151.7000973862506</v>
      </c>
      <c r="G62" s="7" t="n">
        <v>151.7732734896186</v>
      </c>
      <c r="H62" s="7" t="n">
        <v>151.6943134277369</v>
      </c>
      <c r="I62" s="7" t="n">
        <v>151.7421178299937</v>
      </c>
      <c r="J62" s="7" t="n">
        <v>151.6848284155294</v>
      </c>
      <c r="K62" s="7" t="n">
        <v>151.8118030039322</v>
      </c>
      <c r="L62" s="7" t="n">
        <v>151.679953444629</v>
      </c>
      <c r="M62" s="7" t="n">
        <v>151.8235188542422</v>
      </c>
      <c r="N62" s="7" t="n">
        <v>151.750309096684</v>
      </c>
      <c r="O62" s="8">
        <f>N62*$B$2/100</f>
        <v/>
      </c>
    </row>
    <row r="63">
      <c r="A63" s="6" t="n">
        <v>46238.65784056713</v>
      </c>
      <c r="B63" s="7" t="n">
        <v>149.7167003636453</v>
      </c>
      <c r="C63" s="7" t="n">
        <v>149.7570253302328</v>
      </c>
      <c r="D63" s="7" t="n">
        <v>149.6693113508166</v>
      </c>
      <c r="E63" s="7" t="n">
        <v>149.6596039888655</v>
      </c>
      <c r="F63" s="7" t="n">
        <v>149.7328966055958</v>
      </c>
      <c r="G63" s="7" t="n">
        <v>149.7247458979429</v>
      </c>
      <c r="H63" s="7" t="n">
        <v>149.5518979823251</v>
      </c>
      <c r="I63" s="7" t="n">
        <v>149.6441037836001</v>
      </c>
      <c r="J63" s="7" t="n">
        <v>149.4867117350494</v>
      </c>
      <c r="K63" s="7" t="n">
        <v>149.7231590909506</v>
      </c>
      <c r="L63" s="7" t="n">
        <v>149.6060925626887</v>
      </c>
      <c r="M63" s="7" t="n">
        <v>149.7101374987635</v>
      </c>
      <c r="N63" s="7" t="n">
        <v>149.66022746131</v>
      </c>
      <c r="O63" s="8">
        <f>N63*$B$2/100</f>
        <v/>
      </c>
    </row>
    <row r="64">
      <c r="A64" s="6" t="n">
        <v>46238.65785222222</v>
      </c>
      <c r="B64" s="7" t="n">
        <v>154.3223411903334</v>
      </c>
      <c r="C64" s="7" t="n">
        <v>153.2383701641812</v>
      </c>
      <c r="D64" s="7" t="n">
        <v>151.6013638052677</v>
      </c>
      <c r="E64" s="7" t="n">
        <v>151.5691864181529</v>
      </c>
      <c r="F64" s="7" t="n">
        <v>150.6698795870602</v>
      </c>
      <c r="G64" s="7" t="n">
        <v>151.8222632482188</v>
      </c>
      <c r="H64" s="7" t="n">
        <v>151.2977581488127</v>
      </c>
      <c r="I64" s="7" t="n">
        <v>151.5575277489931</v>
      </c>
      <c r="J64" s="7" t="n">
        <v>151.3522740167038</v>
      </c>
      <c r="K64" s="7" t="n">
        <v>151.6165391267886</v>
      </c>
      <c r="L64" s="7" t="n">
        <v>151.2349070295818</v>
      </c>
      <c r="M64" s="7" t="n">
        <v>151.5554351416666</v>
      </c>
      <c r="N64" s="7" t="n">
        <v>151.9035871429637</v>
      </c>
      <c r="O64" s="8">
        <f>N64*$B$2/100</f>
        <v/>
      </c>
    </row>
    <row r="65">
      <c r="A65" s="6" t="n">
        <v>46238.65786395833</v>
      </c>
      <c r="B65" s="7" t="n">
        <v>145.8424619698687</v>
      </c>
      <c r="C65" s="7" t="n">
        <v>143.7874973498025</v>
      </c>
      <c r="D65" s="7" t="n">
        <v>144.4003408297665</v>
      </c>
      <c r="E65" s="7" t="n">
        <v>145.0075659666779</v>
      </c>
      <c r="F65" s="7" t="n">
        <v>144.5582376484315</v>
      </c>
      <c r="G65" s="7" t="n">
        <v>144.77172963878</v>
      </c>
      <c r="H65" s="7" t="n">
        <v>144.7728769690116</v>
      </c>
      <c r="I65" s="7" t="n">
        <v>144.801538129545</v>
      </c>
      <c r="J65" s="7" t="n">
        <v>145.1022344402578</v>
      </c>
      <c r="K65" s="7" t="n">
        <v>144.2201127902582</v>
      </c>
      <c r="L65" s="7" t="n">
        <v>144.7647378450182</v>
      </c>
      <c r="M65" s="7" t="n">
        <v>145.0407850144963</v>
      </c>
      <c r="N65" s="7" t="n">
        <v>144.7498514025362</v>
      </c>
      <c r="O65" s="8">
        <f>N65*$B$2/100</f>
        <v/>
      </c>
    </row>
    <row r="66">
      <c r="A66" s="6" t="n">
        <v>46238.65787569444</v>
      </c>
      <c r="B66" s="7" t="n">
        <v>136.4071559230263</v>
      </c>
      <c r="C66" s="7" t="n">
        <v>156.286545586043</v>
      </c>
      <c r="D66" s="7" t="n">
        <v>140.583594671216</v>
      </c>
      <c r="E66" s="7" t="n">
        <v>135.0158545717458</v>
      </c>
      <c r="F66" s="7" t="n">
        <v>151.9612988257848</v>
      </c>
      <c r="G66" s="7" t="n">
        <v>158.4476632666877</v>
      </c>
      <c r="H66" s="7" t="n">
        <v>148.187442366349</v>
      </c>
      <c r="I66" s="7" t="n">
        <v>140.2293743634063</v>
      </c>
      <c r="J66" s="7" t="n">
        <v>145.2833696540452</v>
      </c>
      <c r="K66" s="7" t="n">
        <v>134.4419599664595</v>
      </c>
      <c r="L66" s="7" t="n">
        <v>125.8576944886993</v>
      </c>
      <c r="M66" s="7" t="n">
        <v>140.9674936228809</v>
      </c>
      <c r="N66" s="7" t="n">
        <v>148.2047761781823</v>
      </c>
      <c r="O66" s="8">
        <f>N66*$B$2/100</f>
        <v/>
      </c>
    </row>
    <row r="67">
      <c r="A67" s="6" t="n">
        <v>46238.65788741898</v>
      </c>
      <c r="B67" s="7" t="n">
        <v>152.6300802674931</v>
      </c>
      <c r="C67" s="7" t="n">
        <v>150.3037512789852</v>
      </c>
      <c r="D67" s="7" t="n">
        <v>113.1753604193971</v>
      </c>
      <c r="E67" s="7" t="n">
        <v>155.6362451388342</v>
      </c>
      <c r="F67" s="7" t="n">
        <v>111.6262475977931</v>
      </c>
      <c r="G67" s="7" t="n">
        <v>88.33399155658451</v>
      </c>
      <c r="H67" s="7" t="n">
        <v>134.6423431952663</v>
      </c>
      <c r="I67" s="7" t="n">
        <v>76.38900379179593</v>
      </c>
      <c r="J67" s="7" t="n">
        <v>126.8973518470775</v>
      </c>
      <c r="K67" s="7" t="n">
        <v>95.10292550041454</v>
      </c>
      <c r="L67" s="7" t="n">
        <v>124.4734967997836</v>
      </c>
      <c r="M67" s="7" t="n">
        <v>72.07490337198453</v>
      </c>
      <c r="N67" s="7" t="n">
        <v>140.5428280018544</v>
      </c>
      <c r="O67" s="8">
        <f>N67*$B$2/100</f>
        <v/>
      </c>
    </row>
    <row r="68">
      <c r="A68" s="6" t="n">
        <v>46238.65789909722</v>
      </c>
      <c r="B68" s="7" t="n">
        <v>151.4951806314511</v>
      </c>
      <c r="C68" s="7" t="n">
        <v>136.1385790547285</v>
      </c>
      <c r="D68" s="7" t="n">
        <v>139.3880008687154</v>
      </c>
      <c r="E68" s="7" t="n">
        <v>160.4593359194857</v>
      </c>
      <c r="F68" s="7" t="n">
        <v>109.6016419981499</v>
      </c>
      <c r="G68" s="7" t="n">
        <v>106.7410731519012</v>
      </c>
      <c r="H68" s="7" t="n">
        <v>137.8158165137615</v>
      </c>
      <c r="I68" s="7" t="n">
        <v>80.00941993058998</v>
      </c>
      <c r="J68" s="7" t="n">
        <v>137.964948082348</v>
      </c>
      <c r="K68" s="7" t="n">
        <v>138.1983293387847</v>
      </c>
      <c r="L68" s="7" t="n">
        <v>133.413360904794</v>
      </c>
      <c r="M68" s="7" t="n">
        <v>104.6228460654796</v>
      </c>
      <c r="N68" s="7" t="n">
        <v>143.8682349519152</v>
      </c>
      <c r="O68" s="8">
        <f>N68*$B$2/100</f>
        <v/>
      </c>
    </row>
    <row r="69">
      <c r="A69" s="6" t="n">
        <v>46238.65791076389</v>
      </c>
      <c r="B69" s="7" t="n">
        <v>113.0178754997144</v>
      </c>
      <c r="C69" s="7" t="n">
        <v>153.5440563218585</v>
      </c>
      <c r="D69" s="7" t="n">
        <v>125.3405013058373</v>
      </c>
      <c r="E69" s="7" t="n">
        <v>100.4546255506608</v>
      </c>
      <c r="F69" s="7" t="n">
        <v>140.9811833746097</v>
      </c>
      <c r="G69" s="7" t="n">
        <v>156.5632902858952</v>
      </c>
      <c r="H69" s="7" t="n">
        <v>145.77293757948</v>
      </c>
      <c r="I69" s="7" t="n">
        <v>98.40964405232735</v>
      </c>
      <c r="J69" s="7" t="n">
        <v>132.5712499687445</v>
      </c>
      <c r="K69" s="7" t="n">
        <v>126.9349478047283</v>
      </c>
      <c r="L69" s="7" t="n">
        <v>119.0051682388232</v>
      </c>
      <c r="M69" s="7" t="n">
        <v>89.02450254892287</v>
      </c>
      <c r="N69" s="7" t="n">
        <v>142.535449880528</v>
      </c>
      <c r="O69" s="8">
        <f>N69*$B$2/100</f>
        <v/>
      </c>
    </row>
    <row r="70">
      <c r="A70" s="6" t="n">
        <v>46238.65792245371</v>
      </c>
      <c r="B70" s="7" t="n">
        <v>148.5197499853105</v>
      </c>
      <c r="C70" s="7" t="n">
        <v>140.2020092062702</v>
      </c>
      <c r="D70" s="7" t="n">
        <v>157.8576918906023</v>
      </c>
      <c r="E70" s="7" t="n">
        <v>129.6466510662723</v>
      </c>
      <c r="F70" s="7" t="n">
        <v>143.8102261356814</v>
      </c>
      <c r="G70" s="7" t="n">
        <v>118.9755417292427</v>
      </c>
      <c r="H70" s="7" t="n">
        <v>146.7194983601823</v>
      </c>
      <c r="I70" s="7" t="n">
        <v>97.40946882217091</v>
      </c>
      <c r="J70" s="7" t="n">
        <v>122.0065895293935</v>
      </c>
      <c r="K70" s="7" t="n">
        <v>127.2587701898555</v>
      </c>
      <c r="L70" s="7" t="n">
        <v>103.3590609791011</v>
      </c>
      <c r="M70" s="7" t="n">
        <v>84.17267628205128</v>
      </c>
      <c r="N70" s="7" t="n">
        <v>143.6994433814577</v>
      </c>
      <c r="O70" s="8">
        <f>N70*$B$2/100</f>
        <v/>
      </c>
    </row>
    <row r="71">
      <c r="A71" s="6" t="n">
        <v>46238.65793414352</v>
      </c>
      <c r="B71" s="7" t="n">
        <v>116.4004574009206</v>
      </c>
      <c r="C71" s="7" t="n">
        <v>100.2325931501694</v>
      </c>
      <c r="D71" s="7" t="n">
        <v>157.5631446290043</v>
      </c>
      <c r="E71" s="7" t="n">
        <v>142.5369728186037</v>
      </c>
      <c r="F71" s="7" t="n">
        <v>120.3936181205696</v>
      </c>
      <c r="G71" s="7" t="n">
        <v>100.623184908089</v>
      </c>
      <c r="H71" s="7" t="n">
        <v>144.143083084245</v>
      </c>
      <c r="I71" s="7" t="n">
        <v>108.686171237716</v>
      </c>
      <c r="J71" s="7" t="n">
        <v>127.4995162850693</v>
      </c>
      <c r="K71" s="7" t="n">
        <v>111.2148283196597</v>
      </c>
      <c r="L71" s="7" t="n">
        <v>118.3224193646729</v>
      </c>
      <c r="M71" s="7" t="n">
        <v>94.55111274150158</v>
      </c>
      <c r="N71" s="7" t="n">
        <v>137.8105150999507</v>
      </c>
      <c r="O71" s="8">
        <f>N71*$B$2/100</f>
        <v/>
      </c>
    </row>
    <row r="72">
      <c r="A72" s="6" t="n">
        <v>46238.65794584491</v>
      </c>
      <c r="B72" s="7" t="n">
        <v>125.5679185115511</v>
      </c>
      <c r="C72" s="7" t="n">
        <v>155.8585622941291</v>
      </c>
      <c r="D72" s="7" t="n">
        <v>141.3178532926403</v>
      </c>
      <c r="E72" s="7" t="n">
        <v>145.0990179830311</v>
      </c>
      <c r="F72" s="7" t="n">
        <v>123.6118368077302</v>
      </c>
      <c r="G72" s="7" t="n">
        <v>157.2571864111498</v>
      </c>
      <c r="H72" s="7" t="n">
        <v>150.6288058221395</v>
      </c>
      <c r="I72" s="7" t="n">
        <v>119.1129997204361</v>
      </c>
      <c r="J72" s="7" t="n">
        <v>136.5979441960383</v>
      </c>
      <c r="K72" s="7" t="n">
        <v>138.116694772344</v>
      </c>
      <c r="L72" s="7" t="n">
        <v>108.2412061961225</v>
      </c>
      <c r="M72" s="7" t="n">
        <v>87.92371743217835</v>
      </c>
      <c r="N72" s="7" t="n">
        <v>144.9961435657389</v>
      </c>
      <c r="O72" s="8">
        <f>N72*$B$2/100</f>
        <v/>
      </c>
    </row>
    <row r="73">
      <c r="A73" s="6" t="n">
        <v>46238.6579575</v>
      </c>
      <c r="B73" s="7" t="n">
        <v>125.7828024737958</v>
      </c>
      <c r="C73" s="7" t="n">
        <v>160.0671418270564</v>
      </c>
      <c r="D73" s="7" t="n">
        <v>151.1489200675322</v>
      </c>
      <c r="E73" s="7" t="n">
        <v>119.1265184270126</v>
      </c>
      <c r="F73" s="7" t="n">
        <v>134.1828192562698</v>
      </c>
      <c r="G73" s="7" t="n">
        <v>104.8511948699022</v>
      </c>
      <c r="H73" s="7" t="n">
        <v>144.8874791677867</v>
      </c>
      <c r="I73" s="7" t="n">
        <v>88.42097334878332</v>
      </c>
      <c r="J73" s="7" t="n">
        <v>125.6061955902693</v>
      </c>
      <c r="K73" s="7" t="n">
        <v>111.9611388476589</v>
      </c>
      <c r="L73" s="7" t="n">
        <v>124.1618828932262</v>
      </c>
      <c r="M73" s="7" t="n">
        <v>84.20177725118484</v>
      </c>
      <c r="N73" s="7" t="n">
        <v>140.3104518574182</v>
      </c>
      <c r="O73" s="8">
        <f>N73*$B$2/100</f>
        <v/>
      </c>
    </row>
    <row r="74">
      <c r="A74" s="6" t="n">
        <v>46238.65796917824</v>
      </c>
      <c r="B74" s="7" t="n">
        <v>152.1746443092023</v>
      </c>
      <c r="C74" s="7" t="n">
        <v>137.1638507732039</v>
      </c>
      <c r="D74" s="7" t="n">
        <v>154.6103025515615</v>
      </c>
      <c r="E74" s="7" t="n">
        <v>126.7100613347415</v>
      </c>
      <c r="F74" s="7" t="n">
        <v>141.4927779121601</v>
      </c>
      <c r="G74" s="7" t="n">
        <v>129.6117578353124</v>
      </c>
      <c r="H74" s="7" t="n">
        <v>138.6399529042386</v>
      </c>
      <c r="I74" s="7" t="n">
        <v>84.64537913822213</v>
      </c>
      <c r="J74" s="7" t="n">
        <v>125.9037931034483</v>
      </c>
      <c r="K74" s="7" t="n">
        <v>90.40773910104765</v>
      </c>
      <c r="L74" s="7" t="n">
        <v>125.2956235603817</v>
      </c>
      <c r="M74" s="7" t="n">
        <v>72.95877638677911</v>
      </c>
      <c r="N74" s="7" t="n">
        <v>141.0300599884954</v>
      </c>
      <c r="O74" s="8">
        <f>N74*$B$2/100</f>
        <v/>
      </c>
    </row>
    <row r="75">
      <c r="A75" s="6" t="n">
        <v>46238.65798089121</v>
      </c>
      <c r="B75" s="7" t="n">
        <v>148.5991639273975</v>
      </c>
      <c r="C75" s="7" t="n">
        <v>145.0347056415854</v>
      </c>
      <c r="D75" s="7" t="n">
        <v>120.4717560683248</v>
      </c>
      <c r="E75" s="7" t="n">
        <v>105.5986222409672</v>
      </c>
      <c r="F75" s="7" t="n">
        <v>134.2293074792244</v>
      </c>
      <c r="G75" s="7" t="n">
        <v>154.5194567524679</v>
      </c>
      <c r="H75" s="7" t="n">
        <v>138.1288008978361</v>
      </c>
      <c r="I75" s="7" t="n">
        <v>114.8640550663023</v>
      </c>
      <c r="J75" s="7" t="n">
        <v>146.3629296235679</v>
      </c>
      <c r="K75" s="7" t="n">
        <v>112.8568741182003</v>
      </c>
      <c r="L75" s="7" t="n">
        <v>125.9777449361036</v>
      </c>
      <c r="M75" s="7" t="n">
        <v>121.5606415158952</v>
      </c>
      <c r="N75" s="7" t="n">
        <v>142.5479610637361</v>
      </c>
      <c r="O75" s="8">
        <f>N75*$B$2/100</f>
        <v/>
      </c>
    </row>
    <row r="76">
      <c r="A76" s="6" t="n">
        <v>46238.65799261574</v>
      </c>
      <c r="B76" s="7" t="n">
        <v>147.8620758948308</v>
      </c>
      <c r="C76" s="7" t="n">
        <v>159.7943472900781</v>
      </c>
      <c r="D76" s="7" t="n">
        <v>157.0013530059123</v>
      </c>
      <c r="E76" s="7" t="n">
        <v>143.8414450372663</v>
      </c>
      <c r="F76" s="7" t="n">
        <v>148.8559017864426</v>
      </c>
      <c r="G76" s="7" t="n">
        <v>145.1946101329501</v>
      </c>
      <c r="H76" s="7" t="n">
        <v>150.5026233174214</v>
      </c>
      <c r="I76" s="7" t="n">
        <v>134.9283620276105</v>
      </c>
      <c r="J76" s="7" t="n">
        <v>134.5420206508953</v>
      </c>
      <c r="K76" s="7" t="n">
        <v>140.4960948353039</v>
      </c>
      <c r="L76" s="7" t="n">
        <v>144.3454024650305</v>
      </c>
      <c r="M76" s="7" t="n">
        <v>148.017700198301</v>
      </c>
      <c r="N76" s="7" t="n">
        <v>150.600014349261</v>
      </c>
      <c r="O76" s="8">
        <f>N76*$B$2/100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46238.65719691469</v>
      </c>
      <c r="C6" s="10" t="n">
        <v>46238.6575201406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정리'!$A$6:$A$76,"&gt;="&amp;B6,'클럭 정리'!$A$6:$A$76,"&lt;="&amp;C6)</f>
        <v/>
      </c>
      <c r="G6" s="14">
        <f>AVERAGEIFS('클럭 정리'!$N$6:$N$76,'클럭 정리'!$A$6:$A$76,"&gt;="&amp;B6,'클럭 정리'!$A$6:$A$76,"&lt;="&amp;C6)</f>
        <v/>
      </c>
      <c r="H6" s="15">
        <f>G6*'클럭 정리'!$B$2/100</f>
        <v/>
      </c>
    </row>
    <row r="7">
      <c r="A7" s="9" t="inlineStr">
        <is>
          <t>병렬도 6 분할 36 전체</t>
        </is>
      </c>
      <c r="B7" s="10" t="n">
        <v>46238.65752015218</v>
      </c>
      <c r="C7" s="10" t="n">
        <v>46238.6577155417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정리'!$A$6:$A$76,"&gt;="&amp;B7,'클럭 정리'!$A$6:$A$76,"&lt;="&amp;C7)</f>
        <v/>
      </c>
      <c r="G7" s="14">
        <f>AVERAGEIFS('클럭 정리'!$N$6:$N$76,'클럭 정리'!$A$6:$A$76,"&gt;="&amp;B7,'클럭 정리'!$A$6:$A$76,"&lt;="&amp;C7)</f>
        <v/>
      </c>
      <c r="H7" s="15">
        <f>G7*'클럭 정리'!$B$2/100</f>
        <v/>
      </c>
    </row>
    <row r="8">
      <c r="A8" s="13" t="inlineStr">
        <is>
          <t>병렬도 6 분할 36 워밍업</t>
        </is>
      </c>
      <c r="B8" s="10" t="n">
        <v>46238.65752015218</v>
      </c>
      <c r="C8" s="10" t="n">
        <v>46238.65756828704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정리'!$A$6:$A$76,"&gt;="&amp;B8,'클럭 정리'!$A$6:$A$76,"&lt;="&amp;C8)</f>
        <v/>
      </c>
      <c r="G8" s="14">
        <f>AVERAGEIFS('클럭 정리'!$N$6:$N$76,'클럭 정리'!$A$6:$A$76,"&gt;="&amp;B8,'클럭 정리'!$A$6:$A$76,"&lt;="&amp;C8)</f>
        <v/>
      </c>
      <c r="H8" s="15">
        <f>G8*'클럭 정리'!$B$2/100</f>
        <v/>
      </c>
    </row>
    <row r="9">
      <c r="A9" s="13" t="inlineStr">
        <is>
          <t>병렬도 6 분할 36 측정 1회차</t>
        </is>
      </c>
      <c r="B9" s="10" t="n">
        <v>46238.65756828704</v>
      </c>
      <c r="C9" s="10" t="n">
        <v>46238.65759218509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정리'!$A$6:$A$76,"&gt;="&amp;B9,'클럭 정리'!$A$6:$A$76,"&lt;="&amp;C9)</f>
        <v/>
      </c>
      <c r="G9" s="14">
        <f>AVERAGEIFS('클럭 정리'!$N$6:$N$76,'클럭 정리'!$A$6:$A$76,"&gt;="&amp;B9,'클럭 정리'!$A$6:$A$76,"&lt;="&amp;C9)</f>
        <v/>
      </c>
      <c r="H9" s="15">
        <f>G9*'클럭 정리'!$B$2/100</f>
        <v/>
      </c>
    </row>
    <row r="10">
      <c r="A10" s="13" t="inlineStr">
        <is>
          <t>병렬도 6 분할 36 측정 2회차</t>
        </is>
      </c>
      <c r="B10" s="10" t="n">
        <v>46238.65759219907</v>
      </c>
      <c r="C10" s="10" t="n">
        <v>46238.65761630151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정리'!$A$6:$A$76,"&gt;="&amp;B10,'클럭 정리'!$A$6:$A$76,"&lt;="&amp;C10)</f>
        <v/>
      </c>
      <c r="G10" s="14">
        <f>AVERAGEIFS('클럭 정리'!$N$6:$N$76,'클럭 정리'!$A$6:$A$76,"&gt;="&amp;B10,'클럭 정리'!$A$6:$A$76,"&lt;="&amp;C10)</f>
        <v/>
      </c>
      <c r="H10" s="15">
        <f>G10*'클럭 정리'!$B$2/100</f>
        <v/>
      </c>
    </row>
    <row r="11">
      <c r="A11" s="13" t="inlineStr">
        <is>
          <t>병렬도 6 분할 36 측정 3회차</t>
        </is>
      </c>
      <c r="B11" s="10" t="n">
        <v>46238.65761630787</v>
      </c>
      <c r="C11" s="10" t="n">
        <v>46238.65764095708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정리'!$A$6:$A$76,"&gt;="&amp;B11,'클럭 정리'!$A$6:$A$76,"&lt;="&amp;C11)</f>
        <v/>
      </c>
      <c r="G11" s="14">
        <f>AVERAGEIFS('클럭 정리'!$N$6:$N$76,'클럭 정리'!$A$6:$A$76,"&gt;="&amp;B11,'클럭 정리'!$A$6:$A$76,"&lt;="&amp;C11)</f>
        <v/>
      </c>
      <c r="H11" s="15">
        <f>G11*'클럭 정리'!$B$2/100</f>
        <v/>
      </c>
    </row>
    <row r="12">
      <c r="A12" s="13" t="inlineStr">
        <is>
          <t>병렬도 6 분할 36 측정 4회차</t>
        </is>
      </c>
      <c r="B12" s="10" t="n">
        <v>46238.65764097223</v>
      </c>
      <c r="C12" s="10" t="n">
        <v>46238.65766506183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정리'!$A$6:$A$76,"&gt;="&amp;B12,'클럭 정리'!$A$6:$A$76,"&lt;="&amp;C12)</f>
        <v/>
      </c>
      <c r="G12" s="14">
        <f>AVERAGEIFS('클럭 정리'!$N$6:$N$76,'클럭 정리'!$A$6:$A$76,"&gt;="&amp;B12,'클럭 정리'!$A$6:$A$76,"&lt;="&amp;C12)</f>
        <v/>
      </c>
      <c r="H12" s="15">
        <f>G12*'클럭 정리'!$B$2/100</f>
        <v/>
      </c>
    </row>
    <row r="13">
      <c r="A13" s="13" t="inlineStr">
        <is>
          <t>병렬도 6 분할 36 측정 5회차</t>
        </is>
      </c>
      <c r="B13" s="10" t="n">
        <v>46238.65766506945</v>
      </c>
      <c r="C13" s="10" t="n">
        <v>46238.65768893195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정리'!$A$6:$A$76,"&gt;="&amp;B13,'클럭 정리'!$A$6:$A$76,"&lt;="&amp;C13)</f>
        <v/>
      </c>
      <c r="G13" s="14">
        <f>AVERAGEIFS('클럭 정리'!$N$6:$N$76,'클럭 정리'!$A$6:$A$76,"&gt;="&amp;B13,'클럭 정리'!$A$6:$A$76,"&lt;="&amp;C13)</f>
        <v/>
      </c>
      <c r="H13" s="15">
        <f>G13*'클럭 정리'!$B$2/100</f>
        <v/>
      </c>
    </row>
    <row r="14">
      <c r="A14" s="13" t="inlineStr">
        <is>
          <t>병렬도 6 분할 36 워커별 CPU 읽기 실행</t>
        </is>
      </c>
      <c r="B14" s="10" t="n">
        <v>46238.65768893195</v>
      </c>
      <c r="C14" s="10" t="n">
        <v>46238.6577155417</v>
      </c>
      <c r="D14" s="11">
        <f>(C14-B14)*86400</f>
        <v/>
      </c>
      <c r="E14" s="12" t="inlineStr">
        <is>
          <t>ForkJoinPool-8-worker-4, ForkJoinPool-8-worker-6, ForkJoinPool-8-worker-3, ForkJoinPool-8-worker-1, ForkJoinPool-8-worker-2, ForkJoinPool-8-worker-5 + main</t>
        </is>
      </c>
      <c r="F14" s="13">
        <f>COUNTIFS('클럭 정리'!$A$6:$A$76,"&gt;="&amp;B14,'클럭 정리'!$A$6:$A$76,"&lt;="&amp;C14)</f>
        <v/>
      </c>
      <c r="G14" s="14">
        <f>AVERAGEIFS('클럭 정리'!$N$6:$N$76,'클럭 정리'!$A$6:$A$76,"&gt;="&amp;B14,'클럭 정리'!$A$6:$A$76,"&lt;="&amp;C14)</f>
        <v/>
      </c>
      <c r="H14" s="15">
        <f>G14*'클럭 정리'!$B$2/100</f>
        <v/>
      </c>
    </row>
    <row r="15">
      <c r="A15" s="9" t="inlineStr">
        <is>
          <t>병렬도 12 분할 36 전체</t>
        </is>
      </c>
      <c r="B15" s="10" t="n">
        <v>46238.6577155417</v>
      </c>
      <c r="C15" s="10" t="n">
        <v>46238.65784817059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정리'!$A$6:$A$76,"&gt;="&amp;B15,'클럭 정리'!$A$6:$A$76,"&lt;="&amp;C15)</f>
        <v/>
      </c>
      <c r="G15" s="14">
        <f>AVERAGEIFS('클럭 정리'!$N$6:$N$76,'클럭 정리'!$A$6:$A$76,"&gt;="&amp;B15,'클럭 정리'!$A$6:$A$76,"&lt;="&amp;C15)</f>
        <v/>
      </c>
      <c r="H15" s="15">
        <f>G15*'클럭 정리'!$B$2/100</f>
        <v/>
      </c>
    </row>
    <row r="16">
      <c r="A16" s="13" t="inlineStr">
        <is>
          <t>병렬도 12 분할 36 워밍업</t>
        </is>
      </c>
      <c r="B16" s="10" t="n">
        <v>46238.6577155417</v>
      </c>
      <c r="C16" s="10" t="n">
        <v>46238.65774815972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정리'!$A$6:$A$76,"&gt;="&amp;B16,'클럭 정리'!$A$6:$A$76,"&lt;="&amp;C16)</f>
        <v/>
      </c>
      <c r="G16" s="14">
        <f>AVERAGEIFS('클럭 정리'!$N$6:$N$76,'클럭 정리'!$A$6:$A$76,"&gt;="&amp;B16,'클럭 정리'!$A$6:$A$76,"&lt;="&amp;C16)</f>
        <v/>
      </c>
      <c r="H16" s="15">
        <f>G16*'클럭 정리'!$B$2/100</f>
        <v/>
      </c>
    </row>
    <row r="17">
      <c r="A17" s="13" t="inlineStr">
        <is>
          <t>병렬도 12 분할 36 측정 1회차</t>
        </is>
      </c>
      <c r="B17" s="10" t="n">
        <v>46238.65774815972</v>
      </c>
      <c r="C17" s="10" t="n">
        <v>46238.65776452026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정리'!$A$6:$A$76,"&gt;="&amp;B17,'클럭 정리'!$A$6:$A$76,"&lt;="&amp;C17)</f>
        <v/>
      </c>
      <c r="G17" s="14">
        <f>AVERAGEIFS('클럭 정리'!$N$6:$N$76,'클럭 정리'!$A$6:$A$76,"&gt;="&amp;B17,'클럭 정리'!$A$6:$A$76,"&lt;="&amp;C17)</f>
        <v/>
      </c>
      <c r="H17" s="15">
        <f>G17*'클럭 정리'!$B$2/100</f>
        <v/>
      </c>
    </row>
    <row r="18">
      <c r="A18" s="13" t="inlineStr">
        <is>
          <t>병렬도 12 분할 36 측정 2회차</t>
        </is>
      </c>
      <c r="B18" s="10" t="n">
        <v>46238.65776453703</v>
      </c>
      <c r="C18" s="10" t="n">
        <v>46238.65778087581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정리'!$A$6:$A$76,"&gt;="&amp;B18,'클럭 정리'!$A$6:$A$76,"&lt;="&amp;C18)</f>
        <v/>
      </c>
      <c r="G18" s="14">
        <f>AVERAGEIFS('클럭 정리'!$N$6:$N$76,'클럭 정리'!$A$6:$A$76,"&gt;="&amp;B18,'클럭 정리'!$A$6:$A$76,"&lt;="&amp;C18)</f>
        <v/>
      </c>
      <c r="H18" s="15">
        <f>G18*'클럭 정리'!$B$2/100</f>
        <v/>
      </c>
    </row>
    <row r="19">
      <c r="A19" s="13" t="inlineStr">
        <is>
          <t>병렬도 12 분할 36 측정 3회차</t>
        </is>
      </c>
      <c r="B19" s="10" t="n">
        <v>46238.6577808912</v>
      </c>
      <c r="C19" s="10" t="n">
        <v>46238.65779733205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정리'!$A$6:$A$76,"&gt;="&amp;B19,'클럭 정리'!$A$6:$A$76,"&lt;="&amp;C19)</f>
        <v/>
      </c>
      <c r="G19" s="14">
        <f>AVERAGEIFS('클럭 정리'!$N$6:$N$76,'클럭 정리'!$A$6:$A$76,"&gt;="&amp;B19,'클럭 정리'!$A$6:$A$76,"&lt;="&amp;C19)</f>
        <v/>
      </c>
      <c r="H19" s="15">
        <f>G19*'클럭 정리'!$B$2/100</f>
        <v/>
      </c>
    </row>
    <row r="20">
      <c r="A20" s="13" t="inlineStr">
        <is>
          <t>병렬도 12 분할 36 측정 4회차</t>
        </is>
      </c>
      <c r="B20" s="10" t="n">
        <v>46238.65779733796</v>
      </c>
      <c r="C20" s="10" t="n">
        <v>46238.65781369333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정리'!$A$6:$A$76,"&gt;="&amp;B20,'클럭 정리'!$A$6:$A$76,"&lt;="&amp;C20)</f>
        <v/>
      </c>
      <c r="G20" s="14">
        <f>AVERAGEIFS('클럭 정리'!$N$6:$N$76,'클럭 정리'!$A$6:$A$76,"&gt;="&amp;B20,'클럭 정리'!$A$6:$A$76,"&lt;="&amp;C20)</f>
        <v/>
      </c>
      <c r="H20" s="15">
        <f>G20*'클럭 정리'!$B$2/100</f>
        <v/>
      </c>
    </row>
    <row r="21">
      <c r="A21" s="13" t="inlineStr">
        <is>
          <t>병렬도 12 분할 36 측정 5회차</t>
        </is>
      </c>
      <c r="B21" s="10" t="n">
        <v>46238.65781370371</v>
      </c>
      <c r="C21" s="10" t="n">
        <v>46238.65783011365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정리'!$A$6:$A$76,"&gt;="&amp;B21,'클럭 정리'!$A$6:$A$76,"&lt;="&amp;C21)</f>
        <v/>
      </c>
      <c r="G21" s="14">
        <f>AVERAGEIFS('클럭 정리'!$N$6:$N$76,'클럭 정리'!$A$6:$A$76,"&gt;="&amp;B21,'클럭 정리'!$A$6:$A$76,"&lt;="&amp;C21)</f>
        <v/>
      </c>
      <c r="H21" s="15">
        <f>G21*'클럭 정리'!$B$2/100</f>
        <v/>
      </c>
    </row>
    <row r="22">
      <c r="A22" s="13" t="inlineStr">
        <is>
          <t>병렬도 12 분할 36 워커별 CPU 읽기 실행</t>
        </is>
      </c>
      <c r="B22" s="10" t="n">
        <v>46238.65783011365</v>
      </c>
      <c r="C22" s="10" t="n">
        <v>46238.65784817059</v>
      </c>
      <c r="D22" s="11">
        <f>(C22-B22)*86400</f>
        <v/>
      </c>
      <c r="E22" s="12" t="inlineStr">
        <is>
          <t>ForkJoinPool-16-worker-8, ForkJoinPool-16-worker-1, ForkJoinPool-16-worker-3, ForkJoinPool-16-worker-2, ForkJoinPool-16-worker-5, ForkJoinPool-16-worker-6, ForkJoinPool-16-worker-10, ForkJoinPool-16-worker-4, ForkJoinPool-16-worker-12, ForkJoinPool-16-worker-7, ForkJoinPool-16-worker-9, ForkJoinPool-16-worker-11 + main</t>
        </is>
      </c>
      <c r="F22" s="13">
        <f>COUNTIFS('클럭 정리'!$A$6:$A$76,"&gt;="&amp;B22,'클럭 정리'!$A$6:$A$76,"&lt;="&amp;C22)</f>
        <v/>
      </c>
      <c r="G22" s="14">
        <f>AVERAGEIFS('클럭 정리'!$N$6:$N$76,'클럭 정리'!$A$6:$A$76,"&gt;="&amp;B22,'클럭 정리'!$A$6:$A$76,"&lt;="&amp;C22)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36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46238.65756828704</v>
      </c>
      <c r="F6" s="10" t="n">
        <v>46238.65759217828</v>
      </c>
      <c r="G6" s="13" t="n">
        <v>257</v>
      </c>
      <c r="H6" s="14" t="n">
        <v>1882.2541</v>
      </c>
      <c r="I6" s="13">
        <f>COUNTIFS('클럭 정리'!$A$6:$A$76,"&gt;="&amp;E6,'클럭 정리'!$A$6:$A$76,"&lt;="&amp;F6)</f>
        <v/>
      </c>
      <c r="J6" s="14">
        <f>AVERAGEIFS('클럭 정리'!$N$6:$N$76,'클럭 정리'!$A$6:$A$76,"&gt;="&amp;E6,'클럭 정리'!$A$6:$A$76,"&lt;="&amp;F6)</f>
        <v/>
      </c>
      <c r="K6" s="15">
        <f>J6*'클럭 정리'!$B$2/100</f>
        <v/>
      </c>
    </row>
    <row r="7">
      <c r="A7" s="13" t="inlineStr">
        <is>
          <t>병렬도 6 분할 36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46238.65756828704</v>
      </c>
      <c r="F7" s="10" t="n">
        <v>46238.65759213495</v>
      </c>
      <c r="G7" s="13" t="n">
        <v>270</v>
      </c>
      <c r="H7" s="14" t="n">
        <v>1879.9349</v>
      </c>
      <c r="I7" s="13">
        <f>COUNTIFS('클럭 정리'!$A$6:$A$76,"&gt;="&amp;E7,'클럭 정리'!$A$6:$A$76,"&lt;="&amp;F7)</f>
        <v/>
      </c>
      <c r="J7" s="14">
        <f>AVERAGEIFS('클럭 정리'!$N$6:$N$76,'클럭 정리'!$A$6:$A$76,"&gt;="&amp;E7,'클럭 정리'!$A$6:$A$76,"&lt;="&amp;F7)</f>
        <v/>
      </c>
      <c r="K7" s="15">
        <f>J7*'클럭 정리'!$B$2/100</f>
        <v/>
      </c>
    </row>
    <row r="8">
      <c r="A8" s="13" t="inlineStr">
        <is>
          <t>병렬도 6 분할 36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46238.65756829861</v>
      </c>
      <c r="F8" s="10" t="n">
        <v>46238.65759217116</v>
      </c>
      <c r="G8" s="13" t="n">
        <v>278</v>
      </c>
      <c r="H8" s="14" t="n">
        <v>1911.0663</v>
      </c>
      <c r="I8" s="13">
        <f>COUNTIFS('클럭 정리'!$A$6:$A$76,"&gt;="&amp;E8,'클럭 정리'!$A$6:$A$76,"&lt;="&amp;F8)</f>
        <v/>
      </c>
      <c r="J8" s="14">
        <f>AVERAGEIFS('클럭 정리'!$N$6:$N$76,'클럭 정리'!$A$6:$A$76,"&gt;="&amp;E8,'클럭 정리'!$A$6:$A$76,"&lt;="&amp;F8)</f>
        <v/>
      </c>
      <c r="K8" s="15">
        <f>J8*'클럭 정리'!$B$2/100</f>
        <v/>
      </c>
    </row>
    <row r="9">
      <c r="A9" s="13" t="inlineStr">
        <is>
          <t>병렬도 6 분할 36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46238.65756829861</v>
      </c>
      <c r="F9" s="10" t="n">
        <v>46238.65759217119</v>
      </c>
      <c r="G9" s="13" t="n">
        <v>267</v>
      </c>
      <c r="H9" s="14" t="n">
        <v>1879.474</v>
      </c>
      <c r="I9" s="13">
        <f>COUNTIFS('클럭 정리'!$A$6:$A$76,"&gt;="&amp;E9,'클럭 정리'!$A$6:$A$76,"&lt;="&amp;F9)</f>
        <v/>
      </c>
      <c r="J9" s="14">
        <f>AVERAGEIFS('클럭 정리'!$N$6:$N$76,'클럭 정리'!$A$6:$A$76,"&gt;="&amp;E9,'클럭 정리'!$A$6:$A$76,"&lt;="&amp;F9)</f>
        <v/>
      </c>
      <c r="K9" s="15">
        <f>J9*'클럭 정리'!$B$2/100</f>
        <v/>
      </c>
    </row>
    <row r="10">
      <c r="A10" s="13" t="inlineStr">
        <is>
          <t>병렬도 6 분할 36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46238.65756829861</v>
      </c>
      <c r="F10" s="10" t="n">
        <v>46238.65759214572</v>
      </c>
      <c r="G10" s="13" t="n">
        <v>267</v>
      </c>
      <c r="H10" s="14" t="n">
        <v>1879.8396</v>
      </c>
      <c r="I10" s="13">
        <f>COUNTIFS('클럭 정리'!$A$6:$A$76,"&gt;="&amp;E10,'클럭 정리'!$A$6:$A$76,"&lt;="&amp;F10)</f>
        <v/>
      </c>
      <c r="J10" s="14">
        <f>AVERAGEIFS('클럭 정리'!$N$6:$N$76,'클럭 정리'!$A$6:$A$76,"&gt;="&amp;E10,'클럭 정리'!$A$6:$A$76,"&lt;="&amp;F10)</f>
        <v/>
      </c>
      <c r="K10" s="15">
        <f>J10*'클럭 정리'!$B$2/100</f>
        <v/>
      </c>
    </row>
    <row r="11">
      <c r="A11" s="13" t="inlineStr">
        <is>
          <t>병렬도 6 분할 36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46238.65756829861</v>
      </c>
      <c r="F11" s="10" t="n">
        <v>46238.65759217722</v>
      </c>
      <c r="G11" s="13" t="n">
        <v>281</v>
      </c>
      <c r="H11" s="14" t="n">
        <v>1926.8406</v>
      </c>
      <c r="I11" s="13">
        <f>COUNTIFS('클럭 정리'!$A$6:$A$76,"&gt;="&amp;E11,'클럭 정리'!$A$6:$A$76,"&lt;="&amp;F11)</f>
        <v/>
      </c>
      <c r="J11" s="14">
        <f>AVERAGEIFS('클럭 정리'!$N$6:$N$76,'클럭 정리'!$A$6:$A$76,"&gt;="&amp;E11,'클럭 정리'!$A$6:$A$76,"&lt;="&amp;F11)</f>
        <v/>
      </c>
      <c r="K11" s="15">
        <f>J11*'클럭 정리'!$B$2/100</f>
        <v/>
      </c>
    </row>
    <row r="12">
      <c r="A12" s="13" t="inlineStr">
        <is>
          <t>병렬도 6 분할 36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46238.65756828704</v>
      </c>
      <c r="F12" s="10" t="n">
        <v>46238.65759218509</v>
      </c>
      <c r="G12" s="13" t="n">
        <v>45</v>
      </c>
      <c r="H12" s="14" t="n">
        <v>0</v>
      </c>
      <c r="I12" s="13">
        <f>COUNTIFS('클럭 정리'!$A$6:$A$76,"&gt;="&amp;E12,'클럭 정리'!$A$6:$A$76,"&lt;="&amp;F12)</f>
        <v/>
      </c>
      <c r="J12" s="14">
        <f>AVERAGEIFS('클럭 정리'!$N$6:$N$76,'클럭 정리'!$A$6:$A$76,"&gt;="&amp;E12,'클럭 정리'!$A$6:$A$76,"&lt;="&amp;F12)</f>
        <v/>
      </c>
      <c r="K12" s="15">
        <f>J12*'클럭 정리'!$B$2/100</f>
        <v/>
      </c>
    </row>
    <row r="13">
      <c r="A13" s="13" t="inlineStr">
        <is>
          <t>병렬도 6 분할 36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46238.65759219907</v>
      </c>
      <c r="F13" s="10" t="n">
        <v>46238.65761628272</v>
      </c>
      <c r="G13" s="13" t="n">
        <v>277</v>
      </c>
      <c r="H13" s="14" t="n">
        <v>1930.458</v>
      </c>
      <c r="I13" s="13">
        <f>COUNTIFS('클럭 정리'!$A$6:$A$76,"&gt;="&amp;E13,'클럭 정리'!$A$6:$A$76,"&lt;="&amp;F13)</f>
        <v/>
      </c>
      <c r="J13" s="14">
        <f>AVERAGEIFS('클럭 정리'!$N$6:$N$76,'클럭 정리'!$A$6:$A$76,"&gt;="&amp;E13,'클럭 정리'!$A$6:$A$76,"&lt;="&amp;F13)</f>
        <v/>
      </c>
      <c r="K13" s="15">
        <f>J13*'클럭 정리'!$B$2/100</f>
        <v/>
      </c>
    </row>
    <row r="14">
      <c r="A14" s="13" t="inlineStr">
        <is>
          <t>병렬도 6 분할 36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46238.65759221065</v>
      </c>
      <c r="F14" s="10" t="n">
        <v>46238.65761627881</v>
      </c>
      <c r="G14" s="13" t="n">
        <v>273</v>
      </c>
      <c r="H14" s="14" t="n">
        <v>1926.8905</v>
      </c>
      <c r="I14" s="13">
        <f>COUNTIFS('클럭 정리'!$A$6:$A$76,"&gt;="&amp;E14,'클럭 정리'!$A$6:$A$76,"&lt;="&amp;F14)</f>
        <v/>
      </c>
      <c r="J14" s="14">
        <f>AVERAGEIFS('클럭 정리'!$N$6:$N$76,'클럭 정리'!$A$6:$A$76,"&gt;="&amp;E14,'클럭 정리'!$A$6:$A$76,"&lt;="&amp;F14)</f>
        <v/>
      </c>
      <c r="K14" s="15">
        <f>J14*'클럭 정리'!$B$2/100</f>
        <v/>
      </c>
    </row>
    <row r="15">
      <c r="A15" s="13" t="inlineStr">
        <is>
          <t>병렬도 6 분할 36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46238.65759221065</v>
      </c>
      <c r="F15" s="10" t="n">
        <v>46238.65761630514</v>
      </c>
      <c r="G15" s="13" t="n">
        <v>272</v>
      </c>
      <c r="H15" s="14" t="n">
        <v>1928.6619</v>
      </c>
      <c r="I15" s="13">
        <f>COUNTIFS('클럭 정리'!$A$6:$A$76,"&gt;="&amp;E15,'클럭 정리'!$A$6:$A$76,"&lt;="&amp;F15)</f>
        <v/>
      </c>
      <c r="J15" s="14">
        <f>AVERAGEIFS('클럭 정리'!$N$6:$N$76,'클럭 정리'!$A$6:$A$76,"&gt;="&amp;E15,'클럭 정리'!$A$6:$A$76,"&lt;="&amp;F15)</f>
        <v/>
      </c>
      <c r="K15" s="15">
        <f>J15*'클럭 정리'!$B$2/100</f>
        <v/>
      </c>
    </row>
    <row r="16">
      <c r="A16" s="13" t="inlineStr">
        <is>
          <t>병렬도 6 분할 36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46238.65759221065</v>
      </c>
      <c r="F16" s="10" t="n">
        <v>46238.65761627378</v>
      </c>
      <c r="G16" s="13" t="n">
        <v>265</v>
      </c>
      <c r="H16" s="14" t="n">
        <v>1898.9314</v>
      </c>
      <c r="I16" s="13">
        <f>COUNTIFS('클럭 정리'!$A$6:$A$76,"&gt;="&amp;E16,'클럭 정리'!$A$6:$A$76,"&lt;="&amp;F16)</f>
        <v/>
      </c>
      <c r="J16" s="14">
        <f>AVERAGEIFS('클럭 정리'!$N$6:$N$76,'클럭 정리'!$A$6:$A$76,"&gt;="&amp;E16,'클럭 정리'!$A$6:$A$76,"&lt;="&amp;F16)</f>
        <v/>
      </c>
      <c r="K16" s="15">
        <f>J16*'클럭 정리'!$B$2/100</f>
        <v/>
      </c>
    </row>
    <row r="17">
      <c r="A17" s="13" t="inlineStr">
        <is>
          <t>병렬도 6 분할 36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46238.65759221065</v>
      </c>
      <c r="F17" s="10" t="n">
        <v>46238.65761622505</v>
      </c>
      <c r="G17" s="13" t="n">
        <v>257</v>
      </c>
      <c r="H17" s="14" t="n">
        <v>1920.8631</v>
      </c>
      <c r="I17" s="13">
        <f>COUNTIFS('클럭 정리'!$A$6:$A$76,"&gt;="&amp;E17,'클럭 정리'!$A$6:$A$76,"&lt;="&amp;F17)</f>
        <v/>
      </c>
      <c r="J17" s="14">
        <f>AVERAGEIFS('클럭 정리'!$N$6:$N$76,'클럭 정리'!$A$6:$A$76,"&gt;="&amp;E17,'클럭 정리'!$A$6:$A$76,"&lt;="&amp;F17)</f>
        <v/>
      </c>
      <c r="K17" s="15">
        <f>J17*'클럭 정리'!$B$2/100</f>
        <v/>
      </c>
    </row>
    <row r="18">
      <c r="A18" s="13" t="inlineStr">
        <is>
          <t>병렬도 6 분할 36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46238.65759221065</v>
      </c>
      <c r="F18" s="10" t="n">
        <v>46238.6576162433</v>
      </c>
      <c r="G18" s="13" t="n">
        <v>276</v>
      </c>
      <c r="H18" s="14" t="n">
        <v>1941.8645</v>
      </c>
      <c r="I18" s="13">
        <f>COUNTIFS('클럭 정리'!$A$6:$A$76,"&gt;="&amp;E18,'클럭 정리'!$A$6:$A$76,"&lt;="&amp;F18)</f>
        <v/>
      </c>
      <c r="J18" s="14">
        <f>AVERAGEIFS('클럭 정리'!$N$6:$N$76,'클럭 정리'!$A$6:$A$76,"&gt;="&amp;E18,'클럭 정리'!$A$6:$A$76,"&lt;="&amp;F18)</f>
        <v/>
      </c>
      <c r="K18" s="15">
        <f>J18*'클럭 정리'!$B$2/100</f>
        <v/>
      </c>
    </row>
    <row r="19">
      <c r="A19" s="13" t="inlineStr">
        <is>
          <t>병렬도 6 분할 36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46238.65759219907</v>
      </c>
      <c r="F19" s="10" t="n">
        <v>46238.65761630151</v>
      </c>
      <c r="G19" s="13" t="n">
        <v>45</v>
      </c>
      <c r="H19" s="14" t="n">
        <v>0</v>
      </c>
      <c r="I19" s="13">
        <f>COUNTIFS('클럭 정리'!$A$6:$A$76,"&gt;="&amp;E19,'클럭 정리'!$A$6:$A$76,"&lt;="&amp;F19)</f>
        <v/>
      </c>
      <c r="J19" s="14">
        <f>AVERAGEIFS('클럭 정리'!$N$6:$N$76,'클럭 정리'!$A$6:$A$76,"&gt;="&amp;E19,'클럭 정리'!$A$6:$A$76,"&lt;="&amp;F19)</f>
        <v/>
      </c>
      <c r="K19" s="15">
        <f>J19*'클럭 정리'!$B$2/100</f>
        <v/>
      </c>
    </row>
    <row r="20">
      <c r="A20" s="13" t="inlineStr">
        <is>
          <t>병렬도 6 분할 36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46238.65761631945</v>
      </c>
      <c r="F20" s="10" t="n">
        <v>46238.65764096167</v>
      </c>
      <c r="G20" s="13" t="n">
        <v>276</v>
      </c>
      <c r="H20" s="14" t="n">
        <v>1996.4354</v>
      </c>
      <c r="I20" s="13">
        <f>COUNTIFS('클럭 정리'!$A$6:$A$76,"&gt;="&amp;E20,'클럭 정리'!$A$6:$A$76,"&lt;="&amp;F20)</f>
        <v/>
      </c>
      <c r="J20" s="14">
        <f>AVERAGEIFS('클럭 정리'!$N$6:$N$76,'클럭 정리'!$A$6:$A$76,"&gt;="&amp;E20,'클럭 정리'!$A$6:$A$76,"&lt;="&amp;F20)</f>
        <v/>
      </c>
      <c r="K20" s="15">
        <f>J20*'클럭 정리'!$B$2/100</f>
        <v/>
      </c>
    </row>
    <row r="21">
      <c r="A21" s="13" t="inlineStr">
        <is>
          <t>병렬도 6 분할 36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46238.65761631945</v>
      </c>
      <c r="F21" s="10" t="n">
        <v>46238.65764089391</v>
      </c>
      <c r="G21" s="13" t="n">
        <v>260</v>
      </c>
      <c r="H21" s="14" t="n">
        <v>1917.5495</v>
      </c>
      <c r="I21" s="13">
        <f>COUNTIFS('클럭 정리'!$A$6:$A$76,"&gt;="&amp;E21,'클럭 정리'!$A$6:$A$76,"&lt;="&amp;F21)</f>
        <v/>
      </c>
      <c r="J21" s="14">
        <f>AVERAGEIFS('클럭 정리'!$N$6:$N$76,'클럭 정리'!$A$6:$A$76,"&gt;="&amp;E21,'클럭 정리'!$A$6:$A$76,"&lt;="&amp;F21)</f>
        <v/>
      </c>
      <c r="K21" s="15">
        <f>J21*'클럭 정리'!$B$2/100</f>
        <v/>
      </c>
    </row>
    <row r="22">
      <c r="A22" s="13" t="inlineStr">
        <is>
          <t>병렬도 6 분할 36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46238.65761631945</v>
      </c>
      <c r="F22" s="10" t="n">
        <v>46238.65764091671</v>
      </c>
      <c r="G22" s="13" t="n">
        <v>286</v>
      </c>
      <c r="H22" s="14" t="n">
        <v>1984.1977</v>
      </c>
      <c r="I22" s="13">
        <f>COUNTIFS('클럭 정리'!$A$6:$A$76,"&gt;="&amp;E22,'클럭 정리'!$A$6:$A$76,"&lt;="&amp;F22)</f>
        <v/>
      </c>
      <c r="J22" s="14">
        <f>AVERAGEIFS('클럭 정리'!$N$6:$N$76,'클럭 정리'!$A$6:$A$76,"&gt;="&amp;E22,'클럭 정리'!$A$6:$A$76,"&lt;="&amp;F22)</f>
        <v/>
      </c>
      <c r="K22" s="15">
        <f>J22*'클럭 정리'!$B$2/100</f>
        <v/>
      </c>
    </row>
    <row r="23">
      <c r="A23" s="13" t="inlineStr">
        <is>
          <t>병렬도 6 분할 36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46238.65761631945</v>
      </c>
      <c r="F23" s="10" t="n">
        <v>46238.6576409332</v>
      </c>
      <c r="G23" s="13" t="n">
        <v>283</v>
      </c>
      <c r="H23" s="14" t="n">
        <v>1988.1995</v>
      </c>
      <c r="I23" s="13">
        <f>COUNTIFS('클럭 정리'!$A$6:$A$76,"&gt;="&amp;E23,'클럭 정리'!$A$6:$A$76,"&lt;="&amp;F23)</f>
        <v/>
      </c>
      <c r="J23" s="14">
        <f>AVERAGEIFS('클럭 정리'!$N$6:$N$76,'클럭 정리'!$A$6:$A$76,"&gt;="&amp;E23,'클럭 정리'!$A$6:$A$76,"&lt;="&amp;F23)</f>
        <v/>
      </c>
      <c r="K23" s="15">
        <f>J23*'클럭 정리'!$B$2/100</f>
        <v/>
      </c>
    </row>
    <row r="24">
      <c r="A24" s="13" t="inlineStr">
        <is>
          <t>병렬도 6 분할 36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46238.65761631945</v>
      </c>
      <c r="F24" s="10" t="n">
        <v>46238.65764094279</v>
      </c>
      <c r="G24" s="13" t="n">
        <v>247</v>
      </c>
      <c r="H24" s="14" t="n">
        <v>1917.9577</v>
      </c>
      <c r="I24" s="13">
        <f>COUNTIFS('클럭 정리'!$A$6:$A$76,"&gt;="&amp;E24,'클럭 정리'!$A$6:$A$76,"&lt;="&amp;F24)</f>
        <v/>
      </c>
      <c r="J24" s="14">
        <f>AVERAGEIFS('클럭 정리'!$N$6:$N$76,'클럭 정리'!$A$6:$A$76,"&gt;="&amp;E24,'클럭 정리'!$A$6:$A$76,"&lt;="&amp;F24)</f>
        <v/>
      </c>
      <c r="K24" s="15">
        <f>J24*'클럭 정리'!$B$2/100</f>
        <v/>
      </c>
    </row>
    <row r="25">
      <c r="A25" s="13" t="inlineStr">
        <is>
          <t>병렬도 6 분할 36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46238.65761633102</v>
      </c>
      <c r="F25" s="10" t="n">
        <v>46238.65764089169</v>
      </c>
      <c r="G25" s="13" t="n">
        <v>268</v>
      </c>
      <c r="H25" s="14" t="n">
        <v>1966.7094</v>
      </c>
      <c r="I25" s="13">
        <f>COUNTIFS('클럭 정리'!$A$6:$A$76,"&gt;="&amp;E25,'클럭 정리'!$A$6:$A$76,"&lt;="&amp;F25)</f>
        <v/>
      </c>
      <c r="J25" s="14">
        <f>AVERAGEIFS('클럭 정리'!$N$6:$N$76,'클럭 정리'!$A$6:$A$76,"&gt;="&amp;E25,'클럭 정리'!$A$6:$A$76,"&lt;="&amp;F25)</f>
        <v/>
      </c>
      <c r="K25" s="15">
        <f>J25*'클럭 정리'!$B$2/100</f>
        <v/>
      </c>
    </row>
    <row r="26">
      <c r="A26" s="13" t="inlineStr">
        <is>
          <t>병렬도 6 분할 36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46238.65761630787</v>
      </c>
      <c r="F26" s="10" t="n">
        <v>46238.65764095708</v>
      </c>
      <c r="G26" s="13" t="n">
        <v>45</v>
      </c>
      <c r="H26" s="14" t="n">
        <v>0</v>
      </c>
      <c r="I26" s="13">
        <f>COUNTIFS('클럭 정리'!$A$6:$A$76,"&gt;="&amp;E26,'클럭 정리'!$A$6:$A$76,"&lt;="&amp;F26)</f>
        <v/>
      </c>
      <c r="J26" s="14">
        <f>AVERAGEIFS('클럭 정리'!$N$6:$N$76,'클럭 정리'!$A$6:$A$76,"&gt;="&amp;E26,'클럭 정리'!$A$6:$A$76,"&lt;="&amp;F26)</f>
        <v/>
      </c>
      <c r="K26" s="15">
        <f>J26*'클럭 정리'!$B$2/100</f>
        <v/>
      </c>
    </row>
    <row r="27">
      <c r="A27" s="13" t="inlineStr">
        <is>
          <t>병렬도 6 분할 36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46238.65764097223</v>
      </c>
      <c r="F27" s="10" t="n">
        <v>46238.65766506028</v>
      </c>
      <c r="G27" s="13" t="n">
        <v>279</v>
      </c>
      <c r="H27" s="14" t="n">
        <v>1934.4365</v>
      </c>
      <c r="I27" s="13">
        <f>COUNTIFS('클럭 정리'!$A$6:$A$76,"&gt;="&amp;E27,'클럭 정리'!$A$6:$A$76,"&lt;="&amp;F27)</f>
        <v/>
      </c>
      <c r="J27" s="14">
        <f>AVERAGEIFS('클럭 정리'!$N$6:$N$76,'클럭 정리'!$A$6:$A$76,"&gt;="&amp;E27,'클럭 정리'!$A$6:$A$76,"&lt;="&amp;F27)</f>
        <v/>
      </c>
      <c r="K27" s="15">
        <f>J27*'클럭 정리'!$B$2/100</f>
        <v/>
      </c>
    </row>
    <row r="28">
      <c r="A28" s="13" t="inlineStr">
        <is>
          <t>병렬도 6 분할 36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46238.65764097223</v>
      </c>
      <c r="F28" s="10" t="n">
        <v>46238.65766505663</v>
      </c>
      <c r="G28" s="13" t="n">
        <v>267</v>
      </c>
      <c r="H28" s="14" t="n">
        <v>1927.2321</v>
      </c>
      <c r="I28" s="13">
        <f>COUNTIFS('클럭 정리'!$A$6:$A$76,"&gt;="&amp;E28,'클럭 정리'!$A$6:$A$76,"&lt;="&amp;F28)</f>
        <v/>
      </c>
      <c r="J28" s="14">
        <f>AVERAGEIFS('클럭 정리'!$N$6:$N$76,'클럭 정리'!$A$6:$A$76,"&gt;="&amp;E28,'클럭 정리'!$A$6:$A$76,"&lt;="&amp;F28)</f>
        <v/>
      </c>
      <c r="K28" s="15">
        <f>J28*'클럭 정리'!$B$2/100</f>
        <v/>
      </c>
    </row>
    <row r="29">
      <c r="A29" s="13" t="inlineStr">
        <is>
          <t>병렬도 6 분할 36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46238.65764098379</v>
      </c>
      <c r="F29" s="10" t="n">
        <v>46238.65766504581</v>
      </c>
      <c r="G29" s="13" t="n">
        <v>278</v>
      </c>
      <c r="H29" s="14" t="n">
        <v>1961.001</v>
      </c>
      <c r="I29" s="13">
        <f>COUNTIFS('클럭 정리'!$A$6:$A$76,"&gt;="&amp;E29,'클럭 정리'!$A$6:$A$76,"&lt;="&amp;F29)</f>
        <v/>
      </c>
      <c r="J29" s="14">
        <f>AVERAGEIFS('클럭 정리'!$N$6:$N$76,'클럭 정리'!$A$6:$A$76,"&gt;="&amp;E29,'클럭 정리'!$A$6:$A$76,"&lt;="&amp;F29)</f>
        <v/>
      </c>
      <c r="K29" s="15">
        <f>J29*'클럭 정리'!$B$2/100</f>
        <v/>
      </c>
    </row>
    <row r="30">
      <c r="A30" s="13" t="inlineStr">
        <is>
          <t>병렬도 6 분할 36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46238.65764098379</v>
      </c>
      <c r="F30" s="10" t="n">
        <v>46238.65766499449</v>
      </c>
      <c r="G30" s="13" t="n">
        <v>275</v>
      </c>
      <c r="H30" s="14" t="n">
        <v>1931.246</v>
      </c>
      <c r="I30" s="13">
        <f>COUNTIFS('클럭 정리'!$A$6:$A$76,"&gt;="&amp;E30,'클럭 정리'!$A$6:$A$76,"&lt;="&amp;F30)</f>
        <v/>
      </c>
      <c r="J30" s="14">
        <f>AVERAGEIFS('클럭 정리'!$N$6:$N$76,'클럭 정리'!$A$6:$A$76,"&gt;="&amp;E30,'클럭 정리'!$A$6:$A$76,"&lt;="&amp;F30)</f>
        <v/>
      </c>
      <c r="K30" s="15">
        <f>J30*'클럭 정리'!$B$2/100</f>
        <v/>
      </c>
    </row>
    <row r="31">
      <c r="A31" s="13" t="inlineStr">
        <is>
          <t>병렬도 6 분할 36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46238.65764098379</v>
      </c>
      <c r="F31" s="10" t="n">
        <v>46238.6576650059</v>
      </c>
      <c r="G31" s="13" t="n">
        <v>257</v>
      </c>
      <c r="H31" s="14" t="n">
        <v>1944.5768</v>
      </c>
      <c r="I31" s="13">
        <f>COUNTIFS('클럭 정리'!$A$6:$A$76,"&gt;="&amp;E31,'클럭 정리'!$A$6:$A$76,"&lt;="&amp;F31)</f>
        <v/>
      </c>
      <c r="J31" s="14">
        <f>AVERAGEIFS('클럭 정리'!$N$6:$N$76,'클럭 정리'!$A$6:$A$76,"&gt;="&amp;E31,'클럭 정리'!$A$6:$A$76,"&lt;="&amp;F31)</f>
        <v/>
      </c>
      <c r="K31" s="15">
        <f>J31*'클럭 정리'!$B$2/100</f>
        <v/>
      </c>
    </row>
    <row r="32">
      <c r="A32" s="13" t="inlineStr">
        <is>
          <t>병렬도 6 분할 36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46238.65764098379</v>
      </c>
      <c r="F32" s="10" t="n">
        <v>46238.65766506353</v>
      </c>
      <c r="G32" s="13" t="n">
        <v>264</v>
      </c>
      <c r="H32" s="14" t="n">
        <v>1918.1898</v>
      </c>
      <c r="I32" s="13">
        <f>COUNTIFS('클럭 정리'!$A$6:$A$76,"&gt;="&amp;E32,'클럭 정리'!$A$6:$A$76,"&lt;="&amp;F32)</f>
        <v/>
      </c>
      <c r="J32" s="14">
        <f>AVERAGEIFS('클럭 정리'!$N$6:$N$76,'클럭 정리'!$A$6:$A$76,"&gt;="&amp;E32,'클럭 정리'!$A$6:$A$76,"&lt;="&amp;F32)</f>
        <v/>
      </c>
      <c r="K32" s="15">
        <f>J32*'클럭 정리'!$B$2/100</f>
        <v/>
      </c>
    </row>
    <row r="33">
      <c r="A33" s="13" t="inlineStr">
        <is>
          <t>병렬도 6 분할 36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46238.65764097223</v>
      </c>
      <c r="F33" s="10" t="n">
        <v>46238.65766506183</v>
      </c>
      <c r="G33" s="13" t="n">
        <v>45</v>
      </c>
      <c r="H33" s="14" t="n">
        <v>0</v>
      </c>
      <c r="I33" s="13">
        <f>COUNTIFS('클럭 정리'!$A$6:$A$76,"&gt;="&amp;E33,'클럭 정리'!$A$6:$A$76,"&lt;="&amp;F33)</f>
        <v/>
      </c>
      <c r="J33" s="14">
        <f>AVERAGEIFS('클럭 정리'!$N$6:$N$76,'클럭 정리'!$A$6:$A$76,"&gt;="&amp;E33,'클럭 정리'!$A$6:$A$76,"&lt;="&amp;F33)</f>
        <v/>
      </c>
      <c r="K33" s="15">
        <f>J33*'클럭 정리'!$B$2/100</f>
        <v/>
      </c>
    </row>
    <row r="34">
      <c r="A34" s="13" t="inlineStr">
        <is>
          <t>병렬도 6 분할 36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46238.65766508102</v>
      </c>
      <c r="F34" s="10" t="n">
        <v>46238.65768892318</v>
      </c>
      <c r="G34" s="13" t="n">
        <v>275</v>
      </c>
      <c r="H34" s="14" t="n">
        <v>1906.366</v>
      </c>
      <c r="I34" s="13">
        <f>COUNTIFS('클럭 정리'!$A$6:$A$76,"&gt;="&amp;E34,'클럭 정리'!$A$6:$A$76,"&lt;="&amp;F34)</f>
        <v/>
      </c>
      <c r="J34" s="14">
        <f>AVERAGEIFS('클럭 정리'!$N$6:$N$76,'클럭 정리'!$A$6:$A$76,"&gt;="&amp;E34,'클럭 정리'!$A$6:$A$76,"&lt;="&amp;F34)</f>
        <v/>
      </c>
      <c r="K34" s="15">
        <f>J34*'클럭 정리'!$B$2/100</f>
        <v/>
      </c>
    </row>
    <row r="35">
      <c r="A35" s="13" t="inlineStr">
        <is>
          <t>병렬도 6 분할 36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46238.65766508102</v>
      </c>
      <c r="F35" s="10" t="n">
        <v>46238.65768891641</v>
      </c>
      <c r="G35" s="13" t="n">
        <v>266</v>
      </c>
      <c r="H35" s="14" t="n">
        <v>1902.4837</v>
      </c>
      <c r="I35" s="13">
        <f>COUNTIFS('클럭 정리'!$A$6:$A$76,"&gt;="&amp;E35,'클럭 정리'!$A$6:$A$76,"&lt;="&amp;F35)</f>
        <v/>
      </c>
      <c r="J35" s="14">
        <f>AVERAGEIFS('클럭 정리'!$N$6:$N$76,'클럭 정리'!$A$6:$A$76,"&gt;="&amp;E35,'클럭 정리'!$A$6:$A$76,"&lt;="&amp;F35)</f>
        <v/>
      </c>
      <c r="K35" s="15">
        <f>J35*'클럭 정리'!$B$2/100</f>
        <v/>
      </c>
    </row>
    <row r="36">
      <c r="A36" s="13" t="inlineStr">
        <is>
          <t>병렬도 6 분할 36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46238.65766508102</v>
      </c>
      <c r="F36" s="10" t="n">
        <v>46238.6576889256</v>
      </c>
      <c r="G36" s="13" t="n">
        <v>279</v>
      </c>
      <c r="H36" s="14" t="n">
        <v>1928.6169</v>
      </c>
      <c r="I36" s="13">
        <f>COUNTIFS('클럭 정리'!$A$6:$A$76,"&gt;="&amp;E36,'클럭 정리'!$A$6:$A$76,"&lt;="&amp;F36)</f>
        <v/>
      </c>
      <c r="J36" s="14">
        <f>AVERAGEIFS('클럭 정리'!$N$6:$N$76,'클럭 정리'!$A$6:$A$76,"&gt;="&amp;E36,'클럭 정리'!$A$6:$A$76,"&lt;="&amp;F36)</f>
        <v/>
      </c>
      <c r="K36" s="15">
        <f>J36*'클럭 정리'!$B$2/100</f>
        <v/>
      </c>
    </row>
    <row r="37">
      <c r="A37" s="13" t="inlineStr">
        <is>
          <t>병렬도 6 분할 36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46238.65766509259</v>
      </c>
      <c r="F37" s="10" t="n">
        <v>46238.65768887713</v>
      </c>
      <c r="G37" s="13" t="n">
        <v>275</v>
      </c>
      <c r="H37" s="14" t="n">
        <v>1918.2994</v>
      </c>
      <c r="I37" s="13">
        <f>COUNTIFS('클럭 정리'!$A$6:$A$76,"&gt;="&amp;E37,'클럭 정리'!$A$6:$A$76,"&lt;="&amp;F37)</f>
        <v/>
      </c>
      <c r="J37" s="14">
        <f>AVERAGEIFS('클럭 정리'!$N$6:$N$76,'클럭 정리'!$A$6:$A$76,"&gt;="&amp;E37,'클럭 정리'!$A$6:$A$76,"&lt;="&amp;F37)</f>
        <v/>
      </c>
      <c r="K37" s="15">
        <f>J37*'클럭 정리'!$B$2/100</f>
        <v/>
      </c>
    </row>
    <row r="38">
      <c r="A38" s="13" t="inlineStr">
        <is>
          <t>병렬도 6 분할 36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46238.65766509259</v>
      </c>
      <c r="F38" s="10" t="n">
        <v>46238.65768892705</v>
      </c>
      <c r="G38" s="13" t="n">
        <v>261</v>
      </c>
      <c r="H38" s="14" t="n">
        <v>1927.8855</v>
      </c>
      <c r="I38" s="13">
        <f>COUNTIFS('클럭 정리'!$A$6:$A$76,"&gt;="&amp;E38,'클럭 정리'!$A$6:$A$76,"&lt;="&amp;F38)</f>
        <v/>
      </c>
      <c r="J38" s="14">
        <f>AVERAGEIFS('클럭 정리'!$N$6:$N$76,'클럭 정리'!$A$6:$A$76,"&gt;="&amp;E38,'클럭 정리'!$A$6:$A$76,"&lt;="&amp;F38)</f>
        <v/>
      </c>
      <c r="K38" s="15">
        <f>J38*'클럭 정리'!$B$2/100</f>
        <v/>
      </c>
    </row>
    <row r="39">
      <c r="A39" s="13" t="inlineStr">
        <is>
          <t>병렬도 6 분할 36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46238.65766509259</v>
      </c>
      <c r="F39" s="10" t="n">
        <v>46238.65768887276</v>
      </c>
      <c r="G39" s="13" t="n">
        <v>264</v>
      </c>
      <c r="H39" s="14" t="n">
        <v>1889.8878</v>
      </c>
      <c r="I39" s="13">
        <f>COUNTIFS('클럭 정리'!$A$6:$A$76,"&gt;="&amp;E39,'클럭 정리'!$A$6:$A$76,"&lt;="&amp;F39)</f>
        <v/>
      </c>
      <c r="J39" s="14">
        <f>AVERAGEIFS('클럭 정리'!$N$6:$N$76,'클럭 정리'!$A$6:$A$76,"&gt;="&amp;E39,'클럭 정리'!$A$6:$A$76,"&lt;="&amp;F39)</f>
        <v/>
      </c>
      <c r="K39" s="15">
        <f>J39*'클럭 정리'!$B$2/100</f>
        <v/>
      </c>
    </row>
    <row r="40">
      <c r="A40" s="13" t="inlineStr">
        <is>
          <t>병렬도 6 분할 36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46238.65766506945</v>
      </c>
      <c r="F40" s="10" t="n">
        <v>46238.65768893195</v>
      </c>
      <c r="G40" s="13" t="n">
        <v>45</v>
      </c>
      <c r="H40" s="14" t="n">
        <v>0</v>
      </c>
      <c r="I40" s="13">
        <f>COUNTIFS('클럭 정리'!$A$6:$A$76,"&gt;="&amp;E40,'클럭 정리'!$A$6:$A$76,"&lt;="&amp;F40)</f>
        <v/>
      </c>
      <c r="J40" s="14">
        <f>AVERAGEIFS('클럭 정리'!$N$6:$N$76,'클럭 정리'!$A$6:$A$76,"&gt;="&amp;E40,'클럭 정리'!$A$6:$A$76,"&lt;="&amp;F40)</f>
        <v/>
      </c>
      <c r="K40" s="15">
        <f>J40*'클럭 정리'!$B$2/100</f>
        <v/>
      </c>
    </row>
    <row r="41">
      <c r="A41" s="13" t="inlineStr">
        <is>
          <t>병렬도 12 분할 36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46238.6577481713</v>
      </c>
      <c r="F41" s="10" t="n">
        <v>46238.6577644911</v>
      </c>
      <c r="G41" s="13" t="n">
        <v>137</v>
      </c>
      <c r="H41" s="14" t="n">
        <v>1267.7803</v>
      </c>
      <c r="I41" s="13">
        <f>COUNTIFS('클럭 정리'!$A$6:$A$76,"&gt;="&amp;E41,'클럭 정리'!$A$6:$A$76,"&lt;="&amp;F41)</f>
        <v/>
      </c>
      <c r="J41" s="14">
        <f>AVERAGEIFS('클럭 정리'!$N$6:$N$76,'클럭 정리'!$A$6:$A$76,"&gt;="&amp;E41,'클럭 정리'!$A$6:$A$76,"&lt;="&amp;F41)</f>
        <v/>
      </c>
      <c r="K41" s="15">
        <f>J41*'클럭 정리'!$B$2/100</f>
        <v/>
      </c>
    </row>
    <row r="42">
      <c r="A42" s="13" t="inlineStr">
        <is>
          <t>병렬도 12 분할 36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46238.65774818287</v>
      </c>
      <c r="F42" s="10" t="n">
        <v>46238.65776448172</v>
      </c>
      <c r="G42" s="13" t="n">
        <v>138</v>
      </c>
      <c r="H42" s="14" t="n">
        <v>1181.1337</v>
      </c>
      <c r="I42" s="13">
        <f>COUNTIFS('클럭 정리'!$A$6:$A$76,"&gt;="&amp;E42,'클럭 정리'!$A$6:$A$76,"&lt;="&amp;F42)</f>
        <v/>
      </c>
      <c r="J42" s="14">
        <f>AVERAGEIFS('클럭 정리'!$N$6:$N$76,'클럭 정리'!$A$6:$A$76,"&gt;="&amp;E42,'클럭 정리'!$A$6:$A$76,"&lt;="&amp;F42)</f>
        <v/>
      </c>
      <c r="K42" s="15">
        <f>J42*'클럭 정리'!$B$2/100</f>
        <v/>
      </c>
    </row>
    <row r="43">
      <c r="A43" s="13" t="inlineStr">
        <is>
          <t>병렬도 12 분할 36</t>
        </is>
      </c>
      <c r="B43" s="13" t="n">
        <v>1</v>
      </c>
      <c r="C43" s="13" t="inlineStr">
        <is>
          <t>ForkJoinPool-11-worker-11</t>
        </is>
      </c>
      <c r="D43" s="12" t="inlineStr">
        <is>
          <t>워커</t>
        </is>
      </c>
      <c r="E43" s="10" t="n">
        <v>46238.65774818287</v>
      </c>
      <c r="F43" s="10" t="n">
        <v>46238.657764478</v>
      </c>
      <c r="G43" s="13" t="n">
        <v>124</v>
      </c>
      <c r="H43" s="14" t="n">
        <v>1167.022</v>
      </c>
      <c r="I43" s="13">
        <f>COUNTIFS('클럭 정리'!$A$6:$A$76,"&gt;="&amp;E43,'클럭 정리'!$A$6:$A$76,"&lt;="&amp;F43)</f>
        <v/>
      </c>
      <c r="J43" s="14">
        <f>AVERAGEIFS('클럭 정리'!$N$6:$N$76,'클럭 정리'!$A$6:$A$76,"&gt;="&amp;E43,'클럭 정리'!$A$6:$A$76,"&lt;="&amp;F43)</f>
        <v/>
      </c>
      <c r="K43" s="15">
        <f>J43*'클럭 정리'!$B$2/100</f>
        <v/>
      </c>
    </row>
    <row r="44">
      <c r="A44" s="13" t="inlineStr">
        <is>
          <t>병렬도 12 분할 36</t>
        </is>
      </c>
      <c r="B44" s="13" t="n">
        <v>1</v>
      </c>
      <c r="C44" s="13" t="inlineStr">
        <is>
          <t>ForkJoinPool-11-worker-12</t>
        </is>
      </c>
      <c r="D44" s="12" t="inlineStr">
        <is>
          <t>워커</t>
        </is>
      </c>
      <c r="E44" s="10" t="n">
        <v>46238.65774821759</v>
      </c>
      <c r="F44" s="10" t="n">
        <v>46238.65776447643</v>
      </c>
      <c r="G44" s="13" t="n">
        <v>137</v>
      </c>
      <c r="H44" s="14" t="n">
        <v>1197.3824</v>
      </c>
      <c r="I44" s="13">
        <f>COUNTIFS('클럭 정리'!$A$6:$A$76,"&gt;="&amp;E44,'클럭 정리'!$A$6:$A$76,"&lt;="&amp;F44)</f>
        <v/>
      </c>
      <c r="J44" s="14">
        <f>AVERAGEIFS('클럭 정리'!$N$6:$N$76,'클럭 정리'!$A$6:$A$76,"&gt;="&amp;E44,'클럭 정리'!$A$6:$A$76,"&lt;="&amp;F44)</f>
        <v/>
      </c>
      <c r="K44" s="15">
        <f>J44*'클럭 정리'!$B$2/100</f>
        <v/>
      </c>
    </row>
    <row r="45">
      <c r="A45" s="13" t="inlineStr">
        <is>
          <t>병렬도 12 분할 36</t>
        </is>
      </c>
      <c r="B45" s="13" t="n">
        <v>1</v>
      </c>
      <c r="C45" s="13" t="inlineStr">
        <is>
          <t>ForkJoinPool-11-worker-2</t>
        </is>
      </c>
      <c r="D45" s="12" t="inlineStr">
        <is>
          <t>워커</t>
        </is>
      </c>
      <c r="E45" s="10" t="n">
        <v>46238.6577481713</v>
      </c>
      <c r="F45" s="10" t="n">
        <v>46238.65776451757</v>
      </c>
      <c r="G45" s="13" t="n">
        <v>139</v>
      </c>
      <c r="H45" s="14" t="n">
        <v>1201.8371</v>
      </c>
      <c r="I45" s="13">
        <f>COUNTIFS('클럭 정리'!$A$6:$A$76,"&gt;="&amp;E45,'클럭 정리'!$A$6:$A$76,"&lt;="&amp;F45)</f>
        <v/>
      </c>
      <c r="J45" s="14">
        <f>AVERAGEIFS('클럭 정리'!$N$6:$N$76,'클럭 정리'!$A$6:$A$76,"&gt;="&amp;E45,'클럭 정리'!$A$6:$A$76,"&lt;="&amp;F45)</f>
        <v/>
      </c>
      <c r="K45" s="15">
        <f>J45*'클럭 정리'!$B$2/100</f>
        <v/>
      </c>
    </row>
    <row r="46">
      <c r="A46" s="13" t="inlineStr">
        <is>
          <t>병렬도 12 분할 36</t>
        </is>
      </c>
      <c r="B46" s="13" t="n">
        <v>1</v>
      </c>
      <c r="C46" s="13" t="inlineStr">
        <is>
          <t>ForkJoinPool-11-worker-3</t>
        </is>
      </c>
      <c r="D46" s="12" t="inlineStr">
        <is>
          <t>워커</t>
        </is>
      </c>
      <c r="E46" s="10" t="n">
        <v>46238.65774818287</v>
      </c>
      <c r="F46" s="10" t="n">
        <v>46238.65776442253</v>
      </c>
      <c r="G46" s="13" t="n">
        <v>143</v>
      </c>
      <c r="H46" s="14" t="n">
        <v>1235.8037</v>
      </c>
      <c r="I46" s="13">
        <f>COUNTIFS('클럭 정리'!$A$6:$A$76,"&gt;="&amp;E46,'클럭 정리'!$A$6:$A$76,"&lt;="&amp;F46)</f>
        <v/>
      </c>
      <c r="J46" s="14">
        <f>AVERAGEIFS('클럭 정리'!$N$6:$N$76,'클럭 정리'!$A$6:$A$76,"&gt;="&amp;E46,'클럭 정리'!$A$6:$A$76,"&lt;="&amp;F46)</f>
        <v/>
      </c>
      <c r="K46" s="15">
        <f>J46*'클럭 정리'!$B$2/100</f>
        <v/>
      </c>
    </row>
    <row r="47">
      <c r="A47" s="13" t="inlineStr">
        <is>
          <t>병렬도 12 분할 36</t>
        </is>
      </c>
      <c r="B47" s="13" t="n">
        <v>1</v>
      </c>
      <c r="C47" s="13" t="inlineStr">
        <is>
          <t>ForkJoinPool-11-worker-4</t>
        </is>
      </c>
      <c r="D47" s="12" t="inlineStr">
        <is>
          <t>워커</t>
        </is>
      </c>
      <c r="E47" s="10" t="n">
        <v>46238.6577481713</v>
      </c>
      <c r="F47" s="10" t="n">
        <v>46238.65776446146</v>
      </c>
      <c r="G47" s="13" t="n">
        <v>134</v>
      </c>
      <c r="H47" s="14" t="n">
        <v>1158.9216</v>
      </c>
      <c r="I47" s="13">
        <f>COUNTIFS('클럭 정리'!$A$6:$A$76,"&gt;="&amp;E47,'클럭 정리'!$A$6:$A$76,"&lt;="&amp;F47)</f>
        <v/>
      </c>
      <c r="J47" s="14">
        <f>AVERAGEIFS('클럭 정리'!$N$6:$N$76,'클럭 정리'!$A$6:$A$76,"&gt;="&amp;E47,'클럭 정리'!$A$6:$A$76,"&lt;="&amp;F47)</f>
        <v/>
      </c>
      <c r="K47" s="15">
        <f>J47*'클럭 정리'!$B$2/100</f>
        <v/>
      </c>
    </row>
    <row r="48">
      <c r="A48" s="13" t="inlineStr">
        <is>
          <t>병렬도 12 분할 36</t>
        </is>
      </c>
      <c r="B48" s="13" t="n">
        <v>1</v>
      </c>
      <c r="C48" s="13" t="inlineStr">
        <is>
          <t>ForkJoinPool-11-worker-5</t>
        </is>
      </c>
      <c r="D48" s="12" t="inlineStr">
        <is>
          <t>워커</t>
        </is>
      </c>
      <c r="E48" s="10" t="n">
        <v>46238.6577481713</v>
      </c>
      <c r="F48" s="10" t="n">
        <v>46238.65776442186</v>
      </c>
      <c r="G48" s="13" t="n">
        <v>121</v>
      </c>
      <c r="H48" s="14" t="n">
        <v>1104.6418</v>
      </c>
      <c r="I48" s="13">
        <f>COUNTIFS('클럭 정리'!$A$6:$A$76,"&gt;="&amp;E48,'클럭 정리'!$A$6:$A$76,"&lt;="&amp;F48)</f>
        <v/>
      </c>
      <c r="J48" s="14">
        <f>AVERAGEIFS('클럭 정리'!$N$6:$N$76,'클럭 정리'!$A$6:$A$76,"&gt;="&amp;E48,'클럭 정리'!$A$6:$A$76,"&lt;="&amp;F48)</f>
        <v/>
      </c>
      <c r="K48" s="15">
        <f>J48*'클럭 정리'!$B$2/100</f>
        <v/>
      </c>
    </row>
    <row r="49">
      <c r="A49" s="13" t="inlineStr">
        <is>
          <t>병렬도 12 분할 36</t>
        </is>
      </c>
      <c r="B49" s="13" t="n">
        <v>1</v>
      </c>
      <c r="C49" s="13" t="inlineStr">
        <is>
          <t>ForkJoinPool-11-worker-6</t>
        </is>
      </c>
      <c r="D49" s="12" t="inlineStr">
        <is>
          <t>워커</t>
        </is>
      </c>
      <c r="E49" s="10" t="n">
        <v>46238.65774818287</v>
      </c>
      <c r="F49" s="10" t="n">
        <v>46238.657764519</v>
      </c>
      <c r="G49" s="13" t="n">
        <v>142</v>
      </c>
      <c r="H49" s="14" t="n">
        <v>1221.8664</v>
      </c>
      <c r="I49" s="13">
        <f>COUNTIFS('클럭 정리'!$A$6:$A$76,"&gt;="&amp;E49,'클럭 정리'!$A$6:$A$76,"&lt;="&amp;F49)</f>
        <v/>
      </c>
      <c r="J49" s="14">
        <f>AVERAGEIFS('클럭 정리'!$N$6:$N$76,'클럭 정리'!$A$6:$A$76,"&gt;="&amp;E49,'클럭 정리'!$A$6:$A$76,"&lt;="&amp;F49)</f>
        <v/>
      </c>
      <c r="K49" s="15">
        <f>J49*'클럭 정리'!$B$2/100</f>
        <v/>
      </c>
    </row>
    <row r="50">
      <c r="A50" s="13" t="inlineStr">
        <is>
          <t>병렬도 12 분할 36</t>
        </is>
      </c>
      <c r="B50" s="13" t="n">
        <v>1</v>
      </c>
      <c r="C50" s="13" t="inlineStr">
        <is>
          <t>ForkJoinPool-11-worker-7</t>
        </is>
      </c>
      <c r="D50" s="12" t="inlineStr">
        <is>
          <t>워커</t>
        </is>
      </c>
      <c r="E50" s="10" t="n">
        <v>46238.6577481713</v>
      </c>
      <c r="F50" s="10" t="n">
        <v>46238.65776452021</v>
      </c>
      <c r="G50" s="13" t="n">
        <v>135</v>
      </c>
      <c r="H50" s="14" t="n">
        <v>1187.4387</v>
      </c>
      <c r="I50" s="13">
        <f>COUNTIFS('클럭 정리'!$A$6:$A$76,"&gt;="&amp;E50,'클럭 정리'!$A$6:$A$76,"&lt;="&amp;F50)</f>
        <v/>
      </c>
      <c r="J50" s="14">
        <f>AVERAGEIFS('클럭 정리'!$N$6:$N$76,'클럭 정리'!$A$6:$A$76,"&gt;="&amp;E50,'클럭 정리'!$A$6:$A$76,"&lt;="&amp;F50)</f>
        <v/>
      </c>
      <c r="K50" s="15">
        <f>J50*'클럭 정리'!$B$2/100</f>
        <v/>
      </c>
    </row>
    <row r="51">
      <c r="A51" s="13" t="inlineStr">
        <is>
          <t>병렬도 12 분할 36</t>
        </is>
      </c>
      <c r="B51" s="13" t="n">
        <v>1</v>
      </c>
      <c r="C51" s="13" t="inlineStr">
        <is>
          <t>ForkJoinPool-11-worker-8</t>
        </is>
      </c>
      <c r="D51" s="12" t="inlineStr">
        <is>
          <t>워커</t>
        </is>
      </c>
      <c r="E51" s="10" t="n">
        <v>46238.65774818287</v>
      </c>
      <c r="F51" s="10" t="n">
        <v>46238.65776440834</v>
      </c>
      <c r="G51" s="13" t="n">
        <v>138</v>
      </c>
      <c r="H51" s="14" t="n">
        <v>1193.7092</v>
      </c>
      <c r="I51" s="13">
        <f>COUNTIFS('클럭 정리'!$A$6:$A$76,"&gt;="&amp;E51,'클럭 정리'!$A$6:$A$76,"&lt;="&amp;F51)</f>
        <v/>
      </c>
      <c r="J51" s="14">
        <f>AVERAGEIFS('클럭 정리'!$N$6:$N$76,'클럭 정리'!$A$6:$A$76,"&gt;="&amp;E51,'클럭 정리'!$A$6:$A$76,"&lt;="&amp;F51)</f>
        <v/>
      </c>
      <c r="K51" s="15">
        <f>J51*'클럭 정리'!$B$2/100</f>
        <v/>
      </c>
    </row>
    <row r="52">
      <c r="A52" s="13" t="inlineStr">
        <is>
          <t>병렬도 12 분할 36</t>
        </is>
      </c>
      <c r="B52" s="13" t="n">
        <v>1</v>
      </c>
      <c r="C52" s="13" t="inlineStr">
        <is>
          <t>ForkJoinPool-11-worker-9</t>
        </is>
      </c>
      <c r="D52" s="12" t="inlineStr">
        <is>
          <t>워커</t>
        </is>
      </c>
      <c r="E52" s="10" t="n">
        <v>46238.65774818287</v>
      </c>
      <c r="F52" s="10" t="n">
        <v>46238.65776446238</v>
      </c>
      <c r="G52" s="13" t="n">
        <v>132</v>
      </c>
      <c r="H52" s="14" t="n">
        <v>1169.7181</v>
      </c>
      <c r="I52" s="13">
        <f>COUNTIFS('클럭 정리'!$A$6:$A$76,"&gt;="&amp;E52,'클럭 정리'!$A$6:$A$76,"&lt;="&amp;F52)</f>
        <v/>
      </c>
      <c r="J52" s="14">
        <f>AVERAGEIFS('클럭 정리'!$N$6:$N$76,'클럭 정리'!$A$6:$A$76,"&gt;="&amp;E52,'클럭 정리'!$A$6:$A$76,"&lt;="&amp;F52)</f>
        <v/>
      </c>
      <c r="K52" s="15">
        <f>J52*'클럭 정리'!$B$2/100</f>
        <v/>
      </c>
    </row>
    <row r="53">
      <c r="A53" s="13" t="inlineStr">
        <is>
          <t>병렬도 12 분할 36</t>
        </is>
      </c>
      <c r="B53" s="13" t="n">
        <v>1</v>
      </c>
      <c r="C53" s="13" t="inlineStr">
        <is>
          <t>main</t>
        </is>
      </c>
      <c r="D53" s="12" t="inlineStr">
        <is>
          <t>main (활동 시간 합 = 그 회차 mainCPU, 창은 워커와 겹침)</t>
        </is>
      </c>
      <c r="E53" s="10" t="n">
        <v>46238.65774815972</v>
      </c>
      <c r="F53" s="10" t="n">
        <v>46238.65776452026</v>
      </c>
      <c r="G53" s="13" t="n">
        <v>45</v>
      </c>
      <c r="H53" s="14" t="n">
        <v>15.625</v>
      </c>
      <c r="I53" s="13">
        <f>COUNTIFS('클럭 정리'!$A$6:$A$76,"&gt;="&amp;E53,'클럭 정리'!$A$6:$A$76,"&lt;="&amp;F53)</f>
        <v/>
      </c>
      <c r="J53" s="14">
        <f>AVERAGEIFS('클럭 정리'!$N$6:$N$76,'클럭 정리'!$A$6:$A$76,"&gt;="&amp;E53,'클럭 정리'!$A$6:$A$76,"&lt;="&amp;F53)</f>
        <v/>
      </c>
      <c r="K53" s="15">
        <f>J53*'클럭 정리'!$B$2/100</f>
        <v/>
      </c>
    </row>
    <row r="54">
      <c r="A54" s="13" t="inlineStr">
        <is>
          <t>병렬도 12 분할 36</t>
        </is>
      </c>
      <c r="B54" s="13" t="n">
        <v>2</v>
      </c>
      <c r="C54" s="13" t="inlineStr">
        <is>
          <t>ForkJoinPool-12-worker-1</t>
        </is>
      </c>
      <c r="D54" s="12" t="inlineStr">
        <is>
          <t>워커</t>
        </is>
      </c>
      <c r="E54" s="10" t="n">
        <v>46238.65776454861</v>
      </c>
      <c r="F54" s="10" t="n">
        <v>46238.65778079184</v>
      </c>
      <c r="G54" s="13" t="n">
        <v>135</v>
      </c>
      <c r="H54" s="14" t="n">
        <v>1187.3972</v>
      </c>
      <c r="I54" s="13">
        <f>COUNTIFS('클럭 정리'!$A$6:$A$76,"&gt;="&amp;E54,'클럭 정리'!$A$6:$A$76,"&lt;="&amp;F54)</f>
        <v/>
      </c>
      <c r="J54" s="14">
        <f>AVERAGEIFS('클럭 정리'!$N$6:$N$76,'클럭 정리'!$A$6:$A$76,"&gt;="&amp;E54,'클럭 정리'!$A$6:$A$76,"&lt;="&amp;F54)</f>
        <v/>
      </c>
      <c r="K54" s="15">
        <f>J54*'클럭 정리'!$B$2/100</f>
        <v/>
      </c>
    </row>
    <row r="55">
      <c r="A55" s="13" t="inlineStr">
        <is>
          <t>병렬도 12 분할 36</t>
        </is>
      </c>
      <c r="B55" s="13" t="n">
        <v>2</v>
      </c>
      <c r="C55" s="13" t="inlineStr">
        <is>
          <t>ForkJoinPool-12-worker-10</t>
        </is>
      </c>
      <c r="D55" s="12" t="inlineStr">
        <is>
          <t>워커</t>
        </is>
      </c>
      <c r="E55" s="10" t="n">
        <v>46238.65776456019</v>
      </c>
      <c r="F55" s="10" t="n">
        <v>46238.65778087176</v>
      </c>
      <c r="G55" s="13" t="n">
        <v>130</v>
      </c>
      <c r="H55" s="14" t="n">
        <v>1165.8575</v>
      </c>
      <c r="I55" s="13">
        <f>COUNTIFS('클럭 정리'!$A$6:$A$76,"&gt;="&amp;E55,'클럭 정리'!$A$6:$A$76,"&lt;="&amp;F55)</f>
        <v/>
      </c>
      <c r="J55" s="14">
        <f>AVERAGEIFS('클럭 정리'!$N$6:$N$76,'클럭 정리'!$A$6:$A$76,"&gt;="&amp;E55,'클럭 정리'!$A$6:$A$76,"&lt;="&amp;F55)</f>
        <v/>
      </c>
      <c r="K55" s="15">
        <f>J55*'클럭 정리'!$B$2/100</f>
        <v/>
      </c>
    </row>
    <row r="56">
      <c r="A56" s="13" t="inlineStr">
        <is>
          <t>병렬도 12 분할 36</t>
        </is>
      </c>
      <c r="B56" s="13" t="n">
        <v>2</v>
      </c>
      <c r="C56" s="13" t="inlineStr">
        <is>
          <t>ForkJoinPool-12-worker-11</t>
        </is>
      </c>
      <c r="D56" s="12" t="inlineStr">
        <is>
          <t>워커</t>
        </is>
      </c>
      <c r="E56" s="10" t="n">
        <v>46238.65776457176</v>
      </c>
      <c r="F56" s="10" t="n">
        <v>46238.65778084964</v>
      </c>
      <c r="G56" s="13" t="n">
        <v>131</v>
      </c>
      <c r="H56" s="14" t="n">
        <v>1192.0529</v>
      </c>
      <c r="I56" s="13">
        <f>COUNTIFS('클럭 정리'!$A$6:$A$76,"&gt;="&amp;E56,'클럭 정리'!$A$6:$A$76,"&lt;="&amp;F56)</f>
        <v/>
      </c>
      <c r="J56" s="14">
        <f>AVERAGEIFS('클럭 정리'!$N$6:$N$76,'클럭 정리'!$A$6:$A$76,"&gt;="&amp;E56,'클럭 정리'!$A$6:$A$76,"&lt;="&amp;F56)</f>
        <v/>
      </c>
      <c r="K56" s="15">
        <f>J56*'클럭 정리'!$B$2/100</f>
        <v/>
      </c>
    </row>
    <row r="57">
      <c r="A57" s="13" t="inlineStr">
        <is>
          <t>병렬도 12 분할 36</t>
        </is>
      </c>
      <c r="B57" s="13" t="n">
        <v>2</v>
      </c>
      <c r="C57" s="13" t="inlineStr">
        <is>
          <t>ForkJoinPool-12-worker-12</t>
        </is>
      </c>
      <c r="D57" s="12" t="inlineStr">
        <is>
          <t>워커</t>
        </is>
      </c>
      <c r="E57" s="10" t="n">
        <v>46238.65776457176</v>
      </c>
      <c r="F57" s="10" t="n">
        <v>46238.65778085432</v>
      </c>
      <c r="G57" s="13" t="n">
        <v>140</v>
      </c>
      <c r="H57" s="14" t="n">
        <v>1213.7029</v>
      </c>
      <c r="I57" s="13">
        <f>COUNTIFS('클럭 정리'!$A$6:$A$76,"&gt;="&amp;E57,'클럭 정리'!$A$6:$A$76,"&lt;="&amp;F57)</f>
        <v/>
      </c>
      <c r="J57" s="14">
        <f>AVERAGEIFS('클럭 정리'!$N$6:$N$76,'클럭 정리'!$A$6:$A$76,"&gt;="&amp;E57,'클럭 정리'!$A$6:$A$76,"&lt;="&amp;F57)</f>
        <v/>
      </c>
      <c r="K57" s="15">
        <f>J57*'클럭 정리'!$B$2/100</f>
        <v/>
      </c>
    </row>
    <row r="58">
      <c r="A58" s="13" t="inlineStr">
        <is>
          <t>병렬도 12 분할 36</t>
        </is>
      </c>
      <c r="B58" s="13" t="n">
        <v>2</v>
      </c>
      <c r="C58" s="13" t="inlineStr">
        <is>
          <t>ForkJoinPool-12-worker-2</t>
        </is>
      </c>
      <c r="D58" s="12" t="inlineStr">
        <is>
          <t>워커</t>
        </is>
      </c>
      <c r="E58" s="10" t="n">
        <v>46238.65776454861</v>
      </c>
      <c r="F58" s="10" t="n">
        <v>46238.65778079908</v>
      </c>
      <c r="G58" s="13" t="n">
        <v>136</v>
      </c>
      <c r="H58" s="14" t="n">
        <v>1166.6178</v>
      </c>
      <c r="I58" s="13">
        <f>COUNTIFS('클럭 정리'!$A$6:$A$76,"&gt;="&amp;E58,'클럭 정리'!$A$6:$A$76,"&lt;="&amp;F58)</f>
        <v/>
      </c>
      <c r="J58" s="14">
        <f>AVERAGEIFS('클럭 정리'!$N$6:$N$76,'클럭 정리'!$A$6:$A$76,"&gt;="&amp;E58,'클럭 정리'!$A$6:$A$76,"&lt;="&amp;F58)</f>
        <v/>
      </c>
      <c r="K58" s="15">
        <f>J58*'클럭 정리'!$B$2/100</f>
        <v/>
      </c>
    </row>
    <row r="59">
      <c r="A59" s="13" t="inlineStr">
        <is>
          <t>병렬도 12 분할 36</t>
        </is>
      </c>
      <c r="B59" s="13" t="n">
        <v>2</v>
      </c>
      <c r="C59" s="13" t="inlineStr">
        <is>
          <t>ForkJoinPool-12-worker-3</t>
        </is>
      </c>
      <c r="D59" s="12" t="inlineStr">
        <is>
          <t>워커</t>
        </is>
      </c>
      <c r="E59" s="10" t="n">
        <v>46238.65776454861</v>
      </c>
      <c r="F59" s="10" t="n">
        <v>46238.65778087803</v>
      </c>
      <c r="G59" s="13" t="n">
        <v>137</v>
      </c>
      <c r="H59" s="14" t="n">
        <v>1174.6501</v>
      </c>
      <c r="I59" s="13">
        <f>COUNTIFS('클럭 정리'!$A$6:$A$76,"&gt;="&amp;E59,'클럭 정리'!$A$6:$A$76,"&lt;="&amp;F59)</f>
        <v/>
      </c>
      <c r="J59" s="14">
        <f>AVERAGEIFS('클럭 정리'!$N$6:$N$76,'클럭 정리'!$A$6:$A$76,"&gt;="&amp;E59,'클럭 정리'!$A$6:$A$76,"&lt;="&amp;F59)</f>
        <v/>
      </c>
      <c r="K59" s="15">
        <f>J59*'클럭 정리'!$B$2/100</f>
        <v/>
      </c>
    </row>
    <row r="60">
      <c r="A60" s="13" t="inlineStr">
        <is>
          <t>병렬도 12 분할 36</t>
        </is>
      </c>
      <c r="B60" s="13" t="n">
        <v>2</v>
      </c>
      <c r="C60" s="13" t="inlineStr">
        <is>
          <t>ForkJoinPool-12-worker-4</t>
        </is>
      </c>
      <c r="D60" s="12" t="inlineStr">
        <is>
          <t>워커</t>
        </is>
      </c>
      <c r="E60" s="10" t="n">
        <v>46238.65776456019</v>
      </c>
      <c r="F60" s="10" t="n">
        <v>46238.65778071248</v>
      </c>
      <c r="G60" s="13" t="n">
        <v>129</v>
      </c>
      <c r="H60" s="14" t="n">
        <v>1162.9258</v>
      </c>
      <c r="I60" s="13">
        <f>COUNTIFS('클럭 정리'!$A$6:$A$76,"&gt;="&amp;E60,'클럭 정리'!$A$6:$A$76,"&lt;="&amp;F60)</f>
        <v/>
      </c>
      <c r="J60" s="14">
        <f>AVERAGEIFS('클럭 정리'!$N$6:$N$76,'클럭 정리'!$A$6:$A$76,"&gt;="&amp;E60,'클럭 정리'!$A$6:$A$76,"&lt;="&amp;F60)</f>
        <v/>
      </c>
      <c r="K60" s="15">
        <f>J60*'클럭 정리'!$B$2/100</f>
        <v/>
      </c>
    </row>
    <row r="61">
      <c r="A61" s="13" t="inlineStr">
        <is>
          <t>병렬도 12 분할 36</t>
        </is>
      </c>
      <c r="B61" s="13" t="n">
        <v>2</v>
      </c>
      <c r="C61" s="13" t="inlineStr">
        <is>
          <t>ForkJoinPool-12-worker-5</t>
        </is>
      </c>
      <c r="D61" s="12" t="inlineStr">
        <is>
          <t>워커</t>
        </is>
      </c>
      <c r="E61" s="10" t="n">
        <v>46238.65776456019</v>
      </c>
      <c r="F61" s="10" t="n">
        <v>46238.65778085044</v>
      </c>
      <c r="G61" s="13" t="n">
        <v>136</v>
      </c>
      <c r="H61" s="14" t="n">
        <v>1252.6309</v>
      </c>
      <c r="I61" s="13">
        <f>COUNTIFS('클럭 정리'!$A$6:$A$76,"&gt;="&amp;E61,'클럭 정리'!$A$6:$A$76,"&lt;="&amp;F61)</f>
        <v/>
      </c>
      <c r="J61" s="14">
        <f>AVERAGEIFS('클럭 정리'!$N$6:$N$76,'클럭 정리'!$A$6:$A$76,"&gt;="&amp;E61,'클럭 정리'!$A$6:$A$76,"&lt;="&amp;F61)</f>
        <v/>
      </c>
      <c r="K61" s="15">
        <f>J61*'클럭 정리'!$B$2/100</f>
        <v/>
      </c>
    </row>
    <row r="62">
      <c r="A62" s="13" t="inlineStr">
        <is>
          <t>병렬도 12 분할 36</t>
        </is>
      </c>
      <c r="B62" s="13" t="n">
        <v>2</v>
      </c>
      <c r="C62" s="13" t="inlineStr">
        <is>
          <t>ForkJoinPool-12-worker-6</t>
        </is>
      </c>
      <c r="D62" s="12" t="inlineStr">
        <is>
          <t>워커</t>
        </is>
      </c>
      <c r="E62" s="10" t="n">
        <v>46238.65776456019</v>
      </c>
      <c r="F62" s="10" t="n">
        <v>46238.6577808279</v>
      </c>
      <c r="G62" s="13" t="n">
        <v>143</v>
      </c>
      <c r="H62" s="14" t="n">
        <v>1192.2073</v>
      </c>
      <c r="I62" s="13">
        <f>COUNTIFS('클럭 정리'!$A$6:$A$76,"&gt;="&amp;E62,'클럭 정리'!$A$6:$A$76,"&lt;="&amp;F62)</f>
        <v/>
      </c>
      <c r="J62" s="14">
        <f>AVERAGEIFS('클럭 정리'!$N$6:$N$76,'클럭 정리'!$A$6:$A$76,"&gt;="&amp;E62,'클럭 정리'!$A$6:$A$76,"&lt;="&amp;F62)</f>
        <v/>
      </c>
      <c r="K62" s="15">
        <f>J62*'클럭 정리'!$B$2/100</f>
        <v/>
      </c>
    </row>
    <row r="63">
      <c r="A63" s="13" t="inlineStr">
        <is>
          <t>병렬도 12 분할 36</t>
        </is>
      </c>
      <c r="B63" s="13" t="n">
        <v>2</v>
      </c>
      <c r="C63" s="13" t="inlineStr">
        <is>
          <t>ForkJoinPool-12-worker-7</t>
        </is>
      </c>
      <c r="D63" s="12" t="inlineStr">
        <is>
          <t>워커</t>
        </is>
      </c>
      <c r="E63" s="10" t="n">
        <v>46238.65776456019</v>
      </c>
      <c r="F63" s="10" t="n">
        <v>46238.65778086618</v>
      </c>
      <c r="G63" s="13" t="n">
        <v>134</v>
      </c>
      <c r="H63" s="14" t="n">
        <v>1163.25</v>
      </c>
      <c r="I63" s="13">
        <f>COUNTIFS('클럭 정리'!$A$6:$A$76,"&gt;="&amp;E63,'클럭 정리'!$A$6:$A$76,"&lt;="&amp;F63)</f>
        <v/>
      </c>
      <c r="J63" s="14">
        <f>AVERAGEIFS('클럭 정리'!$N$6:$N$76,'클럭 정리'!$A$6:$A$76,"&gt;="&amp;E63,'클럭 정리'!$A$6:$A$76,"&lt;="&amp;F63)</f>
        <v/>
      </c>
      <c r="K63" s="15">
        <f>J63*'클럭 정리'!$B$2/100</f>
        <v/>
      </c>
    </row>
    <row r="64">
      <c r="A64" s="13" t="inlineStr">
        <is>
          <t>병렬도 12 분할 36</t>
        </is>
      </c>
      <c r="B64" s="13" t="n">
        <v>2</v>
      </c>
      <c r="C64" s="13" t="inlineStr">
        <is>
          <t>ForkJoinPool-12-worker-8</t>
        </is>
      </c>
      <c r="D64" s="12" t="inlineStr">
        <is>
          <t>워커</t>
        </is>
      </c>
      <c r="E64" s="10" t="n">
        <v>46238.65776456019</v>
      </c>
      <c r="F64" s="10" t="n">
        <v>46238.65778081577</v>
      </c>
      <c r="G64" s="13" t="n">
        <v>134</v>
      </c>
      <c r="H64" s="14" t="n">
        <v>1168.6631</v>
      </c>
      <c r="I64" s="13">
        <f>COUNTIFS('클럭 정리'!$A$6:$A$76,"&gt;="&amp;E64,'클럭 정리'!$A$6:$A$76,"&lt;="&amp;F64)</f>
        <v/>
      </c>
      <c r="J64" s="14">
        <f>AVERAGEIFS('클럭 정리'!$N$6:$N$76,'클럭 정리'!$A$6:$A$76,"&gt;="&amp;E64,'클럭 정리'!$A$6:$A$76,"&lt;="&amp;F64)</f>
        <v/>
      </c>
      <c r="K64" s="15">
        <f>J64*'클럭 정리'!$B$2/100</f>
        <v/>
      </c>
    </row>
    <row r="65">
      <c r="A65" s="13" t="inlineStr">
        <is>
          <t>병렬도 12 분할 36</t>
        </is>
      </c>
      <c r="B65" s="13" t="n">
        <v>2</v>
      </c>
      <c r="C65" s="13" t="inlineStr">
        <is>
          <t>ForkJoinPool-12-worker-9</t>
        </is>
      </c>
      <c r="D65" s="12" t="inlineStr">
        <is>
          <t>워커</t>
        </is>
      </c>
      <c r="E65" s="10" t="n">
        <v>46238.65776456019</v>
      </c>
      <c r="F65" s="10" t="n">
        <v>46238.65778087826</v>
      </c>
      <c r="G65" s="13" t="n">
        <v>135</v>
      </c>
      <c r="H65" s="14" t="n">
        <v>1186.9639</v>
      </c>
      <c r="I65" s="13">
        <f>COUNTIFS('클럭 정리'!$A$6:$A$76,"&gt;="&amp;E65,'클럭 정리'!$A$6:$A$76,"&lt;="&amp;F65)</f>
        <v/>
      </c>
      <c r="J65" s="14">
        <f>AVERAGEIFS('클럭 정리'!$N$6:$N$76,'클럭 정리'!$A$6:$A$76,"&gt;="&amp;E65,'클럭 정리'!$A$6:$A$76,"&lt;="&amp;F65)</f>
        <v/>
      </c>
      <c r="K65" s="15">
        <f>J65*'클럭 정리'!$B$2/100</f>
        <v/>
      </c>
    </row>
    <row r="66">
      <c r="A66" s="13" t="inlineStr">
        <is>
          <t>병렬도 12 분할 36</t>
        </is>
      </c>
      <c r="B66" s="13" t="n">
        <v>2</v>
      </c>
      <c r="C66" s="13" t="inlineStr">
        <is>
          <t>main</t>
        </is>
      </c>
      <c r="D66" s="12" t="inlineStr">
        <is>
          <t>main (활동 시간 합 = 그 회차 mainCPU, 창은 워커와 겹침)</t>
        </is>
      </c>
      <c r="E66" s="10" t="n">
        <v>46238.65776453703</v>
      </c>
      <c r="F66" s="10" t="n">
        <v>46238.65778087581</v>
      </c>
      <c r="G66" s="13" t="n">
        <v>45</v>
      </c>
      <c r="H66" s="14" t="n">
        <v>15.625</v>
      </c>
      <c r="I66" s="13">
        <f>COUNTIFS('클럭 정리'!$A$6:$A$76,"&gt;="&amp;E66,'클럭 정리'!$A$6:$A$76,"&lt;="&amp;F66)</f>
        <v/>
      </c>
      <c r="J66" s="14">
        <f>AVERAGEIFS('클럭 정리'!$N$6:$N$76,'클럭 정리'!$A$6:$A$76,"&gt;="&amp;E66,'클럭 정리'!$A$6:$A$76,"&lt;="&amp;F66)</f>
        <v/>
      </c>
      <c r="K66" s="15">
        <f>J66*'클럭 정리'!$B$2/100</f>
        <v/>
      </c>
    </row>
    <row r="67">
      <c r="A67" s="13" t="inlineStr">
        <is>
          <t>병렬도 12 분할 36</t>
        </is>
      </c>
      <c r="B67" s="13" t="n">
        <v>3</v>
      </c>
      <c r="C67" s="13" t="inlineStr">
        <is>
          <t>ForkJoinPool-13-worker-1</t>
        </is>
      </c>
      <c r="D67" s="12" t="inlineStr">
        <is>
          <t>워커</t>
        </is>
      </c>
      <c r="E67" s="10" t="n">
        <v>46238.65778090278</v>
      </c>
      <c r="F67" s="10" t="n">
        <v>46238.65779721538</v>
      </c>
      <c r="G67" s="13" t="n">
        <v>137</v>
      </c>
      <c r="H67" s="14" t="n">
        <v>1230.721</v>
      </c>
      <c r="I67" s="13">
        <f>COUNTIFS('클럭 정리'!$A$6:$A$76,"&gt;="&amp;E67,'클럭 정리'!$A$6:$A$76,"&lt;="&amp;F67)</f>
        <v/>
      </c>
      <c r="J67" s="14">
        <f>AVERAGEIFS('클럭 정리'!$N$6:$N$76,'클럭 정리'!$A$6:$A$76,"&gt;="&amp;E67,'클럭 정리'!$A$6:$A$76,"&lt;="&amp;F67)</f>
        <v/>
      </c>
      <c r="K67" s="15">
        <f>J67*'클럭 정리'!$B$2/100</f>
        <v/>
      </c>
    </row>
    <row r="68">
      <c r="A68" s="13" t="inlineStr">
        <is>
          <t>병렬도 12 분할 36</t>
        </is>
      </c>
      <c r="B68" s="13" t="n">
        <v>3</v>
      </c>
      <c r="C68" s="13" t="inlineStr">
        <is>
          <t>ForkJoinPool-13-worker-10</t>
        </is>
      </c>
      <c r="D68" s="12" t="inlineStr">
        <is>
          <t>워커</t>
        </is>
      </c>
      <c r="E68" s="10" t="n">
        <v>46238.65778092593</v>
      </c>
      <c r="F68" s="10" t="n">
        <v>46238.65779727346</v>
      </c>
      <c r="G68" s="13" t="n">
        <v>134</v>
      </c>
      <c r="H68" s="14" t="n">
        <v>1151.2174</v>
      </c>
      <c r="I68" s="13">
        <f>COUNTIFS('클럭 정리'!$A$6:$A$76,"&gt;="&amp;E68,'클럭 정리'!$A$6:$A$76,"&lt;="&amp;F68)</f>
        <v/>
      </c>
      <c r="J68" s="14">
        <f>AVERAGEIFS('클럭 정리'!$N$6:$N$76,'클럭 정리'!$A$6:$A$76,"&gt;="&amp;E68,'클럭 정리'!$A$6:$A$76,"&lt;="&amp;F68)</f>
        <v/>
      </c>
      <c r="K68" s="15">
        <f>J68*'클럭 정리'!$B$2/100</f>
        <v/>
      </c>
    </row>
    <row r="69">
      <c r="A69" s="13" t="inlineStr">
        <is>
          <t>병렬도 12 분할 36</t>
        </is>
      </c>
      <c r="B69" s="13" t="n">
        <v>3</v>
      </c>
      <c r="C69" s="13" t="inlineStr">
        <is>
          <t>ForkJoinPool-13-worker-11</t>
        </is>
      </c>
      <c r="D69" s="12" t="inlineStr">
        <is>
          <t>워커</t>
        </is>
      </c>
      <c r="E69" s="10" t="n">
        <v>46238.65778092593</v>
      </c>
      <c r="F69" s="10" t="n">
        <v>46238.65779730036</v>
      </c>
      <c r="G69" s="13" t="n">
        <v>132</v>
      </c>
      <c r="H69" s="14" t="n">
        <v>1180.4166</v>
      </c>
      <c r="I69" s="13">
        <f>COUNTIFS('클럭 정리'!$A$6:$A$76,"&gt;="&amp;E69,'클럭 정리'!$A$6:$A$76,"&lt;="&amp;F69)</f>
        <v/>
      </c>
      <c r="J69" s="14">
        <f>AVERAGEIFS('클럭 정리'!$N$6:$N$76,'클럭 정리'!$A$6:$A$76,"&gt;="&amp;E69,'클럭 정리'!$A$6:$A$76,"&lt;="&amp;F69)</f>
        <v/>
      </c>
      <c r="K69" s="15">
        <f>J69*'클럭 정리'!$B$2/100</f>
        <v/>
      </c>
    </row>
    <row r="70">
      <c r="A70" s="13" t="inlineStr">
        <is>
          <t>병렬도 12 분할 36</t>
        </is>
      </c>
      <c r="B70" s="13" t="n">
        <v>3</v>
      </c>
      <c r="C70" s="13" t="inlineStr">
        <is>
          <t>ForkJoinPool-13-worker-12</t>
        </is>
      </c>
      <c r="D70" s="12" t="inlineStr">
        <is>
          <t>워커</t>
        </is>
      </c>
      <c r="E70" s="10" t="n">
        <v>46238.65778096065</v>
      </c>
      <c r="F70" s="10" t="n">
        <v>46238.65779726803</v>
      </c>
      <c r="G70" s="13" t="n">
        <v>129</v>
      </c>
      <c r="H70" s="14" t="n">
        <v>1144.9852</v>
      </c>
      <c r="I70" s="13">
        <f>COUNTIFS('클럭 정리'!$A$6:$A$76,"&gt;="&amp;E70,'클럭 정리'!$A$6:$A$76,"&lt;="&amp;F70)</f>
        <v/>
      </c>
      <c r="J70" s="14">
        <f>AVERAGEIFS('클럭 정리'!$N$6:$N$76,'클럭 정리'!$A$6:$A$76,"&gt;="&amp;E70,'클럭 정리'!$A$6:$A$76,"&lt;="&amp;F70)</f>
        <v/>
      </c>
      <c r="K70" s="15">
        <f>J70*'클럭 정리'!$B$2/100</f>
        <v/>
      </c>
    </row>
    <row r="71">
      <c r="A71" s="13" t="inlineStr">
        <is>
          <t>병렬도 12 분할 36</t>
        </is>
      </c>
      <c r="B71" s="13" t="n">
        <v>3</v>
      </c>
      <c r="C71" s="13" t="inlineStr">
        <is>
          <t>ForkJoinPool-13-worker-2</t>
        </is>
      </c>
      <c r="D71" s="12" t="inlineStr">
        <is>
          <t>워커</t>
        </is>
      </c>
      <c r="E71" s="10" t="n">
        <v>46238.65778090278</v>
      </c>
      <c r="F71" s="10" t="n">
        <v>46238.65779731815</v>
      </c>
      <c r="G71" s="13" t="n">
        <v>134</v>
      </c>
      <c r="H71" s="14" t="n">
        <v>1217.1067</v>
      </c>
      <c r="I71" s="13">
        <f>COUNTIFS('클럭 정리'!$A$6:$A$76,"&gt;="&amp;E71,'클럭 정리'!$A$6:$A$76,"&lt;="&amp;F71)</f>
        <v/>
      </c>
      <c r="J71" s="14">
        <f>AVERAGEIFS('클럭 정리'!$N$6:$N$76,'클럭 정리'!$A$6:$A$76,"&gt;="&amp;E71,'클럭 정리'!$A$6:$A$76,"&lt;="&amp;F71)</f>
        <v/>
      </c>
      <c r="K71" s="15">
        <f>J71*'클럭 정리'!$B$2/100</f>
        <v/>
      </c>
    </row>
    <row r="72">
      <c r="A72" s="13" t="inlineStr">
        <is>
          <t>병렬도 12 분할 36</t>
        </is>
      </c>
      <c r="B72" s="13" t="n">
        <v>3</v>
      </c>
      <c r="C72" s="13" t="inlineStr">
        <is>
          <t>ForkJoinPool-13-worker-3</t>
        </is>
      </c>
      <c r="D72" s="12" t="inlineStr">
        <is>
          <t>워커</t>
        </is>
      </c>
      <c r="E72" s="10" t="n">
        <v>46238.65778091435</v>
      </c>
      <c r="F72" s="10" t="n">
        <v>46238.6577972772</v>
      </c>
      <c r="G72" s="13" t="n">
        <v>143</v>
      </c>
      <c r="H72" s="14" t="n">
        <v>1232.5284</v>
      </c>
      <c r="I72" s="13">
        <f>COUNTIFS('클럭 정리'!$A$6:$A$76,"&gt;="&amp;E72,'클럭 정리'!$A$6:$A$76,"&lt;="&amp;F72)</f>
        <v/>
      </c>
      <c r="J72" s="14">
        <f>AVERAGEIFS('클럭 정리'!$N$6:$N$76,'클럭 정리'!$A$6:$A$76,"&gt;="&amp;E72,'클럭 정리'!$A$6:$A$76,"&lt;="&amp;F72)</f>
        <v/>
      </c>
      <c r="K72" s="15">
        <f>J72*'클럭 정리'!$B$2/100</f>
        <v/>
      </c>
    </row>
    <row r="73">
      <c r="A73" s="13" t="inlineStr">
        <is>
          <t>병렬도 12 분할 36</t>
        </is>
      </c>
      <c r="B73" s="13" t="n">
        <v>3</v>
      </c>
      <c r="C73" s="13" t="inlineStr">
        <is>
          <t>ForkJoinPool-13-worker-4</t>
        </is>
      </c>
      <c r="D73" s="12" t="inlineStr">
        <is>
          <t>워커</t>
        </is>
      </c>
      <c r="E73" s="10" t="n">
        <v>46238.65778091435</v>
      </c>
      <c r="F73" s="10" t="n">
        <v>46238.65779727743</v>
      </c>
      <c r="G73" s="13" t="n">
        <v>138</v>
      </c>
      <c r="H73" s="14" t="n">
        <v>1207.5123</v>
      </c>
      <c r="I73" s="13">
        <f>COUNTIFS('클럭 정리'!$A$6:$A$76,"&gt;="&amp;E73,'클럭 정리'!$A$6:$A$76,"&lt;="&amp;F73)</f>
        <v/>
      </c>
      <c r="J73" s="14">
        <f>AVERAGEIFS('클럭 정리'!$N$6:$N$76,'클럭 정리'!$A$6:$A$76,"&gt;="&amp;E73,'클럭 정리'!$A$6:$A$76,"&lt;="&amp;F73)</f>
        <v/>
      </c>
      <c r="K73" s="15">
        <f>J73*'클럭 정리'!$B$2/100</f>
        <v/>
      </c>
    </row>
    <row r="74">
      <c r="A74" s="13" t="inlineStr">
        <is>
          <t>병렬도 12 분할 36</t>
        </is>
      </c>
      <c r="B74" s="13" t="n">
        <v>3</v>
      </c>
      <c r="C74" s="13" t="inlineStr">
        <is>
          <t>ForkJoinPool-13-worker-5</t>
        </is>
      </c>
      <c r="D74" s="12" t="inlineStr">
        <is>
          <t>워커</t>
        </is>
      </c>
      <c r="E74" s="10" t="n">
        <v>46238.65778091435</v>
      </c>
      <c r="F74" s="10" t="n">
        <v>46238.65779733215</v>
      </c>
      <c r="G74" s="13" t="n">
        <v>124</v>
      </c>
      <c r="H74" s="14" t="n">
        <v>1139.6339</v>
      </c>
      <c r="I74" s="13">
        <f>COUNTIFS('클럭 정리'!$A$6:$A$76,"&gt;="&amp;E74,'클럭 정리'!$A$6:$A$76,"&lt;="&amp;F74)</f>
        <v/>
      </c>
      <c r="J74" s="14">
        <f>AVERAGEIFS('클럭 정리'!$N$6:$N$76,'클럭 정리'!$A$6:$A$76,"&gt;="&amp;E74,'클럭 정리'!$A$6:$A$76,"&lt;="&amp;F74)</f>
        <v/>
      </c>
      <c r="K74" s="15">
        <f>J74*'클럭 정리'!$B$2/100</f>
        <v/>
      </c>
    </row>
    <row r="75">
      <c r="A75" s="13" t="inlineStr">
        <is>
          <t>병렬도 12 분할 36</t>
        </is>
      </c>
      <c r="B75" s="13" t="n">
        <v>3</v>
      </c>
      <c r="C75" s="13" t="inlineStr">
        <is>
          <t>ForkJoinPool-13-worker-6</t>
        </is>
      </c>
      <c r="D75" s="12" t="inlineStr">
        <is>
          <t>워커</t>
        </is>
      </c>
      <c r="E75" s="10" t="n">
        <v>46238.65778091435</v>
      </c>
      <c r="F75" s="10" t="n">
        <v>46238.65779732783</v>
      </c>
      <c r="G75" s="13" t="n">
        <v>143</v>
      </c>
      <c r="H75" s="14" t="n">
        <v>1201.5194</v>
      </c>
      <c r="I75" s="13">
        <f>COUNTIFS('클럭 정리'!$A$6:$A$76,"&gt;="&amp;E75,'클럭 정리'!$A$6:$A$76,"&lt;="&amp;F75)</f>
        <v/>
      </c>
      <c r="J75" s="14">
        <f>AVERAGEIFS('클럭 정리'!$N$6:$N$76,'클럭 정리'!$A$6:$A$76,"&gt;="&amp;E75,'클럭 정리'!$A$6:$A$76,"&lt;="&amp;F75)</f>
        <v/>
      </c>
      <c r="K75" s="15">
        <f>J75*'클럭 정리'!$B$2/100</f>
        <v/>
      </c>
    </row>
    <row r="76">
      <c r="A76" s="13" t="inlineStr">
        <is>
          <t>병렬도 12 분할 36</t>
        </is>
      </c>
      <c r="B76" s="13" t="n">
        <v>3</v>
      </c>
      <c r="C76" s="13" t="inlineStr">
        <is>
          <t>ForkJoinPool-13-worker-7</t>
        </is>
      </c>
      <c r="D76" s="12" t="inlineStr">
        <is>
          <t>워커</t>
        </is>
      </c>
      <c r="E76" s="10" t="n">
        <v>46238.65778092593</v>
      </c>
      <c r="F76" s="10" t="n">
        <v>46238.65779728912</v>
      </c>
      <c r="G76" s="13" t="n">
        <v>137</v>
      </c>
      <c r="H76" s="14" t="n">
        <v>1189.045</v>
      </c>
      <c r="I76" s="13">
        <f>COUNTIFS('클럭 정리'!$A$6:$A$76,"&gt;="&amp;E76,'클럭 정리'!$A$6:$A$76,"&lt;="&amp;F76)</f>
        <v/>
      </c>
      <c r="J76" s="14">
        <f>AVERAGEIFS('클럭 정리'!$N$6:$N$76,'클럭 정리'!$A$6:$A$76,"&gt;="&amp;E76,'클럭 정리'!$A$6:$A$76,"&lt;="&amp;F76)</f>
        <v/>
      </c>
      <c r="K76" s="15">
        <f>J76*'클럭 정리'!$B$2/100</f>
        <v/>
      </c>
    </row>
    <row r="77">
      <c r="A77" s="13" t="inlineStr">
        <is>
          <t>병렬도 12 분할 36</t>
        </is>
      </c>
      <c r="B77" s="13" t="n">
        <v>3</v>
      </c>
      <c r="C77" s="13" t="inlineStr">
        <is>
          <t>ForkJoinPool-13-worker-8</t>
        </is>
      </c>
      <c r="D77" s="12" t="inlineStr">
        <is>
          <t>워커</t>
        </is>
      </c>
      <c r="E77" s="10" t="n">
        <v>46238.65778092593</v>
      </c>
      <c r="F77" s="10" t="n">
        <v>46238.65779728733</v>
      </c>
      <c r="G77" s="13" t="n">
        <v>132</v>
      </c>
      <c r="H77" s="14" t="n">
        <v>1160.3601</v>
      </c>
      <c r="I77" s="13">
        <f>COUNTIFS('클럭 정리'!$A$6:$A$76,"&gt;="&amp;E77,'클럭 정리'!$A$6:$A$76,"&lt;="&amp;F77)</f>
        <v/>
      </c>
      <c r="J77" s="14">
        <f>AVERAGEIFS('클럭 정리'!$N$6:$N$76,'클럭 정리'!$A$6:$A$76,"&gt;="&amp;E77,'클럭 정리'!$A$6:$A$76,"&lt;="&amp;F77)</f>
        <v/>
      </c>
      <c r="K77" s="15">
        <f>J77*'클럭 정리'!$B$2/100</f>
        <v/>
      </c>
    </row>
    <row r="78">
      <c r="A78" s="13" t="inlineStr">
        <is>
          <t>병렬도 12 분할 36</t>
        </is>
      </c>
      <c r="B78" s="13" t="n">
        <v>3</v>
      </c>
      <c r="C78" s="13" t="inlineStr">
        <is>
          <t>ForkJoinPool-13-worker-9</t>
        </is>
      </c>
      <c r="D78" s="12" t="inlineStr">
        <is>
          <t>워커</t>
        </is>
      </c>
      <c r="E78" s="10" t="n">
        <v>46238.65778092593</v>
      </c>
      <c r="F78" s="10" t="n">
        <v>46238.65779727419</v>
      </c>
      <c r="G78" s="13" t="n">
        <v>137</v>
      </c>
      <c r="H78" s="14" t="n">
        <v>1177.8335</v>
      </c>
      <c r="I78" s="13">
        <f>COUNTIFS('클럭 정리'!$A$6:$A$76,"&gt;="&amp;E78,'클럭 정리'!$A$6:$A$76,"&lt;="&amp;F78)</f>
        <v/>
      </c>
      <c r="J78" s="14">
        <f>AVERAGEIFS('클럭 정리'!$N$6:$N$76,'클럭 정리'!$A$6:$A$76,"&gt;="&amp;E78,'클럭 정리'!$A$6:$A$76,"&lt;="&amp;F78)</f>
        <v/>
      </c>
      <c r="K78" s="15">
        <f>J78*'클럭 정리'!$B$2/100</f>
        <v/>
      </c>
    </row>
    <row r="79">
      <c r="A79" s="13" t="inlineStr">
        <is>
          <t>병렬도 12 분할 36</t>
        </is>
      </c>
      <c r="B79" s="13" t="n">
        <v>3</v>
      </c>
      <c r="C79" s="13" t="inlineStr">
        <is>
          <t>main</t>
        </is>
      </c>
      <c r="D79" s="12" t="inlineStr">
        <is>
          <t>main (활동 시간 합 = 그 회차 mainCPU, 창은 워커와 겹침)</t>
        </is>
      </c>
      <c r="E79" s="10" t="n">
        <v>46238.6577808912</v>
      </c>
      <c r="F79" s="10" t="n">
        <v>46238.65779733205</v>
      </c>
      <c r="G79" s="13" t="n">
        <v>45</v>
      </c>
      <c r="H79" s="14" t="n">
        <v>0</v>
      </c>
      <c r="I79" s="13">
        <f>COUNTIFS('클럭 정리'!$A$6:$A$76,"&gt;="&amp;E79,'클럭 정리'!$A$6:$A$76,"&lt;="&amp;F79)</f>
        <v/>
      </c>
      <c r="J79" s="14">
        <f>AVERAGEIFS('클럭 정리'!$N$6:$N$76,'클럭 정리'!$A$6:$A$76,"&gt;="&amp;E79,'클럭 정리'!$A$6:$A$76,"&lt;="&amp;F79)</f>
        <v/>
      </c>
      <c r="K79" s="15">
        <f>J79*'클럭 정리'!$B$2/100</f>
        <v/>
      </c>
    </row>
    <row r="80">
      <c r="A80" s="13" t="inlineStr">
        <is>
          <t>병렬도 12 분할 36</t>
        </is>
      </c>
      <c r="B80" s="13" t="n">
        <v>4</v>
      </c>
      <c r="C80" s="13" t="inlineStr">
        <is>
          <t>ForkJoinPool-14-worker-1</t>
        </is>
      </c>
      <c r="D80" s="12" t="inlineStr">
        <is>
          <t>워커</t>
        </is>
      </c>
      <c r="E80" s="10" t="n">
        <v>46238.65779734954</v>
      </c>
      <c r="F80" s="10" t="n">
        <v>46238.6578136494</v>
      </c>
      <c r="G80" s="13" t="n">
        <v>138</v>
      </c>
      <c r="H80" s="14" t="n">
        <v>1220.4282</v>
      </c>
      <c r="I80" s="13">
        <f>COUNTIFS('클럭 정리'!$A$6:$A$76,"&gt;="&amp;E80,'클럭 정리'!$A$6:$A$76,"&lt;="&amp;F80)</f>
        <v/>
      </c>
      <c r="J80" s="14">
        <f>AVERAGEIFS('클럭 정리'!$N$6:$N$76,'클럭 정리'!$A$6:$A$76,"&gt;="&amp;E80,'클럭 정리'!$A$6:$A$76,"&lt;="&amp;F80)</f>
        <v/>
      </c>
      <c r="K80" s="15">
        <f>J80*'클럭 정리'!$B$2/100</f>
        <v/>
      </c>
    </row>
    <row r="81">
      <c r="A81" s="13" t="inlineStr">
        <is>
          <t>병렬도 12 분할 36</t>
        </is>
      </c>
      <c r="B81" s="13" t="n">
        <v>4</v>
      </c>
      <c r="C81" s="13" t="inlineStr">
        <is>
          <t>ForkJoinPool-14-worker-10</t>
        </is>
      </c>
      <c r="D81" s="12" t="inlineStr">
        <is>
          <t>워커</t>
        </is>
      </c>
      <c r="E81" s="10" t="n">
        <v>46238.65779736111</v>
      </c>
      <c r="F81" s="10" t="n">
        <v>46238.65781368184</v>
      </c>
      <c r="G81" s="13" t="n">
        <v>138</v>
      </c>
      <c r="H81" s="14" t="n">
        <v>1199.4732</v>
      </c>
      <c r="I81" s="13">
        <f>COUNTIFS('클럭 정리'!$A$6:$A$76,"&gt;="&amp;E81,'클럭 정리'!$A$6:$A$76,"&lt;="&amp;F81)</f>
        <v/>
      </c>
      <c r="J81" s="14">
        <f>AVERAGEIFS('클럭 정리'!$N$6:$N$76,'클럭 정리'!$A$6:$A$76,"&gt;="&amp;E81,'클럭 정리'!$A$6:$A$76,"&lt;="&amp;F81)</f>
        <v/>
      </c>
      <c r="K81" s="15">
        <f>J81*'클럭 정리'!$B$2/100</f>
        <v/>
      </c>
    </row>
    <row r="82">
      <c r="A82" s="13" t="inlineStr">
        <is>
          <t>병렬도 12 분할 36</t>
        </is>
      </c>
      <c r="B82" s="13" t="n">
        <v>4</v>
      </c>
      <c r="C82" s="13" t="inlineStr">
        <is>
          <t>ForkJoinPool-14-worker-11</t>
        </is>
      </c>
      <c r="D82" s="12" t="inlineStr">
        <is>
          <t>워커</t>
        </is>
      </c>
      <c r="E82" s="10" t="n">
        <v>46238.65779737268</v>
      </c>
      <c r="F82" s="10" t="n">
        <v>46238.65781356301</v>
      </c>
      <c r="G82" s="13" t="n">
        <v>130</v>
      </c>
      <c r="H82" s="14" t="n">
        <v>1142.4208</v>
      </c>
      <c r="I82" s="13">
        <f>COUNTIFS('클럭 정리'!$A$6:$A$76,"&gt;="&amp;E82,'클럭 정리'!$A$6:$A$76,"&lt;="&amp;F82)</f>
        <v/>
      </c>
      <c r="J82" s="14">
        <f>AVERAGEIFS('클럭 정리'!$N$6:$N$76,'클럭 정리'!$A$6:$A$76,"&gt;="&amp;E82,'클럭 정리'!$A$6:$A$76,"&lt;="&amp;F82)</f>
        <v/>
      </c>
      <c r="K82" s="15">
        <f>J82*'클럭 정리'!$B$2/100</f>
        <v/>
      </c>
    </row>
    <row r="83">
      <c r="A83" s="13" t="inlineStr">
        <is>
          <t>병렬도 12 분할 36</t>
        </is>
      </c>
      <c r="B83" s="13" t="n">
        <v>4</v>
      </c>
      <c r="C83" s="13" t="inlineStr">
        <is>
          <t>ForkJoinPool-14-worker-12</t>
        </is>
      </c>
      <c r="D83" s="12" t="inlineStr">
        <is>
          <t>워커</t>
        </is>
      </c>
      <c r="E83" s="10" t="n">
        <v>46238.65779737268</v>
      </c>
      <c r="F83" s="10" t="n">
        <v>46238.65781369735</v>
      </c>
      <c r="G83" s="13" t="n">
        <v>134</v>
      </c>
      <c r="H83" s="14" t="n">
        <v>1160.4464</v>
      </c>
      <c r="I83" s="13">
        <f>COUNTIFS('클럭 정리'!$A$6:$A$76,"&gt;="&amp;E83,'클럭 정리'!$A$6:$A$76,"&lt;="&amp;F83)</f>
        <v/>
      </c>
      <c r="J83" s="14">
        <f>AVERAGEIFS('클럭 정리'!$N$6:$N$76,'클럭 정리'!$A$6:$A$76,"&gt;="&amp;E83,'클럭 정리'!$A$6:$A$76,"&lt;="&amp;F83)</f>
        <v/>
      </c>
      <c r="K83" s="15">
        <f>J83*'클럭 정리'!$B$2/100</f>
        <v/>
      </c>
    </row>
    <row r="84">
      <c r="A84" s="13" t="inlineStr">
        <is>
          <t>병렬도 12 분할 36</t>
        </is>
      </c>
      <c r="B84" s="13" t="n">
        <v>4</v>
      </c>
      <c r="C84" s="13" t="inlineStr">
        <is>
          <t>ForkJoinPool-14-worker-2</t>
        </is>
      </c>
      <c r="D84" s="12" t="inlineStr">
        <is>
          <t>워커</t>
        </is>
      </c>
      <c r="E84" s="10" t="n">
        <v>46238.65779734954</v>
      </c>
      <c r="F84" s="10" t="n">
        <v>46238.65781363357</v>
      </c>
      <c r="G84" s="13" t="n">
        <v>129</v>
      </c>
      <c r="H84" s="14" t="n">
        <v>1130.4887</v>
      </c>
      <c r="I84" s="13">
        <f>COUNTIFS('클럭 정리'!$A$6:$A$76,"&gt;="&amp;E84,'클럭 정리'!$A$6:$A$76,"&lt;="&amp;F84)</f>
        <v/>
      </c>
      <c r="J84" s="14">
        <f>AVERAGEIFS('클럭 정리'!$N$6:$N$76,'클럭 정리'!$A$6:$A$76,"&gt;="&amp;E84,'클럭 정리'!$A$6:$A$76,"&lt;="&amp;F84)</f>
        <v/>
      </c>
      <c r="K84" s="15">
        <f>J84*'클럭 정리'!$B$2/100</f>
        <v/>
      </c>
    </row>
    <row r="85">
      <c r="A85" s="13" t="inlineStr">
        <is>
          <t>병렬도 12 분할 36</t>
        </is>
      </c>
      <c r="B85" s="13" t="n">
        <v>4</v>
      </c>
      <c r="C85" s="13" t="inlineStr">
        <is>
          <t>ForkJoinPool-14-worker-3</t>
        </is>
      </c>
      <c r="D85" s="12" t="inlineStr">
        <is>
          <t>워커</t>
        </is>
      </c>
      <c r="E85" s="10" t="n">
        <v>46238.65779734954</v>
      </c>
      <c r="F85" s="10" t="n">
        <v>46238.65781368487</v>
      </c>
      <c r="G85" s="13" t="n">
        <v>135</v>
      </c>
      <c r="H85" s="14" t="n">
        <v>1148.4828</v>
      </c>
      <c r="I85" s="13">
        <f>COUNTIFS('클럭 정리'!$A$6:$A$76,"&gt;="&amp;E85,'클럭 정리'!$A$6:$A$76,"&lt;="&amp;F85)</f>
        <v/>
      </c>
      <c r="J85" s="14">
        <f>AVERAGEIFS('클럭 정리'!$N$6:$N$76,'클럭 정리'!$A$6:$A$76,"&gt;="&amp;E85,'클럭 정리'!$A$6:$A$76,"&lt;="&amp;F85)</f>
        <v/>
      </c>
      <c r="K85" s="15">
        <f>J85*'클럭 정리'!$B$2/100</f>
        <v/>
      </c>
    </row>
    <row r="86">
      <c r="A86" s="13" t="inlineStr">
        <is>
          <t>병렬도 12 분할 36</t>
        </is>
      </c>
      <c r="B86" s="13" t="n">
        <v>4</v>
      </c>
      <c r="C86" s="13" t="inlineStr">
        <is>
          <t>ForkJoinPool-14-worker-4</t>
        </is>
      </c>
      <c r="D86" s="12" t="inlineStr">
        <is>
          <t>워커</t>
        </is>
      </c>
      <c r="E86" s="10" t="n">
        <v>46238.65779734954</v>
      </c>
      <c r="F86" s="10" t="n">
        <v>46238.65781363237</v>
      </c>
      <c r="G86" s="13" t="n">
        <v>140</v>
      </c>
      <c r="H86" s="14" t="n">
        <v>1182.0947</v>
      </c>
      <c r="I86" s="13">
        <f>COUNTIFS('클럭 정리'!$A$6:$A$76,"&gt;="&amp;E86,'클럭 정리'!$A$6:$A$76,"&lt;="&amp;F86)</f>
        <v/>
      </c>
      <c r="J86" s="14">
        <f>AVERAGEIFS('클럭 정리'!$N$6:$N$76,'클럭 정리'!$A$6:$A$76,"&gt;="&amp;E86,'클럭 정리'!$A$6:$A$76,"&lt;="&amp;F86)</f>
        <v/>
      </c>
      <c r="K86" s="15">
        <f>J86*'클럭 정리'!$B$2/100</f>
        <v/>
      </c>
    </row>
    <row r="87">
      <c r="A87" s="13" t="inlineStr">
        <is>
          <t>병렬도 12 분할 36</t>
        </is>
      </c>
      <c r="B87" s="13" t="n">
        <v>4</v>
      </c>
      <c r="C87" s="13" t="inlineStr">
        <is>
          <t>ForkJoinPool-14-worker-5</t>
        </is>
      </c>
      <c r="D87" s="12" t="inlineStr">
        <is>
          <t>워커</t>
        </is>
      </c>
      <c r="E87" s="10" t="n">
        <v>46238.65779736111</v>
      </c>
      <c r="F87" s="10" t="n">
        <v>46238.65781363742</v>
      </c>
      <c r="G87" s="13" t="n">
        <v>136</v>
      </c>
      <c r="H87" s="14" t="n">
        <v>1207.043</v>
      </c>
      <c r="I87" s="13">
        <f>COUNTIFS('클럭 정리'!$A$6:$A$76,"&gt;="&amp;E87,'클럭 정리'!$A$6:$A$76,"&lt;="&amp;F87)</f>
        <v/>
      </c>
      <c r="J87" s="14">
        <f>AVERAGEIFS('클럭 정리'!$N$6:$N$76,'클럭 정리'!$A$6:$A$76,"&gt;="&amp;E87,'클럭 정리'!$A$6:$A$76,"&lt;="&amp;F87)</f>
        <v/>
      </c>
      <c r="K87" s="15">
        <f>J87*'클럭 정리'!$B$2/100</f>
        <v/>
      </c>
    </row>
    <row r="88">
      <c r="A88" s="13" t="inlineStr">
        <is>
          <t>병렬도 12 분할 36</t>
        </is>
      </c>
      <c r="B88" s="13" t="n">
        <v>4</v>
      </c>
      <c r="C88" s="13" t="inlineStr">
        <is>
          <t>ForkJoinPool-14-worker-6</t>
        </is>
      </c>
      <c r="D88" s="12" t="inlineStr">
        <is>
          <t>워커</t>
        </is>
      </c>
      <c r="E88" s="10" t="n">
        <v>46238.65779736111</v>
      </c>
      <c r="F88" s="10" t="n">
        <v>46238.65781361327</v>
      </c>
      <c r="G88" s="13" t="n">
        <v>133</v>
      </c>
      <c r="H88" s="14" t="n">
        <v>1172.6547</v>
      </c>
      <c r="I88" s="13">
        <f>COUNTIFS('클럭 정리'!$A$6:$A$76,"&gt;="&amp;E88,'클럭 정리'!$A$6:$A$76,"&lt;="&amp;F88)</f>
        <v/>
      </c>
      <c r="J88" s="14">
        <f>AVERAGEIFS('클럭 정리'!$N$6:$N$76,'클럭 정리'!$A$6:$A$76,"&gt;="&amp;E88,'클럭 정리'!$A$6:$A$76,"&lt;="&amp;F88)</f>
        <v/>
      </c>
      <c r="K88" s="15">
        <f>J88*'클럭 정리'!$B$2/100</f>
        <v/>
      </c>
    </row>
    <row r="89">
      <c r="A89" s="13" t="inlineStr">
        <is>
          <t>병렬도 12 분할 36</t>
        </is>
      </c>
      <c r="B89" s="13" t="n">
        <v>4</v>
      </c>
      <c r="C89" s="13" t="inlineStr">
        <is>
          <t>ForkJoinPool-14-worker-7</t>
        </is>
      </c>
      <c r="D89" s="12" t="inlineStr">
        <is>
          <t>워커</t>
        </is>
      </c>
      <c r="E89" s="10" t="n">
        <v>46238.65779736111</v>
      </c>
      <c r="F89" s="10" t="n">
        <v>46238.65781361901</v>
      </c>
      <c r="G89" s="13" t="n">
        <v>140</v>
      </c>
      <c r="H89" s="14" t="n">
        <v>1216.1354</v>
      </c>
      <c r="I89" s="13">
        <f>COUNTIFS('클럭 정리'!$A$6:$A$76,"&gt;="&amp;E89,'클럭 정리'!$A$6:$A$76,"&lt;="&amp;F89)</f>
        <v/>
      </c>
      <c r="J89" s="14">
        <f>AVERAGEIFS('클럭 정리'!$N$6:$N$76,'클럭 정리'!$A$6:$A$76,"&gt;="&amp;E89,'클럭 정리'!$A$6:$A$76,"&lt;="&amp;F89)</f>
        <v/>
      </c>
      <c r="K89" s="15">
        <f>J89*'클럭 정리'!$B$2/100</f>
        <v/>
      </c>
    </row>
    <row r="90">
      <c r="A90" s="13" t="inlineStr">
        <is>
          <t>병렬도 12 분할 36</t>
        </is>
      </c>
      <c r="B90" s="13" t="n">
        <v>4</v>
      </c>
      <c r="C90" s="13" t="inlineStr">
        <is>
          <t>ForkJoinPool-14-worker-8</t>
        </is>
      </c>
      <c r="D90" s="12" t="inlineStr">
        <is>
          <t>워커</t>
        </is>
      </c>
      <c r="E90" s="10" t="n">
        <v>46238.65779736111</v>
      </c>
      <c r="F90" s="10" t="n">
        <v>46238.65781365195</v>
      </c>
      <c r="G90" s="13" t="n">
        <v>131</v>
      </c>
      <c r="H90" s="14" t="n">
        <v>1157.407</v>
      </c>
      <c r="I90" s="13">
        <f>COUNTIFS('클럭 정리'!$A$6:$A$76,"&gt;="&amp;E90,'클럭 정리'!$A$6:$A$76,"&lt;="&amp;F90)</f>
        <v/>
      </c>
      <c r="J90" s="14">
        <f>AVERAGEIFS('클럭 정리'!$N$6:$N$76,'클럭 정리'!$A$6:$A$76,"&gt;="&amp;E90,'클럭 정리'!$A$6:$A$76,"&lt;="&amp;F90)</f>
        <v/>
      </c>
      <c r="K90" s="15">
        <f>J90*'클럭 정리'!$B$2/100</f>
        <v/>
      </c>
    </row>
    <row r="91">
      <c r="A91" s="13" t="inlineStr">
        <is>
          <t>병렬도 12 분할 36</t>
        </is>
      </c>
      <c r="B91" s="13" t="n">
        <v>4</v>
      </c>
      <c r="C91" s="13" t="inlineStr">
        <is>
          <t>ForkJoinPool-14-worker-9</t>
        </is>
      </c>
      <c r="D91" s="12" t="inlineStr">
        <is>
          <t>워커</t>
        </is>
      </c>
      <c r="E91" s="10" t="n">
        <v>46238.65779736111</v>
      </c>
      <c r="F91" s="10" t="n">
        <v>46238.65781363396</v>
      </c>
      <c r="G91" s="13" t="n">
        <v>136</v>
      </c>
      <c r="H91" s="14" t="n">
        <v>1255.9687</v>
      </c>
      <c r="I91" s="13">
        <f>COUNTIFS('클럭 정리'!$A$6:$A$76,"&gt;="&amp;E91,'클럭 정리'!$A$6:$A$76,"&lt;="&amp;F91)</f>
        <v/>
      </c>
      <c r="J91" s="14">
        <f>AVERAGEIFS('클럭 정리'!$N$6:$N$76,'클럭 정리'!$A$6:$A$76,"&gt;="&amp;E91,'클럭 정리'!$A$6:$A$76,"&lt;="&amp;F91)</f>
        <v/>
      </c>
      <c r="K91" s="15">
        <f>J91*'클럭 정리'!$B$2/100</f>
        <v/>
      </c>
    </row>
    <row r="92">
      <c r="A92" s="13" t="inlineStr">
        <is>
          <t>병렬도 12 분할 36</t>
        </is>
      </c>
      <c r="B92" s="13" t="n">
        <v>4</v>
      </c>
      <c r="C92" s="13" t="inlineStr">
        <is>
          <t>main</t>
        </is>
      </c>
      <c r="D92" s="12" t="inlineStr">
        <is>
          <t>main (활동 시간 합 = 그 회차 mainCPU, 창은 워커와 겹침)</t>
        </is>
      </c>
      <c r="E92" s="10" t="n">
        <v>46238.65779733796</v>
      </c>
      <c r="F92" s="10" t="n">
        <v>46238.65781369333</v>
      </c>
      <c r="G92" s="13" t="n">
        <v>45</v>
      </c>
      <c r="H92" s="14" t="n">
        <v>0</v>
      </c>
      <c r="I92" s="13">
        <f>COUNTIFS('클럭 정리'!$A$6:$A$76,"&gt;="&amp;E92,'클럭 정리'!$A$6:$A$76,"&lt;="&amp;F92)</f>
        <v/>
      </c>
      <c r="J92" s="14">
        <f>AVERAGEIFS('클럭 정리'!$N$6:$N$76,'클럭 정리'!$A$6:$A$76,"&gt;="&amp;E92,'클럭 정리'!$A$6:$A$76,"&lt;="&amp;F92)</f>
        <v/>
      </c>
      <c r="K92" s="15">
        <f>J92*'클럭 정리'!$B$2/100</f>
        <v/>
      </c>
    </row>
    <row r="93">
      <c r="A93" s="13" t="inlineStr">
        <is>
          <t>병렬도 12 분할 36</t>
        </is>
      </c>
      <c r="B93" s="13" t="n">
        <v>5</v>
      </c>
      <c r="C93" s="13" t="inlineStr">
        <is>
          <t>ForkJoinPool-15-worker-1</t>
        </is>
      </c>
      <c r="D93" s="12" t="inlineStr">
        <is>
          <t>워커</t>
        </is>
      </c>
      <c r="E93" s="10" t="n">
        <v>46238.65781371528</v>
      </c>
      <c r="F93" s="10" t="n">
        <v>46238.65783005182</v>
      </c>
      <c r="G93" s="13" t="n">
        <v>137</v>
      </c>
      <c r="H93" s="14" t="n">
        <v>1257.2104</v>
      </c>
      <c r="I93" s="13">
        <f>COUNTIFS('클럭 정리'!$A$6:$A$76,"&gt;="&amp;E93,'클럭 정리'!$A$6:$A$76,"&lt;="&amp;F93)</f>
        <v/>
      </c>
      <c r="J93" s="14">
        <f>AVERAGEIFS('클럭 정리'!$N$6:$N$76,'클럭 정리'!$A$6:$A$76,"&gt;="&amp;E93,'클럭 정리'!$A$6:$A$76,"&lt;="&amp;F93)</f>
        <v/>
      </c>
      <c r="K93" s="15">
        <f>J93*'클럭 정리'!$B$2/100</f>
        <v/>
      </c>
    </row>
    <row r="94">
      <c r="A94" s="13" t="inlineStr">
        <is>
          <t>병렬도 12 분할 36</t>
        </is>
      </c>
      <c r="B94" s="13" t="n">
        <v>5</v>
      </c>
      <c r="C94" s="13" t="inlineStr">
        <is>
          <t>ForkJoinPool-15-worker-10</t>
        </is>
      </c>
      <c r="D94" s="12" t="inlineStr">
        <is>
          <t>워커</t>
        </is>
      </c>
      <c r="E94" s="10" t="n">
        <v>46238.65781372685</v>
      </c>
      <c r="F94" s="10" t="n">
        <v>46238.6578300753</v>
      </c>
      <c r="G94" s="13" t="n">
        <v>139</v>
      </c>
      <c r="H94" s="14" t="n">
        <v>1185.7207</v>
      </c>
      <c r="I94" s="13">
        <f>COUNTIFS('클럭 정리'!$A$6:$A$76,"&gt;="&amp;E94,'클럭 정리'!$A$6:$A$76,"&lt;="&amp;F94)</f>
        <v/>
      </c>
      <c r="J94" s="14">
        <f>AVERAGEIFS('클럭 정리'!$N$6:$N$76,'클럭 정리'!$A$6:$A$76,"&gt;="&amp;E94,'클럭 정리'!$A$6:$A$76,"&lt;="&amp;F94)</f>
        <v/>
      </c>
      <c r="K94" s="15">
        <f>J94*'클럭 정리'!$B$2/100</f>
        <v/>
      </c>
    </row>
    <row r="95">
      <c r="A95" s="13" t="inlineStr">
        <is>
          <t>병렬도 12 분할 36</t>
        </is>
      </c>
      <c r="B95" s="13" t="n">
        <v>5</v>
      </c>
      <c r="C95" s="13" t="inlineStr">
        <is>
          <t>ForkJoinPool-15-worker-11</t>
        </is>
      </c>
      <c r="D95" s="12" t="inlineStr">
        <is>
          <t>워커</t>
        </is>
      </c>
      <c r="E95" s="10" t="n">
        <v>46238.65781372685</v>
      </c>
      <c r="F95" s="10" t="n">
        <v>46238.65783006517</v>
      </c>
      <c r="G95" s="13" t="n">
        <v>133</v>
      </c>
      <c r="H95" s="14" t="n">
        <v>1175.0482</v>
      </c>
      <c r="I95" s="13">
        <f>COUNTIFS('클럭 정리'!$A$6:$A$76,"&gt;="&amp;E95,'클럭 정리'!$A$6:$A$76,"&lt;="&amp;F95)</f>
        <v/>
      </c>
      <c r="J95" s="14">
        <f>AVERAGEIFS('클럭 정리'!$N$6:$N$76,'클럭 정리'!$A$6:$A$76,"&gt;="&amp;E95,'클럭 정리'!$A$6:$A$76,"&lt;="&amp;F95)</f>
        <v/>
      </c>
      <c r="K95" s="15">
        <f>J95*'클럭 정리'!$B$2/100</f>
        <v/>
      </c>
    </row>
    <row r="96">
      <c r="A96" s="13" t="inlineStr">
        <is>
          <t>병렬도 12 분할 36</t>
        </is>
      </c>
      <c r="B96" s="13" t="n">
        <v>5</v>
      </c>
      <c r="C96" s="13" t="inlineStr">
        <is>
          <t>ForkJoinPool-15-worker-12</t>
        </is>
      </c>
      <c r="D96" s="12" t="inlineStr">
        <is>
          <t>워커</t>
        </is>
      </c>
      <c r="E96" s="10" t="n">
        <v>46238.65781375</v>
      </c>
      <c r="F96" s="10" t="n">
        <v>46238.65783005766</v>
      </c>
      <c r="G96" s="13" t="n">
        <v>135</v>
      </c>
      <c r="H96" s="14" t="n">
        <v>1169.9442</v>
      </c>
      <c r="I96" s="13">
        <f>COUNTIFS('클럭 정리'!$A$6:$A$76,"&gt;="&amp;E96,'클럭 정리'!$A$6:$A$76,"&lt;="&amp;F96)</f>
        <v/>
      </c>
      <c r="J96" s="14">
        <f>AVERAGEIFS('클럭 정리'!$N$6:$N$76,'클럭 정리'!$A$6:$A$76,"&gt;="&amp;E96,'클럭 정리'!$A$6:$A$76,"&lt;="&amp;F96)</f>
        <v/>
      </c>
      <c r="K96" s="15">
        <f>J96*'클럭 정리'!$B$2/100</f>
        <v/>
      </c>
    </row>
    <row r="97">
      <c r="A97" s="13" t="inlineStr">
        <is>
          <t>병렬도 12 분할 36</t>
        </is>
      </c>
      <c r="B97" s="13" t="n">
        <v>5</v>
      </c>
      <c r="C97" s="13" t="inlineStr">
        <is>
          <t>ForkJoinPool-15-worker-2</t>
        </is>
      </c>
      <c r="D97" s="12" t="inlineStr">
        <is>
          <t>워커</t>
        </is>
      </c>
      <c r="E97" s="10" t="n">
        <v>46238.65781371528</v>
      </c>
      <c r="F97" s="10" t="n">
        <v>46238.65783010248</v>
      </c>
      <c r="G97" s="13" t="n">
        <v>134</v>
      </c>
      <c r="H97" s="14" t="n">
        <v>1176.1409</v>
      </c>
      <c r="I97" s="13">
        <f>COUNTIFS('클럭 정리'!$A$6:$A$76,"&gt;="&amp;E97,'클럭 정리'!$A$6:$A$76,"&lt;="&amp;F97)</f>
        <v/>
      </c>
      <c r="J97" s="14">
        <f>AVERAGEIFS('클럭 정리'!$N$6:$N$76,'클럭 정리'!$A$6:$A$76,"&gt;="&amp;E97,'클럭 정리'!$A$6:$A$76,"&lt;="&amp;F97)</f>
        <v/>
      </c>
      <c r="K97" s="15">
        <f>J97*'클럭 정리'!$B$2/100</f>
        <v/>
      </c>
    </row>
    <row r="98">
      <c r="A98" s="13" t="inlineStr">
        <is>
          <t>병렬도 12 분할 36</t>
        </is>
      </c>
      <c r="B98" s="13" t="n">
        <v>5</v>
      </c>
      <c r="C98" s="13" t="inlineStr">
        <is>
          <t>ForkJoinPool-15-worker-3</t>
        </is>
      </c>
      <c r="D98" s="12" t="inlineStr">
        <is>
          <t>워커</t>
        </is>
      </c>
      <c r="E98" s="10" t="n">
        <v>46238.65781371528</v>
      </c>
      <c r="F98" s="10" t="n">
        <v>46238.65783003892</v>
      </c>
      <c r="G98" s="13" t="n">
        <v>134</v>
      </c>
      <c r="H98" s="14" t="n">
        <v>1186.7353</v>
      </c>
      <c r="I98" s="13">
        <f>COUNTIFS('클럭 정리'!$A$6:$A$76,"&gt;="&amp;E98,'클럭 정리'!$A$6:$A$76,"&lt;="&amp;F98)</f>
        <v/>
      </c>
      <c r="J98" s="14">
        <f>AVERAGEIFS('클럭 정리'!$N$6:$N$76,'클럭 정리'!$A$6:$A$76,"&gt;="&amp;E98,'클럭 정리'!$A$6:$A$76,"&lt;="&amp;F98)</f>
        <v/>
      </c>
      <c r="K98" s="15">
        <f>J98*'클럭 정리'!$B$2/100</f>
        <v/>
      </c>
    </row>
    <row r="99">
      <c r="A99" s="13" t="inlineStr">
        <is>
          <t>병렬도 12 분할 36</t>
        </is>
      </c>
      <c r="B99" s="13" t="n">
        <v>5</v>
      </c>
      <c r="C99" s="13" t="inlineStr">
        <is>
          <t>ForkJoinPool-15-worker-4</t>
        </is>
      </c>
      <c r="D99" s="12" t="inlineStr">
        <is>
          <t>워커</t>
        </is>
      </c>
      <c r="E99" s="10" t="n">
        <v>46238.65781372685</v>
      </c>
      <c r="F99" s="10" t="n">
        <v>46238.6578301095</v>
      </c>
      <c r="G99" s="13" t="n">
        <v>134</v>
      </c>
      <c r="H99" s="14" t="n">
        <v>1187.9722</v>
      </c>
      <c r="I99" s="13">
        <f>COUNTIFS('클럭 정리'!$A$6:$A$76,"&gt;="&amp;E99,'클럭 정리'!$A$6:$A$76,"&lt;="&amp;F99)</f>
        <v/>
      </c>
      <c r="J99" s="14">
        <f>AVERAGEIFS('클럭 정리'!$N$6:$N$76,'클럭 정리'!$A$6:$A$76,"&gt;="&amp;E99,'클럭 정리'!$A$6:$A$76,"&lt;="&amp;F99)</f>
        <v/>
      </c>
      <c r="K99" s="15">
        <f>J99*'클럭 정리'!$B$2/100</f>
        <v/>
      </c>
    </row>
    <row r="100">
      <c r="A100" s="13" t="inlineStr">
        <is>
          <t>병렬도 12 분할 36</t>
        </is>
      </c>
      <c r="B100" s="13" t="n">
        <v>5</v>
      </c>
      <c r="C100" s="13" t="inlineStr">
        <is>
          <t>ForkJoinPool-15-worker-5</t>
        </is>
      </c>
      <c r="D100" s="12" t="inlineStr">
        <is>
          <t>워커</t>
        </is>
      </c>
      <c r="E100" s="10" t="n">
        <v>46238.65781372685</v>
      </c>
      <c r="F100" s="10" t="n">
        <v>46238.6578301085</v>
      </c>
      <c r="G100" s="13" t="n">
        <v>133</v>
      </c>
      <c r="H100" s="14" t="n">
        <v>1198.8284</v>
      </c>
      <c r="I100" s="13">
        <f>COUNTIFS('클럭 정리'!$A$6:$A$76,"&gt;="&amp;E100,'클럭 정리'!$A$6:$A$76,"&lt;="&amp;F100)</f>
        <v/>
      </c>
      <c r="J100" s="14">
        <f>AVERAGEIFS('클럭 정리'!$N$6:$N$76,'클럭 정리'!$A$6:$A$76,"&gt;="&amp;E100,'클럭 정리'!$A$6:$A$76,"&lt;="&amp;F100)</f>
        <v/>
      </c>
      <c r="K100" s="15">
        <f>J100*'클럭 정리'!$B$2/100</f>
        <v/>
      </c>
    </row>
    <row r="101">
      <c r="A101" s="13" t="inlineStr">
        <is>
          <t>병렬도 12 분할 36</t>
        </is>
      </c>
      <c r="B101" s="13" t="n">
        <v>5</v>
      </c>
      <c r="C101" s="13" t="inlineStr">
        <is>
          <t>ForkJoinPool-15-worker-6</t>
        </is>
      </c>
      <c r="D101" s="12" t="inlineStr">
        <is>
          <t>워커</t>
        </is>
      </c>
      <c r="E101" s="10" t="n">
        <v>46238.65781372685</v>
      </c>
      <c r="F101" s="10" t="n">
        <v>46238.65783011112</v>
      </c>
      <c r="G101" s="13" t="n">
        <v>138</v>
      </c>
      <c r="H101" s="14" t="n">
        <v>1187.0912</v>
      </c>
      <c r="I101" s="13">
        <f>COUNTIFS('클럭 정리'!$A$6:$A$76,"&gt;="&amp;E101,'클럭 정리'!$A$6:$A$76,"&lt;="&amp;F101)</f>
        <v/>
      </c>
      <c r="J101" s="14">
        <f>AVERAGEIFS('클럭 정리'!$N$6:$N$76,'클럭 정리'!$A$6:$A$76,"&gt;="&amp;E101,'클럭 정리'!$A$6:$A$76,"&lt;="&amp;F101)</f>
        <v/>
      </c>
      <c r="K101" s="15">
        <f>J101*'클럭 정리'!$B$2/100</f>
        <v/>
      </c>
    </row>
    <row r="102">
      <c r="A102" s="13" t="inlineStr">
        <is>
          <t>병렬도 12 분할 36</t>
        </is>
      </c>
      <c r="B102" s="13" t="n">
        <v>5</v>
      </c>
      <c r="C102" s="13" t="inlineStr">
        <is>
          <t>ForkJoinPool-15-worker-7</t>
        </is>
      </c>
      <c r="D102" s="12" t="inlineStr">
        <is>
          <t>워커</t>
        </is>
      </c>
      <c r="E102" s="10" t="n">
        <v>46238.65781372685</v>
      </c>
      <c r="F102" s="10" t="n">
        <v>46238.65783007097</v>
      </c>
      <c r="G102" s="13" t="n">
        <v>133</v>
      </c>
      <c r="H102" s="14" t="n">
        <v>1149.2331</v>
      </c>
      <c r="I102" s="13">
        <f>COUNTIFS('클럭 정리'!$A$6:$A$76,"&gt;="&amp;E102,'클럭 정리'!$A$6:$A$76,"&lt;="&amp;F102)</f>
        <v/>
      </c>
      <c r="J102" s="14">
        <f>AVERAGEIFS('클럭 정리'!$N$6:$N$76,'클럭 정리'!$A$6:$A$76,"&gt;="&amp;E102,'클럭 정리'!$A$6:$A$76,"&lt;="&amp;F102)</f>
        <v/>
      </c>
      <c r="K102" s="15">
        <f>J102*'클럭 정리'!$B$2/100</f>
        <v/>
      </c>
    </row>
    <row r="103">
      <c r="A103" s="13" t="inlineStr">
        <is>
          <t>병렬도 12 분할 36</t>
        </is>
      </c>
      <c r="B103" s="13" t="n">
        <v>5</v>
      </c>
      <c r="C103" s="13" t="inlineStr">
        <is>
          <t>ForkJoinPool-15-worker-8</t>
        </is>
      </c>
      <c r="D103" s="12" t="inlineStr">
        <is>
          <t>워커</t>
        </is>
      </c>
      <c r="E103" s="10" t="n">
        <v>46238.65781372685</v>
      </c>
      <c r="F103" s="10" t="n">
        <v>46238.65783011659</v>
      </c>
      <c r="G103" s="13" t="n">
        <v>134</v>
      </c>
      <c r="H103" s="14" t="n">
        <v>1189.4941</v>
      </c>
      <c r="I103" s="13">
        <f>COUNTIFS('클럭 정리'!$A$6:$A$76,"&gt;="&amp;E103,'클럭 정리'!$A$6:$A$76,"&lt;="&amp;F103)</f>
        <v/>
      </c>
      <c r="J103" s="14">
        <f>AVERAGEIFS('클럭 정리'!$N$6:$N$76,'클럭 정리'!$A$6:$A$76,"&gt;="&amp;E103,'클럭 정리'!$A$6:$A$76,"&lt;="&amp;F103)</f>
        <v/>
      </c>
      <c r="K103" s="15">
        <f>J103*'클럭 정리'!$B$2/100</f>
        <v/>
      </c>
    </row>
    <row r="104">
      <c r="A104" s="13" t="inlineStr">
        <is>
          <t>병렬도 12 분할 36</t>
        </is>
      </c>
      <c r="B104" s="13" t="n">
        <v>5</v>
      </c>
      <c r="C104" s="13" t="inlineStr">
        <is>
          <t>ForkJoinPool-15-worker-9</t>
        </is>
      </c>
      <c r="D104" s="12" t="inlineStr">
        <is>
          <t>워커</t>
        </is>
      </c>
      <c r="E104" s="10" t="n">
        <v>46238.65781372685</v>
      </c>
      <c r="F104" s="10" t="n">
        <v>46238.65783011283</v>
      </c>
      <c r="G104" s="13" t="n">
        <v>136</v>
      </c>
      <c r="H104" s="14" t="n">
        <v>1200.2191</v>
      </c>
      <c r="I104" s="13">
        <f>COUNTIFS('클럭 정리'!$A$6:$A$76,"&gt;="&amp;E104,'클럭 정리'!$A$6:$A$76,"&lt;="&amp;F104)</f>
        <v/>
      </c>
      <c r="J104" s="14">
        <f>AVERAGEIFS('클럭 정리'!$N$6:$N$76,'클럭 정리'!$A$6:$A$76,"&gt;="&amp;E104,'클럭 정리'!$A$6:$A$76,"&lt;="&amp;F104)</f>
        <v/>
      </c>
      <c r="K104" s="15">
        <f>J104*'클럭 정리'!$B$2/100</f>
        <v/>
      </c>
    </row>
    <row r="105">
      <c r="A105" s="13" t="inlineStr">
        <is>
          <t>병렬도 12 분할 36</t>
        </is>
      </c>
      <c r="B105" s="13" t="n">
        <v>5</v>
      </c>
      <c r="C105" s="13" t="inlineStr">
        <is>
          <t>main</t>
        </is>
      </c>
      <c r="D105" s="12" t="inlineStr">
        <is>
          <t>main (활동 시간 합 = 그 회차 mainCPU, 창은 워커와 겹침)</t>
        </is>
      </c>
      <c r="E105" s="10" t="n">
        <v>46238.65781370371</v>
      </c>
      <c r="F105" s="10" t="n">
        <v>46238.65783011365</v>
      </c>
      <c r="G105" s="13" t="n">
        <v>45</v>
      </c>
      <c r="H105" s="14" t="n">
        <v>0</v>
      </c>
      <c r="I105" s="13">
        <f>COUNTIFS('클럭 정리'!$A$6:$A$76,"&gt;="&amp;E105,'클럭 정리'!$A$6:$A$76,"&lt;="&amp;F105)</f>
        <v/>
      </c>
      <c r="J105" s="14">
        <f>AVERAGEIFS('클럭 정리'!$N$6:$N$76,'클럭 정리'!$A$6:$A$76,"&gt;="&amp;E105,'클럭 정리'!$A$6:$A$76,"&lt;="&amp;F105)</f>
        <v/>
      </c>
      <c r="K105" s="15">
        <f>J105*'클럭 정리'!$B$2/100</f>
        <v/>
      </c>
    </row>
    <row r="108">
      <c r="A108" s="1" t="inlineStr">
        <is>
          <t>풀·main별 클럭 표본 매핑</t>
        </is>
      </c>
    </row>
    <row r="109">
      <c r="A109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10">
      <c r="A110" s="5" t="inlineStr">
        <is>
          <t>구간</t>
        </is>
      </c>
      <c r="B110" s="5" t="inlineStr">
        <is>
          <t>회차</t>
        </is>
      </c>
      <c r="C110" s="5" t="inlineStr">
        <is>
          <t>풀/스레드</t>
        </is>
      </c>
      <c r="D110" s="5" t="inlineStr">
        <is>
          <t>활동 시작</t>
        </is>
      </c>
      <c r="E110" s="5" t="inlineStr">
        <is>
          <t>활동 끝</t>
        </is>
      </c>
      <c r="F110" s="5" t="inlineStr">
        <is>
          <t>표본 시각</t>
        </is>
      </c>
      <c r="G110" s="5" t="inlineStr">
        <is>
          <t>표본 클럭(%)</t>
        </is>
      </c>
      <c r="H110" s="5" t="inlineStr">
        <is>
          <t>표본 클럭(GHz)</t>
        </is>
      </c>
    </row>
    <row r="111">
      <c r="A111" s="13" t="inlineStr">
        <is>
          <t>병렬도 6 분할 36</t>
        </is>
      </c>
      <c r="B111" s="13" t="n">
        <v>1</v>
      </c>
      <c r="C111" s="13" t="inlineStr">
        <is>
          <t>ForkJoinPool-3</t>
        </is>
      </c>
      <c r="D111" s="10" t="n">
        <v>46238.65756828704</v>
      </c>
      <c r="E111" s="10" t="n">
        <v>46238.65759217828</v>
      </c>
      <c r="F111" s="16">
        <f>'클럭 정리'!A40</f>
        <v/>
      </c>
      <c r="G111" s="17">
        <f>'클럭 정리'!N40</f>
        <v/>
      </c>
      <c r="H111" s="15">
        <f>'클럭 정리'!O40</f>
        <v/>
      </c>
    </row>
    <row r="112">
      <c r="A112" s="13" t="inlineStr">
        <is>
          <t>병렬도 6 분할 36</t>
        </is>
      </c>
      <c r="B112" s="13" t="n">
        <v>1</v>
      </c>
      <c r="C112" s="13" t="inlineStr">
        <is>
          <t>ForkJoinPool-3</t>
        </is>
      </c>
      <c r="D112" s="10" t="n">
        <v>46238.65756828704</v>
      </c>
      <c r="E112" s="10" t="n">
        <v>46238.65759217828</v>
      </c>
      <c r="F112" s="16">
        <f>'클럭 정리'!A41</f>
        <v/>
      </c>
      <c r="G112" s="17">
        <f>'클럭 정리'!N41</f>
        <v/>
      </c>
      <c r="H112" s="15">
        <f>'클럭 정리'!O41</f>
        <v/>
      </c>
    </row>
    <row r="113">
      <c r="A113" s="13" t="inlineStr">
        <is>
          <t>병렬도 6 분할 36</t>
        </is>
      </c>
      <c r="B113" s="13" t="n">
        <v>1</v>
      </c>
      <c r="C113" s="13" t="inlineStr">
        <is>
          <t>main</t>
        </is>
      </c>
      <c r="D113" s="10" t="n">
        <v>46238.65756828704</v>
      </c>
      <c r="E113" s="10" t="n">
        <v>46238.65759218509</v>
      </c>
      <c r="F113" s="16">
        <f>'클럭 정리'!A40</f>
        <v/>
      </c>
      <c r="G113" s="17">
        <f>'클럭 정리'!N40</f>
        <v/>
      </c>
      <c r="H113" s="15">
        <f>'클럭 정리'!O40</f>
        <v/>
      </c>
    </row>
    <row r="114">
      <c r="A114" s="13" t="inlineStr">
        <is>
          <t>병렬도 6 분할 36</t>
        </is>
      </c>
      <c r="B114" s="13" t="n">
        <v>1</v>
      </c>
      <c r="C114" s="13" t="inlineStr">
        <is>
          <t>main</t>
        </is>
      </c>
      <c r="D114" s="10" t="n">
        <v>46238.65756828704</v>
      </c>
      <c r="E114" s="10" t="n">
        <v>46238.65759218509</v>
      </c>
      <c r="F114" s="16">
        <f>'클럭 정리'!A41</f>
        <v/>
      </c>
      <c r="G114" s="17">
        <f>'클럭 정리'!N41</f>
        <v/>
      </c>
      <c r="H114" s="15">
        <f>'클럭 정리'!O41</f>
        <v/>
      </c>
    </row>
    <row r="115">
      <c r="A115" s="13" t="inlineStr">
        <is>
          <t>병렬도 6 분할 36</t>
        </is>
      </c>
      <c r="B115" s="13" t="n">
        <v>2</v>
      </c>
      <c r="C115" s="13" t="inlineStr">
        <is>
          <t>ForkJoinPool-4</t>
        </is>
      </c>
      <c r="D115" s="10" t="n">
        <v>46238.65759219907</v>
      </c>
      <c r="E115" s="10" t="n">
        <v>46238.65761630514</v>
      </c>
      <c r="F115" s="16">
        <f>'클럭 정리'!A42</f>
        <v/>
      </c>
      <c r="G115" s="17">
        <f>'클럭 정리'!N42</f>
        <v/>
      </c>
      <c r="H115" s="15">
        <f>'클럭 정리'!O42</f>
        <v/>
      </c>
    </row>
    <row r="116">
      <c r="A116" s="13" t="inlineStr">
        <is>
          <t>병렬도 6 분할 36</t>
        </is>
      </c>
      <c r="B116" s="13" t="n">
        <v>2</v>
      </c>
      <c r="C116" s="13" t="inlineStr">
        <is>
          <t>ForkJoinPool-4</t>
        </is>
      </c>
      <c r="D116" s="10" t="n">
        <v>46238.65759219907</v>
      </c>
      <c r="E116" s="10" t="n">
        <v>46238.65761630514</v>
      </c>
      <c r="F116" s="16">
        <f>'클럭 정리'!A43</f>
        <v/>
      </c>
      <c r="G116" s="17">
        <f>'클럭 정리'!N43</f>
        <v/>
      </c>
      <c r="H116" s="15">
        <f>'클럭 정리'!O43</f>
        <v/>
      </c>
    </row>
    <row r="117">
      <c r="A117" s="13" t="inlineStr">
        <is>
          <t>병렬도 6 분할 36</t>
        </is>
      </c>
      <c r="B117" s="13" t="n">
        <v>2</v>
      </c>
      <c r="C117" s="13" t="inlineStr">
        <is>
          <t>main</t>
        </is>
      </c>
      <c r="D117" s="10" t="n">
        <v>46238.65759219907</v>
      </c>
      <c r="E117" s="10" t="n">
        <v>46238.65761630151</v>
      </c>
      <c r="F117" s="16">
        <f>'클럭 정리'!A42</f>
        <v/>
      </c>
      <c r="G117" s="17">
        <f>'클럭 정리'!N42</f>
        <v/>
      </c>
      <c r="H117" s="15">
        <f>'클럭 정리'!O42</f>
        <v/>
      </c>
    </row>
    <row r="118">
      <c r="A118" s="13" t="inlineStr">
        <is>
          <t>병렬도 6 분할 36</t>
        </is>
      </c>
      <c r="B118" s="13" t="n">
        <v>2</v>
      </c>
      <c r="C118" s="13" t="inlineStr">
        <is>
          <t>main</t>
        </is>
      </c>
      <c r="D118" s="10" t="n">
        <v>46238.65759219907</v>
      </c>
      <c r="E118" s="10" t="n">
        <v>46238.65761630151</v>
      </c>
      <c r="F118" s="16">
        <f>'클럭 정리'!A43</f>
        <v/>
      </c>
      <c r="G118" s="17">
        <f>'클럭 정리'!N43</f>
        <v/>
      </c>
      <c r="H118" s="15">
        <f>'클럭 정리'!O43</f>
        <v/>
      </c>
    </row>
    <row r="119">
      <c r="A119" s="13" t="inlineStr">
        <is>
          <t>병렬도 6 분할 36</t>
        </is>
      </c>
      <c r="B119" s="13" t="n">
        <v>3</v>
      </c>
      <c r="C119" s="13" t="inlineStr">
        <is>
          <t>ForkJoinPool-5</t>
        </is>
      </c>
      <c r="D119" s="10" t="n">
        <v>46238.65761631945</v>
      </c>
      <c r="E119" s="10" t="n">
        <v>46238.65764096167</v>
      </c>
      <c r="F119" s="16">
        <f>'클럭 정리'!A44</f>
        <v/>
      </c>
      <c r="G119" s="17">
        <f>'클럭 정리'!N44</f>
        <v/>
      </c>
      <c r="H119" s="15">
        <f>'클럭 정리'!O44</f>
        <v/>
      </c>
    </row>
    <row r="120">
      <c r="A120" s="13" t="inlineStr">
        <is>
          <t>병렬도 6 분할 36</t>
        </is>
      </c>
      <c r="B120" s="13" t="n">
        <v>3</v>
      </c>
      <c r="C120" s="13" t="inlineStr">
        <is>
          <t>ForkJoinPool-5</t>
        </is>
      </c>
      <c r="D120" s="10" t="n">
        <v>46238.65761631945</v>
      </c>
      <c r="E120" s="10" t="n">
        <v>46238.65764096167</v>
      </c>
      <c r="F120" s="16">
        <f>'클럭 정리'!A45</f>
        <v/>
      </c>
      <c r="G120" s="17">
        <f>'클럭 정리'!N45</f>
        <v/>
      </c>
      <c r="H120" s="15">
        <f>'클럭 정리'!O45</f>
        <v/>
      </c>
    </row>
    <row r="121">
      <c r="A121" s="13" t="inlineStr">
        <is>
          <t>병렬도 6 분할 36</t>
        </is>
      </c>
      <c r="B121" s="13" t="n">
        <v>3</v>
      </c>
      <c r="C121" s="13" t="inlineStr">
        <is>
          <t>main</t>
        </is>
      </c>
      <c r="D121" s="10" t="n">
        <v>46238.65761630787</v>
      </c>
      <c r="E121" s="10" t="n">
        <v>46238.65764095708</v>
      </c>
      <c r="F121" s="16">
        <f>'클럭 정리'!A44</f>
        <v/>
      </c>
      <c r="G121" s="17">
        <f>'클럭 정리'!N44</f>
        <v/>
      </c>
      <c r="H121" s="15">
        <f>'클럭 정리'!O44</f>
        <v/>
      </c>
    </row>
    <row r="122">
      <c r="A122" s="13" t="inlineStr">
        <is>
          <t>병렬도 6 분할 36</t>
        </is>
      </c>
      <c r="B122" s="13" t="n">
        <v>3</v>
      </c>
      <c r="C122" s="13" t="inlineStr">
        <is>
          <t>main</t>
        </is>
      </c>
      <c r="D122" s="10" t="n">
        <v>46238.65761630787</v>
      </c>
      <c r="E122" s="10" t="n">
        <v>46238.65764095708</v>
      </c>
      <c r="F122" s="16">
        <f>'클럭 정리'!A45</f>
        <v/>
      </c>
      <c r="G122" s="17">
        <f>'클럭 정리'!N45</f>
        <v/>
      </c>
      <c r="H122" s="15">
        <f>'클럭 정리'!O45</f>
        <v/>
      </c>
    </row>
    <row r="123">
      <c r="A123" s="13" t="inlineStr">
        <is>
          <t>병렬도 6 분할 36</t>
        </is>
      </c>
      <c r="B123" s="13" t="n">
        <v>4</v>
      </c>
      <c r="C123" s="13" t="inlineStr">
        <is>
          <t>ForkJoinPool-6</t>
        </is>
      </c>
      <c r="D123" s="10" t="n">
        <v>46238.65764097223</v>
      </c>
      <c r="E123" s="10" t="n">
        <v>46238.65766506353</v>
      </c>
      <c r="F123" s="16">
        <f>'클럭 정리'!A46</f>
        <v/>
      </c>
      <c r="G123" s="17">
        <f>'클럭 정리'!N46</f>
        <v/>
      </c>
      <c r="H123" s="15">
        <f>'클럭 정리'!O46</f>
        <v/>
      </c>
    </row>
    <row r="124">
      <c r="A124" s="13" t="inlineStr">
        <is>
          <t>병렬도 6 분할 36</t>
        </is>
      </c>
      <c r="B124" s="13" t="n">
        <v>4</v>
      </c>
      <c r="C124" s="13" t="inlineStr">
        <is>
          <t>ForkJoinPool-6</t>
        </is>
      </c>
      <c r="D124" s="10" t="n">
        <v>46238.65764097223</v>
      </c>
      <c r="E124" s="10" t="n">
        <v>46238.65766506353</v>
      </c>
      <c r="F124" s="16">
        <f>'클럭 정리'!A47</f>
        <v/>
      </c>
      <c r="G124" s="17">
        <f>'클럭 정리'!N47</f>
        <v/>
      </c>
      <c r="H124" s="15">
        <f>'클럭 정리'!O47</f>
        <v/>
      </c>
    </row>
    <row r="125">
      <c r="A125" s="13" t="inlineStr">
        <is>
          <t>병렬도 6 분할 36</t>
        </is>
      </c>
      <c r="B125" s="13" t="n">
        <v>4</v>
      </c>
      <c r="C125" s="13" t="inlineStr">
        <is>
          <t>main</t>
        </is>
      </c>
      <c r="D125" s="10" t="n">
        <v>46238.65764097223</v>
      </c>
      <c r="E125" s="10" t="n">
        <v>46238.65766506183</v>
      </c>
      <c r="F125" s="16">
        <f>'클럭 정리'!A46</f>
        <v/>
      </c>
      <c r="G125" s="17">
        <f>'클럭 정리'!N46</f>
        <v/>
      </c>
      <c r="H125" s="15">
        <f>'클럭 정리'!O46</f>
        <v/>
      </c>
    </row>
    <row r="126">
      <c r="A126" s="13" t="inlineStr">
        <is>
          <t>병렬도 6 분할 36</t>
        </is>
      </c>
      <c r="B126" s="13" t="n">
        <v>4</v>
      </c>
      <c r="C126" s="13" t="inlineStr">
        <is>
          <t>main</t>
        </is>
      </c>
      <c r="D126" s="10" t="n">
        <v>46238.65764097223</v>
      </c>
      <c r="E126" s="10" t="n">
        <v>46238.65766506183</v>
      </c>
      <c r="F126" s="16">
        <f>'클럭 정리'!A47</f>
        <v/>
      </c>
      <c r="G126" s="17">
        <f>'클럭 정리'!N47</f>
        <v/>
      </c>
      <c r="H126" s="15">
        <f>'클럭 정리'!O47</f>
        <v/>
      </c>
    </row>
    <row r="127">
      <c r="A127" s="13" t="inlineStr">
        <is>
          <t>병렬도 6 분할 36</t>
        </is>
      </c>
      <c r="B127" s="13" t="n">
        <v>5</v>
      </c>
      <c r="C127" s="13" t="inlineStr">
        <is>
          <t>ForkJoinPool-7</t>
        </is>
      </c>
      <c r="D127" s="10" t="n">
        <v>46238.65766508102</v>
      </c>
      <c r="E127" s="10" t="n">
        <v>46238.65768892705</v>
      </c>
      <c r="F127" s="16">
        <f>'클럭 정리'!A48</f>
        <v/>
      </c>
      <c r="G127" s="17">
        <f>'클럭 정리'!N48</f>
        <v/>
      </c>
      <c r="H127" s="15">
        <f>'클럭 정리'!O48</f>
        <v/>
      </c>
    </row>
    <row r="128">
      <c r="A128" s="13" t="inlineStr">
        <is>
          <t>병렬도 6 분할 36</t>
        </is>
      </c>
      <c r="B128" s="13" t="n">
        <v>5</v>
      </c>
      <c r="C128" s="13" t="inlineStr">
        <is>
          <t>ForkJoinPool-7</t>
        </is>
      </c>
      <c r="D128" s="10" t="n">
        <v>46238.65766508102</v>
      </c>
      <c r="E128" s="10" t="n">
        <v>46238.65768892705</v>
      </c>
      <c r="F128" s="16">
        <f>'클럭 정리'!A49</f>
        <v/>
      </c>
      <c r="G128" s="17">
        <f>'클럭 정리'!N49</f>
        <v/>
      </c>
      <c r="H128" s="15">
        <f>'클럭 정리'!O49</f>
        <v/>
      </c>
    </row>
    <row r="129">
      <c r="A129" s="13" t="inlineStr">
        <is>
          <t>병렬도 6 분할 36</t>
        </is>
      </c>
      <c r="B129" s="13" t="n">
        <v>5</v>
      </c>
      <c r="C129" s="13" t="inlineStr">
        <is>
          <t>ForkJoinPool-7</t>
        </is>
      </c>
      <c r="D129" s="10" t="n">
        <v>46238.65766508102</v>
      </c>
      <c r="E129" s="10" t="n">
        <v>46238.65768892705</v>
      </c>
      <c r="F129" s="16">
        <f>'클럭 정리'!A50</f>
        <v/>
      </c>
      <c r="G129" s="17">
        <f>'클럭 정리'!N50</f>
        <v/>
      </c>
      <c r="H129" s="15">
        <f>'클럭 정리'!O50</f>
        <v/>
      </c>
    </row>
    <row r="130">
      <c r="A130" s="13" t="inlineStr">
        <is>
          <t>병렬도 6 분할 36</t>
        </is>
      </c>
      <c r="B130" s="13" t="n">
        <v>5</v>
      </c>
      <c r="C130" s="13" t="inlineStr">
        <is>
          <t>main</t>
        </is>
      </c>
      <c r="D130" s="10" t="n">
        <v>46238.65766506945</v>
      </c>
      <c r="E130" s="10" t="n">
        <v>46238.65768893195</v>
      </c>
      <c r="F130" s="16">
        <f>'클럭 정리'!A48</f>
        <v/>
      </c>
      <c r="G130" s="17">
        <f>'클럭 정리'!N48</f>
        <v/>
      </c>
      <c r="H130" s="15">
        <f>'클럭 정리'!O48</f>
        <v/>
      </c>
    </row>
    <row r="131">
      <c r="A131" s="13" t="inlineStr">
        <is>
          <t>병렬도 6 분할 36</t>
        </is>
      </c>
      <c r="B131" s="13" t="n">
        <v>5</v>
      </c>
      <c r="C131" s="13" t="inlineStr">
        <is>
          <t>main</t>
        </is>
      </c>
      <c r="D131" s="10" t="n">
        <v>46238.65766506945</v>
      </c>
      <c r="E131" s="10" t="n">
        <v>46238.65768893195</v>
      </c>
      <c r="F131" s="16">
        <f>'클럭 정리'!A49</f>
        <v/>
      </c>
      <c r="G131" s="17">
        <f>'클럭 정리'!N49</f>
        <v/>
      </c>
      <c r="H131" s="15">
        <f>'클럭 정리'!O49</f>
        <v/>
      </c>
    </row>
    <row r="132">
      <c r="A132" s="13" t="inlineStr">
        <is>
          <t>병렬도 6 분할 36</t>
        </is>
      </c>
      <c r="B132" s="13" t="n">
        <v>5</v>
      </c>
      <c r="C132" s="13" t="inlineStr">
        <is>
          <t>main</t>
        </is>
      </c>
      <c r="D132" s="10" t="n">
        <v>46238.65766506945</v>
      </c>
      <c r="E132" s="10" t="n">
        <v>46238.65768893195</v>
      </c>
      <c r="F132" s="16">
        <f>'클럭 정리'!A50</f>
        <v/>
      </c>
      <c r="G132" s="17">
        <f>'클럭 정리'!N50</f>
        <v/>
      </c>
      <c r="H132" s="15">
        <f>'클럭 정리'!O50</f>
        <v/>
      </c>
    </row>
    <row r="133">
      <c r="A133" s="13" t="inlineStr">
        <is>
          <t>병렬도 12 분할 36</t>
        </is>
      </c>
      <c r="B133" s="13" t="n">
        <v>1</v>
      </c>
      <c r="C133" s="13" t="inlineStr">
        <is>
          <t>ForkJoinPool-11</t>
        </is>
      </c>
      <c r="D133" s="10" t="n">
        <v>46238.6577481713</v>
      </c>
      <c r="E133" s="10" t="n">
        <v>46238.65776452021</v>
      </c>
      <c r="F133" s="16">
        <f>'클럭 정리'!A56</f>
        <v/>
      </c>
      <c r="G133" s="17">
        <f>'클럭 정리'!N56</f>
        <v/>
      </c>
      <c r="H133" s="15">
        <f>'클럭 정리'!O56</f>
        <v/>
      </c>
    </row>
    <row r="134">
      <c r="A134" s="13" t="inlineStr">
        <is>
          <t>병렬도 12 분할 36</t>
        </is>
      </c>
      <c r="B134" s="13" t="n">
        <v>1</v>
      </c>
      <c r="C134" s="13" t="inlineStr">
        <is>
          <t>main</t>
        </is>
      </c>
      <c r="D134" s="10" t="n">
        <v>46238.65774815972</v>
      </c>
      <c r="E134" s="10" t="n">
        <v>46238.65776452026</v>
      </c>
      <c r="F134" s="16">
        <f>'클럭 정리'!A56</f>
        <v/>
      </c>
      <c r="G134" s="17">
        <f>'클럭 정리'!N56</f>
        <v/>
      </c>
      <c r="H134" s="15">
        <f>'클럭 정리'!O56</f>
        <v/>
      </c>
    </row>
    <row r="135">
      <c r="A135" s="13" t="inlineStr">
        <is>
          <t>병렬도 12 분할 36</t>
        </is>
      </c>
      <c r="B135" s="13" t="n">
        <v>2</v>
      </c>
      <c r="C135" s="13" t="inlineStr">
        <is>
          <t>ForkJoinPool-12</t>
        </is>
      </c>
      <c r="D135" s="10" t="n">
        <v>46238.65776454861</v>
      </c>
      <c r="E135" s="10" t="n">
        <v>46238.65778087826</v>
      </c>
      <c r="F135" s="16">
        <f>'클럭 정리'!A57</f>
        <v/>
      </c>
      <c r="G135" s="17">
        <f>'클럭 정리'!N57</f>
        <v/>
      </c>
      <c r="H135" s="15">
        <f>'클럭 정리'!O57</f>
        <v/>
      </c>
    </row>
    <row r="136">
      <c r="A136" s="13" t="inlineStr">
        <is>
          <t>병렬도 12 분할 36</t>
        </is>
      </c>
      <c r="B136" s="13" t="n">
        <v>2</v>
      </c>
      <c r="C136" s="13" t="inlineStr">
        <is>
          <t>main</t>
        </is>
      </c>
      <c r="D136" s="10" t="n">
        <v>46238.65776453703</v>
      </c>
      <c r="E136" s="10" t="n">
        <v>46238.65778087581</v>
      </c>
      <c r="F136" s="16">
        <f>'클럭 정리'!A57</f>
        <v/>
      </c>
      <c r="G136" s="17">
        <f>'클럭 정리'!N57</f>
        <v/>
      </c>
      <c r="H136" s="15">
        <f>'클럭 정리'!O57</f>
        <v/>
      </c>
    </row>
    <row r="137">
      <c r="A137" s="13" t="inlineStr">
        <is>
          <t>병렬도 12 분할 36</t>
        </is>
      </c>
      <c r="B137" s="13" t="n">
        <v>3</v>
      </c>
      <c r="C137" s="13" t="inlineStr">
        <is>
          <t>ForkJoinPool-13</t>
        </is>
      </c>
      <c r="D137" s="10" t="n">
        <v>46238.65778090278</v>
      </c>
      <c r="E137" s="10" t="n">
        <v>46238.65779733215</v>
      </c>
      <c r="F137" s="16">
        <f>'클럭 정리'!A58</f>
        <v/>
      </c>
      <c r="G137" s="17">
        <f>'클럭 정리'!N58</f>
        <v/>
      </c>
      <c r="H137" s="15">
        <f>'클럭 정리'!O58</f>
        <v/>
      </c>
    </row>
    <row r="138">
      <c r="A138" s="13" t="inlineStr">
        <is>
          <t>병렬도 12 분할 36</t>
        </is>
      </c>
      <c r="B138" s="13" t="n">
        <v>3</v>
      </c>
      <c r="C138" s="13" t="inlineStr">
        <is>
          <t>ForkJoinPool-13</t>
        </is>
      </c>
      <c r="D138" s="10" t="n">
        <v>46238.65778090278</v>
      </c>
      <c r="E138" s="10" t="n">
        <v>46238.65779733215</v>
      </c>
      <c r="F138" s="16">
        <f>'클럭 정리'!A59</f>
        <v/>
      </c>
      <c r="G138" s="17">
        <f>'클럭 정리'!N59</f>
        <v/>
      </c>
      <c r="H138" s="15">
        <f>'클럭 정리'!O59</f>
        <v/>
      </c>
    </row>
    <row r="139">
      <c r="A139" s="13" t="inlineStr">
        <is>
          <t>병렬도 12 분할 36</t>
        </is>
      </c>
      <c r="B139" s="13" t="n">
        <v>3</v>
      </c>
      <c r="C139" s="13" t="inlineStr">
        <is>
          <t>main</t>
        </is>
      </c>
      <c r="D139" s="10" t="n">
        <v>46238.6577808912</v>
      </c>
      <c r="E139" s="10" t="n">
        <v>46238.65779733205</v>
      </c>
      <c r="F139" s="16">
        <f>'클럭 정리'!A58</f>
        <v/>
      </c>
      <c r="G139" s="17">
        <f>'클럭 정리'!N58</f>
        <v/>
      </c>
      <c r="H139" s="15">
        <f>'클럭 정리'!O58</f>
        <v/>
      </c>
    </row>
    <row r="140">
      <c r="A140" s="13" t="inlineStr">
        <is>
          <t>병렬도 12 분할 36</t>
        </is>
      </c>
      <c r="B140" s="13" t="n">
        <v>3</v>
      </c>
      <c r="C140" s="13" t="inlineStr">
        <is>
          <t>main</t>
        </is>
      </c>
      <c r="D140" s="10" t="n">
        <v>46238.6577808912</v>
      </c>
      <c r="E140" s="10" t="n">
        <v>46238.65779733205</v>
      </c>
      <c r="F140" s="16">
        <f>'클럭 정리'!A59</f>
        <v/>
      </c>
      <c r="G140" s="17">
        <f>'클럭 정리'!N59</f>
        <v/>
      </c>
      <c r="H140" s="15">
        <f>'클럭 정리'!O59</f>
        <v/>
      </c>
    </row>
    <row r="141">
      <c r="A141" s="13" t="inlineStr">
        <is>
          <t>병렬도 12 분할 36</t>
        </is>
      </c>
      <c r="B141" s="13" t="n">
        <v>4</v>
      </c>
      <c r="C141" s="13" t="inlineStr">
        <is>
          <t>ForkJoinPool-14</t>
        </is>
      </c>
      <c r="D141" s="10" t="n">
        <v>46238.65779734954</v>
      </c>
      <c r="E141" s="10" t="n">
        <v>46238.65781369735</v>
      </c>
      <c r="F141" s="16">
        <f>'클럭 정리'!A60</f>
        <v/>
      </c>
      <c r="G141" s="17">
        <f>'클럭 정리'!N60</f>
        <v/>
      </c>
      <c r="H141" s="15">
        <f>'클럭 정리'!O60</f>
        <v/>
      </c>
    </row>
    <row r="142">
      <c r="A142" s="13" t="inlineStr">
        <is>
          <t>병렬도 12 분할 36</t>
        </is>
      </c>
      <c r="B142" s="13" t="n">
        <v>4</v>
      </c>
      <c r="C142" s="13" t="inlineStr">
        <is>
          <t>main</t>
        </is>
      </c>
      <c r="D142" s="10" t="n">
        <v>46238.65779733796</v>
      </c>
      <c r="E142" s="10" t="n">
        <v>46238.65781369333</v>
      </c>
      <c r="F142" s="16">
        <f>'클럭 정리'!A60</f>
        <v/>
      </c>
      <c r="G142" s="17">
        <f>'클럭 정리'!N60</f>
        <v/>
      </c>
      <c r="H142" s="15">
        <f>'클럭 정리'!O60</f>
        <v/>
      </c>
    </row>
    <row r="143">
      <c r="A143" s="13" t="inlineStr">
        <is>
          <t>병렬도 12 분할 36</t>
        </is>
      </c>
      <c r="B143" s="13" t="n">
        <v>5</v>
      </c>
      <c r="C143" s="13" t="inlineStr">
        <is>
          <t>ForkJoinPool-15</t>
        </is>
      </c>
      <c r="D143" s="10" t="n">
        <v>46238.65781371528</v>
      </c>
      <c r="E143" s="10" t="n">
        <v>46238.65783011659</v>
      </c>
      <c r="F143" s="16">
        <f>'클럭 정리'!A61</f>
        <v/>
      </c>
      <c r="G143" s="17">
        <f>'클럭 정리'!N61</f>
        <v/>
      </c>
      <c r="H143" s="15">
        <f>'클럭 정리'!O61</f>
        <v/>
      </c>
    </row>
    <row r="144">
      <c r="A144" s="13" t="inlineStr">
        <is>
          <t>병렬도 12 분할 36</t>
        </is>
      </c>
      <c r="B144" s="13" t="n">
        <v>5</v>
      </c>
      <c r="C144" s="13" t="inlineStr">
        <is>
          <t>ForkJoinPool-15</t>
        </is>
      </c>
      <c r="D144" s="10" t="n">
        <v>46238.65781371528</v>
      </c>
      <c r="E144" s="10" t="n">
        <v>46238.65783011659</v>
      </c>
      <c r="F144" s="16">
        <f>'클럭 정리'!A62</f>
        <v/>
      </c>
      <c r="G144" s="17">
        <f>'클럭 정리'!N62</f>
        <v/>
      </c>
      <c r="H144" s="15">
        <f>'클럭 정리'!O62</f>
        <v/>
      </c>
    </row>
    <row r="145">
      <c r="A145" s="13" t="inlineStr">
        <is>
          <t>병렬도 12 분할 36</t>
        </is>
      </c>
      <c r="B145" s="13" t="n">
        <v>5</v>
      </c>
      <c r="C145" s="13" t="inlineStr">
        <is>
          <t>main</t>
        </is>
      </c>
      <c r="D145" s="10" t="n">
        <v>46238.65781370371</v>
      </c>
      <c r="E145" s="10" t="n">
        <v>46238.65783011365</v>
      </c>
      <c r="F145" s="16">
        <f>'클럭 정리'!A61</f>
        <v/>
      </c>
      <c r="G145" s="17">
        <f>'클럭 정리'!N61</f>
        <v/>
      </c>
      <c r="H145" s="15">
        <f>'클럭 정리'!O61</f>
        <v/>
      </c>
    </row>
    <row r="146">
      <c r="A146" s="13" t="inlineStr">
        <is>
          <t>병렬도 12 분할 36</t>
        </is>
      </c>
      <c r="B146" s="13" t="n">
        <v>5</v>
      </c>
      <c r="C146" s="13" t="inlineStr">
        <is>
          <t>main</t>
        </is>
      </c>
      <c r="D146" s="10" t="n">
        <v>46238.65781370371</v>
      </c>
      <c r="E146" s="10" t="n">
        <v>46238.65783011365</v>
      </c>
      <c r="F146" s="16">
        <f>'클럭 정리'!A62</f>
        <v/>
      </c>
      <c r="G146" s="17">
        <f>'클럭 정리'!N62</f>
        <v/>
      </c>
      <c r="H146" s="15">
        <f>'클럭 정리'!O62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  <col width="14" customWidth="1" min="14" max="14"/>
    <col width="15" customWidth="1" min="15" max="15"/>
    <col width="15" customWidth="1" min="16" max="16"/>
    <col width="13" customWidth="1" min="17" max="17"/>
    <col width="13" customWidth="1" min="18" max="18"/>
    <col width="18" customWidth="1" min="19" max="19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3">
      <c r="A3" s="4" t="inlineStr">
        <is>
          <t>할당 열은 그 회차에 새로 만든 객체의 바이트다. main·워커·기타를 더한 값이 총 할당이고, 평가 1회당 할당은 총 할당을 그 회차의 평가 횟수로 나눈 값이다. 평가 횟수는 IMPLOG leaf의 sumDev 실행 횟수 합이다. 순차 행은 말단 기록이 없어 평가 횟수와 평가 1회당 할당이 빈 칸이다. MB는 1,000,000바이트 기준이다.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  <c r="N4" s="5" t="inlineStr">
        <is>
          <t>main 할당(MB)</t>
        </is>
      </c>
      <c r="O4" s="5" t="inlineStr">
        <is>
          <t>워커 할당(MB)</t>
        </is>
      </c>
      <c r="P4" s="5" t="inlineStr">
        <is>
          <t>기타 할당(MB)</t>
        </is>
      </c>
      <c r="Q4" s="5" t="inlineStr">
        <is>
          <t>총 할당(MB)</t>
        </is>
      </c>
      <c r="R4" s="5" t="inlineStr">
        <is>
          <t>평가 횟수(회)</t>
        </is>
      </c>
      <c r="S4" s="5" t="inlineStr">
        <is>
          <t>평가 1회당 할당(B)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3156.3926</v>
      </c>
      <c r="F5" s="14" t="n">
        <v>3171.875</v>
      </c>
      <c r="G5" s="11">
        <f>F5/E5</f>
        <v/>
      </c>
      <c r="H5" s="14" t="n">
        <v>3109.375</v>
      </c>
      <c r="I5" s="14" t="n">
        <v>0</v>
      </c>
      <c r="J5" s="14" t="n">
        <v>0</v>
      </c>
      <c r="K5" s="14" t="n">
        <v>46.875</v>
      </c>
      <c r="L5" s="13" t="n">
        <v>19</v>
      </c>
      <c r="M5" s="13" t="n"/>
      <c r="N5" s="18" t="n">
        <v>9518.045096</v>
      </c>
      <c r="O5" s="18" t="n">
        <v>0</v>
      </c>
      <c r="P5" s="18" t="n">
        <v>0</v>
      </c>
      <c r="Q5" s="18">
        <f>N5+O5+P5</f>
        <v/>
      </c>
      <c r="R5" s="13" t="n"/>
      <c r="S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4463.1797</v>
      </c>
      <c r="F6" s="14" t="n">
        <v>4484.375</v>
      </c>
      <c r="G6" s="11">
        <f>F6/E6</f>
        <v/>
      </c>
      <c r="H6" s="14" t="n">
        <v>4421.875</v>
      </c>
      <c r="I6" s="14" t="n">
        <v>0</v>
      </c>
      <c r="J6" s="14" t="n">
        <v>0</v>
      </c>
      <c r="K6" s="14" t="n">
        <v>62.5</v>
      </c>
      <c r="L6" s="13" t="n">
        <v>19</v>
      </c>
      <c r="M6" s="13" t="n"/>
      <c r="N6" s="18" t="n">
        <v>9517.856535999999</v>
      </c>
      <c r="O6" s="18" t="n">
        <v>0</v>
      </c>
      <c r="P6" s="18" t="n">
        <v>0</v>
      </c>
      <c r="Q6" s="18">
        <f>N6+O6+P6</f>
        <v/>
      </c>
      <c r="R6" s="13" t="n"/>
      <c r="S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4393.4928</v>
      </c>
      <c r="F7" s="14" t="n">
        <v>4343.75</v>
      </c>
      <c r="G7" s="11">
        <f>F7/E7</f>
        <v/>
      </c>
      <c r="H7" s="14" t="n">
        <v>4328.125</v>
      </c>
      <c r="I7" s="14" t="n">
        <v>0</v>
      </c>
      <c r="J7" s="14" t="n">
        <v>0</v>
      </c>
      <c r="K7" s="14" t="n">
        <v>15.625</v>
      </c>
      <c r="L7" s="13" t="n">
        <v>17</v>
      </c>
      <c r="M7" s="13" t="n"/>
      <c r="N7" s="18" t="n">
        <v>9517.856535999999</v>
      </c>
      <c r="O7" s="18" t="n">
        <v>0</v>
      </c>
      <c r="P7" s="18" t="n">
        <v>0</v>
      </c>
      <c r="Q7" s="18">
        <f>N7+O7+P7</f>
        <v/>
      </c>
      <c r="R7" s="13" t="n"/>
      <c r="S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4804.8271</v>
      </c>
      <c r="F8" s="14" t="n">
        <v>4578.125</v>
      </c>
      <c r="G8" s="11">
        <f>F8/E8</f>
        <v/>
      </c>
      <c r="H8" s="14" t="n">
        <v>4546.875</v>
      </c>
      <c r="I8" s="14" t="n">
        <v>0</v>
      </c>
      <c r="J8" s="14" t="n">
        <v>0</v>
      </c>
      <c r="K8" s="14" t="n">
        <v>31.25</v>
      </c>
      <c r="L8" s="13" t="n">
        <v>34</v>
      </c>
      <c r="M8" s="13" t="n"/>
      <c r="N8" s="18" t="n">
        <v>9517.856535999999</v>
      </c>
      <c r="O8" s="18" t="n">
        <v>0</v>
      </c>
      <c r="P8" s="18" t="n">
        <v>0</v>
      </c>
      <c r="Q8" s="18">
        <f>N8+O8+P8</f>
        <v/>
      </c>
      <c r="R8" s="13" t="n"/>
      <c r="S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4532.3752</v>
      </c>
      <c r="F9" s="14" t="n">
        <v>4515.625</v>
      </c>
      <c r="G9" s="11">
        <f>F9/E9</f>
        <v/>
      </c>
      <c r="H9" s="14" t="n">
        <v>4468.75</v>
      </c>
      <c r="I9" s="14" t="n">
        <v>0</v>
      </c>
      <c r="J9" s="14" t="n">
        <v>0</v>
      </c>
      <c r="K9" s="14" t="n">
        <v>46.875</v>
      </c>
      <c r="L9" s="13" t="n">
        <v>17</v>
      </c>
      <c r="M9" s="13" t="n"/>
      <c r="N9" s="18" t="n">
        <v>9517.856535999999</v>
      </c>
      <c r="O9" s="18" t="n">
        <v>0</v>
      </c>
      <c r="P9" s="18" t="n">
        <v>0</v>
      </c>
      <c r="Q9" s="18">
        <f>N9+O9+P9</f>
        <v/>
      </c>
      <c r="R9" s="13" t="n"/>
      <c r="S9" s="13" t="n"/>
    </row>
    <row r="10">
      <c r="A10" s="13" t="inlineStr">
        <is>
          <t>병렬</t>
        </is>
      </c>
      <c r="B10" s="13" t="n">
        <v>6</v>
      </c>
      <c r="C10" s="13" t="n">
        <v>36</v>
      </c>
      <c r="D10" s="13" t="n">
        <v>1</v>
      </c>
      <c r="E10" s="14" t="n">
        <v>2065.8014</v>
      </c>
      <c r="F10" s="14" t="n">
        <v>12281.25</v>
      </c>
      <c r="G10" s="11">
        <f>F10/E10</f>
        <v/>
      </c>
      <c r="H10" s="14" t="n">
        <v>0</v>
      </c>
      <c r="I10" s="14" t="n">
        <v>11187.5</v>
      </c>
      <c r="J10" s="14" t="n">
        <v>0</v>
      </c>
      <c r="K10" s="14" t="n">
        <v>1093.75</v>
      </c>
      <c r="L10" s="13" t="n">
        <v>20</v>
      </c>
      <c r="M10" s="11">
        <f>AVERAGEIFS($E$5:$E$19,$A$5:$A$19,"순차")/E10</f>
        <v/>
      </c>
      <c r="N10" s="18" t="n">
        <v>1.206816</v>
      </c>
      <c r="O10" s="18" t="n">
        <v>9523.930367999999</v>
      </c>
      <c r="P10" s="18" t="n">
        <v>0</v>
      </c>
      <c r="Q10" s="18">
        <f>N10+O10+P10</f>
        <v/>
      </c>
      <c r="R10" s="19" t="n">
        <v>855000</v>
      </c>
      <c r="S10" s="19">
        <f>Q10*1000000/R10</f>
        <v/>
      </c>
    </row>
    <row r="11">
      <c r="A11" s="13" t="inlineStr">
        <is>
          <t>병렬</t>
        </is>
      </c>
      <c r="B11" s="13" t="n">
        <v>6</v>
      </c>
      <c r="C11" s="13" t="n">
        <v>36</v>
      </c>
      <c r="D11" s="13" t="n">
        <v>2</v>
      </c>
      <c r="E11" s="14" t="n">
        <v>2082.5608</v>
      </c>
      <c r="F11" s="14" t="n">
        <v>11328.125</v>
      </c>
      <c r="G11" s="11">
        <f>F11/E11</f>
        <v/>
      </c>
      <c r="H11" s="14" t="n">
        <v>0</v>
      </c>
      <c r="I11" s="14" t="n">
        <v>11281.25</v>
      </c>
      <c r="J11" s="14" t="n">
        <v>0</v>
      </c>
      <c r="K11" s="14" t="n">
        <v>46.875</v>
      </c>
      <c r="L11" s="13" t="n">
        <v>19</v>
      </c>
      <c r="M11" s="11">
        <f>AVERAGEIFS($E$5:$E$19,$A$5:$A$19,"순차")/E11</f>
        <v/>
      </c>
      <c r="N11" s="18" t="n">
        <v>0.86944</v>
      </c>
      <c r="O11" s="18" t="n">
        <v>9520.430456</v>
      </c>
      <c r="P11" s="18" t="n">
        <v>0</v>
      </c>
      <c r="Q11" s="18">
        <f>N11+O11+P11</f>
        <v/>
      </c>
      <c r="R11" s="19" t="n">
        <v>855000</v>
      </c>
      <c r="S11" s="19">
        <f>Q11*1000000/R11</f>
        <v/>
      </c>
    </row>
    <row r="12">
      <c r="A12" s="13" t="inlineStr">
        <is>
          <t>병렬</t>
        </is>
      </c>
      <c r="B12" s="13" t="n">
        <v>6</v>
      </c>
      <c r="C12" s="13" t="n">
        <v>36</v>
      </c>
      <c r="D12" s="13" t="n">
        <v>3</v>
      </c>
      <c r="E12" s="14" t="n">
        <v>2129.0134</v>
      </c>
      <c r="F12" s="14" t="n">
        <v>12125</v>
      </c>
      <c r="G12" s="11">
        <f>F12/E12</f>
        <v/>
      </c>
      <c r="H12" s="14" t="n">
        <v>0</v>
      </c>
      <c r="I12" s="14" t="n">
        <v>12125</v>
      </c>
      <c r="J12" s="14" t="n">
        <v>0</v>
      </c>
      <c r="K12" s="14" t="n">
        <v>0</v>
      </c>
      <c r="L12" s="13" t="n">
        <v>20</v>
      </c>
      <c r="M12" s="11">
        <f>AVERAGEIFS($E$5:$E$19,$A$5:$A$19,"순차")/E12</f>
        <v/>
      </c>
      <c r="N12" s="18" t="n">
        <v>0.872104</v>
      </c>
      <c r="O12" s="18" t="n">
        <v>9520.430768</v>
      </c>
      <c r="P12" s="18" t="n">
        <v>0</v>
      </c>
      <c r="Q12" s="18">
        <f>N12+O12+P12</f>
        <v/>
      </c>
      <c r="R12" s="19" t="n">
        <v>855000</v>
      </c>
      <c r="S12" s="19">
        <f>Q12*1000000/R12</f>
        <v/>
      </c>
    </row>
    <row r="13">
      <c r="A13" s="13" t="inlineStr">
        <is>
          <t>병렬</t>
        </is>
      </c>
      <c r="B13" s="13" t="n">
        <v>6</v>
      </c>
      <c r="C13" s="13" t="n">
        <v>36</v>
      </c>
      <c r="D13" s="13" t="n">
        <v>4</v>
      </c>
      <c r="E13" s="14" t="n">
        <v>2082.0814</v>
      </c>
      <c r="F13" s="14" t="n">
        <v>11437.5</v>
      </c>
      <c r="G13" s="11">
        <f>F13/E13</f>
        <v/>
      </c>
      <c r="H13" s="14" t="n">
        <v>0</v>
      </c>
      <c r="I13" s="14" t="n">
        <v>11375</v>
      </c>
      <c r="J13" s="14" t="n">
        <v>0</v>
      </c>
      <c r="K13" s="14" t="n">
        <v>62.5</v>
      </c>
      <c r="L13" s="13" t="n">
        <v>19</v>
      </c>
      <c r="M13" s="11">
        <f>AVERAGEIFS($E$5:$E$19,$A$5:$A$19,"순차")/E13</f>
        <v/>
      </c>
      <c r="N13" s="18" t="n">
        <v>0.874768</v>
      </c>
      <c r="O13" s="18" t="n">
        <v>9520.430032</v>
      </c>
      <c r="P13" s="18" t="n">
        <v>0</v>
      </c>
      <c r="Q13" s="18">
        <f>N13+O13+P13</f>
        <v/>
      </c>
      <c r="R13" s="19" t="n">
        <v>855000</v>
      </c>
      <c r="S13" s="19">
        <f>Q13*1000000/R13</f>
        <v/>
      </c>
    </row>
    <row r="14">
      <c r="A14" s="13" t="inlineStr">
        <is>
          <t>병렬</t>
        </is>
      </c>
      <c r="B14" s="13" t="n">
        <v>6</v>
      </c>
      <c r="C14" s="13" t="n">
        <v>36</v>
      </c>
      <c r="D14" s="13" t="n">
        <v>5</v>
      </c>
      <c r="E14" s="14" t="n">
        <v>2060.5728</v>
      </c>
      <c r="F14" s="14" t="n">
        <v>11468.75</v>
      </c>
      <c r="G14" s="11">
        <f>F14/E14</f>
        <v/>
      </c>
      <c r="H14" s="14" t="n">
        <v>0</v>
      </c>
      <c r="I14" s="14" t="n">
        <v>11390.625</v>
      </c>
      <c r="J14" s="14" t="n">
        <v>0</v>
      </c>
      <c r="K14" s="14" t="n">
        <v>78.125</v>
      </c>
      <c r="L14" s="13" t="n">
        <v>20</v>
      </c>
      <c r="M14" s="11">
        <f>AVERAGEIFS($E$5:$E$19,$A$5:$A$19,"순차")/E14</f>
        <v/>
      </c>
      <c r="N14" s="18" t="n">
        <v>0.877432</v>
      </c>
      <c r="O14" s="18" t="n">
        <v>9520.430568</v>
      </c>
      <c r="P14" s="18" t="n">
        <v>0</v>
      </c>
      <c r="Q14" s="18">
        <f>N14+O14+P14</f>
        <v/>
      </c>
      <c r="R14" s="19" t="n">
        <v>855000</v>
      </c>
      <c r="S14" s="19">
        <f>Q14*1000000/R14</f>
        <v/>
      </c>
    </row>
    <row r="15">
      <c r="A15" s="13" t="inlineStr">
        <is>
          <t>병렬</t>
        </is>
      </c>
      <c r="B15" s="13" t="n">
        <v>12</v>
      </c>
      <c r="C15" s="13" t="n">
        <v>36</v>
      </c>
      <c r="D15" s="13" t="n">
        <v>1</v>
      </c>
      <c r="E15" s="14" t="n">
        <v>1413.53</v>
      </c>
      <c r="F15" s="14" t="n">
        <v>13734.375</v>
      </c>
      <c r="G15" s="11">
        <f>F15/E15</f>
        <v/>
      </c>
      <c r="H15" s="14" t="n">
        <v>15.625</v>
      </c>
      <c r="I15" s="14" t="n">
        <v>13546.875</v>
      </c>
      <c r="J15" s="14" t="n">
        <v>0</v>
      </c>
      <c r="K15" s="14" t="n">
        <v>171.875</v>
      </c>
      <c r="L15" s="13" t="n">
        <v>16</v>
      </c>
      <c r="M15" s="11">
        <f>AVERAGEIFS($E$5:$E$19,$A$5:$A$19,"순차")/E15</f>
        <v/>
      </c>
      <c r="N15" s="18" t="n">
        <v>0.8941519999999999</v>
      </c>
      <c r="O15" s="18" t="n">
        <v>9520.4588</v>
      </c>
      <c r="P15" s="18" t="n">
        <v>0</v>
      </c>
      <c r="Q15" s="18">
        <f>N15+O15+P15</f>
        <v/>
      </c>
      <c r="R15" s="19" t="n">
        <v>855000</v>
      </c>
      <c r="S15" s="19">
        <f>Q15*1000000/R15</f>
        <v/>
      </c>
    </row>
    <row r="16">
      <c r="A16" s="13" t="inlineStr">
        <is>
          <t>병렬</t>
        </is>
      </c>
      <c r="B16" s="13" t="n">
        <v>12</v>
      </c>
      <c r="C16" s="13" t="n">
        <v>36</v>
      </c>
      <c r="D16" s="13" t="n">
        <v>2</v>
      </c>
      <c r="E16" s="14" t="n">
        <v>1412.5875</v>
      </c>
      <c r="F16" s="14" t="n">
        <v>13984.375</v>
      </c>
      <c r="G16" s="11">
        <f>F16/E16</f>
        <v/>
      </c>
      <c r="H16" s="14" t="n">
        <v>15.625</v>
      </c>
      <c r="I16" s="14" t="n">
        <v>13875</v>
      </c>
      <c r="J16" s="14" t="n">
        <v>0</v>
      </c>
      <c r="K16" s="14" t="n">
        <v>93.75</v>
      </c>
      <c r="L16" s="13" t="n">
        <v>16</v>
      </c>
      <c r="M16" s="11">
        <f>AVERAGEIFS($E$5:$E$19,$A$5:$A$19,"순차")/E16</f>
        <v/>
      </c>
      <c r="N16" s="18" t="n">
        <v>0.8994799999999999</v>
      </c>
      <c r="O16" s="18" t="n">
        <v>9520.458775999999</v>
      </c>
      <c r="P16" s="18" t="n">
        <v>0</v>
      </c>
      <c r="Q16" s="18">
        <f>N16+O16+P16</f>
        <v/>
      </c>
      <c r="R16" s="19" t="n">
        <v>855000</v>
      </c>
      <c r="S16" s="19">
        <f>Q16*1000000/R16</f>
        <v/>
      </c>
    </row>
    <row r="17">
      <c r="A17" s="13" t="inlineStr">
        <is>
          <t>병렬</t>
        </is>
      </c>
      <c r="B17" s="13" t="n">
        <v>12</v>
      </c>
      <c r="C17" s="13" t="n">
        <v>36</v>
      </c>
      <c r="D17" s="13" t="n">
        <v>3</v>
      </c>
      <c r="E17" s="14" t="n">
        <v>1419.7606</v>
      </c>
      <c r="F17" s="14" t="n">
        <v>14421.875</v>
      </c>
      <c r="G17" s="11">
        <f>F17/E17</f>
        <v/>
      </c>
      <c r="H17" s="14" t="n">
        <v>0</v>
      </c>
      <c r="I17" s="14" t="n">
        <v>14390.625</v>
      </c>
      <c r="J17" s="14" t="n">
        <v>0</v>
      </c>
      <c r="K17" s="14" t="n">
        <v>31.25</v>
      </c>
      <c r="L17" s="13" t="n">
        <v>16</v>
      </c>
      <c r="M17" s="11">
        <f>AVERAGEIFS($E$5:$E$19,$A$5:$A$19,"순차")/E17</f>
        <v/>
      </c>
      <c r="N17" s="18" t="n">
        <v>0.905848</v>
      </c>
      <c r="O17" s="18" t="n">
        <v>9520.459016000001</v>
      </c>
      <c r="P17" s="18" t="n">
        <v>0</v>
      </c>
      <c r="Q17" s="18">
        <f>N17+O17+P17</f>
        <v/>
      </c>
      <c r="R17" s="19" t="n">
        <v>855000</v>
      </c>
      <c r="S17" s="19">
        <f>Q17*1000000/R17</f>
        <v/>
      </c>
    </row>
    <row r="18">
      <c r="A18" s="13" t="inlineStr">
        <is>
          <t>병렬</t>
        </is>
      </c>
      <c r="B18" s="13" t="n">
        <v>12</v>
      </c>
      <c r="C18" s="13" t="n">
        <v>36</v>
      </c>
      <c r="D18" s="13" t="n">
        <v>4</v>
      </c>
      <c r="E18" s="14" t="n">
        <v>1412.8336</v>
      </c>
      <c r="F18" s="14" t="n">
        <v>10562.5</v>
      </c>
      <c r="G18" s="11">
        <f>F18/E18</f>
        <v/>
      </c>
      <c r="H18" s="14" t="n">
        <v>0</v>
      </c>
      <c r="I18" s="14" t="n">
        <v>10312.5</v>
      </c>
      <c r="J18" s="14" t="n">
        <v>0</v>
      </c>
      <c r="K18" s="14" t="n">
        <v>250</v>
      </c>
      <c r="L18" s="13" t="n">
        <v>18</v>
      </c>
      <c r="M18" s="11">
        <f>AVERAGEIFS($E$5:$E$19,$A$5:$A$19,"순차")/E18</f>
        <v/>
      </c>
      <c r="N18" s="18" t="n">
        <v>0.911176</v>
      </c>
      <c r="O18" s="18" t="n">
        <v>9520.458864</v>
      </c>
      <c r="P18" s="18" t="n">
        <v>0</v>
      </c>
      <c r="Q18" s="18">
        <f>N18+O18+P18</f>
        <v/>
      </c>
      <c r="R18" s="19" t="n">
        <v>855000</v>
      </c>
      <c r="S18" s="19">
        <f>Q18*1000000/R18</f>
        <v/>
      </c>
    </row>
    <row r="19">
      <c r="A19" s="13" t="inlineStr">
        <is>
          <t>병렬</t>
        </is>
      </c>
      <c r="B19" s="13" t="n">
        <v>12</v>
      </c>
      <c r="C19" s="13" t="n">
        <v>36</v>
      </c>
      <c r="D19" s="13" t="n">
        <v>5</v>
      </c>
      <c r="E19" s="14" t="n">
        <v>1417.5584</v>
      </c>
      <c r="F19" s="14" t="n">
        <v>14609.375</v>
      </c>
      <c r="G19" s="11">
        <f>F19/E19</f>
        <v/>
      </c>
      <c r="H19" s="14" t="n">
        <v>0</v>
      </c>
      <c r="I19" s="14" t="n">
        <v>14609.375</v>
      </c>
      <c r="J19" s="14" t="n">
        <v>0</v>
      </c>
      <c r="K19" s="14" t="n">
        <v>0</v>
      </c>
      <c r="L19" s="13" t="n">
        <v>17</v>
      </c>
      <c r="M19" s="11">
        <f>AVERAGEIFS($E$5:$E$19,$A$5:$A$19,"순차")/E19</f>
        <v/>
      </c>
      <c r="N19" s="18" t="n">
        <v>0.916672</v>
      </c>
      <c r="O19" s="18" t="n">
        <v>9520.459263999999</v>
      </c>
      <c r="P19" s="18" t="n">
        <v>0</v>
      </c>
      <c r="Q19" s="18">
        <f>N19+O19+P19</f>
        <v/>
      </c>
      <c r="R19" s="19" t="n">
        <v>855000</v>
      </c>
      <c r="S19" s="19">
        <f>Q19*1000000/R19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20" t="inlineStr">
        <is>
          <t>이 시트의 값: '구간과 스레드 매핑' 시트의 평균 클럭(GHz) 열이다. 수식 참조로 그대로 가져왔다</t>
        </is>
      </c>
    </row>
    <row r="2">
      <c r="A2" s="20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21" t="inlineStr">
        <is>
          <t>구간 종류</t>
        </is>
      </c>
      <c r="B3" s="21" t="inlineStr">
        <is>
          <t>순차</t>
        </is>
      </c>
      <c r="C3" s="21" t="inlineStr">
        <is>
          <t>병렬도 6 분할 36</t>
        </is>
      </c>
      <c r="D3" s="21" t="inlineStr">
        <is>
          <t>병렬도 12 분할 36</t>
        </is>
      </c>
    </row>
    <row r="4">
      <c r="A4" s="20" t="inlineStr">
        <is>
          <t>전체</t>
        </is>
      </c>
      <c r="B4" s="22">
        <f>'구간과 스레드 매핑'!H6</f>
        <v/>
      </c>
      <c r="C4" s="22">
        <f>'구간과 스레드 매핑'!H7</f>
        <v/>
      </c>
      <c r="D4" s="22">
        <f>'구간과 스레드 매핑'!H15</f>
        <v/>
      </c>
    </row>
    <row r="5">
      <c r="A5" s="20" t="inlineStr">
        <is>
          <t>워밍업</t>
        </is>
      </c>
      <c r="C5" s="22">
        <f>'구간과 스레드 매핑'!H8</f>
        <v/>
      </c>
      <c r="D5" s="22">
        <f>'구간과 스레드 매핑'!H16</f>
        <v/>
      </c>
    </row>
    <row r="6">
      <c r="A6" s="20" t="inlineStr">
        <is>
          <t>측정 1회차</t>
        </is>
      </c>
      <c r="C6" s="22">
        <f>'구간과 스레드 매핑'!H9</f>
        <v/>
      </c>
      <c r="D6" s="22">
        <f>'구간과 스레드 매핑'!H17</f>
        <v/>
      </c>
    </row>
    <row r="7">
      <c r="A7" s="20" t="inlineStr">
        <is>
          <t>측정 2회차</t>
        </is>
      </c>
      <c r="C7" s="22">
        <f>'구간과 스레드 매핑'!H10</f>
        <v/>
      </c>
      <c r="D7" s="22">
        <f>'구간과 스레드 매핑'!H18</f>
        <v/>
      </c>
    </row>
    <row r="8">
      <c r="A8" s="20" t="inlineStr">
        <is>
          <t>측정 3회차</t>
        </is>
      </c>
      <c r="C8" s="22">
        <f>'구간과 스레드 매핑'!H11</f>
        <v/>
      </c>
      <c r="D8" s="22">
        <f>'구간과 스레드 매핑'!H19</f>
        <v/>
      </c>
    </row>
    <row r="9">
      <c r="A9" s="20" t="inlineStr">
        <is>
          <t>측정 4회차</t>
        </is>
      </c>
      <c r="C9" s="22">
        <f>'구간과 스레드 매핑'!H12</f>
        <v/>
      </c>
      <c r="D9" s="22">
        <f>'구간과 스레드 매핑'!H20</f>
        <v/>
      </c>
    </row>
    <row r="10">
      <c r="A10" s="20" t="inlineStr">
        <is>
          <t>측정 5회차</t>
        </is>
      </c>
      <c r="C10" s="22">
        <f>'구간과 스레드 매핑'!H13</f>
        <v/>
      </c>
      <c r="D10" s="22">
        <f>'구간과 스레드 매핑'!H21</f>
        <v/>
      </c>
    </row>
    <row r="11">
      <c r="A11" s="20" t="inlineStr">
        <is>
          <t>워커별 CPU 읽기 실행</t>
        </is>
      </c>
      <c r="C11" s="22">
        <f>'구간과 스레드 매핑'!H14</f>
        <v/>
      </c>
      <c r="D11" s="22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7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36 측정 1회차 (스레드별 클럭, GHz)</t>
        </is>
      </c>
      <c r="P3" s="2" t="inlineStr">
        <is>
          <t>전체 추이 데이터 (스레드별 선용, GHz)</t>
        </is>
      </c>
    </row>
    <row r="4">
      <c r="A4" s="23" t="inlineStr">
        <is>
          <t>시각</t>
        </is>
      </c>
      <c r="B4" s="23" t="inlineStr">
        <is>
          <t>ForkJoinPool-3-worker-1</t>
        </is>
      </c>
      <c r="C4" s="23" t="inlineStr">
        <is>
          <t>ForkJoinPool-3-worker-2</t>
        </is>
      </c>
      <c r="D4" s="23" t="inlineStr">
        <is>
          <t>ForkJoinPool-3-worker-3</t>
        </is>
      </c>
      <c r="E4" s="23" t="inlineStr">
        <is>
          <t>ForkJoinPool-3-worker-4</t>
        </is>
      </c>
      <c r="F4" s="23" t="inlineStr">
        <is>
          <t>ForkJoinPool-3-worker-5</t>
        </is>
      </c>
      <c r="G4" s="23" t="inlineStr">
        <is>
          <t>ForkJoinPool-3-worker-6</t>
        </is>
      </c>
      <c r="H4" s="23" t="inlineStr">
        <is>
          <t>main</t>
        </is>
      </c>
      <c r="P4" s="23" t="inlineStr">
        <is>
          <t>시각</t>
        </is>
      </c>
      <c r="Q4" s="23" t="inlineStr">
        <is>
          <t>전체 평균</t>
        </is>
      </c>
      <c r="R4" s="23" t="inlineStr">
        <is>
          <t>ForkJoinPool-3-worker-1</t>
        </is>
      </c>
      <c r="S4" s="23" t="inlineStr">
        <is>
          <t>ForkJoinPool-3-worker-2</t>
        </is>
      </c>
      <c r="T4" s="23" t="inlineStr">
        <is>
          <t>ForkJoinPool-3-worker-3</t>
        </is>
      </c>
      <c r="U4" s="23" t="inlineStr">
        <is>
          <t>ForkJoinPool-3-worker-4</t>
        </is>
      </c>
      <c r="V4" s="23" t="inlineStr">
        <is>
          <t>ForkJoinPool-3-worker-5</t>
        </is>
      </c>
      <c r="W4" s="23" t="inlineStr">
        <is>
          <t>ForkJoinPool-3-worker-6</t>
        </is>
      </c>
      <c r="X4" s="23" t="inlineStr">
        <is>
          <t>main</t>
        </is>
      </c>
      <c r="Y4" s="23" t="inlineStr">
        <is>
          <t>ForkJoinPool-4-worker-1</t>
        </is>
      </c>
      <c r="Z4" s="23" t="inlineStr">
        <is>
          <t>ForkJoinPool-4-worker-2</t>
        </is>
      </c>
      <c r="AA4" s="23" t="inlineStr">
        <is>
          <t>ForkJoinPool-4-worker-3</t>
        </is>
      </c>
      <c r="AB4" s="23" t="inlineStr">
        <is>
          <t>ForkJoinPool-4-worker-4</t>
        </is>
      </c>
      <c r="AC4" s="23" t="inlineStr">
        <is>
          <t>ForkJoinPool-4-worker-5</t>
        </is>
      </c>
      <c r="AD4" s="23" t="inlineStr">
        <is>
          <t>ForkJoinPool-4-worker-6</t>
        </is>
      </c>
      <c r="AE4" s="23" t="inlineStr">
        <is>
          <t>ForkJoinPool-5-worker-1</t>
        </is>
      </c>
      <c r="AF4" s="23" t="inlineStr">
        <is>
          <t>ForkJoinPool-5-worker-2</t>
        </is>
      </c>
      <c r="AG4" s="23" t="inlineStr">
        <is>
          <t>ForkJoinPool-5-worker-3</t>
        </is>
      </c>
      <c r="AH4" s="23" t="inlineStr">
        <is>
          <t>ForkJoinPool-5-worker-4</t>
        </is>
      </c>
      <c r="AI4" s="23" t="inlineStr">
        <is>
          <t>ForkJoinPool-5-worker-5</t>
        </is>
      </c>
      <c r="AJ4" s="23" t="inlineStr">
        <is>
          <t>ForkJoinPool-5-worker-6</t>
        </is>
      </c>
      <c r="AK4" s="23" t="inlineStr">
        <is>
          <t>ForkJoinPool-6-worker-1</t>
        </is>
      </c>
      <c r="AL4" s="23" t="inlineStr">
        <is>
          <t>ForkJoinPool-6-worker-2</t>
        </is>
      </c>
      <c r="AM4" s="23" t="inlineStr">
        <is>
          <t>ForkJoinPool-6-worker-3</t>
        </is>
      </c>
      <c r="AN4" s="23" t="inlineStr">
        <is>
          <t>ForkJoinPool-6-worker-4</t>
        </is>
      </c>
      <c r="AO4" s="23" t="inlineStr">
        <is>
          <t>ForkJoinPool-6-worker-5</t>
        </is>
      </c>
      <c r="AP4" s="23" t="inlineStr">
        <is>
          <t>ForkJoinPool-6-worker-6</t>
        </is>
      </c>
      <c r="AQ4" s="23" t="inlineStr">
        <is>
          <t>ForkJoinPool-7-worker-1</t>
        </is>
      </c>
      <c r="AR4" s="23" t="inlineStr">
        <is>
          <t>ForkJoinPool-7-worker-2</t>
        </is>
      </c>
      <c r="AS4" s="23" t="inlineStr">
        <is>
          <t>ForkJoinPool-7-worker-3</t>
        </is>
      </c>
      <c r="AT4" s="23" t="inlineStr">
        <is>
          <t>ForkJoinPool-7-worker-4</t>
        </is>
      </c>
      <c r="AU4" s="23" t="inlineStr">
        <is>
          <t>ForkJoinPool-7-worker-5</t>
        </is>
      </c>
      <c r="AV4" s="23" t="inlineStr">
        <is>
          <t>ForkJoinPool-7-worker-6</t>
        </is>
      </c>
      <c r="AW4" s="23" t="inlineStr">
        <is>
          <t>ForkJoinPool-11-worker-1</t>
        </is>
      </c>
      <c r="AX4" s="23" t="inlineStr">
        <is>
          <t>ForkJoinPool-11-worker-10</t>
        </is>
      </c>
      <c r="AY4" s="23" t="inlineStr">
        <is>
          <t>ForkJoinPool-11-worker-11</t>
        </is>
      </c>
      <c r="AZ4" s="23" t="inlineStr">
        <is>
          <t>ForkJoinPool-11-worker-12</t>
        </is>
      </c>
      <c r="BA4" s="23" t="inlineStr">
        <is>
          <t>ForkJoinPool-11-worker-2</t>
        </is>
      </c>
      <c r="BB4" s="23" t="inlineStr">
        <is>
          <t>ForkJoinPool-11-worker-3</t>
        </is>
      </c>
      <c r="BC4" s="23" t="inlineStr">
        <is>
          <t>ForkJoinPool-11-worker-4</t>
        </is>
      </c>
      <c r="BD4" s="23" t="inlineStr">
        <is>
          <t>ForkJoinPool-11-worker-5</t>
        </is>
      </c>
      <c r="BE4" s="23" t="inlineStr">
        <is>
          <t>ForkJoinPool-11-worker-6</t>
        </is>
      </c>
      <c r="BF4" s="23" t="inlineStr">
        <is>
          <t>ForkJoinPool-11-worker-7</t>
        </is>
      </c>
      <c r="BG4" s="23" t="inlineStr">
        <is>
          <t>ForkJoinPool-11-worker-8</t>
        </is>
      </c>
      <c r="BH4" s="23" t="inlineStr">
        <is>
          <t>ForkJoinPool-11-worker-9</t>
        </is>
      </c>
      <c r="BI4" s="23" t="inlineStr">
        <is>
          <t>ForkJoinPool-12-worker-1</t>
        </is>
      </c>
      <c r="BJ4" s="23" t="inlineStr">
        <is>
          <t>ForkJoinPool-12-worker-10</t>
        </is>
      </c>
      <c r="BK4" s="23" t="inlineStr">
        <is>
          <t>ForkJoinPool-12-worker-11</t>
        </is>
      </c>
      <c r="BL4" s="23" t="inlineStr">
        <is>
          <t>ForkJoinPool-12-worker-12</t>
        </is>
      </c>
      <c r="BM4" s="23" t="inlineStr">
        <is>
          <t>ForkJoinPool-12-worker-2</t>
        </is>
      </c>
      <c r="BN4" s="23" t="inlineStr">
        <is>
          <t>ForkJoinPool-12-worker-3</t>
        </is>
      </c>
      <c r="BO4" s="23" t="inlineStr">
        <is>
          <t>ForkJoinPool-12-worker-4</t>
        </is>
      </c>
      <c r="BP4" s="23" t="inlineStr">
        <is>
          <t>ForkJoinPool-12-worker-5</t>
        </is>
      </c>
      <c r="BQ4" s="23" t="inlineStr">
        <is>
          <t>ForkJoinPool-12-worker-6</t>
        </is>
      </c>
      <c r="BR4" s="23" t="inlineStr">
        <is>
          <t>ForkJoinPool-12-worker-7</t>
        </is>
      </c>
      <c r="BS4" s="23" t="inlineStr">
        <is>
          <t>ForkJoinPool-12-worker-8</t>
        </is>
      </c>
      <c r="BT4" s="23" t="inlineStr">
        <is>
          <t>ForkJoinPool-12-worker-9</t>
        </is>
      </c>
      <c r="BU4" s="23" t="inlineStr">
        <is>
          <t>ForkJoinPool-13-worker-1</t>
        </is>
      </c>
      <c r="BV4" s="23" t="inlineStr">
        <is>
          <t>ForkJoinPool-13-worker-10</t>
        </is>
      </c>
      <c r="BW4" s="23" t="inlineStr">
        <is>
          <t>ForkJoinPool-13-worker-11</t>
        </is>
      </c>
      <c r="BX4" s="23" t="inlineStr">
        <is>
          <t>ForkJoinPool-13-worker-12</t>
        </is>
      </c>
      <c r="BY4" s="23" t="inlineStr">
        <is>
          <t>ForkJoinPool-13-worker-2</t>
        </is>
      </c>
      <c r="BZ4" s="23" t="inlineStr">
        <is>
          <t>ForkJoinPool-13-worker-3</t>
        </is>
      </c>
      <c r="CA4" s="23" t="inlineStr">
        <is>
          <t>ForkJoinPool-13-worker-4</t>
        </is>
      </c>
      <c r="CB4" s="23" t="inlineStr">
        <is>
          <t>ForkJoinPool-13-worker-5</t>
        </is>
      </c>
      <c r="CC4" s="23" t="inlineStr">
        <is>
          <t>ForkJoinPool-13-worker-6</t>
        </is>
      </c>
      <c r="CD4" s="23" t="inlineStr">
        <is>
          <t>ForkJoinPool-13-worker-7</t>
        </is>
      </c>
      <c r="CE4" s="23" t="inlineStr">
        <is>
          <t>ForkJoinPool-13-worker-8</t>
        </is>
      </c>
      <c r="CF4" s="23" t="inlineStr">
        <is>
          <t>ForkJoinPool-13-worker-9</t>
        </is>
      </c>
      <c r="CG4" s="23" t="inlineStr">
        <is>
          <t>ForkJoinPool-14-worker-1</t>
        </is>
      </c>
      <c r="CH4" s="23" t="inlineStr">
        <is>
          <t>ForkJoinPool-14-worker-10</t>
        </is>
      </c>
      <c r="CI4" s="23" t="inlineStr">
        <is>
          <t>ForkJoinPool-14-worker-11</t>
        </is>
      </c>
      <c r="CJ4" s="23" t="inlineStr">
        <is>
          <t>ForkJoinPool-14-worker-12</t>
        </is>
      </c>
      <c r="CK4" s="23" t="inlineStr">
        <is>
          <t>ForkJoinPool-14-worker-2</t>
        </is>
      </c>
      <c r="CL4" s="23" t="inlineStr">
        <is>
          <t>ForkJoinPool-14-worker-3</t>
        </is>
      </c>
      <c r="CM4" s="23" t="inlineStr">
        <is>
          <t>ForkJoinPool-14-worker-4</t>
        </is>
      </c>
      <c r="CN4" s="23" t="inlineStr">
        <is>
          <t>ForkJoinPool-14-worker-5</t>
        </is>
      </c>
      <c r="CO4" s="23" t="inlineStr">
        <is>
          <t>ForkJoinPool-14-worker-6</t>
        </is>
      </c>
      <c r="CP4" s="23" t="inlineStr">
        <is>
          <t>ForkJoinPool-14-worker-7</t>
        </is>
      </c>
      <c r="CQ4" s="23" t="inlineStr">
        <is>
          <t>ForkJoinPool-14-worker-8</t>
        </is>
      </c>
      <c r="CR4" s="23" t="inlineStr">
        <is>
          <t>ForkJoinPool-14-worker-9</t>
        </is>
      </c>
      <c r="CS4" s="23" t="inlineStr">
        <is>
          <t>ForkJoinPool-15-worker-1</t>
        </is>
      </c>
      <c r="CT4" s="23" t="inlineStr">
        <is>
          <t>ForkJoinPool-15-worker-10</t>
        </is>
      </c>
      <c r="CU4" s="23" t="inlineStr">
        <is>
          <t>ForkJoinPool-15-worker-11</t>
        </is>
      </c>
      <c r="CV4" s="23" t="inlineStr">
        <is>
          <t>ForkJoinPool-15-worker-12</t>
        </is>
      </c>
      <c r="CW4" s="23" t="inlineStr">
        <is>
          <t>ForkJoinPool-15-worker-2</t>
        </is>
      </c>
      <c r="CX4" s="23" t="inlineStr">
        <is>
          <t>ForkJoinPool-15-worker-3</t>
        </is>
      </c>
      <c r="CY4" s="23" t="inlineStr">
        <is>
          <t>ForkJoinPool-15-worker-4</t>
        </is>
      </c>
      <c r="CZ4" s="23" t="inlineStr">
        <is>
          <t>ForkJoinPool-15-worker-5</t>
        </is>
      </c>
      <c r="DA4" s="23" t="inlineStr">
        <is>
          <t>ForkJoinPool-15-worker-6</t>
        </is>
      </c>
      <c r="DB4" s="23" t="inlineStr">
        <is>
          <t>ForkJoinPool-15-worker-7</t>
        </is>
      </c>
      <c r="DC4" s="23" t="inlineStr">
        <is>
          <t>ForkJoinPool-15-worker-8</t>
        </is>
      </c>
      <c r="DD4" s="23" t="inlineStr">
        <is>
          <t>ForkJoinPool-15-worker-9</t>
        </is>
      </c>
    </row>
    <row r="5">
      <c r="A5" s="24">
        <f>'클럭 정리'!A40</f>
        <v/>
      </c>
      <c r="B5" s="25">
        <f>'클럭 정리'!O40</f>
        <v/>
      </c>
      <c r="C5" s="25">
        <f>'클럭 정리'!O40</f>
        <v/>
      </c>
      <c r="D5" s="25">
        <f>'클럭 정리'!O40</f>
        <v/>
      </c>
      <c r="E5" s="25">
        <f>'클럭 정리'!O40</f>
        <v/>
      </c>
      <c r="F5" s="25">
        <f>'클럭 정리'!O40</f>
        <v/>
      </c>
      <c r="G5" s="25">
        <f>'클럭 정리'!O40</f>
        <v/>
      </c>
      <c r="H5" s="25">
        <f>'클럭 정리'!O40</f>
        <v/>
      </c>
      <c r="P5" s="26">
        <f>'클럭 정리'!A6</f>
        <v/>
      </c>
      <c r="Q5" s="25">
        <f>'클럭 정리'!O6</f>
        <v/>
      </c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  <c r="BF5" s="27" t="n"/>
      <c r="BG5" s="27" t="n"/>
      <c r="BH5" s="27" t="n"/>
      <c r="BI5" s="27" t="n"/>
      <c r="BJ5" s="27" t="n"/>
      <c r="BK5" s="27" t="n"/>
      <c r="BL5" s="27" t="n"/>
      <c r="BM5" s="27" t="n"/>
      <c r="BN5" s="27" t="n"/>
      <c r="BO5" s="27" t="n"/>
      <c r="BP5" s="27" t="n"/>
      <c r="BQ5" s="27" t="n"/>
      <c r="BR5" s="27" t="n"/>
      <c r="BS5" s="27" t="n"/>
      <c r="BT5" s="27" t="n"/>
      <c r="BU5" s="27" t="n"/>
      <c r="BV5" s="27" t="n"/>
      <c r="BW5" s="27" t="n"/>
      <c r="BX5" s="27" t="n"/>
      <c r="BY5" s="27" t="n"/>
      <c r="BZ5" s="27" t="n"/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  <c r="CO5" s="27" t="n"/>
      <c r="CP5" s="27" t="n"/>
      <c r="CQ5" s="27" t="n"/>
      <c r="CR5" s="27" t="n"/>
      <c r="CS5" s="27" t="n"/>
      <c r="CT5" s="27" t="n"/>
      <c r="CU5" s="27" t="n"/>
      <c r="CV5" s="27" t="n"/>
      <c r="CW5" s="27" t="n"/>
      <c r="CX5" s="27" t="n"/>
      <c r="CY5" s="27" t="n"/>
      <c r="CZ5" s="27" t="n"/>
      <c r="DA5" s="27" t="n"/>
      <c r="DB5" s="27" t="n"/>
      <c r="DC5" s="27" t="n"/>
      <c r="DD5" s="27" t="n"/>
    </row>
    <row r="6">
      <c r="A6" s="24">
        <f>'클럭 정리'!A41</f>
        <v/>
      </c>
      <c r="B6" s="25">
        <f>'클럭 정리'!O41</f>
        <v/>
      </c>
      <c r="C6" s="25">
        <f>'클럭 정리'!O41</f>
        <v/>
      </c>
      <c r="D6" s="25">
        <f>'클럭 정리'!O41</f>
        <v/>
      </c>
      <c r="E6" s="25">
        <f>'클럭 정리'!O41</f>
        <v/>
      </c>
      <c r="F6" s="25">
        <f>'클럭 정리'!O41</f>
        <v/>
      </c>
      <c r="G6" s="25">
        <f>'클럭 정리'!O41</f>
        <v/>
      </c>
      <c r="H6" s="25">
        <f>'클럭 정리'!O41</f>
        <v/>
      </c>
      <c r="P6" s="26">
        <f>'클럭 정리'!A7</f>
        <v/>
      </c>
      <c r="Q6" s="25">
        <f>'클럭 정리'!O7</f>
        <v/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  <c r="BO6" s="27" t="n"/>
      <c r="BP6" s="27" t="n"/>
      <c r="BQ6" s="27" t="n"/>
      <c r="BR6" s="27" t="n"/>
      <c r="BS6" s="27" t="n"/>
      <c r="BT6" s="27" t="n"/>
      <c r="BU6" s="27" t="n"/>
      <c r="BV6" s="27" t="n"/>
      <c r="BW6" s="27" t="n"/>
      <c r="BX6" s="27" t="n"/>
      <c r="BY6" s="27" t="n"/>
      <c r="BZ6" s="27" t="n"/>
      <c r="CA6" s="27" t="n"/>
      <c r="CB6" s="27" t="n"/>
      <c r="CC6" s="27" t="n"/>
      <c r="CD6" s="27" t="n"/>
      <c r="CE6" s="27" t="n"/>
      <c r="CF6" s="27" t="n"/>
      <c r="CG6" s="27" t="n"/>
      <c r="CH6" s="27" t="n"/>
      <c r="CI6" s="27" t="n"/>
      <c r="CJ6" s="27" t="n"/>
      <c r="CK6" s="27" t="n"/>
      <c r="CL6" s="27" t="n"/>
      <c r="CM6" s="27" t="n"/>
      <c r="CN6" s="27" t="n"/>
      <c r="CO6" s="27" t="n"/>
      <c r="CP6" s="27" t="n"/>
      <c r="CQ6" s="27" t="n"/>
      <c r="CR6" s="27" t="n"/>
      <c r="CS6" s="27" t="n"/>
      <c r="CT6" s="27" t="n"/>
      <c r="CU6" s="27" t="n"/>
      <c r="CV6" s="27" t="n"/>
      <c r="CW6" s="27" t="n"/>
      <c r="CX6" s="27" t="n"/>
      <c r="CY6" s="27" t="n"/>
      <c r="CZ6" s="27" t="n"/>
      <c r="DA6" s="27" t="n"/>
      <c r="DB6" s="27" t="n"/>
      <c r="DC6" s="27" t="n"/>
      <c r="DD6" s="27" t="n"/>
    </row>
    <row r="7">
      <c r="P7" s="26">
        <f>'클럭 정리'!A8</f>
        <v/>
      </c>
      <c r="Q7" s="25">
        <f>'클럭 정리'!O8</f>
        <v/>
      </c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  <c r="BP7" s="27" t="n"/>
      <c r="BQ7" s="27" t="n"/>
      <c r="BR7" s="27" t="n"/>
      <c r="BS7" s="27" t="n"/>
      <c r="BT7" s="27" t="n"/>
      <c r="BU7" s="27" t="n"/>
      <c r="BV7" s="27" t="n"/>
      <c r="BW7" s="27" t="n"/>
      <c r="BX7" s="27" t="n"/>
      <c r="BY7" s="27" t="n"/>
      <c r="BZ7" s="27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7" t="n"/>
      <c r="CJ7" s="27" t="n"/>
      <c r="CK7" s="27" t="n"/>
      <c r="CL7" s="27" t="n"/>
      <c r="CM7" s="27" t="n"/>
      <c r="CN7" s="27" t="n"/>
      <c r="CO7" s="27" t="n"/>
      <c r="CP7" s="27" t="n"/>
      <c r="CQ7" s="27" t="n"/>
      <c r="CR7" s="27" t="n"/>
      <c r="CS7" s="27" t="n"/>
      <c r="CT7" s="27" t="n"/>
      <c r="CU7" s="27" t="n"/>
      <c r="CV7" s="27" t="n"/>
      <c r="CW7" s="27" t="n"/>
      <c r="CX7" s="27" t="n"/>
      <c r="CY7" s="27" t="n"/>
      <c r="CZ7" s="27" t="n"/>
      <c r="DA7" s="27" t="n"/>
      <c r="DB7" s="27" t="n"/>
      <c r="DC7" s="27" t="n"/>
      <c r="DD7" s="27" t="n"/>
    </row>
    <row r="8">
      <c r="A8" s="2" t="inlineStr">
        <is>
          <t>병렬도 6 분할 36 측정 2회차 (스레드별 클럭, GHz)</t>
        </is>
      </c>
      <c r="P8" s="26">
        <f>'클럭 정리'!A9</f>
        <v/>
      </c>
      <c r="Q8" s="25">
        <f>'클럭 정리'!O9</f>
        <v/>
      </c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  <c r="BP8" s="27" t="n"/>
      <c r="BQ8" s="27" t="n"/>
      <c r="BR8" s="27" t="n"/>
      <c r="BS8" s="27" t="n"/>
      <c r="BT8" s="27" t="n"/>
      <c r="BU8" s="27" t="n"/>
      <c r="BV8" s="27" t="n"/>
      <c r="BW8" s="27" t="n"/>
      <c r="BX8" s="27" t="n"/>
      <c r="BY8" s="27" t="n"/>
      <c r="BZ8" s="27" t="n"/>
      <c r="CA8" s="27" t="n"/>
      <c r="CB8" s="27" t="n"/>
      <c r="CC8" s="27" t="n"/>
      <c r="CD8" s="27" t="n"/>
      <c r="CE8" s="27" t="n"/>
      <c r="CF8" s="27" t="n"/>
      <c r="CG8" s="27" t="n"/>
      <c r="CH8" s="27" t="n"/>
      <c r="CI8" s="27" t="n"/>
      <c r="CJ8" s="27" t="n"/>
      <c r="CK8" s="27" t="n"/>
      <c r="CL8" s="27" t="n"/>
      <c r="CM8" s="27" t="n"/>
      <c r="CN8" s="27" t="n"/>
      <c r="CO8" s="27" t="n"/>
      <c r="CP8" s="27" t="n"/>
      <c r="CQ8" s="27" t="n"/>
      <c r="CR8" s="27" t="n"/>
      <c r="CS8" s="27" t="n"/>
      <c r="CT8" s="27" t="n"/>
      <c r="CU8" s="27" t="n"/>
      <c r="CV8" s="27" t="n"/>
      <c r="CW8" s="27" t="n"/>
      <c r="CX8" s="27" t="n"/>
      <c r="CY8" s="27" t="n"/>
      <c r="CZ8" s="27" t="n"/>
      <c r="DA8" s="27" t="n"/>
      <c r="DB8" s="27" t="n"/>
      <c r="DC8" s="27" t="n"/>
      <c r="DD8" s="27" t="n"/>
    </row>
    <row r="9">
      <c r="A9" s="23" t="inlineStr">
        <is>
          <t>시각</t>
        </is>
      </c>
      <c r="B9" s="23" t="inlineStr">
        <is>
          <t>ForkJoinPool-4-worker-1</t>
        </is>
      </c>
      <c r="C9" s="23" t="inlineStr">
        <is>
          <t>ForkJoinPool-4-worker-2</t>
        </is>
      </c>
      <c r="D9" s="23" t="inlineStr">
        <is>
          <t>ForkJoinPool-4-worker-3</t>
        </is>
      </c>
      <c r="E9" s="23" t="inlineStr">
        <is>
          <t>ForkJoinPool-4-worker-4</t>
        </is>
      </c>
      <c r="F9" s="23" t="inlineStr">
        <is>
          <t>ForkJoinPool-4-worker-5</t>
        </is>
      </c>
      <c r="G9" s="23" t="inlineStr">
        <is>
          <t>ForkJoinPool-4-worker-6</t>
        </is>
      </c>
      <c r="H9" s="23" t="inlineStr">
        <is>
          <t>main</t>
        </is>
      </c>
      <c r="P9" s="26">
        <f>'클럭 정리'!A10</f>
        <v/>
      </c>
      <c r="Q9" s="25">
        <f>'클럭 정리'!O10</f>
        <v/>
      </c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  <c r="BR9" s="27" t="n"/>
      <c r="BS9" s="27" t="n"/>
      <c r="BT9" s="27" t="n"/>
      <c r="BU9" s="27" t="n"/>
      <c r="BV9" s="27" t="n"/>
      <c r="BW9" s="27" t="n"/>
      <c r="BX9" s="27" t="n"/>
      <c r="BY9" s="27" t="n"/>
      <c r="BZ9" s="27" t="n"/>
      <c r="CA9" s="27" t="n"/>
      <c r="CB9" s="27" t="n"/>
      <c r="CC9" s="27" t="n"/>
      <c r="CD9" s="27" t="n"/>
      <c r="CE9" s="27" t="n"/>
      <c r="CF9" s="27" t="n"/>
      <c r="CG9" s="27" t="n"/>
      <c r="CH9" s="27" t="n"/>
      <c r="CI9" s="27" t="n"/>
      <c r="CJ9" s="27" t="n"/>
      <c r="CK9" s="27" t="n"/>
      <c r="CL9" s="27" t="n"/>
      <c r="CM9" s="27" t="n"/>
      <c r="CN9" s="27" t="n"/>
      <c r="CO9" s="27" t="n"/>
      <c r="CP9" s="27" t="n"/>
      <c r="CQ9" s="27" t="n"/>
      <c r="CR9" s="27" t="n"/>
      <c r="CS9" s="27" t="n"/>
      <c r="CT9" s="27" t="n"/>
      <c r="CU9" s="27" t="n"/>
      <c r="CV9" s="27" t="n"/>
      <c r="CW9" s="27" t="n"/>
      <c r="CX9" s="27" t="n"/>
      <c r="CY9" s="27" t="n"/>
      <c r="CZ9" s="27" t="n"/>
      <c r="DA9" s="27" t="n"/>
      <c r="DB9" s="27" t="n"/>
      <c r="DC9" s="27" t="n"/>
      <c r="DD9" s="27" t="n"/>
    </row>
    <row r="10">
      <c r="A10" s="24">
        <f>'클럭 정리'!A42</f>
        <v/>
      </c>
      <c r="B10" s="25">
        <f>'클럭 정리'!O42</f>
        <v/>
      </c>
      <c r="C10" s="25">
        <f>'클럭 정리'!O42</f>
        <v/>
      </c>
      <c r="D10" s="25">
        <f>'클럭 정리'!O42</f>
        <v/>
      </c>
      <c r="E10" s="25">
        <f>'클럭 정리'!O42</f>
        <v/>
      </c>
      <c r="F10" s="25">
        <f>'클럭 정리'!O42</f>
        <v/>
      </c>
      <c r="G10" s="25">
        <f>'클럭 정리'!O42</f>
        <v/>
      </c>
      <c r="H10" s="25">
        <f>'클럭 정리'!O42</f>
        <v/>
      </c>
      <c r="P10" s="26">
        <f>'클럭 정리'!A11</f>
        <v/>
      </c>
      <c r="Q10" s="25">
        <f>'클럭 정리'!O11</f>
        <v/>
      </c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27" t="n"/>
      <c r="BX10" s="27" t="n"/>
      <c r="BY10" s="27" t="n"/>
      <c r="BZ10" s="27" t="n"/>
      <c r="CA10" s="27" t="n"/>
      <c r="CB10" s="27" t="n"/>
      <c r="CC10" s="27" t="n"/>
      <c r="CD10" s="27" t="n"/>
      <c r="CE10" s="27" t="n"/>
      <c r="CF10" s="27" t="n"/>
      <c r="CG10" s="27" t="n"/>
      <c r="CH10" s="27" t="n"/>
      <c r="CI10" s="27" t="n"/>
      <c r="CJ10" s="27" t="n"/>
      <c r="CK10" s="27" t="n"/>
      <c r="CL10" s="27" t="n"/>
      <c r="CM10" s="27" t="n"/>
      <c r="CN10" s="27" t="n"/>
      <c r="CO10" s="27" t="n"/>
      <c r="CP10" s="27" t="n"/>
      <c r="CQ10" s="27" t="n"/>
      <c r="CR10" s="27" t="n"/>
      <c r="CS10" s="27" t="n"/>
      <c r="CT10" s="27" t="n"/>
      <c r="CU10" s="27" t="n"/>
      <c r="CV10" s="27" t="n"/>
      <c r="CW10" s="27" t="n"/>
      <c r="CX10" s="27" t="n"/>
      <c r="CY10" s="27" t="n"/>
      <c r="CZ10" s="27" t="n"/>
      <c r="DA10" s="27" t="n"/>
      <c r="DB10" s="27" t="n"/>
      <c r="DC10" s="27" t="n"/>
      <c r="DD10" s="27" t="n"/>
    </row>
    <row r="11">
      <c r="A11" s="24">
        <f>'클럭 정리'!A43</f>
        <v/>
      </c>
      <c r="B11" s="25">
        <f>'클럭 정리'!O43</f>
        <v/>
      </c>
      <c r="C11" s="25">
        <f>'클럭 정리'!O43</f>
        <v/>
      </c>
      <c r="D11" s="25">
        <f>'클럭 정리'!O43</f>
        <v/>
      </c>
      <c r="E11" s="25">
        <f>'클럭 정리'!O43</f>
        <v/>
      </c>
      <c r="F11" s="25">
        <f>'클럭 정리'!O43</f>
        <v/>
      </c>
      <c r="G11" s="25">
        <f>'클럭 정리'!O43</f>
        <v/>
      </c>
      <c r="H11" s="25">
        <f>'클럭 정리'!O43</f>
        <v/>
      </c>
      <c r="P11" s="26">
        <f>'클럭 정리'!A12</f>
        <v/>
      </c>
      <c r="Q11" s="25">
        <f>'클럭 정리'!O12</f>
        <v/>
      </c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  <c r="AZ11" s="27" t="n"/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  <c r="BK11" s="27" t="n"/>
      <c r="BL11" s="27" t="n"/>
      <c r="BM11" s="27" t="n"/>
      <c r="BN11" s="27" t="n"/>
      <c r="BO11" s="27" t="n"/>
      <c r="BP11" s="27" t="n"/>
      <c r="BQ11" s="27" t="n"/>
      <c r="BR11" s="27" t="n"/>
      <c r="BS11" s="27" t="n"/>
      <c r="BT11" s="27" t="n"/>
      <c r="BU11" s="27" t="n"/>
      <c r="BV11" s="27" t="n"/>
      <c r="BW11" s="27" t="n"/>
      <c r="BX11" s="27" t="n"/>
      <c r="BY11" s="27" t="n"/>
      <c r="BZ11" s="27" t="n"/>
      <c r="CA11" s="27" t="n"/>
      <c r="CB11" s="27" t="n"/>
      <c r="CC11" s="27" t="n"/>
      <c r="CD11" s="27" t="n"/>
      <c r="CE11" s="27" t="n"/>
      <c r="CF11" s="27" t="n"/>
      <c r="CG11" s="27" t="n"/>
      <c r="CH11" s="27" t="n"/>
      <c r="CI11" s="27" t="n"/>
      <c r="CJ11" s="27" t="n"/>
      <c r="CK11" s="27" t="n"/>
      <c r="CL11" s="27" t="n"/>
      <c r="CM11" s="27" t="n"/>
      <c r="CN11" s="27" t="n"/>
      <c r="CO11" s="27" t="n"/>
      <c r="CP11" s="27" t="n"/>
      <c r="CQ11" s="27" t="n"/>
      <c r="CR11" s="27" t="n"/>
      <c r="CS11" s="27" t="n"/>
      <c r="CT11" s="27" t="n"/>
      <c r="CU11" s="27" t="n"/>
      <c r="CV11" s="27" t="n"/>
      <c r="CW11" s="27" t="n"/>
      <c r="CX11" s="27" t="n"/>
      <c r="CY11" s="27" t="n"/>
      <c r="CZ11" s="27" t="n"/>
      <c r="DA11" s="27" t="n"/>
      <c r="DB11" s="27" t="n"/>
      <c r="DC11" s="27" t="n"/>
      <c r="DD11" s="27" t="n"/>
    </row>
    <row r="12">
      <c r="P12" s="26">
        <f>'클럭 정리'!A13</f>
        <v/>
      </c>
      <c r="Q12" s="25">
        <f>'클럭 정리'!O13</f>
        <v/>
      </c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  <c r="BP12" s="27" t="n"/>
      <c r="BQ12" s="27" t="n"/>
      <c r="BR12" s="27" t="n"/>
      <c r="BS12" s="27" t="n"/>
      <c r="BT12" s="27" t="n"/>
      <c r="BU12" s="27" t="n"/>
      <c r="BV12" s="27" t="n"/>
      <c r="BW12" s="27" t="n"/>
      <c r="BX12" s="27" t="n"/>
      <c r="BY12" s="27" t="n"/>
      <c r="BZ12" s="27" t="n"/>
      <c r="CA12" s="27" t="n"/>
      <c r="CB12" s="27" t="n"/>
      <c r="CC12" s="27" t="n"/>
      <c r="CD12" s="27" t="n"/>
      <c r="CE12" s="27" t="n"/>
      <c r="CF12" s="27" t="n"/>
      <c r="CG12" s="27" t="n"/>
      <c r="CH12" s="27" t="n"/>
      <c r="CI12" s="27" t="n"/>
      <c r="CJ12" s="27" t="n"/>
      <c r="CK12" s="27" t="n"/>
      <c r="CL12" s="27" t="n"/>
      <c r="CM12" s="27" t="n"/>
      <c r="CN12" s="27" t="n"/>
      <c r="CO12" s="27" t="n"/>
      <c r="CP12" s="27" t="n"/>
      <c r="CQ12" s="27" t="n"/>
      <c r="CR12" s="27" t="n"/>
      <c r="CS12" s="27" t="n"/>
      <c r="CT12" s="27" t="n"/>
      <c r="CU12" s="27" t="n"/>
      <c r="CV12" s="27" t="n"/>
      <c r="CW12" s="27" t="n"/>
      <c r="CX12" s="27" t="n"/>
      <c r="CY12" s="27" t="n"/>
      <c r="CZ12" s="27" t="n"/>
      <c r="DA12" s="27" t="n"/>
      <c r="DB12" s="27" t="n"/>
      <c r="DC12" s="27" t="n"/>
      <c r="DD12" s="27" t="n"/>
    </row>
    <row r="13">
      <c r="A13" s="2" t="inlineStr">
        <is>
          <t>병렬도 6 분할 36 측정 3회차 (스레드별 클럭, GHz)</t>
        </is>
      </c>
      <c r="P13" s="26">
        <f>'클럭 정리'!A14</f>
        <v/>
      </c>
      <c r="Q13" s="25">
        <f>'클럭 정리'!O14</f>
        <v/>
      </c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  <c r="BK13" s="27" t="n"/>
      <c r="BL13" s="27" t="n"/>
      <c r="BM13" s="27" t="n"/>
      <c r="BN13" s="27" t="n"/>
      <c r="BO13" s="27" t="n"/>
      <c r="BP13" s="27" t="n"/>
      <c r="BQ13" s="27" t="n"/>
      <c r="BR13" s="27" t="n"/>
      <c r="BS13" s="27" t="n"/>
      <c r="BT13" s="27" t="n"/>
      <c r="BU13" s="27" t="n"/>
      <c r="BV13" s="27" t="n"/>
      <c r="BW13" s="27" t="n"/>
      <c r="BX13" s="27" t="n"/>
      <c r="BY13" s="27" t="n"/>
      <c r="BZ13" s="27" t="n"/>
      <c r="CA13" s="27" t="n"/>
      <c r="CB13" s="27" t="n"/>
      <c r="CC13" s="27" t="n"/>
      <c r="CD13" s="27" t="n"/>
      <c r="CE13" s="27" t="n"/>
      <c r="CF13" s="27" t="n"/>
      <c r="CG13" s="27" t="n"/>
      <c r="CH13" s="27" t="n"/>
      <c r="CI13" s="27" t="n"/>
      <c r="CJ13" s="27" t="n"/>
      <c r="CK13" s="27" t="n"/>
      <c r="CL13" s="27" t="n"/>
      <c r="CM13" s="27" t="n"/>
      <c r="CN13" s="27" t="n"/>
      <c r="CO13" s="27" t="n"/>
      <c r="CP13" s="27" t="n"/>
      <c r="CQ13" s="27" t="n"/>
      <c r="CR13" s="27" t="n"/>
      <c r="CS13" s="27" t="n"/>
      <c r="CT13" s="27" t="n"/>
      <c r="CU13" s="27" t="n"/>
      <c r="CV13" s="27" t="n"/>
      <c r="CW13" s="27" t="n"/>
      <c r="CX13" s="27" t="n"/>
      <c r="CY13" s="27" t="n"/>
      <c r="CZ13" s="27" t="n"/>
      <c r="DA13" s="27" t="n"/>
      <c r="DB13" s="27" t="n"/>
      <c r="DC13" s="27" t="n"/>
      <c r="DD13" s="27" t="n"/>
    </row>
    <row r="14">
      <c r="A14" s="23" t="inlineStr">
        <is>
          <t>시각</t>
        </is>
      </c>
      <c r="B14" s="23" t="inlineStr">
        <is>
          <t>ForkJoinPool-5-worker-1</t>
        </is>
      </c>
      <c r="C14" s="23" t="inlineStr">
        <is>
          <t>ForkJoinPool-5-worker-2</t>
        </is>
      </c>
      <c r="D14" s="23" t="inlineStr">
        <is>
          <t>ForkJoinPool-5-worker-3</t>
        </is>
      </c>
      <c r="E14" s="23" t="inlineStr">
        <is>
          <t>ForkJoinPool-5-worker-4</t>
        </is>
      </c>
      <c r="F14" s="23" t="inlineStr">
        <is>
          <t>ForkJoinPool-5-worker-5</t>
        </is>
      </c>
      <c r="G14" s="23" t="inlineStr">
        <is>
          <t>ForkJoinPool-5-worker-6</t>
        </is>
      </c>
      <c r="H14" s="23" t="inlineStr">
        <is>
          <t>main</t>
        </is>
      </c>
      <c r="P14" s="26">
        <f>'클럭 정리'!A15</f>
        <v/>
      </c>
      <c r="Q14" s="25">
        <f>'클럭 정리'!O15</f>
        <v/>
      </c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  <c r="BP14" s="27" t="n"/>
      <c r="BQ14" s="27" t="n"/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27" t="n"/>
      <c r="CA14" s="27" t="n"/>
      <c r="CB14" s="27" t="n"/>
      <c r="CC14" s="27" t="n"/>
      <c r="CD14" s="27" t="n"/>
      <c r="CE14" s="27" t="n"/>
      <c r="CF14" s="27" t="n"/>
      <c r="CG14" s="27" t="n"/>
      <c r="CH14" s="27" t="n"/>
      <c r="CI14" s="27" t="n"/>
      <c r="CJ14" s="27" t="n"/>
      <c r="CK14" s="27" t="n"/>
      <c r="CL14" s="27" t="n"/>
      <c r="CM14" s="27" t="n"/>
      <c r="CN14" s="27" t="n"/>
      <c r="CO14" s="27" t="n"/>
      <c r="CP14" s="27" t="n"/>
      <c r="CQ14" s="27" t="n"/>
      <c r="CR14" s="27" t="n"/>
      <c r="CS14" s="27" t="n"/>
      <c r="CT14" s="27" t="n"/>
      <c r="CU14" s="27" t="n"/>
      <c r="CV14" s="27" t="n"/>
      <c r="CW14" s="27" t="n"/>
      <c r="CX14" s="27" t="n"/>
      <c r="CY14" s="27" t="n"/>
      <c r="CZ14" s="27" t="n"/>
      <c r="DA14" s="27" t="n"/>
      <c r="DB14" s="27" t="n"/>
      <c r="DC14" s="27" t="n"/>
      <c r="DD14" s="27" t="n"/>
    </row>
    <row r="15">
      <c r="A15" s="24">
        <f>'클럭 정리'!A44</f>
        <v/>
      </c>
      <c r="B15" s="25">
        <f>'클럭 정리'!O44</f>
        <v/>
      </c>
      <c r="C15" s="25">
        <f>'클럭 정리'!O44</f>
        <v/>
      </c>
      <c r="D15" s="25">
        <f>'클럭 정리'!O44</f>
        <v/>
      </c>
      <c r="E15" s="25">
        <f>'클럭 정리'!O44</f>
        <v/>
      </c>
      <c r="F15" s="25">
        <f>'클럭 정리'!O44</f>
        <v/>
      </c>
      <c r="G15" s="25">
        <f>'클럭 정리'!O44</f>
        <v/>
      </c>
      <c r="H15" s="25">
        <f>'클럭 정리'!O44</f>
        <v/>
      </c>
      <c r="P15" s="26">
        <f>'클럭 정리'!A16</f>
        <v/>
      </c>
      <c r="Q15" s="25">
        <f>'클럭 정리'!O16</f>
        <v/>
      </c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7" t="n"/>
      <c r="CZ15" s="27" t="n"/>
      <c r="DA15" s="27" t="n"/>
      <c r="DB15" s="27" t="n"/>
      <c r="DC15" s="27" t="n"/>
      <c r="DD15" s="27" t="n"/>
    </row>
    <row r="16">
      <c r="A16" s="24">
        <f>'클럭 정리'!A45</f>
        <v/>
      </c>
      <c r="B16" s="25">
        <f>'클럭 정리'!O45</f>
        <v/>
      </c>
      <c r="C16" s="25">
        <f>'클럭 정리'!O45</f>
        <v/>
      </c>
      <c r="D16" s="25">
        <f>'클럭 정리'!O45</f>
        <v/>
      </c>
      <c r="E16" s="25">
        <f>'클럭 정리'!O45</f>
        <v/>
      </c>
      <c r="F16" s="25">
        <f>'클럭 정리'!O45</f>
        <v/>
      </c>
      <c r="G16" s="25">
        <f>'클럭 정리'!O45</f>
        <v/>
      </c>
      <c r="H16" s="25">
        <f>'클럭 정리'!O45</f>
        <v/>
      </c>
      <c r="P16" s="26">
        <f>'클럭 정리'!A17</f>
        <v/>
      </c>
      <c r="Q16" s="25">
        <f>'클럭 정리'!O17</f>
        <v/>
      </c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/>
      <c r="CO16" s="27" t="n"/>
      <c r="CP16" s="27" t="n"/>
      <c r="CQ16" s="27" t="n"/>
      <c r="CR16" s="27" t="n"/>
      <c r="CS16" s="27" t="n"/>
      <c r="CT16" s="27" t="n"/>
      <c r="CU16" s="27" t="n"/>
      <c r="CV16" s="27" t="n"/>
      <c r="CW16" s="27" t="n"/>
      <c r="CX16" s="27" t="n"/>
      <c r="CY16" s="27" t="n"/>
      <c r="CZ16" s="27" t="n"/>
      <c r="DA16" s="27" t="n"/>
      <c r="DB16" s="27" t="n"/>
      <c r="DC16" s="27" t="n"/>
      <c r="DD16" s="27" t="n"/>
    </row>
    <row r="17">
      <c r="P17" s="26">
        <f>'클럭 정리'!A18</f>
        <v/>
      </c>
      <c r="Q17" s="25">
        <f>'클럭 정리'!O18</f>
        <v/>
      </c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7" t="n"/>
      <c r="BV17" s="27" t="n"/>
      <c r="BW17" s="27" t="n"/>
      <c r="BX17" s="27" t="n"/>
      <c r="BY17" s="27" t="n"/>
      <c r="BZ17" s="27" t="n"/>
      <c r="CA17" s="27" t="n"/>
      <c r="CB17" s="27" t="n"/>
      <c r="CC17" s="27" t="n"/>
      <c r="CD17" s="27" t="n"/>
      <c r="CE17" s="27" t="n"/>
      <c r="CF17" s="27" t="n"/>
      <c r="CG17" s="27" t="n"/>
      <c r="CH17" s="27" t="n"/>
      <c r="CI17" s="27" t="n"/>
      <c r="CJ17" s="27" t="n"/>
      <c r="CK17" s="27" t="n"/>
      <c r="CL17" s="27" t="n"/>
      <c r="CM17" s="27" t="n"/>
      <c r="CN17" s="27" t="n"/>
      <c r="CO17" s="27" t="n"/>
      <c r="CP17" s="27" t="n"/>
      <c r="CQ17" s="27" t="n"/>
      <c r="CR17" s="27" t="n"/>
      <c r="CS17" s="27" t="n"/>
      <c r="CT17" s="27" t="n"/>
      <c r="CU17" s="27" t="n"/>
      <c r="CV17" s="27" t="n"/>
      <c r="CW17" s="27" t="n"/>
      <c r="CX17" s="27" t="n"/>
      <c r="CY17" s="27" t="n"/>
      <c r="CZ17" s="27" t="n"/>
      <c r="DA17" s="27" t="n"/>
      <c r="DB17" s="27" t="n"/>
      <c r="DC17" s="27" t="n"/>
      <c r="DD17" s="27" t="n"/>
    </row>
    <row r="18">
      <c r="A18" s="2" t="inlineStr">
        <is>
          <t>병렬도 6 분할 36 측정 4회차 (스레드별 클럭, GHz)</t>
        </is>
      </c>
      <c r="P18" s="26">
        <f>'클럭 정리'!A19</f>
        <v/>
      </c>
      <c r="Q18" s="25">
        <f>'클럭 정리'!O19</f>
        <v/>
      </c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B18" s="27" t="n"/>
      <c r="DC18" s="27" t="n"/>
      <c r="DD18" s="27" t="n"/>
    </row>
    <row r="19">
      <c r="A19" s="23" t="inlineStr">
        <is>
          <t>시각</t>
        </is>
      </c>
      <c r="B19" s="23" t="inlineStr">
        <is>
          <t>ForkJoinPool-6-worker-1</t>
        </is>
      </c>
      <c r="C19" s="23" t="inlineStr">
        <is>
          <t>ForkJoinPool-6-worker-2</t>
        </is>
      </c>
      <c r="D19" s="23" t="inlineStr">
        <is>
          <t>ForkJoinPool-6-worker-3</t>
        </is>
      </c>
      <c r="E19" s="23" t="inlineStr">
        <is>
          <t>ForkJoinPool-6-worker-4</t>
        </is>
      </c>
      <c r="F19" s="23" t="inlineStr">
        <is>
          <t>ForkJoinPool-6-worker-5</t>
        </is>
      </c>
      <c r="G19" s="23" t="inlineStr">
        <is>
          <t>ForkJoinPool-6-worker-6</t>
        </is>
      </c>
      <c r="H19" s="23" t="inlineStr">
        <is>
          <t>main</t>
        </is>
      </c>
      <c r="P19" s="26">
        <f>'클럭 정리'!A20</f>
        <v/>
      </c>
      <c r="Q19" s="25">
        <f>'클럭 정리'!O20</f>
        <v/>
      </c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  <c r="BK19" s="27" t="n"/>
      <c r="BL19" s="27" t="n"/>
      <c r="BM19" s="27" t="n"/>
      <c r="BN19" s="27" t="n"/>
      <c r="BO19" s="27" t="n"/>
      <c r="BP19" s="27" t="n"/>
      <c r="BQ19" s="27" t="n"/>
      <c r="BR19" s="27" t="n"/>
      <c r="BS19" s="27" t="n"/>
      <c r="BT19" s="27" t="n"/>
      <c r="BU19" s="27" t="n"/>
      <c r="BV19" s="27" t="n"/>
      <c r="BW19" s="27" t="n"/>
      <c r="BX19" s="27" t="n"/>
      <c r="BY19" s="27" t="n"/>
      <c r="BZ19" s="27" t="n"/>
      <c r="CA19" s="27" t="n"/>
      <c r="CB19" s="27" t="n"/>
      <c r="CC19" s="27" t="n"/>
      <c r="CD19" s="27" t="n"/>
      <c r="CE19" s="27" t="n"/>
      <c r="CF19" s="27" t="n"/>
      <c r="CG19" s="27" t="n"/>
      <c r="CH19" s="27" t="n"/>
      <c r="CI19" s="27" t="n"/>
      <c r="CJ19" s="27" t="n"/>
      <c r="CK19" s="27" t="n"/>
      <c r="CL19" s="27" t="n"/>
      <c r="CM19" s="27" t="n"/>
      <c r="CN19" s="27" t="n"/>
      <c r="CO19" s="27" t="n"/>
      <c r="CP19" s="27" t="n"/>
      <c r="CQ19" s="27" t="n"/>
      <c r="CR19" s="27" t="n"/>
      <c r="CS19" s="27" t="n"/>
      <c r="CT19" s="27" t="n"/>
      <c r="CU19" s="27" t="n"/>
      <c r="CV19" s="27" t="n"/>
      <c r="CW19" s="27" t="n"/>
      <c r="CX19" s="27" t="n"/>
      <c r="CY19" s="27" t="n"/>
      <c r="CZ19" s="27" t="n"/>
      <c r="DA19" s="27" t="n"/>
      <c r="DB19" s="27" t="n"/>
      <c r="DC19" s="27" t="n"/>
      <c r="DD19" s="27" t="n"/>
    </row>
    <row r="20">
      <c r="A20" s="24">
        <f>'클럭 정리'!A46</f>
        <v/>
      </c>
      <c r="B20" s="25">
        <f>'클럭 정리'!O46</f>
        <v/>
      </c>
      <c r="C20" s="25">
        <f>'클럭 정리'!O46</f>
        <v/>
      </c>
      <c r="D20" s="25">
        <f>'클럭 정리'!O46</f>
        <v/>
      </c>
      <c r="E20" s="25">
        <f>'클럭 정리'!O46</f>
        <v/>
      </c>
      <c r="F20" s="25">
        <f>'클럭 정리'!O46</f>
        <v/>
      </c>
      <c r="G20" s="25">
        <f>'클럭 정리'!O46</f>
        <v/>
      </c>
      <c r="H20" s="25">
        <f>'클럭 정리'!O46</f>
        <v/>
      </c>
      <c r="P20" s="26">
        <f>'클럭 정리'!A21</f>
        <v/>
      </c>
      <c r="Q20" s="25">
        <f>'클럭 정리'!O21</f>
        <v/>
      </c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7" t="n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7" t="n"/>
      <c r="CC20" s="27" t="n"/>
      <c r="CD20" s="27" t="n"/>
      <c r="CE20" s="27" t="n"/>
      <c r="CF20" s="27" t="n"/>
      <c r="CG20" s="27" t="n"/>
      <c r="CH20" s="27" t="n"/>
      <c r="CI20" s="27" t="n"/>
      <c r="CJ20" s="27" t="n"/>
      <c r="CK20" s="27" t="n"/>
      <c r="CL20" s="27" t="n"/>
      <c r="CM20" s="27" t="n"/>
      <c r="CN20" s="27" t="n"/>
      <c r="CO20" s="27" t="n"/>
      <c r="CP20" s="27" t="n"/>
      <c r="CQ20" s="27" t="n"/>
      <c r="CR20" s="27" t="n"/>
      <c r="CS20" s="27" t="n"/>
      <c r="CT20" s="27" t="n"/>
      <c r="CU20" s="27" t="n"/>
      <c r="CV20" s="27" t="n"/>
      <c r="CW20" s="27" t="n"/>
      <c r="CX20" s="27" t="n"/>
      <c r="CY20" s="27" t="n"/>
      <c r="CZ20" s="27" t="n"/>
      <c r="DA20" s="27" t="n"/>
      <c r="DB20" s="27" t="n"/>
      <c r="DC20" s="27" t="n"/>
      <c r="DD20" s="27" t="n"/>
    </row>
    <row r="21">
      <c r="A21" s="24">
        <f>'클럭 정리'!A47</f>
        <v/>
      </c>
      <c r="B21" s="25">
        <f>'클럭 정리'!O47</f>
        <v/>
      </c>
      <c r="C21" s="25">
        <f>'클럭 정리'!O47</f>
        <v/>
      </c>
      <c r="D21" s="25">
        <f>'클럭 정리'!O47</f>
        <v/>
      </c>
      <c r="E21" s="25">
        <f>'클럭 정리'!O47</f>
        <v/>
      </c>
      <c r="F21" s="25">
        <f>'클럭 정리'!O47</f>
        <v/>
      </c>
      <c r="G21" s="25">
        <f>'클럭 정리'!O47</f>
        <v/>
      </c>
      <c r="H21" s="25">
        <f>'클럭 정리'!O47</f>
        <v/>
      </c>
      <c r="P21" s="26">
        <f>'클럭 정리'!A22</f>
        <v/>
      </c>
      <c r="Q21" s="25">
        <f>'클럭 정리'!O22</f>
        <v/>
      </c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7" t="n"/>
      <c r="CE21" s="27" t="n"/>
      <c r="CF21" s="27" t="n"/>
      <c r="CG21" s="27" t="n"/>
      <c r="CH21" s="27" t="n"/>
      <c r="CI21" s="27" t="n"/>
      <c r="CJ21" s="27" t="n"/>
      <c r="CK21" s="27" t="n"/>
      <c r="CL21" s="27" t="n"/>
      <c r="CM21" s="27" t="n"/>
      <c r="CN21" s="27" t="n"/>
      <c r="CO21" s="27" t="n"/>
      <c r="CP21" s="27" t="n"/>
      <c r="CQ21" s="27" t="n"/>
      <c r="CR21" s="27" t="n"/>
      <c r="CS21" s="27" t="n"/>
      <c r="CT21" s="27" t="n"/>
      <c r="CU21" s="27" t="n"/>
      <c r="CV21" s="27" t="n"/>
      <c r="CW21" s="27" t="n"/>
      <c r="CX21" s="27" t="n"/>
      <c r="CY21" s="27" t="n"/>
      <c r="CZ21" s="27" t="n"/>
      <c r="DA21" s="27" t="n"/>
      <c r="DB21" s="27" t="n"/>
      <c r="DC21" s="27" t="n"/>
      <c r="DD21" s="27" t="n"/>
    </row>
    <row r="22">
      <c r="P22" s="26">
        <f>'클럭 정리'!A23</f>
        <v/>
      </c>
      <c r="Q22" s="25">
        <f>'클럭 정리'!O23</f>
        <v/>
      </c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/>
      <c r="CO22" s="27" t="n"/>
      <c r="CP22" s="27" t="n"/>
      <c r="CQ22" s="27" t="n"/>
      <c r="CR22" s="27" t="n"/>
      <c r="CS22" s="27" t="n"/>
      <c r="CT22" s="27" t="n"/>
      <c r="CU22" s="27" t="n"/>
      <c r="CV22" s="27" t="n"/>
      <c r="CW22" s="27" t="n"/>
      <c r="CX22" s="27" t="n"/>
      <c r="CY22" s="27" t="n"/>
      <c r="CZ22" s="27" t="n"/>
      <c r="DA22" s="27" t="n"/>
      <c r="DB22" s="27" t="n"/>
      <c r="DC22" s="27" t="n"/>
      <c r="DD22" s="27" t="n"/>
    </row>
    <row r="23">
      <c r="A23" s="2" t="inlineStr">
        <is>
          <t>병렬도 6 분할 36 측정 5회차 (스레드별 클럭, GHz)</t>
        </is>
      </c>
      <c r="P23" s="26">
        <f>'클럭 정리'!A24</f>
        <v/>
      </c>
      <c r="Q23" s="25">
        <f>'클럭 정리'!O24</f>
        <v/>
      </c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  <c r="AZ23" s="27" t="n"/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  <c r="BK23" s="27" t="n"/>
      <c r="BL23" s="27" t="n"/>
      <c r="BM23" s="27" t="n"/>
      <c r="BN23" s="27" t="n"/>
      <c r="BO23" s="27" t="n"/>
      <c r="BP23" s="27" t="n"/>
      <c r="BQ23" s="27" t="n"/>
      <c r="BR23" s="27" t="n"/>
      <c r="BS23" s="27" t="n"/>
      <c r="BT23" s="27" t="n"/>
      <c r="BU23" s="27" t="n"/>
      <c r="BV23" s="27" t="n"/>
      <c r="BW23" s="27" t="n"/>
      <c r="BX23" s="27" t="n"/>
      <c r="BY23" s="27" t="n"/>
      <c r="BZ23" s="27" t="n"/>
      <c r="CA23" s="27" t="n"/>
      <c r="CB23" s="27" t="n"/>
      <c r="CC23" s="27" t="n"/>
      <c r="CD23" s="27" t="n"/>
      <c r="CE23" s="27" t="n"/>
      <c r="CF23" s="27" t="n"/>
      <c r="CG23" s="27" t="n"/>
      <c r="CH23" s="27" t="n"/>
      <c r="CI23" s="27" t="n"/>
      <c r="CJ23" s="27" t="n"/>
      <c r="CK23" s="27" t="n"/>
      <c r="CL23" s="27" t="n"/>
      <c r="CM23" s="27" t="n"/>
      <c r="CN23" s="27" t="n"/>
      <c r="CO23" s="27" t="n"/>
      <c r="CP23" s="27" t="n"/>
      <c r="CQ23" s="27" t="n"/>
      <c r="CR23" s="27" t="n"/>
      <c r="CS23" s="27" t="n"/>
      <c r="CT23" s="27" t="n"/>
      <c r="CU23" s="27" t="n"/>
      <c r="CV23" s="27" t="n"/>
      <c r="CW23" s="27" t="n"/>
      <c r="CX23" s="27" t="n"/>
      <c r="CY23" s="27" t="n"/>
      <c r="CZ23" s="27" t="n"/>
      <c r="DA23" s="27" t="n"/>
      <c r="DB23" s="27" t="n"/>
      <c r="DC23" s="27" t="n"/>
      <c r="DD23" s="27" t="n"/>
    </row>
    <row r="24">
      <c r="A24" s="23" t="inlineStr">
        <is>
          <t>시각</t>
        </is>
      </c>
      <c r="B24" s="23" t="inlineStr">
        <is>
          <t>ForkJoinPool-7-worker-1</t>
        </is>
      </c>
      <c r="C24" s="23" t="inlineStr">
        <is>
          <t>ForkJoinPool-7-worker-2</t>
        </is>
      </c>
      <c r="D24" s="23" t="inlineStr">
        <is>
          <t>ForkJoinPool-7-worker-3</t>
        </is>
      </c>
      <c r="E24" s="23" t="inlineStr">
        <is>
          <t>ForkJoinPool-7-worker-4</t>
        </is>
      </c>
      <c r="F24" s="23" t="inlineStr">
        <is>
          <t>ForkJoinPool-7-worker-5</t>
        </is>
      </c>
      <c r="G24" s="23" t="inlineStr">
        <is>
          <t>ForkJoinPool-7-worker-6</t>
        </is>
      </c>
      <c r="H24" s="23" t="inlineStr">
        <is>
          <t>main</t>
        </is>
      </c>
      <c r="P24" s="26">
        <f>'클럭 정리'!A25</f>
        <v/>
      </c>
      <c r="Q24" s="25">
        <f>'클럭 정리'!O25</f>
        <v/>
      </c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7" t="n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7" t="n"/>
      <c r="CC24" s="27" t="n"/>
      <c r="CD24" s="27" t="n"/>
      <c r="CE24" s="27" t="n"/>
      <c r="CF24" s="27" t="n"/>
      <c r="CG24" s="27" t="n"/>
      <c r="CH24" s="27" t="n"/>
      <c r="CI24" s="27" t="n"/>
      <c r="CJ24" s="27" t="n"/>
      <c r="CK24" s="27" t="n"/>
      <c r="CL24" s="27" t="n"/>
      <c r="CM24" s="27" t="n"/>
      <c r="CN24" s="27" t="n"/>
      <c r="CO24" s="27" t="n"/>
      <c r="CP24" s="27" t="n"/>
      <c r="CQ24" s="27" t="n"/>
      <c r="CR24" s="27" t="n"/>
      <c r="CS24" s="27" t="n"/>
      <c r="CT24" s="27" t="n"/>
      <c r="CU24" s="27" t="n"/>
      <c r="CV24" s="27" t="n"/>
      <c r="CW24" s="27" t="n"/>
      <c r="CX24" s="27" t="n"/>
      <c r="CY24" s="27" t="n"/>
      <c r="CZ24" s="27" t="n"/>
      <c r="DA24" s="27" t="n"/>
      <c r="DB24" s="27" t="n"/>
      <c r="DC24" s="27" t="n"/>
      <c r="DD24" s="27" t="n"/>
    </row>
    <row r="25">
      <c r="A25" s="24">
        <f>'클럭 정리'!A48</f>
        <v/>
      </c>
      <c r="B25" s="25">
        <f>'클럭 정리'!O48</f>
        <v/>
      </c>
      <c r="C25" s="25">
        <f>'클럭 정리'!O48</f>
        <v/>
      </c>
      <c r="D25" s="25">
        <f>'클럭 정리'!O48</f>
        <v/>
      </c>
      <c r="E25" s="25">
        <f>'클럭 정리'!O48</f>
        <v/>
      </c>
      <c r="F25" s="25">
        <f>'클럭 정리'!O48</f>
        <v/>
      </c>
      <c r="G25" s="25">
        <f>'클럭 정리'!O48</f>
        <v/>
      </c>
      <c r="H25" s="25">
        <f>'클럭 정리'!O48</f>
        <v/>
      </c>
      <c r="P25" s="26">
        <f>'클럭 정리'!A26</f>
        <v/>
      </c>
      <c r="Q25" s="25">
        <f>'클럭 정리'!O26</f>
        <v/>
      </c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  <c r="BK25" s="27" t="n"/>
      <c r="BL25" s="27" t="n"/>
      <c r="BM25" s="27" t="n"/>
      <c r="BN25" s="27" t="n"/>
      <c r="BO25" s="27" t="n"/>
      <c r="BP25" s="27" t="n"/>
      <c r="BQ25" s="27" t="n"/>
      <c r="BR25" s="27" t="n"/>
      <c r="BS25" s="27" t="n"/>
      <c r="BT25" s="27" t="n"/>
      <c r="BU25" s="27" t="n"/>
      <c r="BV25" s="27" t="n"/>
      <c r="BW25" s="27" t="n"/>
      <c r="BX25" s="27" t="n"/>
      <c r="BY25" s="27" t="n"/>
      <c r="BZ25" s="27" t="n"/>
      <c r="CA25" s="27" t="n"/>
      <c r="CB25" s="27" t="n"/>
      <c r="CC25" s="27" t="n"/>
      <c r="CD25" s="27" t="n"/>
      <c r="CE25" s="27" t="n"/>
      <c r="CF25" s="27" t="n"/>
      <c r="CG25" s="27" t="n"/>
      <c r="CH25" s="27" t="n"/>
      <c r="CI25" s="27" t="n"/>
      <c r="CJ25" s="27" t="n"/>
      <c r="CK25" s="27" t="n"/>
      <c r="CL25" s="27" t="n"/>
      <c r="CM25" s="27" t="n"/>
      <c r="CN25" s="27" t="n"/>
      <c r="CO25" s="27" t="n"/>
      <c r="CP25" s="27" t="n"/>
      <c r="CQ25" s="27" t="n"/>
      <c r="CR25" s="27" t="n"/>
      <c r="CS25" s="27" t="n"/>
      <c r="CT25" s="27" t="n"/>
      <c r="CU25" s="27" t="n"/>
      <c r="CV25" s="27" t="n"/>
      <c r="CW25" s="27" t="n"/>
      <c r="CX25" s="27" t="n"/>
      <c r="CY25" s="27" t="n"/>
      <c r="CZ25" s="27" t="n"/>
      <c r="DA25" s="27" t="n"/>
      <c r="DB25" s="27" t="n"/>
      <c r="DC25" s="27" t="n"/>
      <c r="DD25" s="27" t="n"/>
    </row>
    <row r="26">
      <c r="A26" s="24">
        <f>'클럭 정리'!A49</f>
        <v/>
      </c>
      <c r="B26" s="25">
        <f>'클럭 정리'!O49</f>
        <v/>
      </c>
      <c r="C26" s="25">
        <f>'클럭 정리'!O49</f>
        <v/>
      </c>
      <c r="D26" s="25">
        <f>'클럭 정리'!O49</f>
        <v/>
      </c>
      <c r="E26" s="25">
        <f>'클럭 정리'!O49</f>
        <v/>
      </c>
      <c r="F26" s="25">
        <f>'클럭 정리'!O49</f>
        <v/>
      </c>
      <c r="G26" s="25">
        <f>'클럭 정리'!O49</f>
        <v/>
      </c>
      <c r="H26" s="25">
        <f>'클럭 정리'!O49</f>
        <v/>
      </c>
      <c r="P26" s="26">
        <f>'클럭 정리'!A27</f>
        <v/>
      </c>
      <c r="Q26" s="25">
        <f>'클럭 정리'!O27</f>
        <v/>
      </c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7" t="n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7" t="n"/>
      <c r="CC26" s="27" t="n"/>
      <c r="CD26" s="27" t="n"/>
      <c r="CE26" s="27" t="n"/>
      <c r="CF26" s="27" t="n"/>
      <c r="CG26" s="27" t="n"/>
      <c r="CH26" s="27" t="n"/>
      <c r="CI26" s="27" t="n"/>
      <c r="CJ26" s="27" t="n"/>
      <c r="CK26" s="27" t="n"/>
      <c r="CL26" s="27" t="n"/>
      <c r="CM26" s="27" t="n"/>
      <c r="CN26" s="27" t="n"/>
      <c r="CO26" s="27" t="n"/>
      <c r="CP26" s="27" t="n"/>
      <c r="CQ26" s="27" t="n"/>
      <c r="CR26" s="27" t="n"/>
      <c r="CS26" s="27" t="n"/>
      <c r="CT26" s="27" t="n"/>
      <c r="CU26" s="27" t="n"/>
      <c r="CV26" s="27" t="n"/>
      <c r="CW26" s="27" t="n"/>
      <c r="CX26" s="27" t="n"/>
      <c r="CY26" s="27" t="n"/>
      <c r="CZ26" s="27" t="n"/>
      <c r="DA26" s="27" t="n"/>
      <c r="DB26" s="27" t="n"/>
      <c r="DC26" s="27" t="n"/>
      <c r="DD26" s="27" t="n"/>
    </row>
    <row r="27">
      <c r="A27" s="24">
        <f>'클럭 정리'!A50</f>
        <v/>
      </c>
      <c r="B27" s="25">
        <f>'클럭 정리'!O50</f>
        <v/>
      </c>
      <c r="C27" s="25">
        <f>'클럭 정리'!O50</f>
        <v/>
      </c>
      <c r="D27" s="25">
        <f>'클럭 정리'!O50</f>
        <v/>
      </c>
      <c r="E27" s="25">
        <f>'클럭 정리'!O50</f>
        <v/>
      </c>
      <c r="F27" s="25">
        <f>'클럭 정리'!O50</f>
        <v/>
      </c>
      <c r="G27" s="25">
        <f>'클럭 정리'!O50</f>
        <v/>
      </c>
      <c r="H27" s="25">
        <f>'클럭 정리'!O50</f>
        <v/>
      </c>
      <c r="P27" s="26">
        <f>'클럭 정리'!A28</f>
        <v/>
      </c>
      <c r="Q27" s="25">
        <f>'클럭 정리'!O28</f>
        <v/>
      </c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  <c r="BK27" s="27" t="n"/>
      <c r="BL27" s="27" t="n"/>
      <c r="BM27" s="27" t="n"/>
      <c r="BN27" s="27" t="n"/>
      <c r="BO27" s="27" t="n"/>
      <c r="BP27" s="27" t="n"/>
      <c r="BQ27" s="27" t="n"/>
      <c r="BR27" s="27" t="n"/>
      <c r="BS27" s="27" t="n"/>
      <c r="BT27" s="27" t="n"/>
      <c r="BU27" s="27" t="n"/>
      <c r="BV27" s="27" t="n"/>
      <c r="BW27" s="27" t="n"/>
      <c r="BX27" s="27" t="n"/>
      <c r="BY27" s="27" t="n"/>
      <c r="BZ27" s="27" t="n"/>
      <c r="CA27" s="27" t="n"/>
      <c r="CB27" s="27" t="n"/>
      <c r="CC27" s="27" t="n"/>
      <c r="CD27" s="27" t="n"/>
      <c r="CE27" s="27" t="n"/>
      <c r="CF27" s="27" t="n"/>
      <c r="CG27" s="27" t="n"/>
      <c r="CH27" s="27" t="n"/>
      <c r="CI27" s="27" t="n"/>
      <c r="CJ27" s="27" t="n"/>
      <c r="CK27" s="27" t="n"/>
      <c r="CL27" s="27" t="n"/>
      <c r="CM27" s="27" t="n"/>
      <c r="CN27" s="27" t="n"/>
      <c r="CO27" s="27" t="n"/>
      <c r="CP27" s="27" t="n"/>
      <c r="CQ27" s="27" t="n"/>
      <c r="CR27" s="27" t="n"/>
      <c r="CS27" s="27" t="n"/>
      <c r="CT27" s="27" t="n"/>
      <c r="CU27" s="27" t="n"/>
      <c r="CV27" s="27" t="n"/>
      <c r="CW27" s="27" t="n"/>
      <c r="CX27" s="27" t="n"/>
      <c r="CY27" s="27" t="n"/>
      <c r="CZ27" s="27" t="n"/>
      <c r="DA27" s="27" t="n"/>
      <c r="DB27" s="27" t="n"/>
      <c r="DC27" s="27" t="n"/>
      <c r="DD27" s="27" t="n"/>
    </row>
    <row r="28">
      <c r="P28" s="26">
        <f>'클럭 정리'!A29</f>
        <v/>
      </c>
      <c r="Q28" s="25">
        <f>'클럭 정리'!O29</f>
        <v/>
      </c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7" t="n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7" t="n"/>
      <c r="CC28" s="27" t="n"/>
      <c r="CD28" s="27" t="n"/>
      <c r="CE28" s="27" t="n"/>
      <c r="CF28" s="27" t="n"/>
      <c r="CG28" s="27" t="n"/>
      <c r="CH28" s="27" t="n"/>
      <c r="CI28" s="27" t="n"/>
      <c r="CJ28" s="27" t="n"/>
      <c r="CK28" s="27" t="n"/>
      <c r="CL28" s="27" t="n"/>
      <c r="CM28" s="27" t="n"/>
      <c r="CN28" s="27" t="n"/>
      <c r="CO28" s="27" t="n"/>
      <c r="CP28" s="27" t="n"/>
      <c r="CQ28" s="27" t="n"/>
      <c r="CR28" s="27" t="n"/>
      <c r="CS28" s="27" t="n"/>
      <c r="CT28" s="27" t="n"/>
      <c r="CU28" s="27" t="n"/>
      <c r="CV28" s="27" t="n"/>
      <c r="CW28" s="27" t="n"/>
      <c r="CX28" s="27" t="n"/>
      <c r="CY28" s="27" t="n"/>
      <c r="CZ28" s="27" t="n"/>
      <c r="DA28" s="27" t="n"/>
      <c r="DB28" s="27" t="n"/>
      <c r="DC28" s="27" t="n"/>
      <c r="DD28" s="27" t="n"/>
    </row>
    <row r="29">
      <c r="A29" s="2" t="inlineStr">
        <is>
          <t>병렬도 12 분할 36 측정 1회차 (스레드별 클럭, GHz)</t>
        </is>
      </c>
      <c r="P29" s="26">
        <f>'클럭 정리'!A30</f>
        <v/>
      </c>
      <c r="Q29" s="25">
        <f>'클럭 정리'!O30</f>
        <v/>
      </c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  <c r="AZ29" s="27" t="n"/>
      <c r="BA29" s="27" t="n"/>
      <c r="BB29" s="27" t="n"/>
      <c r="BC29" s="27" t="n"/>
      <c r="BD29" s="27" t="n"/>
      <c r="BE29" s="27" t="n"/>
      <c r="BF29" s="27" t="n"/>
      <c r="BG29" s="27" t="n"/>
      <c r="BH29" s="27" t="n"/>
      <c r="BI29" s="27" t="n"/>
      <c r="BJ29" s="27" t="n"/>
      <c r="BK29" s="27" t="n"/>
      <c r="BL29" s="27" t="n"/>
      <c r="BM29" s="27" t="n"/>
      <c r="BN29" s="27" t="n"/>
      <c r="BO29" s="27" t="n"/>
      <c r="BP29" s="27" t="n"/>
      <c r="BQ29" s="27" t="n"/>
      <c r="BR29" s="27" t="n"/>
      <c r="BS29" s="27" t="n"/>
      <c r="BT29" s="27" t="n"/>
      <c r="BU29" s="27" t="n"/>
      <c r="BV29" s="27" t="n"/>
      <c r="BW29" s="27" t="n"/>
      <c r="BX29" s="27" t="n"/>
      <c r="BY29" s="27" t="n"/>
      <c r="BZ29" s="27" t="n"/>
      <c r="CA29" s="27" t="n"/>
      <c r="CB29" s="27" t="n"/>
      <c r="CC29" s="27" t="n"/>
      <c r="CD29" s="27" t="n"/>
      <c r="CE29" s="27" t="n"/>
      <c r="CF29" s="27" t="n"/>
      <c r="CG29" s="27" t="n"/>
      <c r="CH29" s="27" t="n"/>
      <c r="CI29" s="27" t="n"/>
      <c r="CJ29" s="27" t="n"/>
      <c r="CK29" s="27" t="n"/>
      <c r="CL29" s="27" t="n"/>
      <c r="CM29" s="27" t="n"/>
      <c r="CN29" s="27" t="n"/>
      <c r="CO29" s="27" t="n"/>
      <c r="CP29" s="27" t="n"/>
      <c r="CQ29" s="27" t="n"/>
      <c r="CR29" s="27" t="n"/>
      <c r="CS29" s="27" t="n"/>
      <c r="CT29" s="27" t="n"/>
      <c r="CU29" s="27" t="n"/>
      <c r="CV29" s="27" t="n"/>
      <c r="CW29" s="27" t="n"/>
      <c r="CX29" s="27" t="n"/>
      <c r="CY29" s="27" t="n"/>
      <c r="CZ29" s="27" t="n"/>
      <c r="DA29" s="27" t="n"/>
      <c r="DB29" s="27" t="n"/>
      <c r="DC29" s="27" t="n"/>
      <c r="DD29" s="27" t="n"/>
    </row>
    <row r="30">
      <c r="A30" s="23" t="inlineStr">
        <is>
          <t>시각</t>
        </is>
      </c>
      <c r="B30" s="23" t="inlineStr">
        <is>
          <t>ForkJoinPool-11-worker-1</t>
        </is>
      </c>
      <c r="C30" s="23" t="inlineStr">
        <is>
          <t>ForkJoinPool-11-worker-10</t>
        </is>
      </c>
      <c r="D30" s="23" t="inlineStr">
        <is>
          <t>ForkJoinPool-11-worker-11</t>
        </is>
      </c>
      <c r="E30" s="23" t="inlineStr">
        <is>
          <t>ForkJoinPool-11-worker-12</t>
        </is>
      </c>
      <c r="F30" s="23" t="inlineStr">
        <is>
          <t>ForkJoinPool-11-worker-2</t>
        </is>
      </c>
      <c r="G30" s="23" t="inlineStr">
        <is>
          <t>ForkJoinPool-11-worker-3</t>
        </is>
      </c>
      <c r="H30" s="23" t="inlineStr">
        <is>
          <t>ForkJoinPool-11-worker-4</t>
        </is>
      </c>
      <c r="I30" s="23" t="inlineStr">
        <is>
          <t>ForkJoinPool-11-worker-5</t>
        </is>
      </c>
      <c r="J30" s="23" t="inlineStr">
        <is>
          <t>ForkJoinPool-11-worker-6</t>
        </is>
      </c>
      <c r="K30" s="23" t="inlineStr">
        <is>
          <t>ForkJoinPool-11-worker-7</t>
        </is>
      </c>
      <c r="L30" s="23" t="inlineStr">
        <is>
          <t>ForkJoinPool-11-worker-8</t>
        </is>
      </c>
      <c r="M30" s="23" t="inlineStr">
        <is>
          <t>ForkJoinPool-11-worker-9</t>
        </is>
      </c>
      <c r="N30" s="23" t="inlineStr">
        <is>
          <t>main</t>
        </is>
      </c>
      <c r="P30" s="26">
        <f>'클럭 정리'!A31</f>
        <v/>
      </c>
      <c r="Q30" s="25">
        <f>'클럭 정리'!O31</f>
        <v/>
      </c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  <c r="BK30" s="27" t="n"/>
      <c r="BL30" s="27" t="n"/>
      <c r="BM30" s="27" t="n"/>
      <c r="BN30" s="27" t="n"/>
      <c r="BO30" s="27" t="n"/>
      <c r="BP30" s="27" t="n"/>
      <c r="BQ30" s="27" t="n"/>
      <c r="BR30" s="27" t="n"/>
      <c r="BS30" s="27" t="n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7" t="n"/>
      <c r="CC30" s="27" t="n"/>
      <c r="CD30" s="27" t="n"/>
      <c r="CE30" s="27" t="n"/>
      <c r="CF30" s="27" t="n"/>
      <c r="CG30" s="27" t="n"/>
      <c r="CH30" s="27" t="n"/>
      <c r="CI30" s="27" t="n"/>
      <c r="CJ30" s="27" t="n"/>
      <c r="CK30" s="27" t="n"/>
      <c r="CL30" s="27" t="n"/>
      <c r="CM30" s="27" t="n"/>
      <c r="CN30" s="27" t="n"/>
      <c r="CO30" s="27" t="n"/>
      <c r="CP30" s="27" t="n"/>
      <c r="CQ30" s="27" t="n"/>
      <c r="CR30" s="27" t="n"/>
      <c r="CS30" s="27" t="n"/>
      <c r="CT30" s="27" t="n"/>
      <c r="CU30" s="27" t="n"/>
      <c r="CV30" s="27" t="n"/>
      <c r="CW30" s="27" t="n"/>
      <c r="CX30" s="27" t="n"/>
      <c r="CY30" s="27" t="n"/>
      <c r="CZ30" s="27" t="n"/>
      <c r="DA30" s="27" t="n"/>
      <c r="DB30" s="27" t="n"/>
      <c r="DC30" s="27" t="n"/>
      <c r="DD30" s="27" t="n"/>
    </row>
    <row r="31">
      <c r="A31" s="24">
        <f>'클럭 정리'!A56</f>
        <v/>
      </c>
      <c r="B31" s="25">
        <f>'클럭 정리'!O56</f>
        <v/>
      </c>
      <c r="C31" s="25">
        <f>'클럭 정리'!O56</f>
        <v/>
      </c>
      <c r="D31" s="25">
        <f>'클럭 정리'!O56</f>
        <v/>
      </c>
      <c r="E31" s="25">
        <f>'클럭 정리'!O56</f>
        <v/>
      </c>
      <c r="F31" s="25">
        <f>'클럭 정리'!O56</f>
        <v/>
      </c>
      <c r="G31" s="25">
        <f>'클럭 정리'!O56</f>
        <v/>
      </c>
      <c r="H31" s="25">
        <f>'클럭 정리'!O56</f>
        <v/>
      </c>
      <c r="I31" s="25">
        <f>'클럭 정리'!O56</f>
        <v/>
      </c>
      <c r="J31" s="25">
        <f>'클럭 정리'!O56</f>
        <v/>
      </c>
      <c r="K31" s="25">
        <f>'클럭 정리'!O56</f>
        <v/>
      </c>
      <c r="L31" s="25">
        <f>'클럭 정리'!O56</f>
        <v/>
      </c>
      <c r="M31" s="25">
        <f>'클럭 정리'!O56</f>
        <v/>
      </c>
      <c r="N31" s="25">
        <f>'클럭 정리'!O56</f>
        <v/>
      </c>
      <c r="P31" s="26">
        <f>'클럭 정리'!A32</f>
        <v/>
      </c>
      <c r="Q31" s="25">
        <f>'클럭 정리'!O32</f>
        <v/>
      </c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7" t="n"/>
      <c r="AZ31" s="27" t="n"/>
      <c r="BA31" s="27" t="n"/>
      <c r="BB31" s="27" t="n"/>
      <c r="BC31" s="27" t="n"/>
      <c r="BD31" s="27" t="n"/>
      <c r="BE31" s="27" t="n"/>
      <c r="BF31" s="27" t="n"/>
      <c r="BG31" s="27" t="n"/>
      <c r="BH31" s="27" t="n"/>
      <c r="BI31" s="27" t="n"/>
      <c r="BJ31" s="27" t="n"/>
      <c r="BK31" s="27" t="n"/>
      <c r="BL31" s="27" t="n"/>
      <c r="BM31" s="27" t="n"/>
      <c r="BN31" s="27" t="n"/>
      <c r="BO31" s="27" t="n"/>
      <c r="BP31" s="27" t="n"/>
      <c r="BQ31" s="27" t="n"/>
      <c r="BR31" s="27" t="n"/>
      <c r="BS31" s="27" t="n"/>
      <c r="BT31" s="27" t="n"/>
      <c r="BU31" s="27" t="n"/>
      <c r="BV31" s="27" t="n"/>
      <c r="BW31" s="27" t="n"/>
      <c r="BX31" s="27" t="n"/>
      <c r="BY31" s="27" t="n"/>
      <c r="BZ31" s="27" t="n"/>
      <c r="CA31" s="27" t="n"/>
      <c r="CB31" s="27" t="n"/>
      <c r="CC31" s="27" t="n"/>
      <c r="CD31" s="27" t="n"/>
      <c r="CE31" s="27" t="n"/>
      <c r="CF31" s="27" t="n"/>
      <c r="CG31" s="27" t="n"/>
      <c r="CH31" s="27" t="n"/>
      <c r="CI31" s="27" t="n"/>
      <c r="CJ31" s="27" t="n"/>
      <c r="CK31" s="27" t="n"/>
      <c r="CL31" s="27" t="n"/>
      <c r="CM31" s="27" t="n"/>
      <c r="CN31" s="27" t="n"/>
      <c r="CO31" s="27" t="n"/>
      <c r="CP31" s="27" t="n"/>
      <c r="CQ31" s="27" t="n"/>
      <c r="CR31" s="27" t="n"/>
      <c r="CS31" s="27" t="n"/>
      <c r="CT31" s="27" t="n"/>
      <c r="CU31" s="27" t="n"/>
      <c r="CV31" s="27" t="n"/>
      <c r="CW31" s="27" t="n"/>
      <c r="CX31" s="27" t="n"/>
      <c r="CY31" s="27" t="n"/>
      <c r="CZ31" s="27" t="n"/>
      <c r="DA31" s="27" t="n"/>
      <c r="DB31" s="27" t="n"/>
      <c r="DC31" s="27" t="n"/>
      <c r="DD31" s="27" t="n"/>
    </row>
    <row r="32">
      <c r="P32" s="26">
        <f>'클럭 정리'!A33</f>
        <v/>
      </c>
      <c r="Q32" s="25">
        <f>'클럭 정리'!O33</f>
        <v/>
      </c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  <c r="AZ32" s="27" t="n"/>
      <c r="BA32" s="27" t="n"/>
      <c r="BB32" s="27" t="n"/>
      <c r="BC32" s="27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  <c r="BP32" s="27" t="n"/>
      <c r="BQ32" s="27" t="n"/>
      <c r="BR32" s="27" t="n"/>
      <c r="BS32" s="27" t="n"/>
      <c r="BT32" s="27" t="n"/>
      <c r="BU32" s="27" t="n"/>
      <c r="BV32" s="27" t="n"/>
      <c r="BW32" s="27" t="n"/>
      <c r="BX32" s="27" t="n"/>
      <c r="BY32" s="27" t="n"/>
      <c r="BZ32" s="27" t="n"/>
      <c r="CA32" s="27" t="n"/>
      <c r="CB32" s="27" t="n"/>
      <c r="CC32" s="27" t="n"/>
      <c r="CD32" s="27" t="n"/>
      <c r="CE32" s="27" t="n"/>
      <c r="CF32" s="27" t="n"/>
      <c r="CG32" s="27" t="n"/>
      <c r="CH32" s="27" t="n"/>
      <c r="CI32" s="27" t="n"/>
      <c r="CJ32" s="27" t="n"/>
      <c r="CK32" s="27" t="n"/>
      <c r="CL32" s="27" t="n"/>
      <c r="CM32" s="27" t="n"/>
      <c r="CN32" s="27" t="n"/>
      <c r="CO32" s="27" t="n"/>
      <c r="CP32" s="27" t="n"/>
      <c r="CQ32" s="27" t="n"/>
      <c r="CR32" s="27" t="n"/>
      <c r="CS32" s="27" t="n"/>
      <c r="CT32" s="27" t="n"/>
      <c r="CU32" s="27" t="n"/>
      <c r="CV32" s="27" t="n"/>
      <c r="CW32" s="27" t="n"/>
      <c r="CX32" s="27" t="n"/>
      <c r="CY32" s="27" t="n"/>
      <c r="CZ32" s="27" t="n"/>
      <c r="DA32" s="27" t="n"/>
      <c r="DB32" s="27" t="n"/>
      <c r="DC32" s="27" t="n"/>
      <c r="DD32" s="27" t="n"/>
    </row>
    <row r="33">
      <c r="A33" s="2" t="inlineStr">
        <is>
          <t>병렬도 12 분할 36 측정 2회차 (스레드별 클럭, GHz)</t>
        </is>
      </c>
      <c r="P33" s="26">
        <f>'클럭 정리'!A34</f>
        <v/>
      </c>
      <c r="Q33" s="25">
        <f>'클럭 정리'!O34</f>
        <v/>
      </c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7" t="n"/>
      <c r="AZ33" s="27" t="n"/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7" t="n"/>
      <c r="BJ33" s="27" t="n"/>
      <c r="BK33" s="27" t="n"/>
      <c r="BL33" s="27" t="n"/>
      <c r="BM33" s="27" t="n"/>
      <c r="BN33" s="27" t="n"/>
      <c r="BO33" s="27" t="n"/>
      <c r="BP33" s="27" t="n"/>
      <c r="BQ33" s="27" t="n"/>
      <c r="BR33" s="27" t="n"/>
      <c r="BS33" s="27" t="n"/>
      <c r="BT33" s="27" t="n"/>
      <c r="BU33" s="27" t="n"/>
      <c r="BV33" s="27" t="n"/>
      <c r="BW33" s="27" t="n"/>
      <c r="BX33" s="27" t="n"/>
      <c r="BY33" s="27" t="n"/>
      <c r="BZ33" s="27" t="n"/>
      <c r="CA33" s="27" t="n"/>
      <c r="CB33" s="27" t="n"/>
      <c r="CC33" s="27" t="n"/>
      <c r="CD33" s="27" t="n"/>
      <c r="CE33" s="27" t="n"/>
      <c r="CF33" s="27" t="n"/>
      <c r="CG33" s="27" t="n"/>
      <c r="CH33" s="27" t="n"/>
      <c r="CI33" s="27" t="n"/>
      <c r="CJ33" s="27" t="n"/>
      <c r="CK33" s="27" t="n"/>
      <c r="CL33" s="27" t="n"/>
      <c r="CM33" s="27" t="n"/>
      <c r="CN33" s="27" t="n"/>
      <c r="CO33" s="27" t="n"/>
      <c r="CP33" s="27" t="n"/>
      <c r="CQ33" s="27" t="n"/>
      <c r="CR33" s="27" t="n"/>
      <c r="CS33" s="27" t="n"/>
      <c r="CT33" s="27" t="n"/>
      <c r="CU33" s="27" t="n"/>
      <c r="CV33" s="27" t="n"/>
      <c r="CW33" s="27" t="n"/>
      <c r="CX33" s="27" t="n"/>
      <c r="CY33" s="27" t="n"/>
      <c r="CZ33" s="27" t="n"/>
      <c r="DA33" s="27" t="n"/>
      <c r="DB33" s="27" t="n"/>
      <c r="DC33" s="27" t="n"/>
      <c r="DD33" s="27" t="n"/>
    </row>
    <row r="34">
      <c r="A34" s="23" t="inlineStr">
        <is>
          <t>시각</t>
        </is>
      </c>
      <c r="B34" s="23" t="inlineStr">
        <is>
          <t>ForkJoinPool-12-worker-1</t>
        </is>
      </c>
      <c r="C34" s="23" t="inlineStr">
        <is>
          <t>ForkJoinPool-12-worker-10</t>
        </is>
      </c>
      <c r="D34" s="23" t="inlineStr">
        <is>
          <t>ForkJoinPool-12-worker-11</t>
        </is>
      </c>
      <c r="E34" s="23" t="inlineStr">
        <is>
          <t>ForkJoinPool-12-worker-12</t>
        </is>
      </c>
      <c r="F34" s="23" t="inlineStr">
        <is>
          <t>ForkJoinPool-12-worker-2</t>
        </is>
      </c>
      <c r="G34" s="23" t="inlineStr">
        <is>
          <t>ForkJoinPool-12-worker-3</t>
        </is>
      </c>
      <c r="H34" s="23" t="inlineStr">
        <is>
          <t>ForkJoinPool-12-worker-4</t>
        </is>
      </c>
      <c r="I34" s="23" t="inlineStr">
        <is>
          <t>ForkJoinPool-12-worker-5</t>
        </is>
      </c>
      <c r="J34" s="23" t="inlineStr">
        <is>
          <t>ForkJoinPool-12-worker-6</t>
        </is>
      </c>
      <c r="K34" s="23" t="inlineStr">
        <is>
          <t>ForkJoinPool-12-worker-7</t>
        </is>
      </c>
      <c r="L34" s="23" t="inlineStr">
        <is>
          <t>ForkJoinPool-12-worker-8</t>
        </is>
      </c>
      <c r="M34" s="23" t="inlineStr">
        <is>
          <t>ForkJoinPool-12-worker-9</t>
        </is>
      </c>
      <c r="N34" s="23" t="inlineStr">
        <is>
          <t>main</t>
        </is>
      </c>
      <c r="P34" s="26">
        <f>'클럭 정리'!A35</f>
        <v/>
      </c>
      <c r="Q34" s="25">
        <f>'클럭 정리'!O35</f>
        <v/>
      </c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I34" s="27" t="n"/>
      <c r="CJ34" s="27" t="n"/>
      <c r="CK34" s="27" t="n"/>
      <c r="CL34" s="27" t="n"/>
      <c r="CM34" s="27" t="n"/>
      <c r="CN34" s="27" t="n"/>
      <c r="CO34" s="27" t="n"/>
      <c r="CP34" s="27" t="n"/>
      <c r="CQ34" s="27" t="n"/>
      <c r="CR34" s="27" t="n"/>
      <c r="CS34" s="27" t="n"/>
      <c r="CT34" s="27" t="n"/>
      <c r="CU34" s="27" t="n"/>
      <c r="CV34" s="27" t="n"/>
      <c r="CW34" s="27" t="n"/>
      <c r="CX34" s="27" t="n"/>
      <c r="CY34" s="27" t="n"/>
      <c r="CZ34" s="27" t="n"/>
      <c r="DA34" s="27" t="n"/>
      <c r="DB34" s="27" t="n"/>
      <c r="DC34" s="27" t="n"/>
      <c r="DD34" s="27" t="n"/>
    </row>
    <row r="35">
      <c r="A35" s="24">
        <f>'클럭 정리'!A57</f>
        <v/>
      </c>
      <c r="B35" s="25">
        <f>'클럭 정리'!O57</f>
        <v/>
      </c>
      <c r="C35" s="25">
        <f>'클럭 정리'!O57</f>
        <v/>
      </c>
      <c r="D35" s="25">
        <f>'클럭 정리'!O57</f>
        <v/>
      </c>
      <c r="E35" s="25">
        <f>'클럭 정리'!O57</f>
        <v/>
      </c>
      <c r="F35" s="25">
        <f>'클럭 정리'!O57</f>
        <v/>
      </c>
      <c r="G35" s="25">
        <f>'클럭 정리'!O57</f>
        <v/>
      </c>
      <c r="H35" s="25">
        <f>'클럭 정리'!O57</f>
        <v/>
      </c>
      <c r="I35" s="25">
        <f>'클럭 정리'!O57</f>
        <v/>
      </c>
      <c r="J35" s="25">
        <f>'클럭 정리'!O57</f>
        <v/>
      </c>
      <c r="K35" s="25">
        <f>'클럭 정리'!O57</f>
        <v/>
      </c>
      <c r="L35" s="25">
        <f>'클럭 정리'!O57</f>
        <v/>
      </c>
      <c r="M35" s="25">
        <f>'클럭 정리'!O57</f>
        <v/>
      </c>
      <c r="N35" s="25">
        <f>'클럭 정리'!O57</f>
        <v/>
      </c>
      <c r="P35" s="26">
        <f>'클럭 정리'!A36</f>
        <v/>
      </c>
      <c r="Q35" s="25">
        <f>'클럭 정리'!O36</f>
        <v/>
      </c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7" t="n"/>
      <c r="BJ35" s="27" t="n"/>
      <c r="BK35" s="27" t="n"/>
      <c r="BL35" s="27" t="n"/>
      <c r="BM35" s="27" t="n"/>
      <c r="BN35" s="27" t="n"/>
      <c r="BO35" s="27" t="n"/>
      <c r="BP35" s="27" t="n"/>
      <c r="BQ35" s="27" t="n"/>
      <c r="BR35" s="27" t="n"/>
      <c r="BS35" s="27" t="n"/>
      <c r="BT35" s="27" t="n"/>
      <c r="BU35" s="27" t="n"/>
      <c r="BV35" s="27" t="n"/>
      <c r="BW35" s="27" t="n"/>
      <c r="BX35" s="27" t="n"/>
      <c r="BY35" s="27" t="n"/>
      <c r="BZ35" s="27" t="n"/>
      <c r="CA35" s="27" t="n"/>
      <c r="CB35" s="27" t="n"/>
      <c r="CC35" s="27" t="n"/>
      <c r="CD35" s="27" t="n"/>
      <c r="CE35" s="27" t="n"/>
      <c r="CF35" s="27" t="n"/>
      <c r="CG35" s="27" t="n"/>
      <c r="CH35" s="27" t="n"/>
      <c r="CI35" s="27" t="n"/>
      <c r="CJ35" s="27" t="n"/>
      <c r="CK35" s="27" t="n"/>
      <c r="CL35" s="27" t="n"/>
      <c r="CM35" s="27" t="n"/>
      <c r="CN35" s="27" t="n"/>
      <c r="CO35" s="27" t="n"/>
      <c r="CP35" s="27" t="n"/>
      <c r="CQ35" s="27" t="n"/>
      <c r="CR35" s="27" t="n"/>
      <c r="CS35" s="27" t="n"/>
      <c r="CT35" s="27" t="n"/>
      <c r="CU35" s="27" t="n"/>
      <c r="CV35" s="27" t="n"/>
      <c r="CW35" s="27" t="n"/>
      <c r="CX35" s="27" t="n"/>
      <c r="CY35" s="27" t="n"/>
      <c r="CZ35" s="27" t="n"/>
      <c r="DA35" s="27" t="n"/>
      <c r="DB35" s="27" t="n"/>
      <c r="DC35" s="27" t="n"/>
      <c r="DD35" s="27" t="n"/>
    </row>
    <row r="36">
      <c r="P36" s="26">
        <f>'클럭 정리'!A37</f>
        <v/>
      </c>
      <c r="Q36" s="25">
        <f>'클럭 정리'!O37</f>
        <v/>
      </c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27" t="n"/>
      <c r="BE36" s="27" t="n"/>
      <c r="BF36" s="27" t="n"/>
      <c r="BG36" s="27" t="n"/>
      <c r="BH36" s="27" t="n"/>
      <c r="BI36" s="27" t="n"/>
      <c r="BJ36" s="27" t="n"/>
      <c r="BK36" s="27" t="n"/>
      <c r="BL36" s="27" t="n"/>
      <c r="BM36" s="27" t="n"/>
      <c r="BN36" s="27" t="n"/>
      <c r="BO36" s="27" t="n"/>
      <c r="BP36" s="27" t="n"/>
      <c r="BQ36" s="27" t="n"/>
      <c r="BR36" s="27" t="n"/>
      <c r="BS36" s="27" t="n"/>
      <c r="BT36" s="27" t="n"/>
      <c r="BU36" s="27" t="n"/>
      <c r="BV36" s="27" t="n"/>
      <c r="BW36" s="27" t="n"/>
      <c r="BX36" s="27" t="n"/>
      <c r="BY36" s="27" t="n"/>
      <c r="BZ36" s="27" t="n"/>
      <c r="CA36" s="27" t="n"/>
      <c r="CB36" s="27" t="n"/>
      <c r="CC36" s="27" t="n"/>
      <c r="CD36" s="27" t="n"/>
      <c r="CE36" s="27" t="n"/>
      <c r="CF36" s="27" t="n"/>
      <c r="CG36" s="27" t="n"/>
      <c r="CH36" s="27" t="n"/>
      <c r="CI36" s="27" t="n"/>
      <c r="CJ36" s="27" t="n"/>
      <c r="CK36" s="27" t="n"/>
      <c r="CL36" s="27" t="n"/>
      <c r="CM36" s="27" t="n"/>
      <c r="CN36" s="27" t="n"/>
      <c r="CO36" s="27" t="n"/>
      <c r="CP36" s="27" t="n"/>
      <c r="CQ36" s="27" t="n"/>
      <c r="CR36" s="27" t="n"/>
      <c r="CS36" s="27" t="n"/>
      <c r="CT36" s="27" t="n"/>
      <c r="CU36" s="27" t="n"/>
      <c r="CV36" s="27" t="n"/>
      <c r="CW36" s="27" t="n"/>
      <c r="CX36" s="27" t="n"/>
      <c r="CY36" s="27" t="n"/>
      <c r="CZ36" s="27" t="n"/>
      <c r="DA36" s="27" t="n"/>
      <c r="DB36" s="27" t="n"/>
      <c r="DC36" s="27" t="n"/>
      <c r="DD36" s="27" t="n"/>
    </row>
    <row r="37">
      <c r="A37" s="2" t="inlineStr">
        <is>
          <t>병렬도 12 분할 36 측정 3회차 (스레드별 클럭, GHz)</t>
        </is>
      </c>
      <c r="P37" s="26">
        <f>'클럭 정리'!A38</f>
        <v/>
      </c>
      <c r="Q37" s="25">
        <f>'클럭 정리'!O38</f>
        <v/>
      </c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7" t="n"/>
      <c r="AZ37" s="27" t="n"/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7" t="n"/>
      <c r="BJ37" s="27" t="n"/>
      <c r="BK37" s="27" t="n"/>
      <c r="BL37" s="27" t="n"/>
      <c r="BM37" s="27" t="n"/>
      <c r="BN37" s="27" t="n"/>
      <c r="BO37" s="27" t="n"/>
      <c r="BP37" s="27" t="n"/>
      <c r="BQ37" s="27" t="n"/>
      <c r="BR37" s="27" t="n"/>
      <c r="BS37" s="27" t="n"/>
      <c r="BT37" s="27" t="n"/>
      <c r="BU37" s="27" t="n"/>
      <c r="BV37" s="27" t="n"/>
      <c r="BW37" s="27" t="n"/>
      <c r="BX37" s="27" t="n"/>
      <c r="BY37" s="27" t="n"/>
      <c r="BZ37" s="27" t="n"/>
      <c r="CA37" s="27" t="n"/>
      <c r="CB37" s="27" t="n"/>
      <c r="CC37" s="27" t="n"/>
      <c r="CD37" s="27" t="n"/>
      <c r="CE37" s="27" t="n"/>
      <c r="CF37" s="27" t="n"/>
      <c r="CG37" s="27" t="n"/>
      <c r="CH37" s="27" t="n"/>
      <c r="CI37" s="27" t="n"/>
      <c r="CJ37" s="27" t="n"/>
      <c r="CK37" s="27" t="n"/>
      <c r="CL37" s="27" t="n"/>
      <c r="CM37" s="27" t="n"/>
      <c r="CN37" s="27" t="n"/>
      <c r="CO37" s="27" t="n"/>
      <c r="CP37" s="27" t="n"/>
      <c r="CQ37" s="27" t="n"/>
      <c r="CR37" s="27" t="n"/>
      <c r="CS37" s="27" t="n"/>
      <c r="CT37" s="27" t="n"/>
      <c r="CU37" s="27" t="n"/>
      <c r="CV37" s="27" t="n"/>
      <c r="CW37" s="27" t="n"/>
      <c r="CX37" s="27" t="n"/>
      <c r="CY37" s="27" t="n"/>
      <c r="CZ37" s="27" t="n"/>
      <c r="DA37" s="27" t="n"/>
      <c r="DB37" s="27" t="n"/>
      <c r="DC37" s="27" t="n"/>
      <c r="DD37" s="27" t="n"/>
    </row>
    <row r="38">
      <c r="A38" s="23" t="inlineStr">
        <is>
          <t>시각</t>
        </is>
      </c>
      <c r="B38" s="23" t="inlineStr">
        <is>
          <t>ForkJoinPool-13-worker-1</t>
        </is>
      </c>
      <c r="C38" s="23" t="inlineStr">
        <is>
          <t>ForkJoinPool-13-worker-10</t>
        </is>
      </c>
      <c r="D38" s="23" t="inlineStr">
        <is>
          <t>ForkJoinPool-13-worker-11</t>
        </is>
      </c>
      <c r="E38" s="23" t="inlineStr">
        <is>
          <t>ForkJoinPool-13-worker-12</t>
        </is>
      </c>
      <c r="F38" s="23" t="inlineStr">
        <is>
          <t>ForkJoinPool-13-worker-2</t>
        </is>
      </c>
      <c r="G38" s="23" t="inlineStr">
        <is>
          <t>ForkJoinPool-13-worker-3</t>
        </is>
      </c>
      <c r="H38" s="23" t="inlineStr">
        <is>
          <t>ForkJoinPool-13-worker-4</t>
        </is>
      </c>
      <c r="I38" s="23" t="inlineStr">
        <is>
          <t>ForkJoinPool-13-worker-5</t>
        </is>
      </c>
      <c r="J38" s="23" t="inlineStr">
        <is>
          <t>ForkJoinPool-13-worker-6</t>
        </is>
      </c>
      <c r="K38" s="23" t="inlineStr">
        <is>
          <t>ForkJoinPool-13-worker-7</t>
        </is>
      </c>
      <c r="L38" s="23" t="inlineStr">
        <is>
          <t>ForkJoinPool-13-worker-8</t>
        </is>
      </c>
      <c r="M38" s="23" t="inlineStr">
        <is>
          <t>ForkJoinPool-13-worker-9</t>
        </is>
      </c>
      <c r="N38" s="23" t="inlineStr">
        <is>
          <t>main</t>
        </is>
      </c>
      <c r="P38" s="26">
        <f>'클럭 정리'!A39</f>
        <v/>
      </c>
      <c r="Q38" s="25">
        <f>'클럭 정리'!O39</f>
        <v/>
      </c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7" t="n"/>
      <c r="AZ38" s="27" t="n"/>
      <c r="BA38" s="27" t="n"/>
      <c r="BB38" s="27" t="n"/>
      <c r="BC38" s="27" t="n"/>
      <c r="BD38" s="27" t="n"/>
      <c r="BE38" s="27" t="n"/>
      <c r="BF38" s="27" t="n"/>
      <c r="BG38" s="27" t="n"/>
      <c r="BH38" s="27" t="n"/>
      <c r="BI38" s="27" t="n"/>
      <c r="BJ38" s="27" t="n"/>
      <c r="BK38" s="27" t="n"/>
      <c r="BL38" s="27" t="n"/>
      <c r="BM38" s="27" t="n"/>
      <c r="BN38" s="27" t="n"/>
      <c r="BO38" s="27" t="n"/>
      <c r="BP38" s="27" t="n"/>
      <c r="BQ38" s="27" t="n"/>
      <c r="BR38" s="27" t="n"/>
      <c r="BS38" s="27" t="n"/>
      <c r="BT38" s="27" t="n"/>
      <c r="BU38" s="27" t="n"/>
      <c r="BV38" s="27" t="n"/>
      <c r="BW38" s="27" t="n"/>
      <c r="BX38" s="27" t="n"/>
      <c r="BY38" s="27" t="n"/>
      <c r="BZ38" s="27" t="n"/>
      <c r="CA38" s="27" t="n"/>
      <c r="CB38" s="27" t="n"/>
      <c r="CC38" s="27" t="n"/>
      <c r="CD38" s="27" t="n"/>
      <c r="CE38" s="27" t="n"/>
      <c r="CF38" s="27" t="n"/>
      <c r="CG38" s="27" t="n"/>
      <c r="CH38" s="27" t="n"/>
      <c r="CI38" s="27" t="n"/>
      <c r="CJ38" s="27" t="n"/>
      <c r="CK38" s="27" t="n"/>
      <c r="CL38" s="27" t="n"/>
      <c r="CM38" s="27" t="n"/>
      <c r="CN38" s="27" t="n"/>
      <c r="CO38" s="27" t="n"/>
      <c r="CP38" s="27" t="n"/>
      <c r="CQ38" s="27" t="n"/>
      <c r="CR38" s="27" t="n"/>
      <c r="CS38" s="27" t="n"/>
      <c r="CT38" s="27" t="n"/>
      <c r="CU38" s="27" t="n"/>
      <c r="CV38" s="27" t="n"/>
      <c r="CW38" s="27" t="n"/>
      <c r="CX38" s="27" t="n"/>
      <c r="CY38" s="27" t="n"/>
      <c r="CZ38" s="27" t="n"/>
      <c r="DA38" s="27" t="n"/>
      <c r="DB38" s="27" t="n"/>
      <c r="DC38" s="27" t="n"/>
      <c r="DD38" s="27" t="n"/>
    </row>
    <row r="39">
      <c r="A39" s="24">
        <f>'클럭 정리'!A58</f>
        <v/>
      </c>
      <c r="B39" s="25">
        <f>'클럭 정리'!O58</f>
        <v/>
      </c>
      <c r="C39" s="25">
        <f>'클럭 정리'!O58</f>
        <v/>
      </c>
      <c r="D39" s="25">
        <f>'클럭 정리'!O58</f>
        <v/>
      </c>
      <c r="E39" s="25">
        <f>'클럭 정리'!O58</f>
        <v/>
      </c>
      <c r="F39" s="25">
        <f>'클럭 정리'!O58</f>
        <v/>
      </c>
      <c r="G39" s="25">
        <f>'클럭 정리'!O58</f>
        <v/>
      </c>
      <c r="H39" s="25">
        <f>'클럭 정리'!O58</f>
        <v/>
      </c>
      <c r="I39" s="25">
        <f>'클럭 정리'!O58</f>
        <v/>
      </c>
      <c r="J39" s="25">
        <f>'클럭 정리'!O58</f>
        <v/>
      </c>
      <c r="K39" s="25">
        <f>'클럭 정리'!O58</f>
        <v/>
      </c>
      <c r="L39" s="25">
        <f>'클럭 정리'!O58</f>
        <v/>
      </c>
      <c r="M39" s="25">
        <f>'클럭 정리'!O58</f>
        <v/>
      </c>
      <c r="N39" s="25">
        <f>'클럭 정리'!O58</f>
        <v/>
      </c>
      <c r="P39" s="26">
        <f>'클럭 정리'!A40</f>
        <v/>
      </c>
      <c r="Q39" s="25">
        <f>'클럭 정리'!O40</f>
        <v/>
      </c>
      <c r="R39" s="25">
        <f>'클럭 정리'!O40</f>
        <v/>
      </c>
      <c r="S39" s="25">
        <f>'클럭 정리'!O40</f>
        <v/>
      </c>
      <c r="T39" s="25">
        <f>'클럭 정리'!O40</f>
        <v/>
      </c>
      <c r="U39" s="25">
        <f>'클럭 정리'!O40</f>
        <v/>
      </c>
      <c r="V39" s="25">
        <f>'클럭 정리'!O40</f>
        <v/>
      </c>
      <c r="W39" s="25">
        <f>'클럭 정리'!O40</f>
        <v/>
      </c>
      <c r="X39" s="25">
        <f>'클럭 정리'!O40</f>
        <v/>
      </c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  <c r="AZ39" s="27" t="n"/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7" t="n"/>
      <c r="BJ39" s="27" t="n"/>
      <c r="BK39" s="27" t="n"/>
      <c r="BL39" s="27" t="n"/>
      <c r="BM39" s="27" t="n"/>
      <c r="BN39" s="27" t="n"/>
      <c r="BO39" s="27" t="n"/>
      <c r="BP39" s="27" t="n"/>
      <c r="BQ39" s="27" t="n"/>
      <c r="BR39" s="27" t="n"/>
      <c r="BS39" s="27" t="n"/>
      <c r="BT39" s="27" t="n"/>
      <c r="BU39" s="27" t="n"/>
      <c r="BV39" s="27" t="n"/>
      <c r="BW39" s="27" t="n"/>
      <c r="BX39" s="27" t="n"/>
      <c r="BY39" s="27" t="n"/>
      <c r="BZ39" s="27" t="n"/>
      <c r="CA39" s="27" t="n"/>
      <c r="CB39" s="27" t="n"/>
      <c r="CC39" s="27" t="n"/>
      <c r="CD39" s="27" t="n"/>
      <c r="CE39" s="27" t="n"/>
      <c r="CF39" s="27" t="n"/>
      <c r="CG39" s="27" t="n"/>
      <c r="CH39" s="27" t="n"/>
      <c r="CI39" s="27" t="n"/>
      <c r="CJ39" s="27" t="n"/>
      <c r="CK39" s="27" t="n"/>
      <c r="CL39" s="27" t="n"/>
      <c r="CM39" s="27" t="n"/>
      <c r="CN39" s="27" t="n"/>
      <c r="CO39" s="27" t="n"/>
      <c r="CP39" s="27" t="n"/>
      <c r="CQ39" s="27" t="n"/>
      <c r="CR39" s="27" t="n"/>
      <c r="CS39" s="27" t="n"/>
      <c r="CT39" s="27" t="n"/>
      <c r="CU39" s="27" t="n"/>
      <c r="CV39" s="27" t="n"/>
      <c r="CW39" s="27" t="n"/>
      <c r="CX39" s="27" t="n"/>
      <c r="CY39" s="27" t="n"/>
      <c r="CZ39" s="27" t="n"/>
      <c r="DA39" s="27" t="n"/>
      <c r="DB39" s="27" t="n"/>
      <c r="DC39" s="27" t="n"/>
      <c r="DD39" s="27" t="n"/>
    </row>
    <row r="40">
      <c r="A40" s="24">
        <f>'클럭 정리'!A59</f>
        <v/>
      </c>
      <c r="B40" s="25">
        <f>'클럭 정리'!O59</f>
        <v/>
      </c>
      <c r="C40" s="25">
        <f>'클럭 정리'!O59</f>
        <v/>
      </c>
      <c r="D40" s="25">
        <f>'클럭 정리'!O59</f>
        <v/>
      </c>
      <c r="E40" s="25">
        <f>'클럭 정리'!O59</f>
        <v/>
      </c>
      <c r="F40" s="25">
        <f>'클럭 정리'!O59</f>
        <v/>
      </c>
      <c r="G40" s="25">
        <f>'클럭 정리'!O59</f>
        <v/>
      </c>
      <c r="H40" s="25">
        <f>'클럭 정리'!O59</f>
        <v/>
      </c>
      <c r="I40" s="25">
        <f>'클럭 정리'!O59</f>
        <v/>
      </c>
      <c r="J40" s="25">
        <f>'클럭 정리'!O59</f>
        <v/>
      </c>
      <c r="K40" s="25">
        <f>'클럭 정리'!O59</f>
        <v/>
      </c>
      <c r="L40" s="25">
        <f>'클럭 정리'!O59</f>
        <v/>
      </c>
      <c r="M40" s="25">
        <f>'클럭 정리'!O59</f>
        <v/>
      </c>
      <c r="N40" s="25">
        <f>'클럭 정리'!O59</f>
        <v/>
      </c>
      <c r="P40" s="26">
        <f>'클럭 정리'!A41</f>
        <v/>
      </c>
      <c r="Q40" s="25">
        <f>'클럭 정리'!O41</f>
        <v/>
      </c>
      <c r="R40" s="25">
        <f>'클럭 정리'!O41</f>
        <v/>
      </c>
      <c r="S40" s="25">
        <f>'클럭 정리'!O41</f>
        <v/>
      </c>
      <c r="T40" s="25">
        <f>'클럭 정리'!O41</f>
        <v/>
      </c>
      <c r="U40" s="25">
        <f>'클럭 정리'!O41</f>
        <v/>
      </c>
      <c r="V40" s="25">
        <f>'클럭 정리'!O41</f>
        <v/>
      </c>
      <c r="W40" s="25">
        <f>'클럭 정리'!O41</f>
        <v/>
      </c>
      <c r="X40" s="25">
        <f>'클럭 정리'!O41</f>
        <v/>
      </c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7" t="n"/>
      <c r="BP40" s="27" t="n"/>
      <c r="BQ40" s="27" t="n"/>
      <c r="BR40" s="27" t="n"/>
      <c r="BS40" s="27" t="n"/>
      <c r="BT40" s="27" t="n"/>
      <c r="BU40" s="27" t="n"/>
      <c r="BV40" s="27" t="n"/>
      <c r="BW40" s="27" t="n"/>
      <c r="BX40" s="27" t="n"/>
      <c r="BY40" s="27" t="n"/>
      <c r="BZ40" s="27" t="n"/>
      <c r="CA40" s="27" t="n"/>
      <c r="CB40" s="27" t="n"/>
      <c r="CC40" s="27" t="n"/>
      <c r="CD40" s="27" t="n"/>
      <c r="CE40" s="27" t="n"/>
      <c r="CF40" s="27" t="n"/>
      <c r="CG40" s="27" t="n"/>
      <c r="CH40" s="27" t="n"/>
      <c r="CI40" s="27" t="n"/>
      <c r="CJ40" s="27" t="n"/>
      <c r="CK40" s="27" t="n"/>
      <c r="CL40" s="27" t="n"/>
      <c r="CM40" s="27" t="n"/>
      <c r="CN40" s="27" t="n"/>
      <c r="CO40" s="27" t="n"/>
      <c r="CP40" s="27" t="n"/>
      <c r="CQ40" s="27" t="n"/>
      <c r="CR40" s="27" t="n"/>
      <c r="CS40" s="27" t="n"/>
      <c r="CT40" s="27" t="n"/>
      <c r="CU40" s="27" t="n"/>
      <c r="CV40" s="27" t="n"/>
      <c r="CW40" s="27" t="n"/>
      <c r="CX40" s="27" t="n"/>
      <c r="CY40" s="27" t="n"/>
      <c r="CZ40" s="27" t="n"/>
      <c r="DA40" s="27" t="n"/>
      <c r="DB40" s="27" t="n"/>
      <c r="DC40" s="27" t="n"/>
      <c r="DD40" s="27" t="n"/>
    </row>
    <row r="41">
      <c r="P41" s="26">
        <f>'클럭 정리'!A42</f>
        <v/>
      </c>
      <c r="Q41" s="25">
        <f>'클럭 정리'!O42</f>
        <v/>
      </c>
      <c r="R41" s="27" t="n"/>
      <c r="S41" s="27" t="n"/>
      <c r="T41" s="27" t="n"/>
      <c r="U41" s="27" t="n"/>
      <c r="V41" s="27" t="n"/>
      <c r="W41" s="27" t="n"/>
      <c r="X41" s="25">
        <f>'클럭 정리'!O42</f>
        <v/>
      </c>
      <c r="Y41" s="25">
        <f>'클럭 정리'!O42</f>
        <v/>
      </c>
      <c r="Z41" s="25">
        <f>'클럭 정리'!O42</f>
        <v/>
      </c>
      <c r="AA41" s="25">
        <f>'클럭 정리'!O42</f>
        <v/>
      </c>
      <c r="AB41" s="25">
        <f>'클럭 정리'!O42</f>
        <v/>
      </c>
      <c r="AC41" s="25">
        <f>'클럭 정리'!O42</f>
        <v/>
      </c>
      <c r="AD41" s="25">
        <f>'클럭 정리'!O42</f>
        <v/>
      </c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  <c r="BK41" s="27" t="n"/>
      <c r="BL41" s="27" t="n"/>
      <c r="BM41" s="27" t="n"/>
      <c r="BN41" s="27" t="n"/>
      <c r="BO41" s="27" t="n"/>
      <c r="BP41" s="27" t="n"/>
      <c r="BQ41" s="27" t="n"/>
      <c r="BR41" s="27" t="n"/>
      <c r="BS41" s="27" t="n"/>
      <c r="BT41" s="27" t="n"/>
      <c r="BU41" s="27" t="n"/>
      <c r="BV41" s="27" t="n"/>
      <c r="BW41" s="27" t="n"/>
      <c r="BX41" s="27" t="n"/>
      <c r="BY41" s="27" t="n"/>
      <c r="BZ41" s="27" t="n"/>
      <c r="CA41" s="27" t="n"/>
      <c r="CB41" s="27" t="n"/>
      <c r="CC41" s="27" t="n"/>
      <c r="CD41" s="27" t="n"/>
      <c r="CE41" s="27" t="n"/>
      <c r="CF41" s="27" t="n"/>
      <c r="CG41" s="27" t="n"/>
      <c r="CH41" s="27" t="n"/>
      <c r="CI41" s="27" t="n"/>
      <c r="CJ41" s="27" t="n"/>
      <c r="CK41" s="27" t="n"/>
      <c r="CL41" s="27" t="n"/>
      <c r="CM41" s="27" t="n"/>
      <c r="CN41" s="27" t="n"/>
      <c r="CO41" s="27" t="n"/>
      <c r="CP41" s="27" t="n"/>
      <c r="CQ41" s="27" t="n"/>
      <c r="CR41" s="27" t="n"/>
      <c r="CS41" s="27" t="n"/>
      <c r="CT41" s="27" t="n"/>
      <c r="CU41" s="27" t="n"/>
      <c r="CV41" s="27" t="n"/>
      <c r="CW41" s="27" t="n"/>
      <c r="CX41" s="27" t="n"/>
      <c r="CY41" s="27" t="n"/>
      <c r="CZ41" s="27" t="n"/>
      <c r="DA41" s="27" t="n"/>
      <c r="DB41" s="27" t="n"/>
      <c r="DC41" s="27" t="n"/>
      <c r="DD41" s="27" t="n"/>
    </row>
    <row r="42">
      <c r="A42" s="2" t="inlineStr">
        <is>
          <t>병렬도 12 분할 36 측정 4회차 (스레드별 클럭, GHz)</t>
        </is>
      </c>
      <c r="P42" s="26">
        <f>'클럭 정리'!A43</f>
        <v/>
      </c>
      <c r="Q42" s="25">
        <f>'클럭 정리'!O43</f>
        <v/>
      </c>
      <c r="R42" s="27" t="n"/>
      <c r="S42" s="27" t="n"/>
      <c r="T42" s="27" t="n"/>
      <c r="U42" s="27" t="n"/>
      <c r="V42" s="27" t="n"/>
      <c r="W42" s="27" t="n"/>
      <c r="X42" s="25">
        <f>'클럭 정리'!O43</f>
        <v/>
      </c>
      <c r="Y42" s="25">
        <f>'클럭 정리'!O43</f>
        <v/>
      </c>
      <c r="Z42" s="25">
        <f>'클럭 정리'!O43</f>
        <v/>
      </c>
      <c r="AA42" s="25">
        <f>'클럭 정리'!O43</f>
        <v/>
      </c>
      <c r="AB42" s="25">
        <f>'클럭 정리'!O43</f>
        <v/>
      </c>
      <c r="AC42" s="25">
        <f>'클럭 정리'!O43</f>
        <v/>
      </c>
      <c r="AD42" s="25">
        <f>'클럭 정리'!O43</f>
        <v/>
      </c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  <c r="BK42" s="27" t="n"/>
      <c r="BL42" s="27" t="n"/>
      <c r="BM42" s="27" t="n"/>
      <c r="BN42" s="27" t="n"/>
      <c r="BO42" s="27" t="n"/>
      <c r="BP42" s="27" t="n"/>
      <c r="BQ42" s="27" t="n"/>
      <c r="BR42" s="27" t="n"/>
      <c r="BS42" s="27" t="n"/>
      <c r="BT42" s="27" t="n"/>
      <c r="BU42" s="27" t="n"/>
      <c r="BV42" s="27" t="n"/>
      <c r="BW42" s="27" t="n"/>
      <c r="BX42" s="27" t="n"/>
      <c r="BY42" s="27" t="n"/>
      <c r="BZ42" s="27" t="n"/>
      <c r="CA42" s="27" t="n"/>
      <c r="CB42" s="27" t="n"/>
      <c r="CC42" s="27" t="n"/>
      <c r="CD42" s="27" t="n"/>
      <c r="CE42" s="27" t="n"/>
      <c r="CF42" s="27" t="n"/>
      <c r="CG42" s="27" t="n"/>
      <c r="CH42" s="27" t="n"/>
      <c r="CI42" s="27" t="n"/>
      <c r="CJ42" s="27" t="n"/>
      <c r="CK42" s="27" t="n"/>
      <c r="CL42" s="27" t="n"/>
      <c r="CM42" s="27" t="n"/>
      <c r="CN42" s="27" t="n"/>
      <c r="CO42" s="27" t="n"/>
      <c r="CP42" s="27" t="n"/>
      <c r="CQ42" s="27" t="n"/>
      <c r="CR42" s="27" t="n"/>
      <c r="CS42" s="27" t="n"/>
      <c r="CT42" s="27" t="n"/>
      <c r="CU42" s="27" t="n"/>
      <c r="CV42" s="27" t="n"/>
      <c r="CW42" s="27" t="n"/>
      <c r="CX42" s="27" t="n"/>
      <c r="CY42" s="27" t="n"/>
      <c r="CZ42" s="27" t="n"/>
      <c r="DA42" s="27" t="n"/>
      <c r="DB42" s="27" t="n"/>
      <c r="DC42" s="27" t="n"/>
      <c r="DD42" s="27" t="n"/>
    </row>
    <row r="43">
      <c r="A43" s="23" t="inlineStr">
        <is>
          <t>시각</t>
        </is>
      </c>
      <c r="B43" s="23" t="inlineStr">
        <is>
          <t>ForkJoinPool-14-worker-1</t>
        </is>
      </c>
      <c r="C43" s="23" t="inlineStr">
        <is>
          <t>ForkJoinPool-14-worker-10</t>
        </is>
      </c>
      <c r="D43" s="23" t="inlineStr">
        <is>
          <t>ForkJoinPool-14-worker-11</t>
        </is>
      </c>
      <c r="E43" s="23" t="inlineStr">
        <is>
          <t>ForkJoinPool-14-worker-12</t>
        </is>
      </c>
      <c r="F43" s="23" t="inlineStr">
        <is>
          <t>ForkJoinPool-14-worker-2</t>
        </is>
      </c>
      <c r="G43" s="23" t="inlineStr">
        <is>
          <t>ForkJoinPool-14-worker-3</t>
        </is>
      </c>
      <c r="H43" s="23" t="inlineStr">
        <is>
          <t>ForkJoinPool-14-worker-4</t>
        </is>
      </c>
      <c r="I43" s="23" t="inlineStr">
        <is>
          <t>ForkJoinPool-14-worker-5</t>
        </is>
      </c>
      <c r="J43" s="23" t="inlineStr">
        <is>
          <t>ForkJoinPool-14-worker-6</t>
        </is>
      </c>
      <c r="K43" s="23" t="inlineStr">
        <is>
          <t>ForkJoinPool-14-worker-7</t>
        </is>
      </c>
      <c r="L43" s="23" t="inlineStr">
        <is>
          <t>ForkJoinPool-14-worker-8</t>
        </is>
      </c>
      <c r="M43" s="23" t="inlineStr">
        <is>
          <t>ForkJoinPool-14-worker-9</t>
        </is>
      </c>
      <c r="N43" s="23" t="inlineStr">
        <is>
          <t>main</t>
        </is>
      </c>
      <c r="P43" s="26">
        <f>'클럭 정리'!A44</f>
        <v/>
      </c>
      <c r="Q43" s="25">
        <f>'클럭 정리'!O44</f>
        <v/>
      </c>
      <c r="R43" s="27" t="n"/>
      <c r="S43" s="27" t="n"/>
      <c r="T43" s="27" t="n"/>
      <c r="U43" s="27" t="n"/>
      <c r="V43" s="27" t="n"/>
      <c r="W43" s="27" t="n"/>
      <c r="X43" s="25">
        <f>'클럭 정리'!O44</f>
        <v/>
      </c>
      <c r="Y43" s="27" t="n"/>
      <c r="Z43" s="27" t="n"/>
      <c r="AA43" s="27" t="n"/>
      <c r="AB43" s="27" t="n"/>
      <c r="AC43" s="27" t="n"/>
      <c r="AD43" s="27" t="n"/>
      <c r="AE43" s="25">
        <f>'클럭 정리'!O44</f>
        <v/>
      </c>
      <c r="AF43" s="25">
        <f>'클럭 정리'!O44</f>
        <v/>
      </c>
      <c r="AG43" s="25">
        <f>'클럭 정리'!O44</f>
        <v/>
      </c>
      <c r="AH43" s="25">
        <f>'클럭 정리'!O44</f>
        <v/>
      </c>
      <c r="AI43" s="25">
        <f>'클럭 정리'!O44</f>
        <v/>
      </c>
      <c r="AJ43" s="25">
        <f>'클럭 정리'!O44</f>
        <v/>
      </c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7" t="n"/>
      <c r="BK43" s="27" t="n"/>
      <c r="BL43" s="27" t="n"/>
      <c r="BM43" s="27" t="n"/>
      <c r="BN43" s="27" t="n"/>
      <c r="BO43" s="27" t="n"/>
      <c r="BP43" s="27" t="n"/>
      <c r="BQ43" s="27" t="n"/>
      <c r="BR43" s="27" t="n"/>
      <c r="BS43" s="27" t="n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7" t="n"/>
      <c r="CC43" s="27" t="n"/>
      <c r="CD43" s="27" t="n"/>
      <c r="CE43" s="27" t="n"/>
      <c r="CF43" s="27" t="n"/>
      <c r="CG43" s="27" t="n"/>
      <c r="CH43" s="27" t="n"/>
      <c r="CI43" s="27" t="n"/>
      <c r="CJ43" s="27" t="n"/>
      <c r="CK43" s="27" t="n"/>
      <c r="CL43" s="27" t="n"/>
      <c r="CM43" s="27" t="n"/>
      <c r="CN43" s="27" t="n"/>
      <c r="CO43" s="27" t="n"/>
      <c r="CP43" s="27" t="n"/>
      <c r="CQ43" s="27" t="n"/>
      <c r="CR43" s="27" t="n"/>
      <c r="CS43" s="27" t="n"/>
      <c r="CT43" s="27" t="n"/>
      <c r="CU43" s="27" t="n"/>
      <c r="CV43" s="27" t="n"/>
      <c r="CW43" s="27" t="n"/>
      <c r="CX43" s="27" t="n"/>
      <c r="CY43" s="27" t="n"/>
      <c r="CZ43" s="27" t="n"/>
      <c r="DA43" s="27" t="n"/>
      <c r="DB43" s="27" t="n"/>
      <c r="DC43" s="27" t="n"/>
      <c r="DD43" s="27" t="n"/>
    </row>
    <row r="44">
      <c r="A44" s="24">
        <f>'클럭 정리'!A60</f>
        <v/>
      </c>
      <c r="B44" s="25">
        <f>'클럭 정리'!O60</f>
        <v/>
      </c>
      <c r="C44" s="25">
        <f>'클럭 정리'!O60</f>
        <v/>
      </c>
      <c r="D44" s="25">
        <f>'클럭 정리'!O60</f>
        <v/>
      </c>
      <c r="E44" s="25">
        <f>'클럭 정리'!O60</f>
        <v/>
      </c>
      <c r="F44" s="25">
        <f>'클럭 정리'!O60</f>
        <v/>
      </c>
      <c r="G44" s="25">
        <f>'클럭 정리'!O60</f>
        <v/>
      </c>
      <c r="H44" s="25">
        <f>'클럭 정리'!O60</f>
        <v/>
      </c>
      <c r="I44" s="25">
        <f>'클럭 정리'!O60</f>
        <v/>
      </c>
      <c r="J44" s="25">
        <f>'클럭 정리'!O60</f>
        <v/>
      </c>
      <c r="K44" s="25">
        <f>'클럭 정리'!O60</f>
        <v/>
      </c>
      <c r="L44" s="25">
        <f>'클럭 정리'!O60</f>
        <v/>
      </c>
      <c r="M44" s="25">
        <f>'클럭 정리'!O60</f>
        <v/>
      </c>
      <c r="N44" s="25">
        <f>'클럭 정리'!O60</f>
        <v/>
      </c>
      <c r="P44" s="26">
        <f>'클럭 정리'!A45</f>
        <v/>
      </c>
      <c r="Q44" s="25">
        <f>'클럭 정리'!O45</f>
        <v/>
      </c>
      <c r="R44" s="27" t="n"/>
      <c r="S44" s="27" t="n"/>
      <c r="T44" s="27" t="n"/>
      <c r="U44" s="27" t="n"/>
      <c r="V44" s="27" t="n"/>
      <c r="W44" s="27" t="n"/>
      <c r="X44" s="25">
        <f>'클럭 정리'!O45</f>
        <v/>
      </c>
      <c r="Y44" s="27" t="n"/>
      <c r="Z44" s="27" t="n"/>
      <c r="AA44" s="27" t="n"/>
      <c r="AB44" s="27" t="n"/>
      <c r="AC44" s="27" t="n"/>
      <c r="AD44" s="27" t="n"/>
      <c r="AE44" s="25">
        <f>'클럭 정리'!O45</f>
        <v/>
      </c>
      <c r="AF44" s="25">
        <f>'클럭 정리'!O45</f>
        <v/>
      </c>
      <c r="AG44" s="25">
        <f>'클럭 정리'!O45</f>
        <v/>
      </c>
      <c r="AH44" s="25">
        <f>'클럭 정리'!O45</f>
        <v/>
      </c>
      <c r="AI44" s="25">
        <f>'클럭 정리'!O45</f>
        <v/>
      </c>
      <c r="AJ44" s="25">
        <f>'클럭 정리'!O45</f>
        <v/>
      </c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  <c r="AW44" s="27" t="n"/>
      <c r="AX44" s="27" t="n"/>
      <c r="AY44" s="27" t="n"/>
      <c r="AZ44" s="27" t="n"/>
      <c r="BA44" s="27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7" t="n"/>
      <c r="BK44" s="27" t="n"/>
      <c r="BL44" s="27" t="n"/>
      <c r="BM44" s="27" t="n"/>
      <c r="BN44" s="27" t="n"/>
      <c r="BO44" s="27" t="n"/>
      <c r="BP44" s="27" t="n"/>
      <c r="BQ44" s="27" t="n"/>
      <c r="BR44" s="27" t="n"/>
      <c r="BS44" s="27" t="n"/>
      <c r="BT44" s="27" t="n"/>
      <c r="BU44" s="27" t="n"/>
      <c r="BV44" s="27" t="n"/>
      <c r="BW44" s="27" t="n"/>
      <c r="BX44" s="27" t="n"/>
      <c r="BY44" s="27" t="n"/>
      <c r="BZ44" s="27" t="n"/>
      <c r="CA44" s="27" t="n"/>
      <c r="CB44" s="27" t="n"/>
      <c r="CC44" s="27" t="n"/>
      <c r="CD44" s="27" t="n"/>
      <c r="CE44" s="27" t="n"/>
      <c r="CF44" s="27" t="n"/>
      <c r="CG44" s="27" t="n"/>
      <c r="CH44" s="27" t="n"/>
      <c r="CI44" s="27" t="n"/>
      <c r="CJ44" s="27" t="n"/>
      <c r="CK44" s="27" t="n"/>
      <c r="CL44" s="27" t="n"/>
      <c r="CM44" s="27" t="n"/>
      <c r="CN44" s="27" t="n"/>
      <c r="CO44" s="27" t="n"/>
      <c r="CP44" s="27" t="n"/>
      <c r="CQ44" s="27" t="n"/>
      <c r="CR44" s="27" t="n"/>
      <c r="CS44" s="27" t="n"/>
      <c r="CT44" s="27" t="n"/>
      <c r="CU44" s="27" t="n"/>
      <c r="CV44" s="27" t="n"/>
      <c r="CW44" s="27" t="n"/>
      <c r="CX44" s="27" t="n"/>
      <c r="CY44" s="27" t="n"/>
      <c r="CZ44" s="27" t="n"/>
      <c r="DA44" s="27" t="n"/>
      <c r="DB44" s="27" t="n"/>
      <c r="DC44" s="27" t="n"/>
      <c r="DD44" s="27" t="n"/>
    </row>
    <row r="45">
      <c r="P45" s="26">
        <f>'클럭 정리'!A46</f>
        <v/>
      </c>
      <c r="Q45" s="25">
        <f>'클럭 정리'!O46</f>
        <v/>
      </c>
      <c r="R45" s="27" t="n"/>
      <c r="S45" s="27" t="n"/>
      <c r="T45" s="27" t="n"/>
      <c r="U45" s="27" t="n"/>
      <c r="V45" s="27" t="n"/>
      <c r="W45" s="27" t="n"/>
      <c r="X45" s="25">
        <f>'클럭 정리'!O46</f>
        <v/>
      </c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5">
        <f>'클럭 정리'!O46</f>
        <v/>
      </c>
      <c r="AL45" s="25">
        <f>'클럭 정리'!O46</f>
        <v/>
      </c>
      <c r="AM45" s="25">
        <f>'클럭 정리'!O46</f>
        <v/>
      </c>
      <c r="AN45" s="25">
        <f>'클럭 정리'!O46</f>
        <v/>
      </c>
      <c r="AO45" s="25">
        <f>'클럭 정리'!O46</f>
        <v/>
      </c>
      <c r="AP45" s="25">
        <f>'클럭 정리'!O46</f>
        <v/>
      </c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  <c r="BK45" s="27" t="n"/>
      <c r="BL45" s="27" t="n"/>
      <c r="BM45" s="27" t="n"/>
      <c r="BN45" s="27" t="n"/>
      <c r="BO45" s="27" t="n"/>
      <c r="BP45" s="27" t="n"/>
      <c r="BQ45" s="27" t="n"/>
      <c r="BR45" s="27" t="n"/>
      <c r="BS45" s="27" t="n"/>
      <c r="BT45" s="27" t="n"/>
      <c r="BU45" s="27" t="n"/>
      <c r="BV45" s="27" t="n"/>
      <c r="BW45" s="27" t="n"/>
      <c r="BX45" s="27" t="n"/>
      <c r="BY45" s="27" t="n"/>
      <c r="BZ45" s="27" t="n"/>
      <c r="CA45" s="27" t="n"/>
      <c r="CB45" s="27" t="n"/>
      <c r="CC45" s="27" t="n"/>
      <c r="CD45" s="27" t="n"/>
      <c r="CE45" s="27" t="n"/>
      <c r="CF45" s="27" t="n"/>
      <c r="CG45" s="27" t="n"/>
      <c r="CH45" s="27" t="n"/>
      <c r="CI45" s="27" t="n"/>
      <c r="CJ45" s="27" t="n"/>
      <c r="CK45" s="27" t="n"/>
      <c r="CL45" s="27" t="n"/>
      <c r="CM45" s="27" t="n"/>
      <c r="CN45" s="27" t="n"/>
      <c r="CO45" s="27" t="n"/>
      <c r="CP45" s="27" t="n"/>
      <c r="CQ45" s="27" t="n"/>
      <c r="CR45" s="27" t="n"/>
      <c r="CS45" s="27" t="n"/>
      <c r="CT45" s="27" t="n"/>
      <c r="CU45" s="27" t="n"/>
      <c r="CV45" s="27" t="n"/>
      <c r="CW45" s="27" t="n"/>
      <c r="CX45" s="27" t="n"/>
      <c r="CY45" s="27" t="n"/>
      <c r="CZ45" s="27" t="n"/>
      <c r="DA45" s="27" t="n"/>
      <c r="DB45" s="27" t="n"/>
      <c r="DC45" s="27" t="n"/>
      <c r="DD45" s="27" t="n"/>
    </row>
    <row r="46">
      <c r="A46" s="2" t="inlineStr">
        <is>
          <t>병렬도 12 분할 36 측정 5회차 (스레드별 클럭, GHz)</t>
        </is>
      </c>
      <c r="P46" s="26">
        <f>'클럭 정리'!A47</f>
        <v/>
      </c>
      <c r="Q46" s="25">
        <f>'클럭 정리'!O47</f>
        <v/>
      </c>
      <c r="R46" s="27" t="n"/>
      <c r="S46" s="27" t="n"/>
      <c r="T46" s="27" t="n"/>
      <c r="U46" s="27" t="n"/>
      <c r="V46" s="27" t="n"/>
      <c r="W46" s="27" t="n"/>
      <c r="X46" s="25">
        <f>'클럭 정리'!O47</f>
        <v/>
      </c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5">
        <f>'클럭 정리'!O47</f>
        <v/>
      </c>
      <c r="AL46" s="25">
        <f>'클럭 정리'!O47</f>
        <v/>
      </c>
      <c r="AM46" s="25">
        <f>'클럭 정리'!O47</f>
        <v/>
      </c>
      <c r="AN46" s="25">
        <f>'클럭 정리'!O47</f>
        <v/>
      </c>
      <c r="AO46" s="25">
        <f>'클럭 정리'!O47</f>
        <v/>
      </c>
      <c r="AP46" s="25">
        <f>'클럭 정리'!O47</f>
        <v/>
      </c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  <c r="BK46" s="27" t="n"/>
      <c r="BL46" s="27" t="n"/>
      <c r="BM46" s="27" t="n"/>
      <c r="BN46" s="27" t="n"/>
      <c r="BO46" s="27" t="n"/>
      <c r="BP46" s="27" t="n"/>
      <c r="BQ46" s="27" t="n"/>
      <c r="BR46" s="27" t="n"/>
      <c r="BS46" s="27" t="n"/>
      <c r="BT46" s="27" t="n"/>
      <c r="BU46" s="27" t="n"/>
      <c r="BV46" s="27" t="n"/>
      <c r="BW46" s="27" t="n"/>
      <c r="BX46" s="27" t="n"/>
      <c r="BY46" s="27" t="n"/>
      <c r="BZ46" s="27" t="n"/>
      <c r="CA46" s="27" t="n"/>
      <c r="CB46" s="27" t="n"/>
      <c r="CC46" s="27" t="n"/>
      <c r="CD46" s="27" t="n"/>
      <c r="CE46" s="27" t="n"/>
      <c r="CF46" s="27" t="n"/>
      <c r="CG46" s="27" t="n"/>
      <c r="CH46" s="27" t="n"/>
      <c r="CI46" s="27" t="n"/>
      <c r="CJ46" s="27" t="n"/>
      <c r="CK46" s="27" t="n"/>
      <c r="CL46" s="27" t="n"/>
      <c r="CM46" s="27" t="n"/>
      <c r="CN46" s="27" t="n"/>
      <c r="CO46" s="27" t="n"/>
      <c r="CP46" s="27" t="n"/>
      <c r="CQ46" s="27" t="n"/>
      <c r="CR46" s="27" t="n"/>
      <c r="CS46" s="27" t="n"/>
      <c r="CT46" s="27" t="n"/>
      <c r="CU46" s="27" t="n"/>
      <c r="CV46" s="27" t="n"/>
      <c r="CW46" s="27" t="n"/>
      <c r="CX46" s="27" t="n"/>
      <c r="CY46" s="27" t="n"/>
      <c r="CZ46" s="27" t="n"/>
      <c r="DA46" s="27" t="n"/>
      <c r="DB46" s="27" t="n"/>
      <c r="DC46" s="27" t="n"/>
      <c r="DD46" s="27" t="n"/>
    </row>
    <row r="47">
      <c r="A47" s="23" t="inlineStr">
        <is>
          <t>시각</t>
        </is>
      </c>
      <c r="B47" s="23" t="inlineStr">
        <is>
          <t>ForkJoinPool-15-worker-1</t>
        </is>
      </c>
      <c r="C47" s="23" t="inlineStr">
        <is>
          <t>ForkJoinPool-15-worker-10</t>
        </is>
      </c>
      <c r="D47" s="23" t="inlineStr">
        <is>
          <t>ForkJoinPool-15-worker-11</t>
        </is>
      </c>
      <c r="E47" s="23" t="inlineStr">
        <is>
          <t>ForkJoinPool-15-worker-12</t>
        </is>
      </c>
      <c r="F47" s="23" t="inlineStr">
        <is>
          <t>ForkJoinPool-15-worker-2</t>
        </is>
      </c>
      <c r="G47" s="23" t="inlineStr">
        <is>
          <t>ForkJoinPool-15-worker-3</t>
        </is>
      </c>
      <c r="H47" s="23" t="inlineStr">
        <is>
          <t>ForkJoinPool-15-worker-4</t>
        </is>
      </c>
      <c r="I47" s="23" t="inlineStr">
        <is>
          <t>ForkJoinPool-15-worker-5</t>
        </is>
      </c>
      <c r="J47" s="23" t="inlineStr">
        <is>
          <t>ForkJoinPool-15-worker-6</t>
        </is>
      </c>
      <c r="K47" s="23" t="inlineStr">
        <is>
          <t>ForkJoinPool-15-worker-7</t>
        </is>
      </c>
      <c r="L47" s="23" t="inlineStr">
        <is>
          <t>ForkJoinPool-15-worker-8</t>
        </is>
      </c>
      <c r="M47" s="23" t="inlineStr">
        <is>
          <t>ForkJoinPool-15-worker-9</t>
        </is>
      </c>
      <c r="N47" s="23" t="inlineStr">
        <is>
          <t>main</t>
        </is>
      </c>
      <c r="P47" s="26">
        <f>'클럭 정리'!A48</f>
        <v/>
      </c>
      <c r="Q47" s="25">
        <f>'클럭 정리'!O48</f>
        <v/>
      </c>
      <c r="R47" s="27" t="n"/>
      <c r="S47" s="27" t="n"/>
      <c r="T47" s="27" t="n"/>
      <c r="U47" s="27" t="n"/>
      <c r="V47" s="27" t="n"/>
      <c r="W47" s="27" t="n"/>
      <c r="X47" s="25">
        <f>'클럭 정리'!O48</f>
        <v/>
      </c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5">
        <f>'클럭 정리'!O48</f>
        <v/>
      </c>
      <c r="AR47" s="25">
        <f>'클럭 정리'!O48</f>
        <v/>
      </c>
      <c r="AS47" s="25">
        <f>'클럭 정리'!O48</f>
        <v/>
      </c>
      <c r="AT47" s="25">
        <f>'클럭 정리'!O48</f>
        <v/>
      </c>
      <c r="AU47" s="25">
        <f>'클럭 정리'!O48</f>
        <v/>
      </c>
      <c r="AV47" s="25">
        <f>'클럭 정리'!O48</f>
        <v/>
      </c>
      <c r="AW47" s="27" t="n"/>
      <c r="AX47" s="27" t="n"/>
      <c r="AY47" s="27" t="n"/>
      <c r="AZ47" s="27" t="n"/>
      <c r="BA47" s="27" t="n"/>
      <c r="BB47" s="27" t="n"/>
      <c r="BC47" s="27" t="n"/>
      <c r="BD47" s="27" t="n"/>
      <c r="BE47" s="27" t="n"/>
      <c r="BF47" s="27" t="n"/>
      <c r="BG47" s="27" t="n"/>
      <c r="BH47" s="27" t="n"/>
      <c r="BI47" s="27" t="n"/>
      <c r="BJ47" s="27" t="n"/>
      <c r="BK47" s="27" t="n"/>
      <c r="BL47" s="27" t="n"/>
      <c r="BM47" s="27" t="n"/>
      <c r="BN47" s="27" t="n"/>
      <c r="BO47" s="27" t="n"/>
      <c r="BP47" s="27" t="n"/>
      <c r="BQ47" s="27" t="n"/>
      <c r="BR47" s="27" t="n"/>
      <c r="BS47" s="27" t="n"/>
      <c r="BT47" s="27" t="n"/>
      <c r="BU47" s="27" t="n"/>
      <c r="BV47" s="27" t="n"/>
      <c r="BW47" s="27" t="n"/>
      <c r="BX47" s="27" t="n"/>
      <c r="BY47" s="27" t="n"/>
      <c r="BZ47" s="27" t="n"/>
      <c r="CA47" s="27" t="n"/>
      <c r="CB47" s="27" t="n"/>
      <c r="CC47" s="27" t="n"/>
      <c r="CD47" s="27" t="n"/>
      <c r="CE47" s="27" t="n"/>
      <c r="CF47" s="27" t="n"/>
      <c r="CG47" s="27" t="n"/>
      <c r="CH47" s="27" t="n"/>
      <c r="CI47" s="27" t="n"/>
      <c r="CJ47" s="27" t="n"/>
      <c r="CK47" s="27" t="n"/>
      <c r="CL47" s="27" t="n"/>
      <c r="CM47" s="27" t="n"/>
      <c r="CN47" s="27" t="n"/>
      <c r="CO47" s="27" t="n"/>
      <c r="CP47" s="27" t="n"/>
      <c r="CQ47" s="27" t="n"/>
      <c r="CR47" s="27" t="n"/>
      <c r="CS47" s="27" t="n"/>
      <c r="CT47" s="27" t="n"/>
      <c r="CU47" s="27" t="n"/>
      <c r="CV47" s="27" t="n"/>
      <c r="CW47" s="27" t="n"/>
      <c r="CX47" s="27" t="n"/>
      <c r="CY47" s="27" t="n"/>
      <c r="CZ47" s="27" t="n"/>
      <c r="DA47" s="27" t="n"/>
      <c r="DB47" s="27" t="n"/>
      <c r="DC47" s="27" t="n"/>
      <c r="DD47" s="27" t="n"/>
    </row>
    <row r="48">
      <c r="A48" s="24">
        <f>'클럭 정리'!A61</f>
        <v/>
      </c>
      <c r="B48" s="25">
        <f>'클럭 정리'!O61</f>
        <v/>
      </c>
      <c r="C48" s="25">
        <f>'클럭 정리'!O61</f>
        <v/>
      </c>
      <c r="D48" s="25">
        <f>'클럭 정리'!O61</f>
        <v/>
      </c>
      <c r="E48" s="25">
        <f>'클럭 정리'!O61</f>
        <v/>
      </c>
      <c r="F48" s="25">
        <f>'클럭 정리'!O61</f>
        <v/>
      </c>
      <c r="G48" s="25">
        <f>'클럭 정리'!O61</f>
        <v/>
      </c>
      <c r="H48" s="25">
        <f>'클럭 정리'!O61</f>
        <v/>
      </c>
      <c r="I48" s="25">
        <f>'클럭 정리'!O61</f>
        <v/>
      </c>
      <c r="J48" s="25">
        <f>'클럭 정리'!O61</f>
        <v/>
      </c>
      <c r="K48" s="25">
        <f>'클럭 정리'!O61</f>
        <v/>
      </c>
      <c r="L48" s="25">
        <f>'클럭 정리'!O61</f>
        <v/>
      </c>
      <c r="M48" s="25">
        <f>'클럭 정리'!O61</f>
        <v/>
      </c>
      <c r="N48" s="25">
        <f>'클럭 정리'!O61</f>
        <v/>
      </c>
      <c r="P48" s="26">
        <f>'클럭 정리'!A49</f>
        <v/>
      </c>
      <c r="Q48" s="25">
        <f>'클럭 정리'!O49</f>
        <v/>
      </c>
      <c r="R48" s="27" t="n"/>
      <c r="S48" s="27" t="n"/>
      <c r="T48" s="27" t="n"/>
      <c r="U48" s="27" t="n"/>
      <c r="V48" s="27" t="n"/>
      <c r="W48" s="27" t="n"/>
      <c r="X48" s="25">
        <f>'클럭 정리'!O49</f>
        <v/>
      </c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5">
        <f>'클럭 정리'!O49</f>
        <v/>
      </c>
      <c r="AR48" s="25">
        <f>'클럭 정리'!O49</f>
        <v/>
      </c>
      <c r="AS48" s="25">
        <f>'클럭 정리'!O49</f>
        <v/>
      </c>
      <c r="AT48" s="25">
        <f>'클럭 정리'!O49</f>
        <v/>
      </c>
      <c r="AU48" s="25">
        <f>'클럭 정리'!O49</f>
        <v/>
      </c>
      <c r="AV48" s="25">
        <f>'클럭 정리'!O49</f>
        <v/>
      </c>
      <c r="AW48" s="27" t="n"/>
      <c r="AX48" s="27" t="n"/>
      <c r="AY48" s="27" t="n"/>
      <c r="AZ48" s="27" t="n"/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  <c r="BK48" s="27" t="n"/>
      <c r="BL48" s="27" t="n"/>
      <c r="BM48" s="27" t="n"/>
      <c r="BN48" s="27" t="n"/>
      <c r="BO48" s="27" t="n"/>
      <c r="BP48" s="27" t="n"/>
      <c r="BQ48" s="27" t="n"/>
      <c r="BR48" s="27" t="n"/>
      <c r="BS48" s="27" t="n"/>
      <c r="BT48" s="27" t="n"/>
      <c r="BU48" s="27" t="n"/>
      <c r="BV48" s="27" t="n"/>
      <c r="BW48" s="27" t="n"/>
      <c r="BX48" s="27" t="n"/>
      <c r="BY48" s="27" t="n"/>
      <c r="BZ48" s="27" t="n"/>
      <c r="CA48" s="27" t="n"/>
      <c r="CB48" s="27" t="n"/>
      <c r="CC48" s="27" t="n"/>
      <c r="CD48" s="27" t="n"/>
      <c r="CE48" s="27" t="n"/>
      <c r="CF48" s="27" t="n"/>
      <c r="CG48" s="27" t="n"/>
      <c r="CH48" s="27" t="n"/>
      <c r="CI48" s="27" t="n"/>
      <c r="CJ48" s="27" t="n"/>
      <c r="CK48" s="27" t="n"/>
      <c r="CL48" s="27" t="n"/>
      <c r="CM48" s="27" t="n"/>
      <c r="CN48" s="27" t="n"/>
      <c r="CO48" s="27" t="n"/>
      <c r="CP48" s="27" t="n"/>
      <c r="CQ48" s="27" t="n"/>
      <c r="CR48" s="27" t="n"/>
      <c r="CS48" s="27" t="n"/>
      <c r="CT48" s="27" t="n"/>
      <c r="CU48" s="27" t="n"/>
      <c r="CV48" s="27" t="n"/>
      <c r="CW48" s="27" t="n"/>
      <c r="CX48" s="27" t="n"/>
      <c r="CY48" s="27" t="n"/>
      <c r="CZ48" s="27" t="n"/>
      <c r="DA48" s="27" t="n"/>
      <c r="DB48" s="27" t="n"/>
      <c r="DC48" s="27" t="n"/>
      <c r="DD48" s="27" t="n"/>
    </row>
    <row r="49">
      <c r="A49" s="24">
        <f>'클럭 정리'!A62</f>
        <v/>
      </c>
      <c r="B49" s="25">
        <f>'클럭 정리'!O62</f>
        <v/>
      </c>
      <c r="C49" s="25">
        <f>'클럭 정리'!O62</f>
        <v/>
      </c>
      <c r="D49" s="25">
        <f>'클럭 정리'!O62</f>
        <v/>
      </c>
      <c r="E49" s="25">
        <f>'클럭 정리'!O62</f>
        <v/>
      </c>
      <c r="F49" s="25">
        <f>'클럭 정리'!O62</f>
        <v/>
      </c>
      <c r="G49" s="25">
        <f>'클럭 정리'!O62</f>
        <v/>
      </c>
      <c r="H49" s="25">
        <f>'클럭 정리'!O62</f>
        <v/>
      </c>
      <c r="I49" s="25">
        <f>'클럭 정리'!O62</f>
        <v/>
      </c>
      <c r="J49" s="25">
        <f>'클럭 정리'!O62</f>
        <v/>
      </c>
      <c r="K49" s="25">
        <f>'클럭 정리'!O62</f>
        <v/>
      </c>
      <c r="L49" s="25">
        <f>'클럭 정리'!O62</f>
        <v/>
      </c>
      <c r="M49" s="25">
        <f>'클럭 정리'!O62</f>
        <v/>
      </c>
      <c r="N49" s="25">
        <f>'클럭 정리'!O62</f>
        <v/>
      </c>
      <c r="P49" s="26">
        <f>'클럭 정리'!A50</f>
        <v/>
      </c>
      <c r="Q49" s="25">
        <f>'클럭 정리'!O50</f>
        <v/>
      </c>
      <c r="R49" s="27" t="n"/>
      <c r="S49" s="27" t="n"/>
      <c r="T49" s="27" t="n"/>
      <c r="U49" s="27" t="n"/>
      <c r="V49" s="27" t="n"/>
      <c r="W49" s="27" t="n"/>
      <c r="X49" s="25">
        <f>'클럭 정리'!O50</f>
        <v/>
      </c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5">
        <f>'클럭 정리'!O50</f>
        <v/>
      </c>
      <c r="AR49" s="25">
        <f>'클럭 정리'!O50</f>
        <v/>
      </c>
      <c r="AS49" s="25">
        <f>'클럭 정리'!O50</f>
        <v/>
      </c>
      <c r="AT49" s="25">
        <f>'클럭 정리'!O50</f>
        <v/>
      </c>
      <c r="AU49" s="25">
        <f>'클럭 정리'!O50</f>
        <v/>
      </c>
      <c r="AV49" s="25">
        <f>'클럭 정리'!O50</f>
        <v/>
      </c>
      <c r="AW49" s="27" t="n"/>
      <c r="AX49" s="27" t="n"/>
      <c r="AY49" s="27" t="n"/>
      <c r="AZ49" s="27" t="n"/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  <c r="BK49" s="27" t="n"/>
      <c r="BL49" s="27" t="n"/>
      <c r="BM49" s="27" t="n"/>
      <c r="BN49" s="27" t="n"/>
      <c r="BO49" s="27" t="n"/>
      <c r="BP49" s="27" t="n"/>
      <c r="BQ49" s="27" t="n"/>
      <c r="BR49" s="27" t="n"/>
      <c r="BS49" s="27" t="n"/>
      <c r="BT49" s="27" t="n"/>
      <c r="BU49" s="27" t="n"/>
      <c r="BV49" s="27" t="n"/>
      <c r="BW49" s="27" t="n"/>
      <c r="BX49" s="27" t="n"/>
      <c r="BY49" s="27" t="n"/>
      <c r="BZ49" s="27" t="n"/>
      <c r="CA49" s="27" t="n"/>
      <c r="CB49" s="27" t="n"/>
      <c r="CC49" s="27" t="n"/>
      <c r="CD49" s="27" t="n"/>
      <c r="CE49" s="27" t="n"/>
      <c r="CF49" s="27" t="n"/>
      <c r="CG49" s="27" t="n"/>
      <c r="CH49" s="27" t="n"/>
      <c r="CI49" s="27" t="n"/>
      <c r="CJ49" s="27" t="n"/>
      <c r="CK49" s="27" t="n"/>
      <c r="CL49" s="27" t="n"/>
      <c r="CM49" s="27" t="n"/>
      <c r="CN49" s="27" t="n"/>
      <c r="CO49" s="27" t="n"/>
      <c r="CP49" s="27" t="n"/>
      <c r="CQ49" s="27" t="n"/>
      <c r="CR49" s="27" t="n"/>
      <c r="CS49" s="27" t="n"/>
      <c r="CT49" s="27" t="n"/>
      <c r="CU49" s="27" t="n"/>
      <c r="CV49" s="27" t="n"/>
      <c r="CW49" s="27" t="n"/>
      <c r="CX49" s="27" t="n"/>
      <c r="CY49" s="27" t="n"/>
      <c r="CZ49" s="27" t="n"/>
      <c r="DA49" s="27" t="n"/>
      <c r="DB49" s="27" t="n"/>
      <c r="DC49" s="27" t="n"/>
      <c r="DD49" s="27" t="n"/>
    </row>
    <row r="50">
      <c r="P50" s="26">
        <f>'클럭 정리'!A51</f>
        <v/>
      </c>
      <c r="Q50" s="25">
        <f>'클럭 정리'!O51</f>
        <v/>
      </c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7" t="n"/>
      <c r="AR50" s="27" t="n"/>
      <c r="AS50" s="27" t="n"/>
      <c r="AT50" s="27" t="n"/>
      <c r="AU50" s="27" t="n"/>
      <c r="AV50" s="27" t="n"/>
      <c r="AW50" s="27" t="n"/>
      <c r="AX50" s="27" t="n"/>
      <c r="AY50" s="27" t="n"/>
      <c r="AZ50" s="27" t="n"/>
      <c r="BA50" s="27" t="n"/>
      <c r="BB50" s="27" t="n"/>
      <c r="BC50" s="27" t="n"/>
      <c r="BD50" s="27" t="n"/>
      <c r="BE50" s="27" t="n"/>
      <c r="BF50" s="27" t="n"/>
      <c r="BG50" s="27" t="n"/>
      <c r="BH50" s="27" t="n"/>
      <c r="BI50" s="27" t="n"/>
      <c r="BJ50" s="27" t="n"/>
      <c r="BK50" s="27" t="n"/>
      <c r="BL50" s="27" t="n"/>
      <c r="BM50" s="27" t="n"/>
      <c r="BN50" s="27" t="n"/>
      <c r="BO50" s="27" t="n"/>
      <c r="BP50" s="27" t="n"/>
      <c r="BQ50" s="27" t="n"/>
      <c r="BR50" s="27" t="n"/>
      <c r="BS50" s="27" t="n"/>
      <c r="BT50" s="27" t="n"/>
      <c r="BU50" s="27" t="n"/>
      <c r="BV50" s="27" t="n"/>
      <c r="BW50" s="27" t="n"/>
      <c r="BX50" s="27" t="n"/>
      <c r="BY50" s="27" t="n"/>
      <c r="BZ50" s="27" t="n"/>
      <c r="CA50" s="27" t="n"/>
      <c r="CB50" s="27" t="n"/>
      <c r="CC50" s="27" t="n"/>
      <c r="CD50" s="27" t="n"/>
      <c r="CE50" s="27" t="n"/>
      <c r="CF50" s="27" t="n"/>
      <c r="CG50" s="27" t="n"/>
      <c r="CH50" s="27" t="n"/>
      <c r="CI50" s="27" t="n"/>
      <c r="CJ50" s="27" t="n"/>
      <c r="CK50" s="27" t="n"/>
      <c r="CL50" s="27" t="n"/>
      <c r="CM50" s="27" t="n"/>
      <c r="CN50" s="27" t="n"/>
      <c r="CO50" s="27" t="n"/>
      <c r="CP50" s="27" t="n"/>
      <c r="CQ50" s="27" t="n"/>
      <c r="CR50" s="27" t="n"/>
      <c r="CS50" s="27" t="n"/>
      <c r="CT50" s="27" t="n"/>
      <c r="CU50" s="27" t="n"/>
      <c r="CV50" s="27" t="n"/>
      <c r="CW50" s="27" t="n"/>
      <c r="CX50" s="27" t="n"/>
      <c r="CY50" s="27" t="n"/>
      <c r="CZ50" s="27" t="n"/>
      <c r="DA50" s="27" t="n"/>
      <c r="DB50" s="27" t="n"/>
      <c r="DC50" s="27" t="n"/>
      <c r="DD50" s="27" t="n"/>
    </row>
    <row r="51">
      <c r="P51" s="26">
        <f>'클럭 정리'!A52</f>
        <v/>
      </c>
      <c r="Q51" s="25">
        <f>'클럭 정리'!O52</f>
        <v/>
      </c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  <c r="AW51" s="27" t="n"/>
      <c r="AX51" s="27" t="n"/>
      <c r="AY51" s="27" t="n"/>
      <c r="AZ51" s="27" t="n"/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  <c r="BK51" s="27" t="n"/>
      <c r="BL51" s="27" t="n"/>
      <c r="BM51" s="27" t="n"/>
      <c r="BN51" s="27" t="n"/>
      <c r="BO51" s="27" t="n"/>
      <c r="BP51" s="27" t="n"/>
      <c r="BQ51" s="27" t="n"/>
      <c r="BR51" s="27" t="n"/>
      <c r="BS51" s="27" t="n"/>
      <c r="BT51" s="27" t="n"/>
      <c r="BU51" s="27" t="n"/>
      <c r="BV51" s="27" t="n"/>
      <c r="BW51" s="27" t="n"/>
      <c r="BX51" s="27" t="n"/>
      <c r="BY51" s="27" t="n"/>
      <c r="BZ51" s="27" t="n"/>
      <c r="CA51" s="27" t="n"/>
      <c r="CB51" s="27" t="n"/>
      <c r="CC51" s="27" t="n"/>
      <c r="CD51" s="27" t="n"/>
      <c r="CE51" s="27" t="n"/>
      <c r="CF51" s="27" t="n"/>
      <c r="CG51" s="27" t="n"/>
      <c r="CH51" s="27" t="n"/>
      <c r="CI51" s="27" t="n"/>
      <c r="CJ51" s="27" t="n"/>
      <c r="CK51" s="27" t="n"/>
      <c r="CL51" s="27" t="n"/>
      <c r="CM51" s="27" t="n"/>
      <c r="CN51" s="27" t="n"/>
      <c r="CO51" s="27" t="n"/>
      <c r="CP51" s="27" t="n"/>
      <c r="CQ51" s="27" t="n"/>
      <c r="CR51" s="27" t="n"/>
      <c r="CS51" s="27" t="n"/>
      <c r="CT51" s="27" t="n"/>
      <c r="CU51" s="27" t="n"/>
      <c r="CV51" s="27" t="n"/>
      <c r="CW51" s="27" t="n"/>
      <c r="CX51" s="27" t="n"/>
      <c r="CY51" s="27" t="n"/>
      <c r="CZ51" s="27" t="n"/>
      <c r="DA51" s="27" t="n"/>
      <c r="DB51" s="27" t="n"/>
      <c r="DC51" s="27" t="n"/>
      <c r="DD51" s="27" t="n"/>
    </row>
    <row r="52">
      <c r="P52" s="26">
        <f>'클럭 정리'!A53</f>
        <v/>
      </c>
      <c r="Q52" s="25">
        <f>'클럭 정리'!O53</f>
        <v/>
      </c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  <c r="AU52" s="27" t="n"/>
      <c r="AV52" s="27" t="n"/>
      <c r="AW52" s="27" t="n"/>
      <c r="AX52" s="27" t="n"/>
      <c r="AY52" s="27" t="n"/>
      <c r="AZ52" s="27" t="n"/>
      <c r="BA52" s="27" t="n"/>
      <c r="BB52" s="27" t="n"/>
      <c r="BC52" s="27" t="n"/>
      <c r="BD52" s="27" t="n"/>
      <c r="BE52" s="27" t="n"/>
      <c r="BF52" s="27" t="n"/>
      <c r="BG52" s="27" t="n"/>
      <c r="BH52" s="27" t="n"/>
      <c r="BI52" s="27" t="n"/>
      <c r="BJ52" s="27" t="n"/>
      <c r="BK52" s="27" t="n"/>
      <c r="BL52" s="27" t="n"/>
      <c r="BM52" s="27" t="n"/>
      <c r="BN52" s="27" t="n"/>
      <c r="BO52" s="27" t="n"/>
      <c r="BP52" s="27" t="n"/>
      <c r="BQ52" s="27" t="n"/>
      <c r="BR52" s="27" t="n"/>
      <c r="BS52" s="27" t="n"/>
      <c r="BT52" s="27" t="n"/>
      <c r="BU52" s="27" t="n"/>
      <c r="BV52" s="27" t="n"/>
      <c r="BW52" s="27" t="n"/>
      <c r="BX52" s="27" t="n"/>
      <c r="BY52" s="27" t="n"/>
      <c r="BZ52" s="27" t="n"/>
      <c r="CA52" s="27" t="n"/>
      <c r="CB52" s="27" t="n"/>
      <c r="CC52" s="27" t="n"/>
      <c r="CD52" s="27" t="n"/>
      <c r="CE52" s="27" t="n"/>
      <c r="CF52" s="27" t="n"/>
      <c r="CG52" s="27" t="n"/>
      <c r="CH52" s="27" t="n"/>
      <c r="CI52" s="27" t="n"/>
      <c r="CJ52" s="27" t="n"/>
      <c r="CK52" s="27" t="n"/>
      <c r="CL52" s="27" t="n"/>
      <c r="CM52" s="27" t="n"/>
      <c r="CN52" s="27" t="n"/>
      <c r="CO52" s="27" t="n"/>
      <c r="CP52" s="27" t="n"/>
      <c r="CQ52" s="27" t="n"/>
      <c r="CR52" s="27" t="n"/>
      <c r="CS52" s="27" t="n"/>
      <c r="CT52" s="27" t="n"/>
      <c r="CU52" s="27" t="n"/>
      <c r="CV52" s="27" t="n"/>
      <c r="CW52" s="27" t="n"/>
      <c r="CX52" s="27" t="n"/>
      <c r="CY52" s="27" t="n"/>
      <c r="CZ52" s="27" t="n"/>
      <c r="DA52" s="27" t="n"/>
      <c r="DB52" s="27" t="n"/>
      <c r="DC52" s="27" t="n"/>
      <c r="DD52" s="27" t="n"/>
    </row>
    <row r="53">
      <c r="P53" s="26">
        <f>'클럭 정리'!A54</f>
        <v/>
      </c>
      <c r="Q53" s="25">
        <f>'클럭 정리'!O54</f>
        <v/>
      </c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  <c r="AU53" s="27" t="n"/>
      <c r="AV53" s="27" t="n"/>
      <c r="AW53" s="27" t="n"/>
      <c r="AX53" s="27" t="n"/>
      <c r="AY53" s="27" t="n"/>
      <c r="AZ53" s="27" t="n"/>
      <c r="BA53" s="27" t="n"/>
      <c r="BB53" s="27" t="n"/>
      <c r="BC53" s="27" t="n"/>
      <c r="BD53" s="27" t="n"/>
      <c r="BE53" s="27" t="n"/>
      <c r="BF53" s="27" t="n"/>
      <c r="BG53" s="27" t="n"/>
      <c r="BH53" s="27" t="n"/>
      <c r="BI53" s="27" t="n"/>
      <c r="BJ53" s="27" t="n"/>
      <c r="BK53" s="27" t="n"/>
      <c r="BL53" s="27" t="n"/>
      <c r="BM53" s="27" t="n"/>
      <c r="BN53" s="27" t="n"/>
      <c r="BO53" s="27" t="n"/>
      <c r="BP53" s="27" t="n"/>
      <c r="BQ53" s="27" t="n"/>
      <c r="BR53" s="27" t="n"/>
      <c r="BS53" s="27" t="n"/>
      <c r="BT53" s="27" t="n"/>
      <c r="BU53" s="27" t="n"/>
      <c r="BV53" s="27" t="n"/>
      <c r="BW53" s="27" t="n"/>
      <c r="BX53" s="27" t="n"/>
      <c r="BY53" s="27" t="n"/>
      <c r="BZ53" s="27" t="n"/>
      <c r="CA53" s="27" t="n"/>
      <c r="CB53" s="27" t="n"/>
      <c r="CC53" s="27" t="n"/>
      <c r="CD53" s="27" t="n"/>
      <c r="CE53" s="27" t="n"/>
      <c r="CF53" s="27" t="n"/>
      <c r="CG53" s="27" t="n"/>
      <c r="CH53" s="27" t="n"/>
      <c r="CI53" s="27" t="n"/>
      <c r="CJ53" s="27" t="n"/>
      <c r="CK53" s="27" t="n"/>
      <c r="CL53" s="27" t="n"/>
      <c r="CM53" s="27" t="n"/>
      <c r="CN53" s="27" t="n"/>
      <c r="CO53" s="27" t="n"/>
      <c r="CP53" s="27" t="n"/>
      <c r="CQ53" s="27" t="n"/>
      <c r="CR53" s="27" t="n"/>
      <c r="CS53" s="27" t="n"/>
      <c r="CT53" s="27" t="n"/>
      <c r="CU53" s="27" t="n"/>
      <c r="CV53" s="27" t="n"/>
      <c r="CW53" s="27" t="n"/>
      <c r="CX53" s="27" t="n"/>
      <c r="CY53" s="27" t="n"/>
      <c r="CZ53" s="27" t="n"/>
      <c r="DA53" s="27" t="n"/>
      <c r="DB53" s="27" t="n"/>
      <c r="DC53" s="27" t="n"/>
      <c r="DD53" s="27" t="n"/>
    </row>
    <row r="54">
      <c r="P54" s="26">
        <f>'클럭 정리'!A55</f>
        <v/>
      </c>
      <c r="Q54" s="25">
        <f>'클럭 정리'!O55</f>
        <v/>
      </c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  <c r="AW54" s="27" t="n"/>
      <c r="AX54" s="27" t="n"/>
      <c r="AY54" s="27" t="n"/>
      <c r="AZ54" s="27" t="n"/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  <c r="BK54" s="27" t="n"/>
      <c r="BL54" s="27" t="n"/>
      <c r="BM54" s="27" t="n"/>
      <c r="BN54" s="27" t="n"/>
      <c r="BO54" s="27" t="n"/>
      <c r="BP54" s="27" t="n"/>
      <c r="BQ54" s="27" t="n"/>
      <c r="BR54" s="27" t="n"/>
      <c r="BS54" s="27" t="n"/>
      <c r="BT54" s="27" t="n"/>
      <c r="BU54" s="27" t="n"/>
      <c r="BV54" s="27" t="n"/>
      <c r="BW54" s="27" t="n"/>
      <c r="BX54" s="27" t="n"/>
      <c r="BY54" s="27" t="n"/>
      <c r="BZ54" s="27" t="n"/>
      <c r="CA54" s="27" t="n"/>
      <c r="CB54" s="27" t="n"/>
      <c r="CC54" s="27" t="n"/>
      <c r="CD54" s="27" t="n"/>
      <c r="CE54" s="27" t="n"/>
      <c r="CF54" s="27" t="n"/>
      <c r="CG54" s="27" t="n"/>
      <c r="CH54" s="27" t="n"/>
      <c r="CI54" s="27" t="n"/>
      <c r="CJ54" s="27" t="n"/>
      <c r="CK54" s="27" t="n"/>
      <c r="CL54" s="27" t="n"/>
      <c r="CM54" s="27" t="n"/>
      <c r="CN54" s="27" t="n"/>
      <c r="CO54" s="27" t="n"/>
      <c r="CP54" s="27" t="n"/>
      <c r="CQ54" s="27" t="n"/>
      <c r="CR54" s="27" t="n"/>
      <c r="CS54" s="27" t="n"/>
      <c r="CT54" s="27" t="n"/>
      <c r="CU54" s="27" t="n"/>
      <c r="CV54" s="27" t="n"/>
      <c r="CW54" s="27" t="n"/>
      <c r="CX54" s="27" t="n"/>
      <c r="CY54" s="27" t="n"/>
      <c r="CZ54" s="27" t="n"/>
      <c r="DA54" s="27" t="n"/>
      <c r="DB54" s="27" t="n"/>
      <c r="DC54" s="27" t="n"/>
      <c r="DD54" s="27" t="n"/>
    </row>
    <row r="55">
      <c r="P55" s="26">
        <f>'클럭 정리'!A56</f>
        <v/>
      </c>
      <c r="Q55" s="25">
        <f>'클럭 정리'!O56</f>
        <v/>
      </c>
      <c r="R55" s="27" t="n"/>
      <c r="S55" s="27" t="n"/>
      <c r="T55" s="27" t="n"/>
      <c r="U55" s="27" t="n"/>
      <c r="V55" s="27" t="n"/>
      <c r="W55" s="27" t="n"/>
      <c r="X55" s="25">
        <f>'클럭 정리'!O56</f>
        <v/>
      </c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  <c r="AW55" s="25">
        <f>'클럭 정리'!O56</f>
        <v/>
      </c>
      <c r="AX55" s="25">
        <f>'클럭 정리'!O56</f>
        <v/>
      </c>
      <c r="AY55" s="25">
        <f>'클럭 정리'!O56</f>
        <v/>
      </c>
      <c r="AZ55" s="25">
        <f>'클럭 정리'!O56</f>
        <v/>
      </c>
      <c r="BA55" s="25">
        <f>'클럭 정리'!O56</f>
        <v/>
      </c>
      <c r="BB55" s="25">
        <f>'클럭 정리'!O56</f>
        <v/>
      </c>
      <c r="BC55" s="25">
        <f>'클럭 정리'!O56</f>
        <v/>
      </c>
      <c r="BD55" s="25">
        <f>'클럭 정리'!O56</f>
        <v/>
      </c>
      <c r="BE55" s="25">
        <f>'클럭 정리'!O56</f>
        <v/>
      </c>
      <c r="BF55" s="25">
        <f>'클럭 정리'!O56</f>
        <v/>
      </c>
      <c r="BG55" s="25">
        <f>'클럭 정리'!O56</f>
        <v/>
      </c>
      <c r="BH55" s="25">
        <f>'클럭 정리'!O56</f>
        <v/>
      </c>
      <c r="BI55" s="27" t="n"/>
      <c r="BJ55" s="27" t="n"/>
      <c r="BK55" s="27" t="n"/>
      <c r="BL55" s="27" t="n"/>
      <c r="BM55" s="27" t="n"/>
      <c r="BN55" s="27" t="n"/>
      <c r="BO55" s="27" t="n"/>
      <c r="BP55" s="27" t="n"/>
      <c r="BQ55" s="27" t="n"/>
      <c r="BR55" s="27" t="n"/>
      <c r="BS55" s="27" t="n"/>
      <c r="BT55" s="27" t="n"/>
      <c r="BU55" s="27" t="n"/>
      <c r="BV55" s="27" t="n"/>
      <c r="BW55" s="27" t="n"/>
      <c r="BX55" s="27" t="n"/>
      <c r="BY55" s="27" t="n"/>
      <c r="BZ55" s="27" t="n"/>
      <c r="CA55" s="27" t="n"/>
      <c r="CB55" s="27" t="n"/>
      <c r="CC55" s="27" t="n"/>
      <c r="CD55" s="27" t="n"/>
      <c r="CE55" s="27" t="n"/>
      <c r="CF55" s="27" t="n"/>
      <c r="CG55" s="27" t="n"/>
      <c r="CH55" s="27" t="n"/>
      <c r="CI55" s="27" t="n"/>
      <c r="CJ55" s="27" t="n"/>
      <c r="CK55" s="27" t="n"/>
      <c r="CL55" s="27" t="n"/>
      <c r="CM55" s="27" t="n"/>
      <c r="CN55" s="27" t="n"/>
      <c r="CO55" s="27" t="n"/>
      <c r="CP55" s="27" t="n"/>
      <c r="CQ55" s="27" t="n"/>
      <c r="CR55" s="27" t="n"/>
      <c r="CS55" s="27" t="n"/>
      <c r="CT55" s="27" t="n"/>
      <c r="CU55" s="27" t="n"/>
      <c r="CV55" s="27" t="n"/>
      <c r="CW55" s="27" t="n"/>
      <c r="CX55" s="27" t="n"/>
      <c r="CY55" s="27" t="n"/>
      <c r="CZ55" s="27" t="n"/>
      <c r="DA55" s="27" t="n"/>
      <c r="DB55" s="27" t="n"/>
      <c r="DC55" s="27" t="n"/>
      <c r="DD55" s="27" t="n"/>
    </row>
    <row r="56">
      <c r="P56" s="26">
        <f>'클럭 정리'!A57</f>
        <v/>
      </c>
      <c r="Q56" s="25">
        <f>'클럭 정리'!O57</f>
        <v/>
      </c>
      <c r="R56" s="27" t="n"/>
      <c r="S56" s="27" t="n"/>
      <c r="T56" s="27" t="n"/>
      <c r="U56" s="27" t="n"/>
      <c r="V56" s="27" t="n"/>
      <c r="W56" s="27" t="n"/>
      <c r="X56" s="25">
        <f>'클럭 정리'!O57</f>
        <v/>
      </c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  <c r="AW56" s="27" t="n"/>
      <c r="AX56" s="27" t="n"/>
      <c r="AY56" s="27" t="n"/>
      <c r="AZ56" s="27" t="n"/>
      <c r="BA56" s="27" t="n"/>
      <c r="BB56" s="27" t="n"/>
      <c r="BC56" s="27" t="n"/>
      <c r="BD56" s="27" t="n"/>
      <c r="BE56" s="27" t="n"/>
      <c r="BF56" s="27" t="n"/>
      <c r="BG56" s="27" t="n"/>
      <c r="BH56" s="27" t="n"/>
      <c r="BI56" s="25">
        <f>'클럭 정리'!O57</f>
        <v/>
      </c>
      <c r="BJ56" s="25">
        <f>'클럭 정리'!O57</f>
        <v/>
      </c>
      <c r="BK56" s="25">
        <f>'클럭 정리'!O57</f>
        <v/>
      </c>
      <c r="BL56" s="25">
        <f>'클럭 정리'!O57</f>
        <v/>
      </c>
      <c r="BM56" s="25">
        <f>'클럭 정리'!O57</f>
        <v/>
      </c>
      <c r="BN56" s="25">
        <f>'클럭 정리'!O57</f>
        <v/>
      </c>
      <c r="BO56" s="25">
        <f>'클럭 정리'!O57</f>
        <v/>
      </c>
      <c r="BP56" s="25">
        <f>'클럭 정리'!O57</f>
        <v/>
      </c>
      <c r="BQ56" s="25">
        <f>'클럭 정리'!O57</f>
        <v/>
      </c>
      <c r="BR56" s="25">
        <f>'클럭 정리'!O57</f>
        <v/>
      </c>
      <c r="BS56" s="25">
        <f>'클럭 정리'!O57</f>
        <v/>
      </c>
      <c r="BT56" s="25">
        <f>'클럭 정리'!O57</f>
        <v/>
      </c>
      <c r="BU56" s="27" t="n"/>
      <c r="BV56" s="27" t="n"/>
      <c r="BW56" s="27" t="n"/>
      <c r="BX56" s="27" t="n"/>
      <c r="BY56" s="27" t="n"/>
      <c r="BZ56" s="27" t="n"/>
      <c r="CA56" s="27" t="n"/>
      <c r="CB56" s="27" t="n"/>
      <c r="CC56" s="27" t="n"/>
      <c r="CD56" s="27" t="n"/>
      <c r="CE56" s="27" t="n"/>
      <c r="CF56" s="27" t="n"/>
      <c r="CG56" s="27" t="n"/>
      <c r="CH56" s="27" t="n"/>
      <c r="CI56" s="27" t="n"/>
      <c r="CJ56" s="27" t="n"/>
      <c r="CK56" s="27" t="n"/>
      <c r="CL56" s="27" t="n"/>
      <c r="CM56" s="27" t="n"/>
      <c r="CN56" s="27" t="n"/>
      <c r="CO56" s="27" t="n"/>
      <c r="CP56" s="27" t="n"/>
      <c r="CQ56" s="27" t="n"/>
      <c r="CR56" s="27" t="n"/>
      <c r="CS56" s="27" t="n"/>
      <c r="CT56" s="27" t="n"/>
      <c r="CU56" s="27" t="n"/>
      <c r="CV56" s="27" t="n"/>
      <c r="CW56" s="27" t="n"/>
      <c r="CX56" s="27" t="n"/>
      <c r="CY56" s="27" t="n"/>
      <c r="CZ56" s="27" t="n"/>
      <c r="DA56" s="27" t="n"/>
      <c r="DB56" s="27" t="n"/>
      <c r="DC56" s="27" t="n"/>
      <c r="DD56" s="27" t="n"/>
    </row>
    <row r="57">
      <c r="P57" s="26">
        <f>'클럭 정리'!A58</f>
        <v/>
      </c>
      <c r="Q57" s="25">
        <f>'클럭 정리'!O58</f>
        <v/>
      </c>
      <c r="R57" s="27" t="n"/>
      <c r="S57" s="27" t="n"/>
      <c r="T57" s="27" t="n"/>
      <c r="U57" s="27" t="n"/>
      <c r="V57" s="27" t="n"/>
      <c r="W57" s="27" t="n"/>
      <c r="X57" s="25">
        <f>'클럭 정리'!O58</f>
        <v/>
      </c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  <c r="AU57" s="27" t="n"/>
      <c r="AV57" s="27" t="n"/>
      <c r="AW57" s="27" t="n"/>
      <c r="AX57" s="27" t="n"/>
      <c r="AY57" s="27" t="n"/>
      <c r="AZ57" s="27" t="n"/>
      <c r="BA57" s="27" t="n"/>
      <c r="BB57" s="27" t="n"/>
      <c r="BC57" s="27" t="n"/>
      <c r="BD57" s="27" t="n"/>
      <c r="BE57" s="27" t="n"/>
      <c r="BF57" s="27" t="n"/>
      <c r="BG57" s="27" t="n"/>
      <c r="BH57" s="27" t="n"/>
      <c r="BI57" s="27" t="n"/>
      <c r="BJ57" s="27" t="n"/>
      <c r="BK57" s="27" t="n"/>
      <c r="BL57" s="27" t="n"/>
      <c r="BM57" s="27" t="n"/>
      <c r="BN57" s="27" t="n"/>
      <c r="BO57" s="27" t="n"/>
      <c r="BP57" s="27" t="n"/>
      <c r="BQ57" s="27" t="n"/>
      <c r="BR57" s="27" t="n"/>
      <c r="BS57" s="27" t="n"/>
      <c r="BT57" s="27" t="n"/>
      <c r="BU57" s="25">
        <f>'클럭 정리'!O58</f>
        <v/>
      </c>
      <c r="BV57" s="25">
        <f>'클럭 정리'!O58</f>
        <v/>
      </c>
      <c r="BW57" s="25">
        <f>'클럭 정리'!O58</f>
        <v/>
      </c>
      <c r="BX57" s="25">
        <f>'클럭 정리'!O58</f>
        <v/>
      </c>
      <c r="BY57" s="25">
        <f>'클럭 정리'!O58</f>
        <v/>
      </c>
      <c r="BZ57" s="25">
        <f>'클럭 정리'!O58</f>
        <v/>
      </c>
      <c r="CA57" s="25">
        <f>'클럭 정리'!O58</f>
        <v/>
      </c>
      <c r="CB57" s="25">
        <f>'클럭 정리'!O58</f>
        <v/>
      </c>
      <c r="CC57" s="25">
        <f>'클럭 정리'!O58</f>
        <v/>
      </c>
      <c r="CD57" s="25">
        <f>'클럭 정리'!O58</f>
        <v/>
      </c>
      <c r="CE57" s="25">
        <f>'클럭 정리'!O58</f>
        <v/>
      </c>
      <c r="CF57" s="25">
        <f>'클럭 정리'!O58</f>
        <v/>
      </c>
      <c r="CG57" s="27" t="n"/>
      <c r="CH57" s="27" t="n"/>
      <c r="CI57" s="27" t="n"/>
      <c r="CJ57" s="27" t="n"/>
      <c r="CK57" s="27" t="n"/>
      <c r="CL57" s="27" t="n"/>
      <c r="CM57" s="27" t="n"/>
      <c r="CN57" s="27" t="n"/>
      <c r="CO57" s="27" t="n"/>
      <c r="CP57" s="27" t="n"/>
      <c r="CQ57" s="27" t="n"/>
      <c r="CR57" s="27" t="n"/>
      <c r="CS57" s="27" t="n"/>
      <c r="CT57" s="27" t="n"/>
      <c r="CU57" s="27" t="n"/>
      <c r="CV57" s="27" t="n"/>
      <c r="CW57" s="27" t="n"/>
      <c r="CX57" s="27" t="n"/>
      <c r="CY57" s="27" t="n"/>
      <c r="CZ57" s="27" t="n"/>
      <c r="DA57" s="27" t="n"/>
      <c r="DB57" s="27" t="n"/>
      <c r="DC57" s="27" t="n"/>
      <c r="DD57" s="27" t="n"/>
    </row>
    <row r="58">
      <c r="P58" s="26">
        <f>'클럭 정리'!A59</f>
        <v/>
      </c>
      <c r="Q58" s="25">
        <f>'클럭 정리'!O59</f>
        <v/>
      </c>
      <c r="R58" s="27" t="n"/>
      <c r="S58" s="27" t="n"/>
      <c r="T58" s="27" t="n"/>
      <c r="U58" s="27" t="n"/>
      <c r="V58" s="27" t="n"/>
      <c r="W58" s="27" t="n"/>
      <c r="X58" s="25">
        <f>'클럭 정리'!O59</f>
        <v/>
      </c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  <c r="AU58" s="27" t="n"/>
      <c r="AV58" s="27" t="n"/>
      <c r="AW58" s="27" t="n"/>
      <c r="AX58" s="27" t="n"/>
      <c r="AY58" s="27" t="n"/>
      <c r="AZ58" s="27" t="n"/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  <c r="BK58" s="27" t="n"/>
      <c r="BL58" s="27" t="n"/>
      <c r="BM58" s="27" t="n"/>
      <c r="BN58" s="27" t="n"/>
      <c r="BO58" s="27" t="n"/>
      <c r="BP58" s="27" t="n"/>
      <c r="BQ58" s="27" t="n"/>
      <c r="BR58" s="27" t="n"/>
      <c r="BS58" s="27" t="n"/>
      <c r="BT58" s="27" t="n"/>
      <c r="BU58" s="25">
        <f>'클럭 정리'!O59</f>
        <v/>
      </c>
      <c r="BV58" s="25">
        <f>'클럭 정리'!O59</f>
        <v/>
      </c>
      <c r="BW58" s="25">
        <f>'클럭 정리'!O59</f>
        <v/>
      </c>
      <c r="BX58" s="25">
        <f>'클럭 정리'!O59</f>
        <v/>
      </c>
      <c r="BY58" s="25">
        <f>'클럭 정리'!O59</f>
        <v/>
      </c>
      <c r="BZ58" s="25">
        <f>'클럭 정리'!O59</f>
        <v/>
      </c>
      <c r="CA58" s="25">
        <f>'클럭 정리'!O59</f>
        <v/>
      </c>
      <c r="CB58" s="25">
        <f>'클럭 정리'!O59</f>
        <v/>
      </c>
      <c r="CC58" s="25">
        <f>'클럭 정리'!O59</f>
        <v/>
      </c>
      <c r="CD58" s="25">
        <f>'클럭 정리'!O59</f>
        <v/>
      </c>
      <c r="CE58" s="25">
        <f>'클럭 정리'!O59</f>
        <v/>
      </c>
      <c r="CF58" s="25">
        <f>'클럭 정리'!O59</f>
        <v/>
      </c>
      <c r="CG58" s="27" t="n"/>
      <c r="CH58" s="27" t="n"/>
      <c r="CI58" s="27" t="n"/>
      <c r="CJ58" s="27" t="n"/>
      <c r="CK58" s="27" t="n"/>
      <c r="CL58" s="27" t="n"/>
      <c r="CM58" s="27" t="n"/>
      <c r="CN58" s="27" t="n"/>
      <c r="CO58" s="27" t="n"/>
      <c r="CP58" s="27" t="n"/>
      <c r="CQ58" s="27" t="n"/>
      <c r="CR58" s="27" t="n"/>
      <c r="CS58" s="27" t="n"/>
      <c r="CT58" s="27" t="n"/>
      <c r="CU58" s="27" t="n"/>
      <c r="CV58" s="27" t="n"/>
      <c r="CW58" s="27" t="n"/>
      <c r="CX58" s="27" t="n"/>
      <c r="CY58" s="27" t="n"/>
      <c r="CZ58" s="27" t="n"/>
      <c r="DA58" s="27" t="n"/>
      <c r="DB58" s="27" t="n"/>
      <c r="DC58" s="27" t="n"/>
      <c r="DD58" s="27" t="n"/>
    </row>
    <row r="59">
      <c r="P59" s="26">
        <f>'클럭 정리'!A60</f>
        <v/>
      </c>
      <c r="Q59" s="25">
        <f>'클럭 정리'!O60</f>
        <v/>
      </c>
      <c r="R59" s="27" t="n"/>
      <c r="S59" s="27" t="n"/>
      <c r="T59" s="27" t="n"/>
      <c r="U59" s="27" t="n"/>
      <c r="V59" s="27" t="n"/>
      <c r="W59" s="27" t="n"/>
      <c r="X59" s="25">
        <f>'클럭 정리'!O60</f>
        <v/>
      </c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  <c r="AU59" s="27" t="n"/>
      <c r="AV59" s="27" t="n"/>
      <c r="AW59" s="27" t="n"/>
      <c r="AX59" s="27" t="n"/>
      <c r="AY59" s="27" t="n"/>
      <c r="AZ59" s="27" t="n"/>
      <c r="BA59" s="27" t="n"/>
      <c r="BB59" s="27" t="n"/>
      <c r="BC59" s="27" t="n"/>
      <c r="BD59" s="27" t="n"/>
      <c r="BE59" s="27" t="n"/>
      <c r="BF59" s="27" t="n"/>
      <c r="BG59" s="27" t="n"/>
      <c r="BH59" s="27" t="n"/>
      <c r="BI59" s="27" t="n"/>
      <c r="BJ59" s="27" t="n"/>
      <c r="BK59" s="27" t="n"/>
      <c r="BL59" s="27" t="n"/>
      <c r="BM59" s="27" t="n"/>
      <c r="BN59" s="27" t="n"/>
      <c r="BO59" s="27" t="n"/>
      <c r="BP59" s="27" t="n"/>
      <c r="BQ59" s="27" t="n"/>
      <c r="BR59" s="27" t="n"/>
      <c r="BS59" s="27" t="n"/>
      <c r="BT59" s="27" t="n"/>
      <c r="BU59" s="27" t="n"/>
      <c r="BV59" s="27" t="n"/>
      <c r="BW59" s="27" t="n"/>
      <c r="BX59" s="27" t="n"/>
      <c r="BY59" s="27" t="n"/>
      <c r="BZ59" s="27" t="n"/>
      <c r="CA59" s="27" t="n"/>
      <c r="CB59" s="27" t="n"/>
      <c r="CC59" s="27" t="n"/>
      <c r="CD59" s="27" t="n"/>
      <c r="CE59" s="27" t="n"/>
      <c r="CF59" s="27" t="n"/>
      <c r="CG59" s="25">
        <f>'클럭 정리'!O60</f>
        <v/>
      </c>
      <c r="CH59" s="25">
        <f>'클럭 정리'!O60</f>
        <v/>
      </c>
      <c r="CI59" s="25">
        <f>'클럭 정리'!O60</f>
        <v/>
      </c>
      <c r="CJ59" s="25">
        <f>'클럭 정리'!O60</f>
        <v/>
      </c>
      <c r="CK59" s="25">
        <f>'클럭 정리'!O60</f>
        <v/>
      </c>
      <c r="CL59" s="25">
        <f>'클럭 정리'!O60</f>
        <v/>
      </c>
      <c r="CM59" s="25">
        <f>'클럭 정리'!O60</f>
        <v/>
      </c>
      <c r="CN59" s="25">
        <f>'클럭 정리'!O60</f>
        <v/>
      </c>
      <c r="CO59" s="25">
        <f>'클럭 정리'!O60</f>
        <v/>
      </c>
      <c r="CP59" s="25">
        <f>'클럭 정리'!O60</f>
        <v/>
      </c>
      <c r="CQ59" s="25">
        <f>'클럭 정리'!O60</f>
        <v/>
      </c>
      <c r="CR59" s="25">
        <f>'클럭 정리'!O60</f>
        <v/>
      </c>
      <c r="CS59" s="27" t="n"/>
      <c r="CT59" s="27" t="n"/>
      <c r="CU59" s="27" t="n"/>
      <c r="CV59" s="27" t="n"/>
      <c r="CW59" s="27" t="n"/>
      <c r="CX59" s="27" t="n"/>
      <c r="CY59" s="27" t="n"/>
      <c r="CZ59" s="27" t="n"/>
      <c r="DA59" s="27" t="n"/>
      <c r="DB59" s="27" t="n"/>
      <c r="DC59" s="27" t="n"/>
      <c r="DD59" s="27" t="n"/>
    </row>
    <row r="60">
      <c r="P60" s="26">
        <f>'클럭 정리'!A61</f>
        <v/>
      </c>
      <c r="Q60" s="25">
        <f>'클럭 정리'!O61</f>
        <v/>
      </c>
      <c r="R60" s="27" t="n"/>
      <c r="S60" s="27" t="n"/>
      <c r="T60" s="27" t="n"/>
      <c r="U60" s="27" t="n"/>
      <c r="V60" s="27" t="n"/>
      <c r="W60" s="27" t="n"/>
      <c r="X60" s="25">
        <f>'클럭 정리'!O61</f>
        <v/>
      </c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  <c r="AU60" s="27" t="n"/>
      <c r="AV60" s="27" t="n"/>
      <c r="AW60" s="27" t="n"/>
      <c r="AX60" s="27" t="n"/>
      <c r="AY60" s="27" t="n"/>
      <c r="AZ60" s="27" t="n"/>
      <c r="BA60" s="27" t="n"/>
      <c r="BB60" s="27" t="n"/>
      <c r="BC60" s="27" t="n"/>
      <c r="BD60" s="27" t="n"/>
      <c r="BE60" s="27" t="n"/>
      <c r="BF60" s="27" t="n"/>
      <c r="BG60" s="27" t="n"/>
      <c r="BH60" s="27" t="n"/>
      <c r="BI60" s="27" t="n"/>
      <c r="BJ60" s="27" t="n"/>
      <c r="BK60" s="27" t="n"/>
      <c r="BL60" s="27" t="n"/>
      <c r="BM60" s="27" t="n"/>
      <c r="BN60" s="27" t="n"/>
      <c r="BO60" s="27" t="n"/>
      <c r="BP60" s="27" t="n"/>
      <c r="BQ60" s="27" t="n"/>
      <c r="BR60" s="27" t="n"/>
      <c r="BS60" s="27" t="n"/>
      <c r="BT60" s="27" t="n"/>
      <c r="BU60" s="27" t="n"/>
      <c r="BV60" s="27" t="n"/>
      <c r="BW60" s="27" t="n"/>
      <c r="BX60" s="27" t="n"/>
      <c r="BY60" s="27" t="n"/>
      <c r="BZ60" s="27" t="n"/>
      <c r="CA60" s="27" t="n"/>
      <c r="CB60" s="27" t="n"/>
      <c r="CC60" s="27" t="n"/>
      <c r="CD60" s="27" t="n"/>
      <c r="CE60" s="27" t="n"/>
      <c r="CF60" s="27" t="n"/>
      <c r="CG60" s="27" t="n"/>
      <c r="CH60" s="27" t="n"/>
      <c r="CI60" s="27" t="n"/>
      <c r="CJ60" s="27" t="n"/>
      <c r="CK60" s="27" t="n"/>
      <c r="CL60" s="27" t="n"/>
      <c r="CM60" s="27" t="n"/>
      <c r="CN60" s="27" t="n"/>
      <c r="CO60" s="27" t="n"/>
      <c r="CP60" s="27" t="n"/>
      <c r="CQ60" s="27" t="n"/>
      <c r="CR60" s="27" t="n"/>
      <c r="CS60" s="25">
        <f>'클럭 정리'!O61</f>
        <v/>
      </c>
      <c r="CT60" s="25">
        <f>'클럭 정리'!O61</f>
        <v/>
      </c>
      <c r="CU60" s="25">
        <f>'클럭 정리'!O61</f>
        <v/>
      </c>
      <c r="CV60" s="25">
        <f>'클럭 정리'!O61</f>
        <v/>
      </c>
      <c r="CW60" s="25">
        <f>'클럭 정리'!O61</f>
        <v/>
      </c>
      <c r="CX60" s="25">
        <f>'클럭 정리'!O61</f>
        <v/>
      </c>
      <c r="CY60" s="25">
        <f>'클럭 정리'!O61</f>
        <v/>
      </c>
      <c r="CZ60" s="25">
        <f>'클럭 정리'!O61</f>
        <v/>
      </c>
      <c r="DA60" s="25">
        <f>'클럭 정리'!O61</f>
        <v/>
      </c>
      <c r="DB60" s="25">
        <f>'클럭 정리'!O61</f>
        <v/>
      </c>
      <c r="DC60" s="25">
        <f>'클럭 정리'!O61</f>
        <v/>
      </c>
      <c r="DD60" s="25">
        <f>'클럭 정리'!O61</f>
        <v/>
      </c>
    </row>
    <row r="61">
      <c r="P61" s="26">
        <f>'클럭 정리'!A62</f>
        <v/>
      </c>
      <c r="Q61" s="25">
        <f>'클럭 정리'!O62</f>
        <v/>
      </c>
      <c r="R61" s="27" t="n"/>
      <c r="S61" s="27" t="n"/>
      <c r="T61" s="27" t="n"/>
      <c r="U61" s="27" t="n"/>
      <c r="V61" s="27" t="n"/>
      <c r="W61" s="27" t="n"/>
      <c r="X61" s="25">
        <f>'클럭 정리'!O62</f>
        <v/>
      </c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  <c r="AU61" s="27" t="n"/>
      <c r="AV61" s="27" t="n"/>
      <c r="AW61" s="27" t="n"/>
      <c r="AX61" s="27" t="n"/>
      <c r="AY61" s="27" t="n"/>
      <c r="AZ61" s="27" t="n"/>
      <c r="BA61" s="27" t="n"/>
      <c r="BB61" s="27" t="n"/>
      <c r="BC61" s="27" t="n"/>
      <c r="BD61" s="27" t="n"/>
      <c r="BE61" s="27" t="n"/>
      <c r="BF61" s="27" t="n"/>
      <c r="BG61" s="27" t="n"/>
      <c r="BH61" s="27" t="n"/>
      <c r="BI61" s="27" t="n"/>
      <c r="BJ61" s="27" t="n"/>
      <c r="BK61" s="27" t="n"/>
      <c r="BL61" s="27" t="n"/>
      <c r="BM61" s="27" t="n"/>
      <c r="BN61" s="27" t="n"/>
      <c r="BO61" s="27" t="n"/>
      <c r="BP61" s="27" t="n"/>
      <c r="BQ61" s="27" t="n"/>
      <c r="BR61" s="27" t="n"/>
      <c r="BS61" s="27" t="n"/>
      <c r="BT61" s="27" t="n"/>
      <c r="BU61" s="27" t="n"/>
      <c r="BV61" s="27" t="n"/>
      <c r="BW61" s="27" t="n"/>
      <c r="BX61" s="27" t="n"/>
      <c r="BY61" s="27" t="n"/>
      <c r="BZ61" s="27" t="n"/>
      <c r="CA61" s="27" t="n"/>
      <c r="CB61" s="27" t="n"/>
      <c r="CC61" s="27" t="n"/>
      <c r="CD61" s="27" t="n"/>
      <c r="CE61" s="27" t="n"/>
      <c r="CF61" s="27" t="n"/>
      <c r="CG61" s="27" t="n"/>
      <c r="CH61" s="27" t="n"/>
      <c r="CI61" s="27" t="n"/>
      <c r="CJ61" s="27" t="n"/>
      <c r="CK61" s="27" t="n"/>
      <c r="CL61" s="27" t="n"/>
      <c r="CM61" s="27" t="n"/>
      <c r="CN61" s="27" t="n"/>
      <c r="CO61" s="27" t="n"/>
      <c r="CP61" s="27" t="n"/>
      <c r="CQ61" s="27" t="n"/>
      <c r="CR61" s="27" t="n"/>
      <c r="CS61" s="25">
        <f>'클럭 정리'!O62</f>
        <v/>
      </c>
      <c r="CT61" s="25">
        <f>'클럭 정리'!O62</f>
        <v/>
      </c>
      <c r="CU61" s="25">
        <f>'클럭 정리'!O62</f>
        <v/>
      </c>
      <c r="CV61" s="25">
        <f>'클럭 정리'!O62</f>
        <v/>
      </c>
      <c r="CW61" s="25">
        <f>'클럭 정리'!O62</f>
        <v/>
      </c>
      <c r="CX61" s="25">
        <f>'클럭 정리'!O62</f>
        <v/>
      </c>
      <c r="CY61" s="25">
        <f>'클럭 정리'!O62</f>
        <v/>
      </c>
      <c r="CZ61" s="25">
        <f>'클럭 정리'!O62</f>
        <v/>
      </c>
      <c r="DA61" s="25">
        <f>'클럭 정리'!O62</f>
        <v/>
      </c>
      <c r="DB61" s="25">
        <f>'클럭 정리'!O62</f>
        <v/>
      </c>
      <c r="DC61" s="25">
        <f>'클럭 정리'!O62</f>
        <v/>
      </c>
      <c r="DD61" s="25">
        <f>'클럭 정리'!O62</f>
        <v/>
      </c>
    </row>
    <row r="62">
      <c r="P62" s="26">
        <f>'클럭 정리'!A63</f>
        <v/>
      </c>
      <c r="Q62" s="25">
        <f>'클럭 정리'!O63</f>
        <v/>
      </c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  <c r="AU62" s="27" t="n"/>
      <c r="AV62" s="27" t="n"/>
      <c r="AW62" s="27" t="n"/>
      <c r="AX62" s="27" t="n"/>
      <c r="AY62" s="27" t="n"/>
      <c r="AZ62" s="27" t="n"/>
      <c r="BA62" s="27" t="n"/>
      <c r="BB62" s="27" t="n"/>
      <c r="BC62" s="27" t="n"/>
      <c r="BD62" s="27" t="n"/>
      <c r="BE62" s="27" t="n"/>
      <c r="BF62" s="27" t="n"/>
      <c r="BG62" s="27" t="n"/>
      <c r="BH62" s="27" t="n"/>
      <c r="BI62" s="27" t="n"/>
      <c r="BJ62" s="27" t="n"/>
      <c r="BK62" s="27" t="n"/>
      <c r="BL62" s="27" t="n"/>
      <c r="BM62" s="27" t="n"/>
      <c r="BN62" s="27" t="n"/>
      <c r="BO62" s="27" t="n"/>
      <c r="BP62" s="27" t="n"/>
      <c r="BQ62" s="27" t="n"/>
      <c r="BR62" s="27" t="n"/>
      <c r="BS62" s="27" t="n"/>
      <c r="BT62" s="27" t="n"/>
      <c r="BU62" s="27" t="n"/>
      <c r="BV62" s="27" t="n"/>
      <c r="BW62" s="27" t="n"/>
      <c r="BX62" s="27" t="n"/>
      <c r="BY62" s="27" t="n"/>
      <c r="BZ62" s="27" t="n"/>
      <c r="CA62" s="27" t="n"/>
      <c r="CB62" s="27" t="n"/>
      <c r="CC62" s="27" t="n"/>
      <c r="CD62" s="27" t="n"/>
      <c r="CE62" s="27" t="n"/>
      <c r="CF62" s="27" t="n"/>
      <c r="CG62" s="27" t="n"/>
      <c r="CH62" s="27" t="n"/>
      <c r="CI62" s="27" t="n"/>
      <c r="CJ62" s="27" t="n"/>
      <c r="CK62" s="27" t="n"/>
      <c r="CL62" s="27" t="n"/>
      <c r="CM62" s="27" t="n"/>
      <c r="CN62" s="27" t="n"/>
      <c r="CO62" s="27" t="n"/>
      <c r="CP62" s="27" t="n"/>
      <c r="CQ62" s="27" t="n"/>
      <c r="CR62" s="27" t="n"/>
      <c r="CS62" s="27" t="n"/>
      <c r="CT62" s="27" t="n"/>
      <c r="CU62" s="27" t="n"/>
      <c r="CV62" s="27" t="n"/>
      <c r="CW62" s="27" t="n"/>
      <c r="CX62" s="27" t="n"/>
      <c r="CY62" s="27" t="n"/>
      <c r="CZ62" s="27" t="n"/>
      <c r="DA62" s="27" t="n"/>
      <c r="DB62" s="27" t="n"/>
      <c r="DC62" s="27" t="n"/>
      <c r="DD62" s="27" t="n"/>
    </row>
    <row r="63">
      <c r="P63" s="26">
        <f>'클럭 정리'!A64</f>
        <v/>
      </c>
      <c r="Q63" s="25">
        <f>'클럭 정리'!O64</f>
        <v/>
      </c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  <c r="AU63" s="27" t="n"/>
      <c r="AV63" s="27" t="n"/>
      <c r="AW63" s="27" t="n"/>
      <c r="AX63" s="27" t="n"/>
      <c r="AY63" s="27" t="n"/>
      <c r="AZ63" s="27" t="n"/>
      <c r="BA63" s="27" t="n"/>
      <c r="BB63" s="27" t="n"/>
      <c r="BC63" s="27" t="n"/>
      <c r="BD63" s="27" t="n"/>
      <c r="BE63" s="27" t="n"/>
      <c r="BF63" s="27" t="n"/>
      <c r="BG63" s="27" t="n"/>
      <c r="BH63" s="27" t="n"/>
      <c r="BI63" s="27" t="n"/>
      <c r="BJ63" s="27" t="n"/>
      <c r="BK63" s="27" t="n"/>
      <c r="BL63" s="27" t="n"/>
      <c r="BM63" s="27" t="n"/>
      <c r="BN63" s="27" t="n"/>
      <c r="BO63" s="27" t="n"/>
      <c r="BP63" s="27" t="n"/>
      <c r="BQ63" s="27" t="n"/>
      <c r="BR63" s="27" t="n"/>
      <c r="BS63" s="27" t="n"/>
      <c r="BT63" s="27" t="n"/>
      <c r="BU63" s="27" t="n"/>
      <c r="BV63" s="27" t="n"/>
      <c r="BW63" s="27" t="n"/>
      <c r="BX63" s="27" t="n"/>
      <c r="BY63" s="27" t="n"/>
      <c r="BZ63" s="27" t="n"/>
      <c r="CA63" s="27" t="n"/>
      <c r="CB63" s="27" t="n"/>
      <c r="CC63" s="27" t="n"/>
      <c r="CD63" s="27" t="n"/>
      <c r="CE63" s="27" t="n"/>
      <c r="CF63" s="27" t="n"/>
      <c r="CG63" s="27" t="n"/>
      <c r="CH63" s="27" t="n"/>
      <c r="CI63" s="27" t="n"/>
      <c r="CJ63" s="27" t="n"/>
      <c r="CK63" s="27" t="n"/>
      <c r="CL63" s="27" t="n"/>
      <c r="CM63" s="27" t="n"/>
      <c r="CN63" s="27" t="n"/>
      <c r="CO63" s="27" t="n"/>
      <c r="CP63" s="27" t="n"/>
      <c r="CQ63" s="27" t="n"/>
      <c r="CR63" s="27" t="n"/>
      <c r="CS63" s="27" t="n"/>
      <c r="CT63" s="27" t="n"/>
      <c r="CU63" s="27" t="n"/>
      <c r="CV63" s="27" t="n"/>
      <c r="CW63" s="27" t="n"/>
      <c r="CX63" s="27" t="n"/>
      <c r="CY63" s="27" t="n"/>
      <c r="CZ63" s="27" t="n"/>
      <c r="DA63" s="27" t="n"/>
      <c r="DB63" s="27" t="n"/>
      <c r="DC63" s="27" t="n"/>
      <c r="DD63" s="27" t="n"/>
    </row>
    <row r="64">
      <c r="P64" s="26">
        <f>'클럭 정리'!A65</f>
        <v/>
      </c>
      <c r="Q64" s="25">
        <f>'클럭 정리'!O65</f>
        <v/>
      </c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  <c r="AW64" s="27" t="n"/>
      <c r="AX64" s="27" t="n"/>
      <c r="AY64" s="27" t="n"/>
      <c r="AZ64" s="27" t="n"/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  <c r="BK64" s="27" t="n"/>
      <c r="BL64" s="27" t="n"/>
      <c r="BM64" s="27" t="n"/>
      <c r="BN64" s="27" t="n"/>
      <c r="BO64" s="27" t="n"/>
      <c r="BP64" s="27" t="n"/>
      <c r="BQ64" s="27" t="n"/>
      <c r="BR64" s="27" t="n"/>
      <c r="BS64" s="27" t="n"/>
      <c r="BT64" s="27" t="n"/>
      <c r="BU64" s="27" t="n"/>
      <c r="BV64" s="27" t="n"/>
      <c r="BW64" s="27" t="n"/>
      <c r="BX64" s="27" t="n"/>
      <c r="BY64" s="27" t="n"/>
      <c r="BZ64" s="27" t="n"/>
      <c r="CA64" s="27" t="n"/>
      <c r="CB64" s="27" t="n"/>
      <c r="CC64" s="27" t="n"/>
      <c r="CD64" s="27" t="n"/>
      <c r="CE64" s="27" t="n"/>
      <c r="CF64" s="27" t="n"/>
      <c r="CG64" s="27" t="n"/>
      <c r="CH64" s="27" t="n"/>
      <c r="CI64" s="27" t="n"/>
      <c r="CJ64" s="27" t="n"/>
      <c r="CK64" s="27" t="n"/>
      <c r="CL64" s="27" t="n"/>
      <c r="CM64" s="27" t="n"/>
      <c r="CN64" s="27" t="n"/>
      <c r="CO64" s="27" t="n"/>
      <c r="CP64" s="27" t="n"/>
      <c r="CQ64" s="27" t="n"/>
      <c r="CR64" s="27" t="n"/>
      <c r="CS64" s="27" t="n"/>
      <c r="CT64" s="27" t="n"/>
      <c r="CU64" s="27" t="n"/>
      <c r="CV64" s="27" t="n"/>
      <c r="CW64" s="27" t="n"/>
      <c r="CX64" s="27" t="n"/>
      <c r="CY64" s="27" t="n"/>
      <c r="CZ64" s="27" t="n"/>
      <c r="DA64" s="27" t="n"/>
      <c r="DB64" s="27" t="n"/>
      <c r="DC64" s="27" t="n"/>
      <c r="DD64" s="27" t="n"/>
    </row>
    <row r="65">
      <c r="P65" s="26">
        <f>'클럭 정리'!A66</f>
        <v/>
      </c>
      <c r="Q65" s="25">
        <f>'클럭 정리'!O66</f>
        <v/>
      </c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7" t="n"/>
      <c r="AR65" s="27" t="n"/>
      <c r="AS65" s="27" t="n"/>
      <c r="AT65" s="27" t="n"/>
      <c r="AU65" s="27" t="n"/>
      <c r="AV65" s="27" t="n"/>
      <c r="AW65" s="27" t="n"/>
      <c r="AX65" s="27" t="n"/>
      <c r="AY65" s="27" t="n"/>
      <c r="AZ65" s="27" t="n"/>
      <c r="BA65" s="27" t="n"/>
      <c r="BB65" s="27" t="n"/>
      <c r="BC65" s="27" t="n"/>
      <c r="BD65" s="27" t="n"/>
      <c r="BE65" s="27" t="n"/>
      <c r="BF65" s="27" t="n"/>
      <c r="BG65" s="27" t="n"/>
      <c r="BH65" s="27" t="n"/>
      <c r="BI65" s="27" t="n"/>
      <c r="BJ65" s="27" t="n"/>
      <c r="BK65" s="27" t="n"/>
      <c r="BL65" s="27" t="n"/>
      <c r="BM65" s="27" t="n"/>
      <c r="BN65" s="27" t="n"/>
      <c r="BO65" s="27" t="n"/>
      <c r="BP65" s="27" t="n"/>
      <c r="BQ65" s="27" t="n"/>
      <c r="BR65" s="27" t="n"/>
      <c r="BS65" s="27" t="n"/>
      <c r="BT65" s="27" t="n"/>
      <c r="BU65" s="27" t="n"/>
      <c r="BV65" s="27" t="n"/>
      <c r="BW65" s="27" t="n"/>
      <c r="BX65" s="27" t="n"/>
      <c r="BY65" s="27" t="n"/>
      <c r="BZ65" s="27" t="n"/>
      <c r="CA65" s="27" t="n"/>
      <c r="CB65" s="27" t="n"/>
      <c r="CC65" s="27" t="n"/>
      <c r="CD65" s="27" t="n"/>
      <c r="CE65" s="27" t="n"/>
      <c r="CF65" s="27" t="n"/>
      <c r="CG65" s="27" t="n"/>
      <c r="CH65" s="27" t="n"/>
      <c r="CI65" s="27" t="n"/>
      <c r="CJ65" s="27" t="n"/>
      <c r="CK65" s="27" t="n"/>
      <c r="CL65" s="27" t="n"/>
      <c r="CM65" s="27" t="n"/>
      <c r="CN65" s="27" t="n"/>
      <c r="CO65" s="27" t="n"/>
      <c r="CP65" s="27" t="n"/>
      <c r="CQ65" s="27" t="n"/>
      <c r="CR65" s="27" t="n"/>
      <c r="CS65" s="27" t="n"/>
      <c r="CT65" s="27" t="n"/>
      <c r="CU65" s="27" t="n"/>
      <c r="CV65" s="27" t="n"/>
      <c r="CW65" s="27" t="n"/>
      <c r="CX65" s="27" t="n"/>
      <c r="CY65" s="27" t="n"/>
      <c r="CZ65" s="27" t="n"/>
      <c r="DA65" s="27" t="n"/>
      <c r="DB65" s="27" t="n"/>
      <c r="DC65" s="27" t="n"/>
      <c r="DD65" s="27" t="n"/>
    </row>
    <row r="66">
      <c r="P66" s="26">
        <f>'클럭 정리'!A67</f>
        <v/>
      </c>
      <c r="Q66" s="25">
        <f>'클럭 정리'!O67</f>
        <v/>
      </c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7" t="n"/>
      <c r="AR66" s="27" t="n"/>
      <c r="AS66" s="27" t="n"/>
      <c r="AT66" s="27" t="n"/>
      <c r="AU66" s="27" t="n"/>
      <c r="AV66" s="27" t="n"/>
      <c r="AW66" s="27" t="n"/>
      <c r="AX66" s="27" t="n"/>
      <c r="AY66" s="27" t="n"/>
      <c r="AZ66" s="27" t="n"/>
      <c r="BA66" s="27" t="n"/>
      <c r="BB66" s="27" t="n"/>
      <c r="BC66" s="27" t="n"/>
      <c r="BD66" s="27" t="n"/>
      <c r="BE66" s="27" t="n"/>
      <c r="BF66" s="27" t="n"/>
      <c r="BG66" s="27" t="n"/>
      <c r="BH66" s="27" t="n"/>
      <c r="BI66" s="27" t="n"/>
      <c r="BJ66" s="27" t="n"/>
      <c r="BK66" s="27" t="n"/>
      <c r="BL66" s="27" t="n"/>
      <c r="BM66" s="27" t="n"/>
      <c r="BN66" s="27" t="n"/>
      <c r="BO66" s="27" t="n"/>
      <c r="BP66" s="27" t="n"/>
      <c r="BQ66" s="27" t="n"/>
      <c r="BR66" s="27" t="n"/>
      <c r="BS66" s="27" t="n"/>
      <c r="BT66" s="27" t="n"/>
      <c r="BU66" s="27" t="n"/>
      <c r="BV66" s="27" t="n"/>
      <c r="BW66" s="27" t="n"/>
      <c r="BX66" s="27" t="n"/>
      <c r="BY66" s="27" t="n"/>
      <c r="BZ66" s="27" t="n"/>
      <c r="CA66" s="27" t="n"/>
      <c r="CB66" s="27" t="n"/>
      <c r="CC66" s="27" t="n"/>
      <c r="CD66" s="27" t="n"/>
      <c r="CE66" s="27" t="n"/>
      <c r="CF66" s="27" t="n"/>
      <c r="CG66" s="27" t="n"/>
      <c r="CH66" s="27" t="n"/>
      <c r="CI66" s="27" t="n"/>
      <c r="CJ66" s="27" t="n"/>
      <c r="CK66" s="27" t="n"/>
      <c r="CL66" s="27" t="n"/>
      <c r="CM66" s="27" t="n"/>
      <c r="CN66" s="27" t="n"/>
      <c r="CO66" s="27" t="n"/>
      <c r="CP66" s="27" t="n"/>
      <c r="CQ66" s="27" t="n"/>
      <c r="CR66" s="27" t="n"/>
      <c r="CS66" s="27" t="n"/>
      <c r="CT66" s="27" t="n"/>
      <c r="CU66" s="27" t="n"/>
      <c r="CV66" s="27" t="n"/>
      <c r="CW66" s="27" t="n"/>
      <c r="CX66" s="27" t="n"/>
      <c r="CY66" s="27" t="n"/>
      <c r="CZ66" s="27" t="n"/>
      <c r="DA66" s="27" t="n"/>
      <c r="DB66" s="27" t="n"/>
      <c r="DC66" s="27" t="n"/>
      <c r="DD66" s="27" t="n"/>
    </row>
    <row r="67">
      <c r="P67" s="26">
        <f>'클럭 정리'!A68</f>
        <v/>
      </c>
      <c r="Q67" s="25">
        <f>'클럭 정리'!O68</f>
        <v/>
      </c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7" t="n"/>
      <c r="AR67" s="27" t="n"/>
      <c r="AS67" s="27" t="n"/>
      <c r="AT67" s="27" t="n"/>
      <c r="AU67" s="27" t="n"/>
      <c r="AV67" s="27" t="n"/>
      <c r="AW67" s="27" t="n"/>
      <c r="AX67" s="27" t="n"/>
      <c r="AY67" s="27" t="n"/>
      <c r="AZ67" s="27" t="n"/>
      <c r="BA67" s="27" t="n"/>
      <c r="BB67" s="27" t="n"/>
      <c r="BC67" s="27" t="n"/>
      <c r="BD67" s="27" t="n"/>
      <c r="BE67" s="27" t="n"/>
      <c r="BF67" s="27" t="n"/>
      <c r="BG67" s="27" t="n"/>
      <c r="BH67" s="27" t="n"/>
      <c r="BI67" s="27" t="n"/>
      <c r="BJ67" s="27" t="n"/>
      <c r="BK67" s="27" t="n"/>
      <c r="BL67" s="27" t="n"/>
      <c r="BM67" s="27" t="n"/>
      <c r="BN67" s="27" t="n"/>
      <c r="BO67" s="27" t="n"/>
      <c r="BP67" s="27" t="n"/>
      <c r="BQ67" s="27" t="n"/>
      <c r="BR67" s="27" t="n"/>
      <c r="BS67" s="27" t="n"/>
      <c r="BT67" s="27" t="n"/>
      <c r="BU67" s="27" t="n"/>
      <c r="BV67" s="27" t="n"/>
      <c r="BW67" s="27" t="n"/>
      <c r="BX67" s="27" t="n"/>
      <c r="BY67" s="27" t="n"/>
      <c r="BZ67" s="27" t="n"/>
      <c r="CA67" s="27" t="n"/>
      <c r="CB67" s="27" t="n"/>
      <c r="CC67" s="27" t="n"/>
      <c r="CD67" s="27" t="n"/>
      <c r="CE67" s="27" t="n"/>
      <c r="CF67" s="27" t="n"/>
      <c r="CG67" s="27" t="n"/>
      <c r="CH67" s="27" t="n"/>
      <c r="CI67" s="27" t="n"/>
      <c r="CJ67" s="27" t="n"/>
      <c r="CK67" s="27" t="n"/>
      <c r="CL67" s="27" t="n"/>
      <c r="CM67" s="27" t="n"/>
      <c r="CN67" s="27" t="n"/>
      <c r="CO67" s="27" t="n"/>
      <c r="CP67" s="27" t="n"/>
      <c r="CQ67" s="27" t="n"/>
      <c r="CR67" s="27" t="n"/>
      <c r="CS67" s="27" t="n"/>
      <c r="CT67" s="27" t="n"/>
      <c r="CU67" s="27" t="n"/>
      <c r="CV67" s="27" t="n"/>
      <c r="CW67" s="27" t="n"/>
      <c r="CX67" s="27" t="n"/>
      <c r="CY67" s="27" t="n"/>
      <c r="CZ67" s="27" t="n"/>
      <c r="DA67" s="27" t="n"/>
      <c r="DB67" s="27" t="n"/>
      <c r="DC67" s="27" t="n"/>
      <c r="DD67" s="27" t="n"/>
    </row>
    <row r="68">
      <c r="P68" s="26">
        <f>'클럭 정리'!A69</f>
        <v/>
      </c>
      <c r="Q68" s="25">
        <f>'클럭 정리'!O69</f>
        <v/>
      </c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7" t="n"/>
      <c r="AR68" s="27" t="n"/>
      <c r="AS68" s="27" t="n"/>
      <c r="AT68" s="27" t="n"/>
      <c r="AU68" s="27" t="n"/>
      <c r="AV68" s="27" t="n"/>
      <c r="AW68" s="27" t="n"/>
      <c r="AX68" s="27" t="n"/>
      <c r="AY68" s="27" t="n"/>
      <c r="AZ68" s="27" t="n"/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  <c r="BK68" s="27" t="n"/>
      <c r="BL68" s="27" t="n"/>
      <c r="BM68" s="27" t="n"/>
      <c r="BN68" s="27" t="n"/>
      <c r="BO68" s="27" t="n"/>
      <c r="BP68" s="27" t="n"/>
      <c r="BQ68" s="27" t="n"/>
      <c r="BR68" s="27" t="n"/>
      <c r="BS68" s="27" t="n"/>
      <c r="BT68" s="27" t="n"/>
      <c r="BU68" s="27" t="n"/>
      <c r="BV68" s="27" t="n"/>
      <c r="BW68" s="27" t="n"/>
      <c r="BX68" s="27" t="n"/>
      <c r="BY68" s="27" t="n"/>
      <c r="BZ68" s="27" t="n"/>
      <c r="CA68" s="27" t="n"/>
      <c r="CB68" s="27" t="n"/>
      <c r="CC68" s="27" t="n"/>
      <c r="CD68" s="27" t="n"/>
      <c r="CE68" s="27" t="n"/>
      <c r="CF68" s="27" t="n"/>
      <c r="CG68" s="27" t="n"/>
      <c r="CH68" s="27" t="n"/>
      <c r="CI68" s="27" t="n"/>
      <c r="CJ68" s="27" t="n"/>
      <c r="CK68" s="27" t="n"/>
      <c r="CL68" s="27" t="n"/>
      <c r="CM68" s="27" t="n"/>
      <c r="CN68" s="27" t="n"/>
      <c r="CO68" s="27" t="n"/>
      <c r="CP68" s="27" t="n"/>
      <c r="CQ68" s="27" t="n"/>
      <c r="CR68" s="27" t="n"/>
      <c r="CS68" s="27" t="n"/>
      <c r="CT68" s="27" t="n"/>
      <c r="CU68" s="27" t="n"/>
      <c r="CV68" s="27" t="n"/>
      <c r="CW68" s="27" t="n"/>
      <c r="CX68" s="27" t="n"/>
      <c r="CY68" s="27" t="n"/>
      <c r="CZ68" s="27" t="n"/>
      <c r="DA68" s="27" t="n"/>
      <c r="DB68" s="27" t="n"/>
      <c r="DC68" s="27" t="n"/>
      <c r="DD68" s="27" t="n"/>
    </row>
    <row r="69">
      <c r="P69" s="26">
        <f>'클럭 정리'!A70</f>
        <v/>
      </c>
      <c r="Q69" s="25">
        <f>'클럭 정리'!O70</f>
        <v/>
      </c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  <c r="AW69" s="27" t="n"/>
      <c r="AX69" s="27" t="n"/>
      <c r="AY69" s="27" t="n"/>
      <c r="AZ69" s="27" t="n"/>
      <c r="BA69" s="27" t="n"/>
      <c r="BB69" s="27" t="n"/>
      <c r="BC69" s="27" t="n"/>
      <c r="BD69" s="27" t="n"/>
      <c r="BE69" s="27" t="n"/>
      <c r="BF69" s="27" t="n"/>
      <c r="BG69" s="27" t="n"/>
      <c r="BH69" s="27" t="n"/>
      <c r="BI69" s="27" t="n"/>
      <c r="BJ69" s="27" t="n"/>
      <c r="BK69" s="27" t="n"/>
      <c r="BL69" s="27" t="n"/>
      <c r="BM69" s="27" t="n"/>
      <c r="BN69" s="27" t="n"/>
      <c r="BO69" s="27" t="n"/>
      <c r="BP69" s="27" t="n"/>
      <c r="BQ69" s="27" t="n"/>
      <c r="BR69" s="27" t="n"/>
      <c r="BS69" s="27" t="n"/>
      <c r="BT69" s="27" t="n"/>
      <c r="BU69" s="27" t="n"/>
      <c r="BV69" s="27" t="n"/>
      <c r="BW69" s="27" t="n"/>
      <c r="BX69" s="27" t="n"/>
      <c r="BY69" s="27" t="n"/>
      <c r="BZ69" s="27" t="n"/>
      <c r="CA69" s="27" t="n"/>
      <c r="CB69" s="27" t="n"/>
      <c r="CC69" s="27" t="n"/>
      <c r="CD69" s="27" t="n"/>
      <c r="CE69" s="27" t="n"/>
      <c r="CF69" s="27" t="n"/>
      <c r="CG69" s="27" t="n"/>
      <c r="CH69" s="27" t="n"/>
      <c r="CI69" s="27" t="n"/>
      <c r="CJ69" s="27" t="n"/>
      <c r="CK69" s="27" t="n"/>
      <c r="CL69" s="27" t="n"/>
      <c r="CM69" s="27" t="n"/>
      <c r="CN69" s="27" t="n"/>
      <c r="CO69" s="27" t="n"/>
      <c r="CP69" s="27" t="n"/>
      <c r="CQ69" s="27" t="n"/>
      <c r="CR69" s="27" t="n"/>
      <c r="CS69" s="27" t="n"/>
      <c r="CT69" s="27" t="n"/>
      <c r="CU69" s="27" t="n"/>
      <c r="CV69" s="27" t="n"/>
      <c r="CW69" s="27" t="n"/>
      <c r="CX69" s="27" t="n"/>
      <c r="CY69" s="27" t="n"/>
      <c r="CZ69" s="27" t="n"/>
      <c r="DA69" s="27" t="n"/>
      <c r="DB69" s="27" t="n"/>
      <c r="DC69" s="27" t="n"/>
      <c r="DD69" s="27" t="n"/>
    </row>
    <row r="70">
      <c r="P70" s="26">
        <f>'클럭 정리'!A71</f>
        <v/>
      </c>
      <c r="Q70" s="25">
        <f>'클럭 정리'!O71</f>
        <v/>
      </c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7" t="n"/>
      <c r="AP70" s="27" t="n"/>
      <c r="AQ70" s="27" t="n"/>
      <c r="AR70" s="27" t="n"/>
      <c r="AS70" s="27" t="n"/>
      <c r="AT70" s="27" t="n"/>
      <c r="AU70" s="27" t="n"/>
      <c r="AV70" s="27" t="n"/>
      <c r="AW70" s="27" t="n"/>
      <c r="AX70" s="27" t="n"/>
      <c r="AY70" s="27" t="n"/>
      <c r="AZ70" s="27" t="n"/>
      <c r="BA70" s="27" t="n"/>
      <c r="BB70" s="27" t="n"/>
      <c r="BC70" s="27" t="n"/>
      <c r="BD70" s="27" t="n"/>
      <c r="BE70" s="27" t="n"/>
      <c r="BF70" s="27" t="n"/>
      <c r="BG70" s="27" t="n"/>
      <c r="BH70" s="27" t="n"/>
      <c r="BI70" s="27" t="n"/>
      <c r="BJ70" s="27" t="n"/>
      <c r="BK70" s="27" t="n"/>
      <c r="BL70" s="27" t="n"/>
      <c r="BM70" s="27" t="n"/>
      <c r="BN70" s="27" t="n"/>
      <c r="BO70" s="27" t="n"/>
      <c r="BP70" s="27" t="n"/>
      <c r="BQ70" s="27" t="n"/>
      <c r="BR70" s="27" t="n"/>
      <c r="BS70" s="27" t="n"/>
      <c r="BT70" s="27" t="n"/>
      <c r="BU70" s="27" t="n"/>
      <c r="BV70" s="27" t="n"/>
      <c r="BW70" s="27" t="n"/>
      <c r="BX70" s="27" t="n"/>
      <c r="BY70" s="27" t="n"/>
      <c r="BZ70" s="27" t="n"/>
      <c r="CA70" s="27" t="n"/>
      <c r="CB70" s="27" t="n"/>
      <c r="CC70" s="27" t="n"/>
      <c r="CD70" s="27" t="n"/>
      <c r="CE70" s="27" t="n"/>
      <c r="CF70" s="27" t="n"/>
      <c r="CG70" s="27" t="n"/>
      <c r="CH70" s="27" t="n"/>
      <c r="CI70" s="27" t="n"/>
      <c r="CJ70" s="27" t="n"/>
      <c r="CK70" s="27" t="n"/>
      <c r="CL70" s="27" t="n"/>
      <c r="CM70" s="27" t="n"/>
      <c r="CN70" s="27" t="n"/>
      <c r="CO70" s="27" t="n"/>
      <c r="CP70" s="27" t="n"/>
      <c r="CQ70" s="27" t="n"/>
      <c r="CR70" s="27" t="n"/>
      <c r="CS70" s="27" t="n"/>
      <c r="CT70" s="27" t="n"/>
      <c r="CU70" s="27" t="n"/>
      <c r="CV70" s="27" t="n"/>
      <c r="CW70" s="27" t="n"/>
      <c r="CX70" s="27" t="n"/>
      <c r="CY70" s="27" t="n"/>
      <c r="CZ70" s="27" t="n"/>
      <c r="DA70" s="27" t="n"/>
      <c r="DB70" s="27" t="n"/>
      <c r="DC70" s="27" t="n"/>
      <c r="DD70" s="27" t="n"/>
    </row>
    <row r="71">
      <c r="P71" s="26">
        <f>'클럭 정리'!A72</f>
        <v/>
      </c>
      <c r="Q71" s="25">
        <f>'클럭 정리'!O72</f>
        <v/>
      </c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7" t="n"/>
      <c r="AR71" s="27" t="n"/>
      <c r="AS71" s="27" t="n"/>
      <c r="AT71" s="27" t="n"/>
      <c r="AU71" s="27" t="n"/>
      <c r="AV71" s="27" t="n"/>
      <c r="AW71" s="27" t="n"/>
      <c r="AX71" s="27" t="n"/>
      <c r="AY71" s="27" t="n"/>
      <c r="AZ71" s="27" t="n"/>
      <c r="BA71" s="27" t="n"/>
      <c r="BB71" s="27" t="n"/>
      <c r="BC71" s="27" t="n"/>
      <c r="BD71" s="27" t="n"/>
      <c r="BE71" s="27" t="n"/>
      <c r="BF71" s="27" t="n"/>
      <c r="BG71" s="27" t="n"/>
      <c r="BH71" s="27" t="n"/>
      <c r="BI71" s="27" t="n"/>
      <c r="BJ71" s="27" t="n"/>
      <c r="BK71" s="27" t="n"/>
      <c r="BL71" s="27" t="n"/>
      <c r="BM71" s="27" t="n"/>
      <c r="BN71" s="27" t="n"/>
      <c r="BO71" s="27" t="n"/>
      <c r="BP71" s="27" t="n"/>
      <c r="BQ71" s="27" t="n"/>
      <c r="BR71" s="27" t="n"/>
      <c r="BS71" s="27" t="n"/>
      <c r="BT71" s="27" t="n"/>
      <c r="BU71" s="27" t="n"/>
      <c r="BV71" s="27" t="n"/>
      <c r="BW71" s="27" t="n"/>
      <c r="BX71" s="27" t="n"/>
      <c r="BY71" s="27" t="n"/>
      <c r="BZ71" s="27" t="n"/>
      <c r="CA71" s="27" t="n"/>
      <c r="CB71" s="27" t="n"/>
      <c r="CC71" s="27" t="n"/>
      <c r="CD71" s="27" t="n"/>
      <c r="CE71" s="27" t="n"/>
      <c r="CF71" s="27" t="n"/>
      <c r="CG71" s="27" t="n"/>
      <c r="CH71" s="27" t="n"/>
      <c r="CI71" s="27" t="n"/>
      <c r="CJ71" s="27" t="n"/>
      <c r="CK71" s="27" t="n"/>
      <c r="CL71" s="27" t="n"/>
      <c r="CM71" s="27" t="n"/>
      <c r="CN71" s="27" t="n"/>
      <c r="CO71" s="27" t="n"/>
      <c r="CP71" s="27" t="n"/>
      <c r="CQ71" s="27" t="n"/>
      <c r="CR71" s="27" t="n"/>
      <c r="CS71" s="27" t="n"/>
      <c r="CT71" s="27" t="n"/>
      <c r="CU71" s="27" t="n"/>
      <c r="CV71" s="27" t="n"/>
      <c r="CW71" s="27" t="n"/>
      <c r="CX71" s="27" t="n"/>
      <c r="CY71" s="27" t="n"/>
      <c r="CZ71" s="27" t="n"/>
      <c r="DA71" s="27" t="n"/>
      <c r="DB71" s="27" t="n"/>
      <c r="DC71" s="27" t="n"/>
      <c r="DD71" s="27" t="n"/>
    </row>
    <row r="72">
      <c r="P72" s="26">
        <f>'클럭 정리'!A73</f>
        <v/>
      </c>
      <c r="Q72" s="25">
        <f>'클럭 정리'!O73</f>
        <v/>
      </c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7" t="n"/>
      <c r="AR72" s="27" t="n"/>
      <c r="AS72" s="27" t="n"/>
      <c r="AT72" s="27" t="n"/>
      <c r="AU72" s="27" t="n"/>
      <c r="AV72" s="27" t="n"/>
      <c r="AW72" s="27" t="n"/>
      <c r="AX72" s="27" t="n"/>
      <c r="AY72" s="27" t="n"/>
      <c r="AZ72" s="27" t="n"/>
      <c r="BA72" s="27" t="n"/>
      <c r="BB72" s="27" t="n"/>
      <c r="BC72" s="27" t="n"/>
      <c r="BD72" s="27" t="n"/>
      <c r="BE72" s="27" t="n"/>
      <c r="BF72" s="27" t="n"/>
      <c r="BG72" s="27" t="n"/>
      <c r="BH72" s="27" t="n"/>
      <c r="BI72" s="27" t="n"/>
      <c r="BJ72" s="27" t="n"/>
      <c r="BK72" s="27" t="n"/>
      <c r="BL72" s="27" t="n"/>
      <c r="BM72" s="27" t="n"/>
      <c r="BN72" s="27" t="n"/>
      <c r="BO72" s="27" t="n"/>
      <c r="BP72" s="27" t="n"/>
      <c r="BQ72" s="27" t="n"/>
      <c r="BR72" s="27" t="n"/>
      <c r="BS72" s="27" t="n"/>
      <c r="BT72" s="27" t="n"/>
      <c r="BU72" s="27" t="n"/>
      <c r="BV72" s="27" t="n"/>
      <c r="BW72" s="27" t="n"/>
      <c r="BX72" s="27" t="n"/>
      <c r="BY72" s="27" t="n"/>
      <c r="BZ72" s="27" t="n"/>
      <c r="CA72" s="27" t="n"/>
      <c r="CB72" s="27" t="n"/>
      <c r="CC72" s="27" t="n"/>
      <c r="CD72" s="27" t="n"/>
      <c r="CE72" s="27" t="n"/>
      <c r="CF72" s="27" t="n"/>
      <c r="CG72" s="27" t="n"/>
      <c r="CH72" s="27" t="n"/>
      <c r="CI72" s="27" t="n"/>
      <c r="CJ72" s="27" t="n"/>
      <c r="CK72" s="27" t="n"/>
      <c r="CL72" s="27" t="n"/>
      <c r="CM72" s="27" t="n"/>
      <c r="CN72" s="27" t="n"/>
      <c r="CO72" s="27" t="n"/>
      <c r="CP72" s="27" t="n"/>
      <c r="CQ72" s="27" t="n"/>
      <c r="CR72" s="27" t="n"/>
      <c r="CS72" s="27" t="n"/>
      <c r="CT72" s="27" t="n"/>
      <c r="CU72" s="27" t="n"/>
      <c r="CV72" s="27" t="n"/>
      <c r="CW72" s="27" t="n"/>
      <c r="CX72" s="27" t="n"/>
      <c r="CY72" s="27" t="n"/>
      <c r="CZ72" s="27" t="n"/>
      <c r="DA72" s="27" t="n"/>
      <c r="DB72" s="27" t="n"/>
      <c r="DC72" s="27" t="n"/>
      <c r="DD72" s="27" t="n"/>
    </row>
    <row r="73">
      <c r="P73" s="26">
        <f>'클럭 정리'!A74</f>
        <v/>
      </c>
      <c r="Q73" s="25">
        <f>'클럭 정리'!O74</f>
        <v/>
      </c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  <c r="CC73" s="27" t="n"/>
      <c r="CD73" s="27" t="n"/>
      <c r="CE73" s="27" t="n"/>
      <c r="CF73" s="27" t="n"/>
      <c r="CG73" s="27" t="n"/>
      <c r="CH73" s="27" t="n"/>
      <c r="CI73" s="27" t="n"/>
      <c r="CJ73" s="27" t="n"/>
      <c r="CK73" s="27" t="n"/>
      <c r="CL73" s="27" t="n"/>
      <c r="CM73" s="27" t="n"/>
      <c r="CN73" s="27" t="n"/>
      <c r="CO73" s="27" t="n"/>
      <c r="CP73" s="27" t="n"/>
      <c r="CQ73" s="27" t="n"/>
      <c r="CR73" s="27" t="n"/>
      <c r="CS73" s="27" t="n"/>
      <c r="CT73" s="27" t="n"/>
      <c r="CU73" s="27" t="n"/>
      <c r="CV73" s="27" t="n"/>
      <c r="CW73" s="27" t="n"/>
      <c r="CX73" s="27" t="n"/>
      <c r="CY73" s="27" t="n"/>
      <c r="CZ73" s="27" t="n"/>
      <c r="DA73" s="27" t="n"/>
      <c r="DB73" s="27" t="n"/>
      <c r="DC73" s="27" t="n"/>
      <c r="DD73" s="27" t="n"/>
    </row>
    <row r="74">
      <c r="P74" s="26">
        <f>'클럭 정리'!A75</f>
        <v/>
      </c>
      <c r="Q74" s="25">
        <f>'클럭 정리'!O75</f>
        <v/>
      </c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  <c r="AZ74" s="27" t="n"/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  <c r="BK74" s="27" t="n"/>
      <c r="BL74" s="27" t="n"/>
      <c r="BM74" s="27" t="n"/>
      <c r="BN74" s="27" t="n"/>
      <c r="BO74" s="27" t="n"/>
      <c r="BP74" s="27" t="n"/>
      <c r="BQ74" s="27" t="n"/>
      <c r="BR74" s="27" t="n"/>
      <c r="BS74" s="27" t="n"/>
      <c r="BT74" s="27" t="n"/>
      <c r="BU74" s="27" t="n"/>
      <c r="BV74" s="27" t="n"/>
      <c r="BW74" s="27" t="n"/>
      <c r="BX74" s="27" t="n"/>
      <c r="BY74" s="27" t="n"/>
      <c r="BZ74" s="27" t="n"/>
      <c r="CA74" s="27" t="n"/>
      <c r="CB74" s="27" t="n"/>
      <c r="CC74" s="27" t="n"/>
      <c r="CD74" s="27" t="n"/>
      <c r="CE74" s="27" t="n"/>
      <c r="CF74" s="27" t="n"/>
      <c r="CG74" s="27" t="n"/>
      <c r="CH74" s="27" t="n"/>
      <c r="CI74" s="27" t="n"/>
      <c r="CJ74" s="27" t="n"/>
      <c r="CK74" s="27" t="n"/>
      <c r="CL74" s="27" t="n"/>
      <c r="CM74" s="27" t="n"/>
      <c r="CN74" s="27" t="n"/>
      <c r="CO74" s="27" t="n"/>
      <c r="CP74" s="27" t="n"/>
      <c r="CQ74" s="27" t="n"/>
      <c r="CR74" s="27" t="n"/>
      <c r="CS74" s="27" t="n"/>
      <c r="CT74" s="27" t="n"/>
      <c r="CU74" s="27" t="n"/>
      <c r="CV74" s="27" t="n"/>
      <c r="CW74" s="27" t="n"/>
      <c r="CX74" s="27" t="n"/>
      <c r="CY74" s="27" t="n"/>
      <c r="CZ74" s="27" t="n"/>
      <c r="DA74" s="27" t="n"/>
      <c r="DB74" s="27" t="n"/>
      <c r="DC74" s="27" t="n"/>
      <c r="DD74" s="27" t="n"/>
    </row>
    <row r="75">
      <c r="P75" s="26">
        <f>'클럭 정리'!A76</f>
        <v/>
      </c>
      <c r="Q75" s="25">
        <f>'클럭 정리'!O76</f>
        <v/>
      </c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  <c r="AW75" s="27" t="n"/>
      <c r="AX75" s="27" t="n"/>
      <c r="AY75" s="27" t="n"/>
      <c r="AZ75" s="27" t="n"/>
      <c r="BA75" s="27" t="n"/>
      <c r="BB75" s="27" t="n"/>
      <c r="BC75" s="27" t="n"/>
      <c r="BD75" s="27" t="n"/>
      <c r="BE75" s="27" t="n"/>
      <c r="BF75" s="27" t="n"/>
      <c r="BG75" s="27" t="n"/>
      <c r="BH75" s="27" t="n"/>
      <c r="BI75" s="27" t="n"/>
      <c r="BJ75" s="27" t="n"/>
      <c r="BK75" s="27" t="n"/>
      <c r="BL75" s="27" t="n"/>
      <c r="BM75" s="27" t="n"/>
      <c r="BN75" s="27" t="n"/>
      <c r="BO75" s="27" t="n"/>
      <c r="BP75" s="27" t="n"/>
      <c r="BQ75" s="27" t="n"/>
      <c r="BR75" s="27" t="n"/>
      <c r="BS75" s="27" t="n"/>
      <c r="BT75" s="27" t="n"/>
      <c r="BU75" s="27" t="n"/>
      <c r="BV75" s="27" t="n"/>
      <c r="BW75" s="27" t="n"/>
      <c r="BX75" s="27" t="n"/>
      <c r="BY75" s="27" t="n"/>
      <c r="BZ75" s="27" t="n"/>
      <c r="CA75" s="27" t="n"/>
      <c r="CB75" s="27" t="n"/>
      <c r="CC75" s="27" t="n"/>
      <c r="CD75" s="27" t="n"/>
      <c r="CE75" s="27" t="n"/>
      <c r="CF75" s="27" t="n"/>
      <c r="CG75" s="27" t="n"/>
      <c r="CH75" s="27" t="n"/>
      <c r="CI75" s="27" t="n"/>
      <c r="CJ75" s="27" t="n"/>
      <c r="CK75" s="27" t="n"/>
      <c r="CL75" s="27" t="n"/>
      <c r="CM75" s="27" t="n"/>
      <c r="CN75" s="27" t="n"/>
      <c r="CO75" s="27" t="n"/>
      <c r="CP75" s="27" t="n"/>
      <c r="CQ75" s="27" t="n"/>
      <c r="CR75" s="27" t="n"/>
      <c r="CS75" s="27" t="n"/>
      <c r="CT75" s="27" t="n"/>
      <c r="CU75" s="27" t="n"/>
      <c r="CV75" s="27" t="n"/>
      <c r="CW75" s="27" t="n"/>
      <c r="CX75" s="27" t="n"/>
      <c r="CY75" s="27" t="n"/>
      <c r="CZ75" s="27" t="n"/>
      <c r="DA75" s="27" t="n"/>
      <c r="DB75" s="27" t="n"/>
      <c r="DC75" s="27" t="n"/>
      <c r="DD75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2026-08-04T06:51:19Z</dcterms:created>
  <dcterms:modified xmlns:dcterms="http://purl.org/dc/terms/" xmlns:xsi="http://www.w3.org/2001/XMLSchema-instance" xsi:type="dcterms:W3CDTF">2026-08-04T06:51:19Z</dcterms:modified>
</cp:coreProperties>
</file>