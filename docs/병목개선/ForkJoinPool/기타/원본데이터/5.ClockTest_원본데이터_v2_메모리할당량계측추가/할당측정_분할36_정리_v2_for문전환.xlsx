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럭 정리" sheetId="1" state="visible" r:id="rId1"/>
    <sheet xmlns:r="http://schemas.openxmlformats.org/officeDocument/2006/relationships" name="구간과 스레드 매핑" sheetId="2" state="visible" r:id="rId2"/>
    <sheet xmlns:r="http://schemas.openxmlformats.org/officeDocument/2006/relationships" name="스레드별 클럭" sheetId="3" state="visible" r:id="rId3"/>
    <sheet xmlns:r="http://schemas.openxmlformats.org/officeDocument/2006/relationships" name="회차별 측정값" sheetId="4" state="visible" r:id="rId4"/>
    <sheet xmlns:r="http://schemas.openxmlformats.org/officeDocument/2006/relationships" name="차트" sheetId="5" state="visible" r:id="rId5"/>
    <sheet xmlns:r="http://schemas.openxmlformats.org/officeDocument/2006/relationships" name="차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hh:mm:ss.000"/>
    <numFmt numFmtId="166" formatCode="0.0"/>
    <numFmt numFmtId="167" formatCode="#,##0.0"/>
    <numFmt numFmtId="168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9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167" fontId="5" fillId="0" borderId="1" pivotButton="0" quotePrefix="0" xfId="0"/>
    <xf numFmtId="3" fontId="5" fillId="0" borderId="1" pivotButton="0" quotePrefix="0" xfId="0"/>
    <xf numFmtId="0" fontId="5" fillId="0" borderId="0" pivotButton="0" quotePrefix="0" xfId="0"/>
    <xf numFmtId="0" fontId="2" fillId="3" borderId="0" pivotButton="0" quotePrefix="0" xfId="0"/>
    <xf numFmtId="2" fontId="6" fillId="0" borderId="0" pivotButton="0" quotePrefix="0" xfId="0"/>
    <xf numFmtId="0" fontId="7" fillId="3" borderId="1" pivotButton="0" quotePrefix="0" xfId="0"/>
    <xf numFmtId="165" fontId="8" fillId="0" borderId="1" pivotButton="0" quotePrefix="0" xfId="0"/>
    <xf numFmtId="2" fontId="8" fillId="0" borderId="1" pivotButton="0" quotePrefix="0" xfId="0"/>
    <xf numFmtId="168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평균 클럭 추이 (전체 평균 + 스레드별)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데이터'!$Q$5:$Q$54</f>
            </numRef>
          </val>
        </ser>
        <ser>
          <idx val="1"/>
          <order val="1"/>
          <tx>
            <strRef>
              <f>'차트 데이터'!R4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데이터'!$R$5:$R$54</f>
            </numRef>
          </val>
        </ser>
        <ser>
          <idx val="2"/>
          <order val="2"/>
          <tx>
            <strRef>
              <f>'차트 데이터'!S4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데이터'!$S$5:$S$54</f>
            </numRef>
          </val>
        </ser>
        <ser>
          <idx val="3"/>
          <order val="3"/>
          <tx>
            <strRef>
              <f>'차트 데이터'!T4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데이터'!$T$5:$T$54</f>
            </numRef>
          </val>
        </ser>
        <ser>
          <idx val="4"/>
          <order val="4"/>
          <tx>
            <strRef>
              <f>'차트 데이터'!U4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데이터'!$U$5:$U$54</f>
            </numRef>
          </val>
        </ser>
        <ser>
          <idx val="5"/>
          <order val="5"/>
          <tx>
            <strRef>
              <f>'차트 데이터'!V4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데이터'!$V$5:$V$54</f>
            </numRef>
          </val>
        </ser>
        <ser>
          <idx val="6"/>
          <order val="6"/>
          <tx>
            <strRef>
              <f>'차트 데이터'!W4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데이터'!$W$5:$W$54</f>
            </numRef>
          </val>
        </ser>
        <ser>
          <idx val="7"/>
          <order val="7"/>
          <tx>
            <strRef>
              <f>'차트 데이터'!X4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데이터'!$X$5:$X$54</f>
            </numRef>
          </val>
        </ser>
        <ser>
          <idx val="8"/>
          <order val="8"/>
          <tx>
            <strRef>
              <f>'차트 데이터'!Y4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데이터'!$Y$5:$Y$54</f>
            </numRef>
          </val>
        </ser>
        <ser>
          <idx val="9"/>
          <order val="9"/>
          <tx>
            <strRef>
              <f>'차트 데이터'!Z4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데이터'!$Z$5:$Z$54</f>
            </numRef>
          </val>
        </ser>
        <ser>
          <idx val="10"/>
          <order val="10"/>
          <tx>
            <strRef>
              <f>'차트 데이터'!AA4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데이터'!$AA$5:$AA$54</f>
            </numRef>
          </val>
        </ser>
        <ser>
          <idx val="11"/>
          <order val="11"/>
          <tx>
            <strRef>
              <f>'차트 데이터'!AB4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데이터'!$AB$5:$AB$54</f>
            </numRef>
          </val>
        </ser>
        <ser>
          <idx val="12"/>
          <order val="12"/>
          <tx>
            <strRef>
              <f>'차트 데이터'!AC4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데이터'!$AC$5:$AC$54</f>
            </numRef>
          </val>
        </ser>
        <ser>
          <idx val="13"/>
          <order val="13"/>
          <tx>
            <strRef>
              <f>'차트 데이터'!AD4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데이터'!$AD$5:$AD$54</f>
            </numRef>
          </val>
        </ser>
        <ser>
          <idx val="14"/>
          <order val="14"/>
          <tx>
            <strRef>
              <f>'차트 데이터'!AE4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데이터'!$AE$5:$AE$54</f>
            </numRef>
          </val>
        </ser>
        <ser>
          <idx val="15"/>
          <order val="15"/>
          <tx>
            <strRef>
              <f>'차트 데이터'!AF4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데이터'!$AF$5:$AF$54</f>
            </numRef>
          </val>
        </ser>
        <ser>
          <idx val="16"/>
          <order val="16"/>
          <tx>
            <strRef>
              <f>'차트 데이터'!AG4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데이터'!$AG$5:$AG$54</f>
            </numRef>
          </val>
        </ser>
        <ser>
          <idx val="17"/>
          <order val="17"/>
          <tx>
            <strRef>
              <f>'차트 데이터'!AH4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데이터'!$AH$5:$AH$54</f>
            </numRef>
          </val>
        </ser>
        <ser>
          <idx val="18"/>
          <order val="18"/>
          <tx>
            <strRef>
              <f>'차트 데이터'!AI4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데이터'!$AI$5:$AI$54</f>
            </numRef>
          </val>
        </ser>
        <ser>
          <idx val="19"/>
          <order val="19"/>
          <tx>
            <strRef>
              <f>'차트 데이터'!AJ4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데이터'!$AJ$5:$AJ$54</f>
            </numRef>
          </val>
        </ser>
        <ser>
          <idx val="20"/>
          <order val="20"/>
          <tx>
            <strRef>
              <f>'차트 데이터'!AK4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데이터'!$AK$5:$AK$54</f>
            </numRef>
          </val>
        </ser>
        <ser>
          <idx val="21"/>
          <order val="21"/>
          <tx>
            <strRef>
              <f>'차트 데이터'!AL4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데이터'!$AL$5:$AL$54</f>
            </numRef>
          </val>
        </ser>
        <ser>
          <idx val="22"/>
          <order val="22"/>
          <tx>
            <strRef>
              <f>'차트 데이터'!AM4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데이터'!$AM$5:$AM$54</f>
            </numRef>
          </val>
        </ser>
        <ser>
          <idx val="23"/>
          <order val="23"/>
          <tx>
            <strRef>
              <f>'차트 데이터'!AN4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데이터'!$AN$5:$AN$54</f>
            </numRef>
          </val>
        </ser>
        <ser>
          <idx val="24"/>
          <order val="24"/>
          <tx>
            <strRef>
              <f>'차트 데이터'!AO4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데이터'!$AO$5:$AO$54</f>
            </numRef>
          </val>
        </ser>
        <ser>
          <idx val="25"/>
          <order val="25"/>
          <tx>
            <strRef>
              <f>'차트 데이터'!AP4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데이터'!$AP$5:$AP$54</f>
            </numRef>
          </val>
        </ser>
        <ser>
          <idx val="26"/>
          <order val="26"/>
          <tx>
            <strRef>
              <f>'차트 데이터'!AQ4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데이터'!$AQ$5:$AQ$54</f>
            </numRef>
          </val>
        </ser>
        <ser>
          <idx val="27"/>
          <order val="27"/>
          <tx>
            <strRef>
              <f>'차트 데이터'!AR4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데이터'!$AR$5:$AR$54</f>
            </numRef>
          </val>
        </ser>
        <ser>
          <idx val="28"/>
          <order val="28"/>
          <tx>
            <strRef>
              <f>'차트 데이터'!AS4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데이터'!$AS$5:$AS$54</f>
            </numRef>
          </val>
        </ser>
        <ser>
          <idx val="29"/>
          <order val="29"/>
          <tx>
            <strRef>
              <f>'차트 데이터'!AT4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데이터'!$AT$5:$AT$54</f>
            </numRef>
          </val>
        </ser>
        <ser>
          <idx val="30"/>
          <order val="30"/>
          <tx>
            <strRef>
              <f>'차트 데이터'!AU4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데이터'!$AU$5:$AU$54</f>
            </numRef>
          </val>
        </ser>
        <ser>
          <idx val="31"/>
          <order val="31"/>
          <tx>
            <strRef>
              <f>'차트 데이터'!AV4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데이터'!$AV$5:$AV$54</f>
            </numRef>
          </val>
        </ser>
        <ser>
          <idx val="32"/>
          <order val="32"/>
          <tx>
            <strRef>
              <f>'차트 데이터'!AW4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데이터'!$AW$5:$AW$54</f>
            </numRef>
          </val>
        </ser>
        <ser>
          <idx val="33"/>
          <order val="33"/>
          <tx>
            <strRef>
              <f>'차트 데이터'!AX4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데이터'!$AX$5:$AX$54</f>
            </numRef>
          </val>
        </ser>
        <ser>
          <idx val="34"/>
          <order val="34"/>
          <tx>
            <strRef>
              <f>'차트 데이터'!AY4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데이터'!$AY$5:$AY$54</f>
            </numRef>
          </val>
        </ser>
        <ser>
          <idx val="35"/>
          <order val="35"/>
          <tx>
            <strRef>
              <f>'차트 데이터'!AZ4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데이터'!$AZ$5:$AZ$54</f>
            </numRef>
          </val>
        </ser>
        <ser>
          <idx val="36"/>
          <order val="36"/>
          <tx>
            <strRef>
              <f>'차트 데이터'!BA4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데이터'!$BA$5:$BA$54</f>
            </numRef>
          </val>
        </ser>
        <ser>
          <idx val="37"/>
          <order val="37"/>
          <tx>
            <strRef>
              <f>'차트 데이터'!BB4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데이터'!$BB$5:$BB$54</f>
            </numRef>
          </val>
        </ser>
        <ser>
          <idx val="38"/>
          <order val="38"/>
          <tx>
            <strRef>
              <f>'차트 데이터'!BC4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데이터'!$BC$5:$BC$54</f>
            </numRef>
          </val>
        </ser>
        <ser>
          <idx val="39"/>
          <order val="39"/>
          <tx>
            <strRef>
              <f>'차트 데이터'!BD4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데이터'!$BD$5:$BD$54</f>
            </numRef>
          </val>
        </ser>
        <ser>
          <idx val="40"/>
          <order val="40"/>
          <tx>
            <strRef>
              <f>'차트 데이터'!BE4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데이터'!$BE$5:$BE$54</f>
            </numRef>
          </val>
        </ser>
        <ser>
          <idx val="41"/>
          <order val="41"/>
          <tx>
            <strRef>
              <f>'차트 데이터'!BF4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데이터'!$BF$5:$BF$54</f>
            </numRef>
          </val>
        </ser>
        <ser>
          <idx val="42"/>
          <order val="42"/>
          <tx>
            <strRef>
              <f>'차트 데이터'!BG4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데이터'!$BG$5:$BG$54</f>
            </numRef>
          </val>
        </ser>
        <ser>
          <idx val="43"/>
          <order val="43"/>
          <tx>
            <strRef>
              <f>'차트 데이터'!BH4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데이터'!$BH$5:$BH$54</f>
            </numRef>
          </val>
        </ser>
        <ser>
          <idx val="44"/>
          <order val="44"/>
          <tx>
            <strRef>
              <f>'차트 데이터'!BI4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데이터'!$BI$5:$BI$54</f>
            </numRef>
          </val>
        </ser>
        <ser>
          <idx val="45"/>
          <order val="45"/>
          <tx>
            <strRef>
              <f>'차트 데이터'!BJ4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데이터'!$BJ$5:$BJ$54</f>
            </numRef>
          </val>
        </ser>
        <ser>
          <idx val="46"/>
          <order val="46"/>
          <tx>
            <strRef>
              <f>'차트 데이터'!BK4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데이터'!$BK$5:$BK$54</f>
            </numRef>
          </val>
        </ser>
        <ser>
          <idx val="47"/>
          <order val="47"/>
          <tx>
            <strRef>
              <f>'차트 데이터'!BL4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데이터'!$BL$5:$BL$54</f>
            </numRef>
          </val>
        </ser>
        <ser>
          <idx val="48"/>
          <order val="48"/>
          <tx>
            <strRef>
              <f>'차트 데이터'!BM4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데이터'!$BM$5:$BM$54</f>
            </numRef>
          </val>
        </ser>
        <ser>
          <idx val="49"/>
          <order val="49"/>
          <tx>
            <strRef>
              <f>'차트 데이터'!BN4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데이터'!$BN$5:$BN$54</f>
            </numRef>
          </val>
        </ser>
        <ser>
          <idx val="50"/>
          <order val="50"/>
          <tx>
            <strRef>
              <f>'차트 데이터'!BO4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데이터'!$BO$5:$BO$54</f>
            </numRef>
          </val>
        </ser>
        <ser>
          <idx val="51"/>
          <order val="51"/>
          <tx>
            <strRef>
              <f>'차트 데이터'!BP4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데이터'!$BP$5:$BP$54</f>
            </numRef>
          </val>
        </ser>
        <ser>
          <idx val="52"/>
          <order val="52"/>
          <tx>
            <strRef>
              <f>'차트 데이터'!BQ4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데이터'!$BQ$5:$BQ$54</f>
            </numRef>
          </val>
        </ser>
        <ser>
          <idx val="53"/>
          <order val="53"/>
          <tx>
            <strRef>
              <f>'차트 데이터'!BR4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데이터'!$BR$5:$BR$54</f>
            </numRef>
          </val>
        </ser>
        <ser>
          <idx val="54"/>
          <order val="54"/>
          <tx>
            <strRef>
              <f>'차트 데이터'!BS4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데이터'!$BS$5:$BS$54</f>
            </numRef>
          </val>
        </ser>
        <ser>
          <idx val="55"/>
          <order val="55"/>
          <tx>
            <strRef>
              <f>'차트 데이터'!BT4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데이터'!$BT$5:$BT$54</f>
            </numRef>
          </val>
        </ser>
        <ser>
          <idx val="56"/>
          <order val="56"/>
          <tx>
            <strRef>
              <f>'차트 데이터'!BU4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데이터'!$BU$5:$BU$54</f>
            </numRef>
          </val>
        </ser>
        <ser>
          <idx val="57"/>
          <order val="57"/>
          <tx>
            <strRef>
              <f>'차트 데이터'!BV4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데이터'!$BV$5:$BV$54</f>
            </numRef>
          </val>
        </ser>
        <ser>
          <idx val="58"/>
          <order val="58"/>
          <tx>
            <strRef>
              <f>'차트 데이터'!BW4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데이터'!$BW$5:$BW$54</f>
            </numRef>
          </val>
        </ser>
        <ser>
          <idx val="59"/>
          <order val="59"/>
          <tx>
            <strRef>
              <f>'차트 데이터'!BX4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데이터'!$BX$5:$BX$54</f>
            </numRef>
          </val>
        </ser>
        <ser>
          <idx val="60"/>
          <order val="60"/>
          <tx>
            <strRef>
              <f>'차트 데이터'!BY4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데이터'!$BY$5:$BY$54</f>
            </numRef>
          </val>
        </ser>
        <ser>
          <idx val="61"/>
          <order val="61"/>
          <tx>
            <strRef>
              <f>'차트 데이터'!BZ4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데이터'!$BZ$5:$BZ$54</f>
            </numRef>
          </val>
        </ser>
        <ser>
          <idx val="62"/>
          <order val="62"/>
          <tx>
            <strRef>
              <f>'차트 데이터'!CA4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데이터'!$CA$5:$CA$54</f>
            </numRef>
          </val>
        </ser>
        <ser>
          <idx val="63"/>
          <order val="63"/>
          <tx>
            <strRef>
              <f>'차트 데이터'!CB4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데이터'!$CB$5:$CB$54</f>
            </numRef>
          </val>
        </ser>
        <ser>
          <idx val="64"/>
          <order val="64"/>
          <tx>
            <strRef>
              <f>'차트 데이터'!CC4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데이터'!$CC$5:$CC$54</f>
            </numRef>
          </val>
        </ser>
        <ser>
          <idx val="65"/>
          <order val="65"/>
          <tx>
            <strRef>
              <f>'차트 데이터'!CD4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데이터'!$CD$5:$CD$54</f>
            </numRef>
          </val>
        </ser>
        <ser>
          <idx val="66"/>
          <order val="66"/>
          <tx>
            <strRef>
              <f>'차트 데이터'!CE4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데이터'!$CE$5:$CE$54</f>
            </numRef>
          </val>
        </ser>
        <ser>
          <idx val="67"/>
          <order val="67"/>
          <tx>
            <strRef>
              <f>'차트 데이터'!CF4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데이터'!$CF$5:$CF$54</f>
            </numRef>
          </val>
        </ser>
        <ser>
          <idx val="68"/>
          <order val="68"/>
          <tx>
            <strRef>
              <f>'차트 데이터'!CG4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데이터'!$CG$5:$CG$54</f>
            </numRef>
          </val>
        </ser>
        <ser>
          <idx val="69"/>
          <order val="69"/>
          <tx>
            <strRef>
              <f>'차트 데이터'!CH4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데이터'!$CH$5:$CH$54</f>
            </numRef>
          </val>
        </ser>
        <ser>
          <idx val="70"/>
          <order val="70"/>
          <tx>
            <strRef>
              <f>'차트 데이터'!CI4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데이터'!$CI$5:$CI$54</f>
            </numRef>
          </val>
        </ser>
        <ser>
          <idx val="71"/>
          <order val="71"/>
          <tx>
            <strRef>
              <f>'차트 데이터'!CJ4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데이터'!$CJ$5:$CJ$54</f>
            </numRef>
          </val>
        </ser>
        <ser>
          <idx val="72"/>
          <order val="72"/>
          <tx>
            <strRef>
              <f>'차트 데이터'!CK4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데이터'!$CK$5:$CK$54</f>
            </numRef>
          </val>
        </ser>
        <ser>
          <idx val="73"/>
          <order val="73"/>
          <tx>
            <strRef>
              <f>'차트 데이터'!CL4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데이터'!$CL$5:$CL$54</f>
            </numRef>
          </val>
        </ser>
        <ser>
          <idx val="74"/>
          <order val="74"/>
          <tx>
            <strRef>
              <f>'차트 데이터'!CM4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데이터'!$CM$5:$CM$54</f>
            </numRef>
          </val>
        </ser>
        <ser>
          <idx val="75"/>
          <order val="75"/>
          <tx>
            <strRef>
              <f>'차트 데이터'!CN4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데이터'!$CN$5:$CN$54</f>
            </numRef>
          </val>
        </ser>
        <ser>
          <idx val="76"/>
          <order val="76"/>
          <tx>
            <strRef>
              <f>'차트 데이터'!CO4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데이터'!$CO$5:$CO$54</f>
            </numRef>
          </val>
        </ser>
        <ser>
          <idx val="77"/>
          <order val="77"/>
          <tx>
            <strRef>
              <f>'차트 데이터'!CP4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데이터'!$CP$5:$CP$54</f>
            </numRef>
          </val>
        </ser>
        <ser>
          <idx val="78"/>
          <order val="78"/>
          <tx>
            <strRef>
              <f>'차트 데이터'!CQ4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데이터'!$CQ$5:$CQ$54</f>
            </numRef>
          </val>
        </ser>
        <ser>
          <idx val="79"/>
          <order val="79"/>
          <tx>
            <strRef>
              <f>'차트 데이터'!CR4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데이터'!$CR$5:$CR$54</f>
            </numRef>
          </val>
        </ser>
        <ser>
          <idx val="80"/>
          <order val="80"/>
          <tx>
            <strRef>
              <f>'차트 데이터'!CS4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데이터'!$CS$5:$CS$54</f>
            </numRef>
          </val>
        </ser>
        <ser>
          <idx val="81"/>
          <order val="81"/>
          <tx>
            <strRef>
              <f>'차트 데이터'!CT4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데이터'!$CT$5:$CT$54</f>
            </numRef>
          </val>
        </ser>
        <ser>
          <idx val="82"/>
          <order val="82"/>
          <tx>
            <strRef>
              <f>'차트 데이터'!CU4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데이터'!$CU$5:$CU$54</f>
            </numRef>
          </val>
        </ser>
        <ser>
          <idx val="83"/>
          <order val="83"/>
          <tx>
            <strRef>
              <f>'차트 데이터'!CV4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데이터'!$CV$5:$CV$54</f>
            </numRef>
          </val>
        </ser>
        <ser>
          <idx val="84"/>
          <order val="84"/>
          <tx>
            <strRef>
              <f>'차트 데이터'!CW4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데이터'!$CW$5:$CW$54</f>
            </numRef>
          </val>
        </ser>
        <ser>
          <idx val="85"/>
          <order val="85"/>
          <tx>
            <strRef>
              <f>'차트 데이터'!CX4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데이터'!$CX$5:$CX$54</f>
            </numRef>
          </val>
        </ser>
        <ser>
          <idx val="86"/>
          <order val="86"/>
          <tx>
            <strRef>
              <f>'차트 데이터'!CY4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데이터'!$CY$5:$CY$54</f>
            </numRef>
          </val>
        </ser>
        <ser>
          <idx val="87"/>
          <order val="87"/>
          <tx>
            <strRef>
              <f>'차트 데이터'!CZ4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데이터'!$CZ$5:$CZ$54</f>
            </numRef>
          </val>
        </ser>
        <ser>
          <idx val="88"/>
          <order val="88"/>
          <tx>
            <strRef>
              <f>'차트 데이터'!DA4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데이터'!$DA$5:$DA$54</f>
            </numRef>
          </val>
        </ser>
        <ser>
          <idx val="89"/>
          <order val="89"/>
          <tx>
            <strRef>
              <f>'차트 데이터'!DB4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데이터'!$DB$5:$DB$54</f>
            </numRef>
          </val>
        </ser>
        <ser>
          <idx val="90"/>
          <order val="90"/>
          <tx>
            <strRef>
              <f>'차트 데이터'!DC4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데이터'!$DC$5:$DC$54</f>
            </numRef>
          </val>
        </ser>
        <ser>
          <idx val="91"/>
          <order val="91"/>
          <tx>
            <strRef>
              <f>'차트 데이터'!DD4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데이터'!$DD$5:$DD$54</f>
            </numRef>
          </val>
        </ser>
        <ser>
          <idx val="92"/>
          <order val="92"/>
          <tx>
            <strRef>
              <f>'차트 데이터'!DE4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데이터'!$DE$5:$DE$54</f>
            </numRef>
          </val>
        </ser>
        <ser>
          <idx val="93"/>
          <order val="93"/>
          <tx>
            <strRef>
              <f>'차트 데이터'!DF4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데이터'!$DF$5:$DF$54</f>
            </numRef>
          </val>
        </ser>
        <ser>
          <idx val="94"/>
          <order val="94"/>
          <tx>
            <strRef>
              <f>'차트 데이터'!DG4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데이터'!$P$5:$P$54</f>
            </numRef>
          </cat>
          <val>
            <numRef>
              <f>'차트 데이터'!$DG$5:$DG$54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  <tickLblSkip val="10"/>
        <tickMarkSkip val="1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클럭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'차트'!$B$4:$B$11</f>
            </numRef>
          </val>
        </ser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'차트'!$C$4:$C$11</f>
            </numRef>
          </val>
        </ser>
        <ser>
          <idx val="2"/>
          <order val="2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구간 종류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36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데이터'!$B$5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데이터'!$C$5</f>
            </numRef>
          </val>
        </ser>
        <ser>
          <idx val="2"/>
          <order val="2"/>
          <tx>
            <strRef>
              <f>'차트 데이터'!D4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데이터'!$D$5</f>
            </numRef>
          </val>
        </ser>
        <ser>
          <idx val="3"/>
          <order val="3"/>
          <tx>
            <strRef>
              <f>'차트 데이터'!E4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데이터'!$E$5</f>
            </numRef>
          </val>
        </ser>
        <ser>
          <idx val="4"/>
          <order val="4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데이터'!$F$5</f>
            </numRef>
          </val>
        </ser>
        <ser>
          <idx val="5"/>
          <order val="5"/>
          <tx>
            <strRef>
              <f>'차트 데이터'!G4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데이터'!$G$5</f>
            </numRef>
          </val>
        </ser>
        <ser>
          <idx val="6"/>
          <order val="6"/>
          <tx>
            <strRef>
              <f>'차트 데이터'!H4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데이터'!$H$5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36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</f>
            </numRef>
          </cat>
          <val>
            <numRef>
              <f>'차트 데이터'!$B$9</f>
            </numRef>
          </val>
        </ser>
        <ser>
          <idx val="1"/>
          <order val="1"/>
          <tx>
            <strRef>
              <f>'차트 데이터'!C8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</f>
            </numRef>
          </cat>
          <val>
            <numRef>
              <f>'차트 데이터'!$C$9</f>
            </numRef>
          </val>
        </ser>
        <ser>
          <idx val="2"/>
          <order val="2"/>
          <tx>
            <strRef>
              <f>'차트 데이터'!D8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</f>
            </numRef>
          </cat>
          <val>
            <numRef>
              <f>'차트 데이터'!$D$9</f>
            </numRef>
          </val>
        </ser>
        <ser>
          <idx val="3"/>
          <order val="3"/>
          <tx>
            <strRef>
              <f>'차트 데이터'!E8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</f>
            </numRef>
          </cat>
          <val>
            <numRef>
              <f>'차트 데이터'!$E$9</f>
            </numRef>
          </val>
        </ser>
        <ser>
          <idx val="4"/>
          <order val="4"/>
          <tx>
            <strRef>
              <f>'차트 데이터'!F8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</f>
            </numRef>
          </cat>
          <val>
            <numRef>
              <f>'차트 데이터'!$F$9</f>
            </numRef>
          </val>
        </ser>
        <ser>
          <idx val="5"/>
          <order val="5"/>
          <tx>
            <strRef>
              <f>'차트 데이터'!G8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</f>
            </numRef>
          </cat>
          <val>
            <numRef>
              <f>'차트 데이터'!$G$9</f>
            </numRef>
          </val>
        </ser>
        <ser>
          <idx val="6"/>
          <order val="6"/>
          <tx>
            <strRef>
              <f>'차트 데이터'!H8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</f>
            </numRef>
          </cat>
          <val>
            <numRef>
              <f>'차트 데이터'!$H$9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36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데이터'!$A$13</f>
            </numRef>
          </cat>
          <val>
            <numRef>
              <f>'차트 데이터'!$B$13</f>
            </numRef>
          </val>
        </ser>
        <ser>
          <idx val="1"/>
          <order val="1"/>
          <tx>
            <strRef>
              <f>'차트 데이터'!C12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데이터'!$A$13</f>
            </numRef>
          </cat>
          <val>
            <numRef>
              <f>'차트 데이터'!$C$13</f>
            </numRef>
          </val>
        </ser>
        <ser>
          <idx val="2"/>
          <order val="2"/>
          <tx>
            <strRef>
              <f>'차트 데이터'!D12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데이터'!$A$13</f>
            </numRef>
          </cat>
          <val>
            <numRef>
              <f>'차트 데이터'!$D$13</f>
            </numRef>
          </val>
        </ser>
        <ser>
          <idx val="3"/>
          <order val="3"/>
          <tx>
            <strRef>
              <f>'차트 데이터'!E12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데이터'!$A$13</f>
            </numRef>
          </cat>
          <val>
            <numRef>
              <f>'차트 데이터'!$E$13</f>
            </numRef>
          </val>
        </ser>
        <ser>
          <idx val="4"/>
          <order val="4"/>
          <tx>
            <strRef>
              <f>'차트 데이터'!F12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데이터'!$A$13</f>
            </numRef>
          </cat>
          <val>
            <numRef>
              <f>'차트 데이터'!$F$13</f>
            </numRef>
          </val>
        </ser>
        <ser>
          <idx val="5"/>
          <order val="5"/>
          <tx>
            <strRef>
              <f>'차트 데이터'!G12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데이터'!$A$13</f>
            </numRef>
          </cat>
          <val>
            <numRef>
              <f>'차트 데이터'!$G$13</f>
            </numRef>
          </val>
        </ser>
        <ser>
          <idx val="6"/>
          <order val="6"/>
          <tx>
            <strRef>
              <f>'차트 데이터'!H12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데이터'!$A$13</f>
            </numRef>
          </cat>
          <val>
            <numRef>
              <f>'차트 데이터'!$H$13</f>
            </numRef>
          </val>
        </ser>
        <ser>
          <idx val="7"/>
          <order val="7"/>
          <tx>
            <strRef>
              <f>'차트 데이터'!I12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데이터'!$A$13</f>
            </numRef>
          </cat>
          <val>
            <numRef>
              <f>'차트 데이터'!$I$13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36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데이터'!$A$17</f>
            </numRef>
          </cat>
          <val>
            <numRef>
              <f>'차트 데이터'!$B$17</f>
            </numRef>
          </val>
        </ser>
        <ser>
          <idx val="1"/>
          <order val="1"/>
          <tx>
            <strRef>
              <f>'차트 데이터'!C16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데이터'!$A$17</f>
            </numRef>
          </cat>
          <val>
            <numRef>
              <f>'차트 데이터'!$C$17</f>
            </numRef>
          </val>
        </ser>
        <ser>
          <idx val="2"/>
          <order val="2"/>
          <tx>
            <strRef>
              <f>'차트 데이터'!D16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데이터'!$A$17</f>
            </numRef>
          </cat>
          <val>
            <numRef>
              <f>'차트 데이터'!$D$17</f>
            </numRef>
          </val>
        </ser>
        <ser>
          <idx val="3"/>
          <order val="3"/>
          <tx>
            <strRef>
              <f>'차트 데이터'!E16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데이터'!$A$17</f>
            </numRef>
          </cat>
          <val>
            <numRef>
              <f>'차트 데이터'!$E$17</f>
            </numRef>
          </val>
        </ser>
        <ser>
          <idx val="4"/>
          <order val="4"/>
          <tx>
            <strRef>
              <f>'차트 데이터'!F16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데이터'!$A$17</f>
            </numRef>
          </cat>
          <val>
            <numRef>
              <f>'차트 데이터'!$F$17</f>
            </numRef>
          </val>
        </ser>
        <ser>
          <idx val="5"/>
          <order val="5"/>
          <tx>
            <strRef>
              <f>'차트 데이터'!G16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데이터'!$A$17</f>
            </numRef>
          </cat>
          <val>
            <numRef>
              <f>'차트 데이터'!$G$17</f>
            </numRef>
          </val>
        </ser>
        <ser>
          <idx val="6"/>
          <order val="6"/>
          <tx>
            <strRef>
              <f>'차트 데이터'!H16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데이터'!$A$17</f>
            </numRef>
          </cat>
          <val>
            <numRef>
              <f>'차트 데이터'!$H$17</f>
            </numRef>
          </val>
        </ser>
        <ser>
          <idx val="7"/>
          <order val="7"/>
          <tx>
            <strRef>
              <f>'차트 데이터'!I16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데이터'!$A$17</f>
            </numRef>
          </cat>
          <val>
            <numRef>
              <f>'차트 데이터'!$I$17</f>
            </numRef>
          </val>
        </ser>
        <ser>
          <idx val="8"/>
          <order val="8"/>
          <tx>
            <strRef>
              <f>'차트 데이터'!J16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데이터'!$A$17</f>
            </numRef>
          </cat>
          <val>
            <numRef>
              <f>'차트 데이터'!$J$17</f>
            </numRef>
          </val>
        </ser>
        <ser>
          <idx val="9"/>
          <order val="9"/>
          <tx>
            <strRef>
              <f>'차트 데이터'!K16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데이터'!$A$17</f>
            </numRef>
          </cat>
          <val>
            <numRef>
              <f>'차트 데이터'!$K$17</f>
            </numRef>
          </val>
        </ser>
        <ser>
          <idx val="10"/>
          <order val="10"/>
          <tx>
            <strRef>
              <f>'차트 데이터'!L16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데이터'!$A$17</f>
            </numRef>
          </cat>
          <val>
            <numRef>
              <f>'차트 데이터'!$L$17</f>
            </numRef>
          </val>
        </ser>
        <ser>
          <idx val="11"/>
          <order val="11"/>
          <tx>
            <strRef>
              <f>'차트 데이터'!M16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데이터'!$A$17</f>
            </numRef>
          </cat>
          <val>
            <numRef>
              <f>'차트 데이터'!$M$17</f>
            </numRef>
          </val>
        </ser>
        <ser>
          <idx val="12"/>
          <order val="12"/>
          <tx>
            <strRef>
              <f>'차트 데이터'!N16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데이터'!$A$17</f>
            </numRef>
          </cat>
          <val>
            <numRef>
              <f>'차트 데이터'!$N$17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77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논리 프로세서별 CPU 클럭, 표본 간격은 기록 도구 설정 (typeperf % Processor Performance)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출처: 작업 관리자 성능 탭의 기본 속도. GHz = 백분율 × 기본 클럭 ÷ 100</t>
        </is>
      </c>
    </row>
    <row r="3">
      <c r="A3" s="4" t="inlineStr">
        <is>
          <t>각 표본은 그 시각까지의 직전 표본 간격 구간의 평균이다. 백분율은 기본 클럭 대비 값이라 터보 구간에서 100을 넘는다.</t>
        </is>
      </c>
    </row>
    <row r="5">
      <c r="A5" s="5" t="inlineStr">
        <is>
          <t>시각</t>
        </is>
      </c>
      <c r="B5" s="5" t="inlineStr">
        <is>
          <t>논리 0(%)</t>
        </is>
      </c>
      <c r="C5" s="5" t="inlineStr">
        <is>
          <t>논리 1(%)</t>
        </is>
      </c>
      <c r="D5" s="5" t="inlineStr">
        <is>
          <t>논리 2(%)</t>
        </is>
      </c>
      <c r="E5" s="5" t="inlineStr">
        <is>
          <t>논리 3(%)</t>
        </is>
      </c>
      <c r="F5" s="5" t="inlineStr">
        <is>
          <t>논리 4(%)</t>
        </is>
      </c>
      <c r="G5" s="5" t="inlineStr">
        <is>
          <t>논리 5(%)</t>
        </is>
      </c>
      <c r="H5" s="5" t="inlineStr">
        <is>
          <t>논리 6(%)</t>
        </is>
      </c>
      <c r="I5" s="5" t="inlineStr">
        <is>
          <t>논리 7(%)</t>
        </is>
      </c>
      <c r="J5" s="5" t="inlineStr">
        <is>
          <t>논리 8(%)</t>
        </is>
      </c>
      <c r="K5" s="5" t="inlineStr">
        <is>
          <t>논리 9(%)</t>
        </is>
      </c>
      <c r="L5" s="5" t="inlineStr">
        <is>
          <t>논리 10(%)</t>
        </is>
      </c>
      <c r="M5" s="5" t="inlineStr">
        <is>
          <t>논리 11(%)</t>
        </is>
      </c>
      <c r="N5" s="5" t="inlineStr">
        <is>
          <t>전체 평균(%)</t>
        </is>
      </c>
      <c r="O5" s="5" t="inlineStr">
        <is>
          <t>전체 평균(GHz)</t>
        </is>
      </c>
    </row>
    <row r="6">
      <c r="A6" s="6" t="n">
        <v>46238.73837266204</v>
      </c>
      <c r="B6" s="7" t="n">
        <v>149.3843765495671</v>
      </c>
      <c r="C6" s="7" t="n">
        <v>157.5188686354859</v>
      </c>
      <c r="D6" s="7" t="n">
        <v>144.4033559645048</v>
      </c>
      <c r="E6" s="7" t="n">
        <v>150.4240392865898</v>
      </c>
      <c r="F6" s="7" t="n">
        <v>153.5052107393691</v>
      </c>
      <c r="G6" s="7" t="n">
        <v>137.342536956868</v>
      </c>
      <c r="H6" s="7" t="n">
        <v>145.3678288074948</v>
      </c>
      <c r="I6" s="7" t="n">
        <v>150.4674417085755</v>
      </c>
      <c r="J6" s="7" t="n">
        <v>144.526776086267</v>
      </c>
      <c r="K6" s="7" t="n">
        <v>140.0132544421265</v>
      </c>
      <c r="L6" s="7" t="n">
        <v>144.6234334250023</v>
      </c>
      <c r="M6" s="7" t="n">
        <v>146.2374931396969</v>
      </c>
      <c r="N6" s="7" t="n">
        <v>148.4212444485143</v>
      </c>
      <c r="O6" s="8">
        <f>N6*$B$2/100</f>
        <v/>
      </c>
    </row>
    <row r="7">
      <c r="A7" s="6" t="n">
        <v>46238.73838436342</v>
      </c>
      <c r="B7" s="7" t="n">
        <v>151.2986901606113</v>
      </c>
      <c r="C7" s="7" t="n">
        <v>151.7300111279339</v>
      </c>
      <c r="D7" s="7" t="n">
        <v>151.6152466404525</v>
      </c>
      <c r="E7" s="7" t="n">
        <v>152.0961166225611</v>
      </c>
      <c r="F7" s="7" t="n">
        <v>151.7135044939909</v>
      </c>
      <c r="G7" s="7" t="n">
        <v>151.5643436662932</v>
      </c>
      <c r="H7" s="7" t="n">
        <v>151.3528435166306</v>
      </c>
      <c r="I7" s="7" t="n">
        <v>151.6582778045094</v>
      </c>
      <c r="J7" s="7" t="n">
        <v>151.7797872275864</v>
      </c>
      <c r="K7" s="7" t="n">
        <v>151.726655938764</v>
      </c>
      <c r="L7" s="7" t="n">
        <v>151.4573655199382</v>
      </c>
      <c r="M7" s="7" t="n">
        <v>151.6203871925113</v>
      </c>
      <c r="N7" s="7" t="n">
        <v>151.6178189934052</v>
      </c>
      <c r="O7" s="8">
        <f>N7*$B$2/100</f>
        <v/>
      </c>
    </row>
    <row r="8">
      <c r="A8" s="6" t="n">
        <v>46238.73839612269</v>
      </c>
      <c r="B8" s="7" t="n">
        <v>151.4980785007988</v>
      </c>
      <c r="C8" s="7" t="n">
        <v>151.7247782374774</v>
      </c>
      <c r="D8" s="7" t="n">
        <v>151.70403415851</v>
      </c>
      <c r="E8" s="7" t="n">
        <v>152.2669431021264</v>
      </c>
      <c r="F8" s="7" t="n">
        <v>151.7336512910007</v>
      </c>
      <c r="G8" s="7" t="n">
        <v>151.6607534645487</v>
      </c>
      <c r="H8" s="7" t="n">
        <v>151.81395506375</v>
      </c>
      <c r="I8" s="7" t="n">
        <v>151.7467174882988</v>
      </c>
      <c r="J8" s="7" t="n">
        <v>151.5915806345537</v>
      </c>
      <c r="K8" s="7" t="n">
        <v>151.7414340775185</v>
      </c>
      <c r="L8" s="7" t="n">
        <v>151.6422325864021</v>
      </c>
      <c r="M8" s="7" t="n">
        <v>151.7034343417666</v>
      </c>
      <c r="N8" s="7" t="n">
        <v>151.7562814969791</v>
      </c>
      <c r="O8" s="8">
        <f>N8*$B$2/100</f>
        <v/>
      </c>
    </row>
    <row r="9">
      <c r="A9" s="6" t="n">
        <v>46238.73840782407</v>
      </c>
      <c r="B9" s="7" t="n">
        <v>150.6530759912957</v>
      </c>
      <c r="C9" s="7" t="n">
        <v>154.8715068831918</v>
      </c>
      <c r="D9" s="7" t="n">
        <v>153.8322434883003</v>
      </c>
      <c r="E9" s="7" t="n">
        <v>159.6621724102729</v>
      </c>
      <c r="F9" s="7" t="n">
        <v>145.0194337597281</v>
      </c>
      <c r="G9" s="7" t="n">
        <v>134.1537976053087</v>
      </c>
      <c r="H9" s="7" t="n">
        <v>146.8955227520281</v>
      </c>
      <c r="I9" s="7" t="n">
        <v>147.9571798639035</v>
      </c>
      <c r="J9" s="7" t="n">
        <v>143.7939650756694</v>
      </c>
      <c r="K9" s="7" t="n">
        <v>137.5804097670502</v>
      </c>
      <c r="L9" s="7" t="n">
        <v>140.9987283893834</v>
      </c>
      <c r="M9" s="7" t="n">
        <v>123.0821176116709</v>
      </c>
      <c r="N9" s="7" t="n">
        <v>148.7439931843672</v>
      </c>
      <c r="O9" s="8">
        <f>N9*$B$2/100</f>
        <v/>
      </c>
    </row>
    <row r="10">
      <c r="A10" s="6" t="n">
        <v>46238.73841944445</v>
      </c>
      <c r="B10" s="7" t="n">
        <v>137.837305104218</v>
      </c>
      <c r="C10" s="7" t="n">
        <v>121.3624485412565</v>
      </c>
      <c r="D10" s="7" t="n">
        <v>156.1384414432652</v>
      </c>
      <c r="E10" s="7" t="n">
        <v>147.2166702770356</v>
      </c>
      <c r="F10" s="7" t="n">
        <v>147.9164489250077</v>
      </c>
      <c r="G10" s="7" t="n">
        <v>139.8239459123093</v>
      </c>
      <c r="H10" s="7" t="n">
        <v>143.4237231407725</v>
      </c>
      <c r="I10" s="7" t="n">
        <v>156.1753482685585</v>
      </c>
      <c r="J10" s="7" t="n">
        <v>149.3798487388406</v>
      </c>
      <c r="K10" s="7" t="n">
        <v>126.3034510433387</v>
      </c>
      <c r="L10" s="7" t="n">
        <v>133.5502413617886</v>
      </c>
      <c r="M10" s="7" t="n">
        <v>116.4752625760088</v>
      </c>
      <c r="N10" s="7" t="n">
        <v>148.200337662683</v>
      </c>
      <c r="O10" s="8">
        <f>N10*$B$2/100</f>
        <v/>
      </c>
    </row>
    <row r="11">
      <c r="A11" s="6" t="n">
        <v>46238.73843105324</v>
      </c>
      <c r="B11" s="7" t="n">
        <v>154.6621323619162</v>
      </c>
      <c r="C11" s="7" t="n">
        <v>155.4468741813492</v>
      </c>
      <c r="D11" s="7" t="n">
        <v>150.2878485267076</v>
      </c>
      <c r="E11" s="7" t="n">
        <v>151.1829113954977</v>
      </c>
      <c r="F11" s="7" t="n">
        <v>151.645943443766</v>
      </c>
      <c r="G11" s="7" t="n">
        <v>151.0177607013366</v>
      </c>
      <c r="H11" s="7" t="n">
        <v>150.307363509979</v>
      </c>
      <c r="I11" s="7" t="n">
        <v>150.3426954713234</v>
      </c>
      <c r="J11" s="7" t="n">
        <v>154.5595100411354</v>
      </c>
      <c r="K11" s="7" t="n">
        <v>151.406004267176</v>
      </c>
      <c r="L11" s="7" t="n">
        <v>148.6391665800171</v>
      </c>
      <c r="M11" s="7" t="n">
        <v>150.4420358895847</v>
      </c>
      <c r="N11" s="7" t="n">
        <v>152.1476727218897</v>
      </c>
      <c r="O11" s="8">
        <f>N11*$B$2/100</f>
        <v/>
      </c>
    </row>
    <row r="12">
      <c r="A12" s="6" t="n">
        <v>46238.73844266203</v>
      </c>
      <c r="B12" s="7" t="n">
        <v>149.97607249139</v>
      </c>
      <c r="C12" s="7" t="n">
        <v>152.8823902038812</v>
      </c>
      <c r="D12" s="7" t="n">
        <v>150.2644429050652</v>
      </c>
      <c r="E12" s="7" t="n">
        <v>150.8126855310472</v>
      </c>
      <c r="F12" s="7" t="n">
        <v>150.6234118173997</v>
      </c>
      <c r="G12" s="7" t="n">
        <v>149.6265923840855</v>
      </c>
      <c r="H12" s="7" t="n">
        <v>151.5965059245608</v>
      </c>
      <c r="I12" s="7" t="n">
        <v>149.871921756493</v>
      </c>
      <c r="J12" s="7" t="n">
        <v>150.007022710131</v>
      </c>
      <c r="K12" s="7" t="n">
        <v>149.9705580960879</v>
      </c>
      <c r="L12" s="7" t="n">
        <v>150.4325285816425</v>
      </c>
      <c r="M12" s="7" t="n">
        <v>152.8902386802628</v>
      </c>
      <c r="N12" s="7" t="n">
        <v>150.87920512877</v>
      </c>
      <c r="O12" s="8">
        <f>N12*$B$2/100</f>
        <v/>
      </c>
    </row>
    <row r="13">
      <c r="A13" s="6" t="n">
        <v>46238.73845425926</v>
      </c>
      <c r="B13" s="7" t="n">
        <v>148.5843308574839</v>
      </c>
      <c r="C13" s="7" t="n">
        <v>153.2777558436897</v>
      </c>
      <c r="D13" s="7" t="n">
        <v>158.1923293646585</v>
      </c>
      <c r="E13" s="7" t="n">
        <v>151.5430108437818</v>
      </c>
      <c r="F13" s="7" t="n">
        <v>148.0454052020636</v>
      </c>
      <c r="G13" s="7" t="n">
        <v>147.2134105663939</v>
      </c>
      <c r="H13" s="7" t="n">
        <v>150.1822476163122</v>
      </c>
      <c r="I13" s="7" t="n">
        <v>147.3807205648649</v>
      </c>
      <c r="J13" s="7" t="n">
        <v>150.2822740019951</v>
      </c>
      <c r="K13" s="7" t="n">
        <v>149.3312195841321</v>
      </c>
      <c r="L13" s="7" t="n">
        <v>148.793023358589</v>
      </c>
      <c r="M13" s="7" t="n">
        <v>137.32748727067</v>
      </c>
      <c r="N13" s="7" t="n">
        <v>150.821537046102</v>
      </c>
      <c r="O13" s="8">
        <f>N13*$B$2/100</f>
        <v/>
      </c>
    </row>
    <row r="14">
      <c r="A14" s="6" t="n">
        <v>46238.73846599537</v>
      </c>
      <c r="B14" s="7" t="n">
        <v>151.2571698440869</v>
      </c>
      <c r="C14" s="7" t="n">
        <v>152.3837827864335</v>
      </c>
      <c r="D14" s="7" t="n">
        <v>151.5266747979875</v>
      </c>
      <c r="E14" s="7" t="n">
        <v>151.3960043147237</v>
      </c>
      <c r="F14" s="7" t="n">
        <v>151.4033664683049</v>
      </c>
      <c r="G14" s="7" t="n">
        <v>151.3058319420184</v>
      </c>
      <c r="H14" s="7" t="n">
        <v>151.6826978214463</v>
      </c>
      <c r="I14" s="7" t="n">
        <v>152.1232499939257</v>
      </c>
      <c r="J14" s="7" t="n">
        <v>151.2345818008957</v>
      </c>
      <c r="K14" s="7" t="n">
        <v>151.3990548250447</v>
      </c>
      <c r="L14" s="7" t="n">
        <v>151.533148497813</v>
      </c>
      <c r="M14" s="7" t="n">
        <v>151.9880915871519</v>
      </c>
      <c r="N14" s="7" t="n">
        <v>151.6207511252873</v>
      </c>
      <c r="O14" s="8">
        <f>N14*$B$2/100</f>
        <v/>
      </c>
    </row>
    <row r="15">
      <c r="A15" s="6" t="n">
        <v>46238.73847756944</v>
      </c>
      <c r="B15" s="7" t="n">
        <v>151.8025479632416</v>
      </c>
      <c r="C15" s="7" t="n">
        <v>151.5278478346851</v>
      </c>
      <c r="D15" s="7" t="n">
        <v>151.7144947002657</v>
      </c>
      <c r="E15" s="7" t="n">
        <v>151.929525551491</v>
      </c>
      <c r="F15" s="7" t="n">
        <v>151.7033303516136</v>
      </c>
      <c r="G15" s="7" t="n">
        <v>157.2286610278042</v>
      </c>
      <c r="H15" s="7" t="n">
        <v>150.7749098970351</v>
      </c>
      <c r="I15" s="7" t="n">
        <v>151.1625985992508</v>
      </c>
      <c r="J15" s="7" t="n">
        <v>151.5024081888046</v>
      </c>
      <c r="K15" s="7" t="n">
        <v>152.4759038375076</v>
      </c>
      <c r="L15" s="7" t="n">
        <v>153.2851310899305</v>
      </c>
      <c r="M15" s="7" t="n">
        <v>153.1015371157211</v>
      </c>
      <c r="N15" s="7" t="n">
        <v>152.3545953710718</v>
      </c>
      <c r="O15" s="8">
        <f>N15*$B$2/100</f>
        <v/>
      </c>
    </row>
    <row r="16">
      <c r="A16" s="6" t="n">
        <v>46238.73848920139</v>
      </c>
      <c r="B16" s="7" t="n">
        <v>154.3120324124617</v>
      </c>
      <c r="C16" s="7" t="n">
        <v>153.4976675502494</v>
      </c>
      <c r="D16" s="7" t="n">
        <v>153.0494801210789</v>
      </c>
      <c r="E16" s="7" t="n">
        <v>156.4661303069798</v>
      </c>
      <c r="F16" s="7" t="n">
        <v>152.3521696092192</v>
      </c>
      <c r="G16" s="7" t="n">
        <v>152.3600569785989</v>
      </c>
      <c r="H16" s="7" t="n">
        <v>149.76979771958</v>
      </c>
      <c r="I16" s="7" t="n">
        <v>154.4186785444238</v>
      </c>
      <c r="J16" s="7" t="n">
        <v>151.4399533027624</v>
      </c>
      <c r="K16" s="7" t="n">
        <v>150.7852620772258</v>
      </c>
      <c r="L16" s="7" t="n">
        <v>152.0041046690611</v>
      </c>
      <c r="M16" s="7" t="n">
        <v>154.3807833834544</v>
      </c>
      <c r="N16" s="7" t="n">
        <v>153.0672046709203</v>
      </c>
      <c r="O16" s="8">
        <f>N16*$B$2/100</f>
        <v/>
      </c>
    </row>
    <row r="17">
      <c r="A17" s="6" t="n">
        <v>46238.73850092592</v>
      </c>
      <c r="B17" s="7" t="n">
        <v>156.2939030606591</v>
      </c>
      <c r="C17" s="7" t="n">
        <v>155.3085080564319</v>
      </c>
      <c r="D17" s="7" t="n">
        <v>153.6186451277393</v>
      </c>
      <c r="E17" s="7" t="n">
        <v>154.650859008945</v>
      </c>
      <c r="F17" s="7" t="n">
        <v>157.379574066404</v>
      </c>
      <c r="G17" s="7" t="n">
        <v>157.7851480307944</v>
      </c>
      <c r="H17" s="7" t="n">
        <v>151.2824171142649</v>
      </c>
      <c r="I17" s="7" t="n">
        <v>158.3188905379742</v>
      </c>
      <c r="J17" s="7" t="n">
        <v>145.7374594971494</v>
      </c>
      <c r="K17" s="7" t="n">
        <v>140.3238918413829</v>
      </c>
      <c r="L17" s="7" t="n">
        <v>152.2154224474894</v>
      </c>
      <c r="M17" s="7" t="n">
        <v>133.3173638132296</v>
      </c>
      <c r="N17" s="7" t="n">
        <v>154.9945644477115</v>
      </c>
      <c r="O17" s="8">
        <f>N17*$B$2/100</f>
        <v/>
      </c>
    </row>
    <row r="18">
      <c r="A18" s="6" t="n">
        <v>46238.73851262731</v>
      </c>
      <c r="B18" s="7" t="n">
        <v>147.8185323199528</v>
      </c>
      <c r="C18" s="7" t="n">
        <v>154.6450299340048</v>
      </c>
      <c r="D18" s="7" t="n">
        <v>151.4790111823617</v>
      </c>
      <c r="E18" s="7" t="n">
        <v>155.2007845387496</v>
      </c>
      <c r="F18" s="7" t="n">
        <v>152.3935076696896</v>
      </c>
      <c r="G18" s="7" t="n">
        <v>152.8995080859957</v>
      </c>
      <c r="H18" s="7" t="n">
        <v>152.1493250554324</v>
      </c>
      <c r="I18" s="7" t="n">
        <v>154.7763652775688</v>
      </c>
      <c r="J18" s="7" t="n">
        <v>149.9939019902642</v>
      </c>
      <c r="K18" s="7" t="n">
        <v>155.8638350711868</v>
      </c>
      <c r="L18" s="7" t="n">
        <v>146.3129524159471</v>
      </c>
      <c r="M18" s="7" t="n">
        <v>151.3957576430645</v>
      </c>
      <c r="N18" s="7" t="n">
        <v>152.5954579586034</v>
      </c>
      <c r="O18" s="8">
        <f>N18*$B$2/100</f>
        <v/>
      </c>
    </row>
    <row r="19">
      <c r="A19" s="6" t="n">
        <v>46238.73852425926</v>
      </c>
      <c r="B19" s="7" t="n">
        <v>149.796357245891</v>
      </c>
      <c r="C19" s="7" t="n">
        <v>151.7944869831547</v>
      </c>
      <c r="D19" s="7" t="n">
        <v>143.7479932984922</v>
      </c>
      <c r="E19" s="7" t="n">
        <v>158.365784489053</v>
      </c>
      <c r="F19" s="7" t="n">
        <v>157.2055108096651</v>
      </c>
      <c r="G19" s="7" t="n">
        <v>155.7430937338268</v>
      </c>
      <c r="H19" s="7" t="n">
        <v>156.5103681415287</v>
      </c>
      <c r="I19" s="7" t="n">
        <v>160.3753155156806</v>
      </c>
      <c r="J19" s="7" t="n">
        <v>159.1791255642869</v>
      </c>
      <c r="K19" s="7" t="n">
        <v>158.8350099731159</v>
      </c>
      <c r="L19" s="7" t="n">
        <v>147.1857570782208</v>
      </c>
      <c r="M19" s="7" t="n">
        <v>151.384011881316</v>
      </c>
      <c r="N19" s="7" t="n">
        <v>156.7513817008498</v>
      </c>
      <c r="O19" s="8">
        <f>N19*$B$2/100</f>
        <v/>
      </c>
    </row>
    <row r="20">
      <c r="A20" s="6" t="n">
        <v>46238.73853584491</v>
      </c>
      <c r="B20" s="7" t="n">
        <v>144.637598068799</v>
      </c>
      <c r="C20" s="7" t="n">
        <v>162.7013963605064</v>
      </c>
      <c r="D20" s="7" t="n">
        <v>149.1810191105748</v>
      </c>
      <c r="E20" s="7" t="n">
        <v>137.7361859049403</v>
      </c>
      <c r="F20" s="7" t="n">
        <v>160.2844071405319</v>
      </c>
      <c r="G20" s="7" t="n">
        <v>162.9663852269424</v>
      </c>
      <c r="H20" s="7" t="n">
        <v>162.4003952586188</v>
      </c>
      <c r="I20" s="7" t="n">
        <v>157.7272994391296</v>
      </c>
      <c r="J20" s="7" t="n">
        <v>151.3317263201887</v>
      </c>
      <c r="K20" s="7" t="n">
        <v>159.8560092550349</v>
      </c>
      <c r="L20" s="7" t="n">
        <v>162.3001234600798</v>
      </c>
      <c r="M20" s="7" t="n">
        <v>162.283505995245</v>
      </c>
      <c r="N20" s="7" t="n">
        <v>159.9227719493918</v>
      </c>
      <c r="O20" s="8">
        <f>N20*$B$2/100</f>
        <v/>
      </c>
    </row>
    <row r="21">
      <c r="A21" s="6" t="n">
        <v>46238.73854760417</v>
      </c>
      <c r="B21" s="7" t="n">
        <v>150.8647606534902</v>
      </c>
      <c r="C21" s="7" t="n">
        <v>161.3678015397776</v>
      </c>
      <c r="D21" s="7" t="n">
        <v>157.2159998210811</v>
      </c>
      <c r="E21" s="7" t="n">
        <v>154.1132062046393</v>
      </c>
      <c r="F21" s="7" t="n">
        <v>162.9499579006455</v>
      </c>
      <c r="G21" s="7" t="n">
        <v>164.9981913169538</v>
      </c>
      <c r="H21" s="7" t="n">
        <v>158.5946771910418</v>
      </c>
      <c r="I21" s="7" t="n">
        <v>163.698605823009</v>
      </c>
      <c r="J21" s="7" t="n">
        <v>149.9100504160347</v>
      </c>
      <c r="K21" s="7" t="n">
        <v>127.1360513571348</v>
      </c>
      <c r="L21" s="7" t="n">
        <v>140.9615268253328</v>
      </c>
      <c r="M21" s="7" t="n">
        <v>140.8214613970588</v>
      </c>
      <c r="N21" s="7" t="n">
        <v>160.6849747474747</v>
      </c>
      <c r="O21" s="8">
        <f>N21*$B$2/100</f>
        <v/>
      </c>
    </row>
    <row r="22">
      <c r="A22" s="6" t="n">
        <v>46238.738559375</v>
      </c>
      <c r="B22" s="7" t="n">
        <v>159.9554684842157</v>
      </c>
      <c r="C22" s="7" t="n">
        <v>162.7957515997063</v>
      </c>
      <c r="D22" s="7" t="n">
        <v>154.8201540370981</v>
      </c>
      <c r="E22" s="7" t="n">
        <v>146.7075175114445</v>
      </c>
      <c r="F22" s="7" t="n">
        <v>160.5821399386446</v>
      </c>
      <c r="G22" s="7" t="n">
        <v>163.5183203053204</v>
      </c>
      <c r="H22" s="7" t="n">
        <v>156.4574743105083</v>
      </c>
      <c r="I22" s="7" t="n">
        <v>163.2401290908174</v>
      </c>
      <c r="J22" s="7" t="n">
        <v>152.0288012518031</v>
      </c>
      <c r="K22" s="7" t="n">
        <v>162.5392208885311</v>
      </c>
      <c r="L22" s="7" t="n">
        <v>163.3054397828411</v>
      </c>
      <c r="M22" s="7" t="n">
        <v>129.0825863335783</v>
      </c>
      <c r="N22" s="7" t="n">
        <v>161.2175713707514</v>
      </c>
      <c r="O22" s="8">
        <f>N22*$B$2/100</f>
        <v/>
      </c>
    </row>
    <row r="23">
      <c r="A23" s="6" t="n">
        <v>46238.73857109954</v>
      </c>
      <c r="B23" s="7" t="n">
        <v>162.6638131566759</v>
      </c>
      <c r="C23" s="7" t="n">
        <v>159.3701557501704</v>
      </c>
      <c r="D23" s="7" t="n">
        <v>161.0168123008593</v>
      </c>
      <c r="E23" s="7" t="n">
        <v>141.6240587806655</v>
      </c>
      <c r="F23" s="7" t="n">
        <v>163.4711413016553</v>
      </c>
      <c r="G23" s="7" t="n">
        <v>163.5962848875198</v>
      </c>
      <c r="H23" s="7" t="n">
        <v>150.8452968730219</v>
      </c>
      <c r="I23" s="7" t="n">
        <v>155.1603184049993</v>
      </c>
      <c r="J23" s="7" t="n">
        <v>146.1766192437289</v>
      </c>
      <c r="K23" s="7" t="n">
        <v>131.6884749086371</v>
      </c>
      <c r="L23" s="7" t="n">
        <v>162.2072437833588</v>
      </c>
      <c r="M23" s="7" t="n">
        <v>160.2837510944897</v>
      </c>
      <c r="N23" s="7" t="n">
        <v>160.5440900391037</v>
      </c>
      <c r="O23" s="8">
        <f>N23*$B$2/100</f>
        <v/>
      </c>
    </row>
    <row r="24">
      <c r="A24" s="6" t="n">
        <v>46238.73858285879</v>
      </c>
      <c r="B24" s="7" t="n">
        <v>161.919102079224</v>
      </c>
      <c r="C24" s="7" t="n">
        <v>164.3990993079525</v>
      </c>
      <c r="D24" s="7" t="n">
        <v>138.3969842294568</v>
      </c>
      <c r="E24" s="7" t="n">
        <v>114.3858806404658</v>
      </c>
      <c r="F24" s="7" t="n">
        <v>159.103011740684</v>
      </c>
      <c r="G24" s="7" t="n">
        <v>164.1669836629264</v>
      </c>
      <c r="H24" s="7" t="n">
        <v>154.241706712782</v>
      </c>
      <c r="I24" s="7" t="n">
        <v>152.7418312387792</v>
      </c>
      <c r="J24" s="7" t="n">
        <v>144.5688724656002</v>
      </c>
      <c r="K24" s="7" t="n">
        <v>140.1854699003898</v>
      </c>
      <c r="L24" s="7" t="n">
        <v>161.3773589060401</v>
      </c>
      <c r="M24" s="7" t="n">
        <v>164.9718636601614</v>
      </c>
      <c r="N24" s="7" t="n">
        <v>161.5511950053653</v>
      </c>
      <c r="O24" s="8">
        <f>N24*$B$2/100</f>
        <v/>
      </c>
    </row>
    <row r="25">
      <c r="A25" s="6" t="n">
        <v>46238.73859449074</v>
      </c>
      <c r="B25" s="7" t="n">
        <v>162.9625747547194</v>
      </c>
      <c r="C25" s="7" t="n">
        <v>163.8312819282065</v>
      </c>
      <c r="D25" s="7" t="n">
        <v>136.5416822780067</v>
      </c>
      <c r="E25" s="7" t="n">
        <v>126.1274244474515</v>
      </c>
      <c r="F25" s="7" t="n">
        <v>149.6115944642294</v>
      </c>
      <c r="G25" s="7" t="n">
        <v>160.7608032591076</v>
      </c>
      <c r="H25" s="7" t="n">
        <v>155.8837503514197</v>
      </c>
      <c r="I25" s="7" t="n">
        <v>152.3629577742267</v>
      </c>
      <c r="J25" s="7" t="n">
        <v>142.9479946661196</v>
      </c>
      <c r="K25" s="7" t="n">
        <v>122.4658477321814</v>
      </c>
      <c r="L25" s="7" t="n">
        <v>165.3491547624932</v>
      </c>
      <c r="M25" s="7" t="n">
        <v>164.0709396330306</v>
      </c>
      <c r="N25" s="7" t="n">
        <v>161.2348881577666</v>
      </c>
      <c r="O25" s="8">
        <f>N25*$B$2/100</f>
        <v/>
      </c>
    </row>
    <row r="26">
      <c r="A26" s="6" t="n">
        <v>46238.73860626158</v>
      </c>
      <c r="B26" s="7" t="n">
        <v>160.2618894321959</v>
      </c>
      <c r="C26" s="7" t="n">
        <v>127.0413991877375</v>
      </c>
      <c r="D26" s="7" t="n">
        <v>164.3177780944239</v>
      </c>
      <c r="E26" s="7" t="n">
        <v>151.6135756608234</v>
      </c>
      <c r="F26" s="7" t="n">
        <v>159.0742772951278</v>
      </c>
      <c r="G26" s="7" t="n">
        <v>163.9253135963858</v>
      </c>
      <c r="H26" s="7" t="n">
        <v>153.1163671649032</v>
      </c>
      <c r="I26" s="7" t="n">
        <v>157.4348828696925</v>
      </c>
      <c r="J26" s="7" t="n">
        <v>149.7003264486157</v>
      </c>
      <c r="K26" s="7" t="n">
        <v>112.1627371033505</v>
      </c>
      <c r="L26" s="7" t="n">
        <v>136.0056091541396</v>
      </c>
      <c r="M26" s="7" t="n">
        <v>165.3288180475633</v>
      </c>
      <c r="N26" s="7" t="n">
        <v>161.7694339509803</v>
      </c>
      <c r="O26" s="8">
        <f>N26*$B$2/100</f>
        <v/>
      </c>
    </row>
    <row r="27">
      <c r="A27" s="6" t="n">
        <v>46238.73861800926</v>
      </c>
      <c r="B27" s="7" t="n">
        <v>144.6052522131781</v>
      </c>
      <c r="C27" s="7" t="n">
        <v>143.3930922888071</v>
      </c>
      <c r="D27" s="7" t="n">
        <v>158.2227478717051</v>
      </c>
      <c r="E27" s="7" t="n">
        <v>124.5373511367737</v>
      </c>
      <c r="F27" s="7" t="n">
        <v>158.442665851006</v>
      </c>
      <c r="G27" s="7" t="n">
        <v>164.7225981556303</v>
      </c>
      <c r="H27" s="7" t="n">
        <v>160.4098116396468</v>
      </c>
      <c r="I27" s="7" t="n">
        <v>163.7541719234835</v>
      </c>
      <c r="J27" s="7" t="n">
        <v>146.3141342220876</v>
      </c>
      <c r="K27" s="7" t="n">
        <v>112.507560137457</v>
      </c>
      <c r="L27" s="7" t="n">
        <v>162.7667264259503</v>
      </c>
      <c r="M27" s="7" t="n">
        <v>164.6796423743394</v>
      </c>
      <c r="N27" s="7" t="n">
        <v>161.2927945251408</v>
      </c>
      <c r="O27" s="8">
        <f>N27*$B$2/100</f>
        <v/>
      </c>
    </row>
    <row r="28">
      <c r="A28" s="6" t="n">
        <v>46238.73862965278</v>
      </c>
      <c r="B28" s="7" t="n">
        <v>149.2491967582602</v>
      </c>
      <c r="C28" s="7" t="n">
        <v>164.5204493990594</v>
      </c>
      <c r="D28" s="7" t="n">
        <v>141.820534150613</v>
      </c>
      <c r="E28" s="7" t="n">
        <v>116.9500161759948</v>
      </c>
      <c r="F28" s="7" t="n">
        <v>149.718651616371</v>
      </c>
      <c r="G28" s="7" t="n">
        <v>156.21401143678</v>
      </c>
      <c r="H28" s="7" t="n">
        <v>159.5667554594706</v>
      </c>
      <c r="I28" s="7" t="n">
        <v>164.9080851608954</v>
      </c>
      <c r="J28" s="7" t="n">
        <v>157.5388077725327</v>
      </c>
      <c r="K28" s="7" t="n">
        <v>163.1850259659103</v>
      </c>
      <c r="L28" s="7" t="n">
        <v>156.3658801268852</v>
      </c>
      <c r="M28" s="7" t="n">
        <v>165.4710936279592</v>
      </c>
      <c r="N28" s="7" t="n">
        <v>162.2186085887345</v>
      </c>
      <c r="O28" s="8">
        <f>N28*$B$2/100</f>
        <v/>
      </c>
    </row>
    <row r="29">
      <c r="A29" s="6" t="n">
        <v>46238.73864125</v>
      </c>
      <c r="B29" s="7" t="n">
        <v>155.5368357827956</v>
      </c>
      <c r="C29" s="7" t="n">
        <v>163.6685289298226</v>
      </c>
      <c r="D29" s="7" t="n">
        <v>161.4619134751144</v>
      </c>
      <c r="E29" s="7" t="n">
        <v>158.166441695821</v>
      </c>
      <c r="F29" s="7" t="n">
        <v>164.060156714336</v>
      </c>
      <c r="G29" s="7" t="n">
        <v>163.5461470196717</v>
      </c>
      <c r="H29" s="7" t="n">
        <v>152.9961015715066</v>
      </c>
      <c r="I29" s="7" t="n">
        <v>156.7798271210703</v>
      </c>
      <c r="J29" s="7" t="n">
        <v>150.1577321861902</v>
      </c>
      <c r="K29" s="7" t="n">
        <v>157.9091756333136</v>
      </c>
      <c r="L29" s="7" t="n">
        <v>162.2859030938261</v>
      </c>
      <c r="M29" s="7" t="n">
        <v>164.2330042129879</v>
      </c>
      <c r="N29" s="7" t="n">
        <v>161.2725051959693</v>
      </c>
      <c r="O29" s="8">
        <f>N29*$B$2/100</f>
        <v/>
      </c>
    </row>
    <row r="30">
      <c r="A30" s="6" t="n">
        <v>46238.73865288195</v>
      </c>
      <c r="B30" s="7" t="n">
        <v>158.1854558632561</v>
      </c>
      <c r="C30" s="7" t="n">
        <v>164.006134789245</v>
      </c>
      <c r="D30" s="7" t="n">
        <v>154.0934197696788</v>
      </c>
      <c r="E30" s="7" t="n">
        <v>159.103716883286</v>
      </c>
      <c r="F30" s="7" t="n">
        <v>162.7711027701848</v>
      </c>
      <c r="G30" s="7" t="n">
        <v>142.9348084830123</v>
      </c>
      <c r="H30" s="7" t="n">
        <v>156.7262654066658</v>
      </c>
      <c r="I30" s="7" t="n">
        <v>163.0832519757618</v>
      </c>
      <c r="J30" s="7" t="n">
        <v>151.1868546264426</v>
      </c>
      <c r="K30" s="7" t="n">
        <v>115.7263253285002</v>
      </c>
      <c r="L30" s="7" t="n">
        <v>164.1488584357814</v>
      </c>
      <c r="M30" s="7" t="n">
        <v>165.2867929460777</v>
      </c>
      <c r="N30" s="7" t="n">
        <v>162.0148574047871</v>
      </c>
      <c r="O30" s="8">
        <f>N30*$B$2/100</f>
        <v/>
      </c>
    </row>
    <row r="31">
      <c r="A31" s="6" t="n">
        <v>46238.73866451389</v>
      </c>
      <c r="B31" s="7" t="n">
        <v>149.5249494268375</v>
      </c>
      <c r="C31" s="7" t="n">
        <v>162.3389828049748</v>
      </c>
      <c r="D31" s="7" t="n">
        <v>147.9587405997672</v>
      </c>
      <c r="E31" s="7" t="n">
        <v>151.250777514738</v>
      </c>
      <c r="F31" s="7" t="n">
        <v>153.9468013851876</v>
      </c>
      <c r="G31" s="7" t="n">
        <v>161.3687058005178</v>
      </c>
      <c r="H31" s="7" t="n">
        <v>152.9285392296076</v>
      </c>
      <c r="I31" s="7" t="n">
        <v>163.1726737379829</v>
      </c>
      <c r="J31" s="7" t="n">
        <v>151.5741403498726</v>
      </c>
      <c r="K31" s="7" t="n">
        <v>150.3488023952096</v>
      </c>
      <c r="L31" s="7" t="n">
        <v>154.5644666206915</v>
      </c>
      <c r="M31" s="7" t="n">
        <v>164.8120771072677</v>
      </c>
      <c r="N31" s="7" t="n">
        <v>159.5889686374637</v>
      </c>
      <c r="O31" s="8">
        <f>N31*$B$2/100</f>
        <v/>
      </c>
    </row>
    <row r="32">
      <c r="A32" s="6" t="n">
        <v>46238.73867633102</v>
      </c>
      <c r="B32" s="7" t="n">
        <v>151.4825058018359</v>
      </c>
      <c r="C32" s="7" t="n">
        <v>151.7741712494482</v>
      </c>
      <c r="D32" s="7" t="n">
        <v>151.623907637463</v>
      </c>
      <c r="E32" s="7" t="n">
        <v>151.9172796731297</v>
      </c>
      <c r="F32" s="7" t="n">
        <v>151.6830337819173</v>
      </c>
      <c r="G32" s="7" t="n">
        <v>151.7151027759784</v>
      </c>
      <c r="H32" s="7" t="n">
        <v>151.7164522427582</v>
      </c>
      <c r="I32" s="7" t="n">
        <v>151.7230445581509</v>
      </c>
      <c r="J32" s="7" t="n">
        <v>151.4019901461633</v>
      </c>
      <c r="K32" s="7" t="n">
        <v>151.7004710508891</v>
      </c>
      <c r="L32" s="7" t="n">
        <v>151.7270083309167</v>
      </c>
      <c r="M32" s="7" t="n">
        <v>151.8025913499665</v>
      </c>
      <c r="N32" s="7" t="n">
        <v>151.6910871885976</v>
      </c>
      <c r="O32" s="8">
        <f>N32*$B$2/100</f>
        <v/>
      </c>
    </row>
    <row r="33">
      <c r="A33" s="6" t="n">
        <v>46238.73868806713</v>
      </c>
      <c r="B33" s="7" t="n">
        <v>151.6483224721376</v>
      </c>
      <c r="C33" s="7" t="n">
        <v>151.8162843445538</v>
      </c>
      <c r="D33" s="7" t="n">
        <v>151.4392578476769</v>
      </c>
      <c r="E33" s="7" t="n">
        <v>151.6000270022733</v>
      </c>
      <c r="F33" s="7" t="n">
        <v>151.500570971794</v>
      </c>
      <c r="G33" s="7" t="n">
        <v>151.6477336975688</v>
      </c>
      <c r="H33" s="7" t="n">
        <v>151.5399039588575</v>
      </c>
      <c r="I33" s="7" t="n">
        <v>151.749440452994</v>
      </c>
      <c r="J33" s="7" t="n">
        <v>151.4402380732918</v>
      </c>
      <c r="K33" s="7" t="n">
        <v>151.7930395648215</v>
      </c>
      <c r="L33" s="7" t="n">
        <v>151.6539075814157</v>
      </c>
      <c r="M33" s="7" t="n">
        <v>151.8956654171228</v>
      </c>
      <c r="N33" s="7" t="n">
        <v>151.641136583072</v>
      </c>
      <c r="O33" s="8">
        <f>N33*$B$2/100</f>
        <v/>
      </c>
    </row>
    <row r="34">
      <c r="A34" s="6" t="n">
        <v>46238.73869971065</v>
      </c>
      <c r="B34" s="7" t="n">
        <v>151.5029132664115</v>
      </c>
      <c r="C34" s="7" t="n">
        <v>151.5009050414745</v>
      </c>
      <c r="D34" s="7" t="n">
        <v>151.3975417456346</v>
      </c>
      <c r="E34" s="7" t="n">
        <v>151.496496696805</v>
      </c>
      <c r="F34" s="7" t="n">
        <v>151.6340162960885</v>
      </c>
      <c r="G34" s="7" t="n">
        <v>151.3686659471313</v>
      </c>
      <c r="H34" s="7" t="n">
        <v>151.5936657911345</v>
      </c>
      <c r="I34" s="7" t="n">
        <v>151.8283668296944</v>
      </c>
      <c r="J34" s="7" t="n">
        <v>151.393114708825</v>
      </c>
      <c r="K34" s="7" t="n">
        <v>151.6399391831379</v>
      </c>
      <c r="L34" s="7" t="n">
        <v>151.4528104286058</v>
      </c>
      <c r="M34" s="7" t="n">
        <v>151.7315525831741</v>
      </c>
      <c r="N34" s="7" t="n">
        <v>151.5351888585219</v>
      </c>
      <c r="O34" s="8">
        <f>N34*$B$2/100</f>
        <v/>
      </c>
    </row>
    <row r="35">
      <c r="A35" s="6" t="n">
        <v>46238.73871142361</v>
      </c>
      <c r="B35" s="7" t="n">
        <v>151.537010307262</v>
      </c>
      <c r="C35" s="7" t="n">
        <v>151.7455208359679</v>
      </c>
      <c r="D35" s="7" t="n">
        <v>151.7169953765504</v>
      </c>
      <c r="E35" s="7" t="n">
        <v>151.7618281045154</v>
      </c>
      <c r="F35" s="7" t="n">
        <v>151.6834953590762</v>
      </c>
      <c r="G35" s="7" t="n">
        <v>151.7335148057674</v>
      </c>
      <c r="H35" s="7" t="n">
        <v>151.7213015523327</v>
      </c>
      <c r="I35" s="7" t="n">
        <v>151.7696860281702</v>
      </c>
      <c r="J35" s="7" t="n">
        <v>151.6319558112476</v>
      </c>
      <c r="K35" s="7" t="n">
        <v>151.7305530123093</v>
      </c>
      <c r="L35" s="7" t="n">
        <v>151.7008402883527</v>
      </c>
      <c r="M35" s="7" t="n">
        <v>151.7727817781334</v>
      </c>
      <c r="N35" s="7" t="n">
        <v>151.7097127331991</v>
      </c>
      <c r="O35" s="8">
        <f>N35*$B$2/100</f>
        <v/>
      </c>
    </row>
    <row r="36">
      <c r="A36" s="6" t="n">
        <v>46238.73872311343</v>
      </c>
      <c r="B36" s="7" t="n">
        <v>151.6650879812152</v>
      </c>
      <c r="C36" s="7" t="n">
        <v>151.7852847160207</v>
      </c>
      <c r="D36" s="7" t="n">
        <v>151.7338566637425</v>
      </c>
      <c r="E36" s="7" t="n">
        <v>151.7780376923875</v>
      </c>
      <c r="F36" s="7" t="n">
        <v>151.7333355316021</v>
      </c>
      <c r="G36" s="7" t="n">
        <v>151.7695839099614</v>
      </c>
      <c r="H36" s="7" t="n">
        <v>151.6399067743048</v>
      </c>
      <c r="I36" s="7" t="n">
        <v>151.7613667016866</v>
      </c>
      <c r="J36" s="7" t="n">
        <v>151.6216842319637</v>
      </c>
      <c r="K36" s="7" t="n">
        <v>151.7570047965696</v>
      </c>
      <c r="L36" s="7" t="n">
        <v>151.6364951414212</v>
      </c>
      <c r="M36" s="7" t="n">
        <v>151.7998926003459</v>
      </c>
      <c r="N36" s="7" t="n">
        <v>151.7146492757151</v>
      </c>
      <c r="O36" s="8">
        <f>N36*$B$2/100</f>
        <v/>
      </c>
    </row>
    <row r="37">
      <c r="A37" s="6" t="n">
        <v>46238.73873484954</v>
      </c>
      <c r="B37" s="7" t="n">
        <v>151.4558896746765</v>
      </c>
      <c r="C37" s="7" t="n">
        <v>151.7673061031062</v>
      </c>
      <c r="D37" s="7" t="n">
        <v>151.6670381433197</v>
      </c>
      <c r="E37" s="7" t="n">
        <v>151.7621628623507</v>
      </c>
      <c r="F37" s="7" t="n">
        <v>151.7382738196779</v>
      </c>
      <c r="G37" s="7" t="n">
        <v>151.796233794909</v>
      </c>
      <c r="H37" s="7" t="n">
        <v>151.6372592455057</v>
      </c>
      <c r="I37" s="7" t="n">
        <v>151.7575527036016</v>
      </c>
      <c r="J37" s="7" t="n">
        <v>151.6804522051007</v>
      </c>
      <c r="K37" s="7" t="n">
        <v>151.8001326699834</v>
      </c>
      <c r="L37" s="7" t="n">
        <v>151.5270323016727</v>
      </c>
      <c r="M37" s="7" t="n">
        <v>151.7950575934418</v>
      </c>
      <c r="N37" s="7" t="n">
        <v>151.7071172488046</v>
      </c>
      <c r="O37" s="8">
        <f>N37*$B$2/100</f>
        <v/>
      </c>
    </row>
    <row r="38">
      <c r="A38" s="6" t="n">
        <v>46238.73874643519</v>
      </c>
      <c r="B38" s="7" t="n">
        <v>151.8368724962444</v>
      </c>
      <c r="C38" s="7" t="n">
        <v>155.4280537318456</v>
      </c>
      <c r="D38" s="7" t="n">
        <v>151.0465039988235</v>
      </c>
      <c r="E38" s="7" t="n">
        <v>152.5928192177105</v>
      </c>
      <c r="F38" s="7" t="n">
        <v>151.5301097860504</v>
      </c>
      <c r="G38" s="7" t="n">
        <v>150.264864996115</v>
      </c>
      <c r="H38" s="7" t="n">
        <v>154.8982484681918</v>
      </c>
      <c r="I38" s="7" t="n">
        <v>151.594933623577</v>
      </c>
      <c r="J38" s="7" t="n">
        <v>150.7433014545413</v>
      </c>
      <c r="K38" s="7" t="n">
        <v>150.623264782159</v>
      </c>
      <c r="L38" s="7" t="n">
        <v>151.357485000283</v>
      </c>
      <c r="M38" s="7" t="n">
        <v>151.2151485064537</v>
      </c>
      <c r="N38" s="7" t="n">
        <v>152.1826717771338</v>
      </c>
      <c r="O38" s="8">
        <f>N38*$B$2/100</f>
        <v/>
      </c>
    </row>
    <row r="39">
      <c r="A39" s="6" t="n">
        <v>46238.73875815972</v>
      </c>
      <c r="B39" s="7" t="n">
        <v>150.209045320238</v>
      </c>
      <c r="C39" s="7" t="n">
        <v>150.3308606130002</v>
      </c>
      <c r="D39" s="7" t="n">
        <v>150.4674301126159</v>
      </c>
      <c r="E39" s="7" t="n">
        <v>152.1315156124992</v>
      </c>
      <c r="F39" s="7" t="n">
        <v>150.6676672143552</v>
      </c>
      <c r="G39" s="7" t="n">
        <v>150.4117794136338</v>
      </c>
      <c r="H39" s="7" t="n">
        <v>150.5544869672907</v>
      </c>
      <c r="I39" s="7" t="n">
        <v>151.3518982366432</v>
      </c>
      <c r="J39" s="7" t="n">
        <v>150.26932024897</v>
      </c>
      <c r="K39" s="7" t="n">
        <v>150.3620601992055</v>
      </c>
      <c r="L39" s="7" t="n">
        <v>150.2163998933952</v>
      </c>
      <c r="M39" s="7" t="n">
        <v>150.3098733623904</v>
      </c>
      <c r="N39" s="7" t="n">
        <v>150.659929708124</v>
      </c>
      <c r="O39" s="8">
        <f>N39*$B$2/100</f>
        <v/>
      </c>
    </row>
    <row r="40">
      <c r="A40" s="6" t="n">
        <v>46238.73876982639</v>
      </c>
      <c r="B40" s="7" t="n">
        <v>140.3637312963122</v>
      </c>
      <c r="C40" s="7" t="n">
        <v>157.8286100931478</v>
      </c>
      <c r="D40" s="7" t="n">
        <v>145.7364217947602</v>
      </c>
      <c r="E40" s="7" t="n">
        <v>160.3077185426269</v>
      </c>
      <c r="F40" s="7" t="n">
        <v>146.8558783766549</v>
      </c>
      <c r="G40" s="7" t="n">
        <v>134.7071942729025</v>
      </c>
      <c r="H40" s="7" t="n">
        <v>143.9684332330479</v>
      </c>
      <c r="I40" s="7" t="n">
        <v>128.2840343283209</v>
      </c>
      <c r="J40" s="7" t="n">
        <v>123.1642217708568</v>
      </c>
      <c r="K40" s="7" t="n">
        <v>116.3209471766849</v>
      </c>
      <c r="L40" s="7" t="n">
        <v>122.7181578040657</v>
      </c>
      <c r="M40" s="7" t="n">
        <v>123.2905123177905</v>
      </c>
      <c r="N40" s="7" t="n">
        <v>148.2195298428191</v>
      </c>
      <c r="O40" s="8">
        <f>N40*$B$2/100</f>
        <v/>
      </c>
    </row>
    <row r="41">
      <c r="A41" s="6" t="n">
        <v>46238.73878146991</v>
      </c>
      <c r="B41" s="7" t="n">
        <v>131.9197989359497</v>
      </c>
      <c r="C41" s="7" t="n">
        <v>155.4323087267366</v>
      </c>
      <c r="D41" s="7" t="n">
        <v>137.487136746129</v>
      </c>
      <c r="E41" s="7" t="n">
        <v>92.29096780914679</v>
      </c>
      <c r="F41" s="7" t="n">
        <v>140.0024959768794</v>
      </c>
      <c r="G41" s="7" t="n">
        <v>141.6277601788875</v>
      </c>
      <c r="H41" s="7" t="n">
        <v>133.9542345763666</v>
      </c>
      <c r="I41" s="7" t="n">
        <v>156.6598172706427</v>
      </c>
      <c r="J41" s="7" t="n">
        <v>138.0100683938878</v>
      </c>
      <c r="K41" s="7" t="n">
        <v>95.29269999222576</v>
      </c>
      <c r="L41" s="7" t="n">
        <v>91.75252029619057</v>
      </c>
      <c r="M41" s="7" t="n">
        <v>123.1098710151708</v>
      </c>
      <c r="N41" s="7" t="n">
        <v>143.8184009642427</v>
      </c>
      <c r="O41" s="8">
        <f>N41*$B$2/100</f>
        <v/>
      </c>
    </row>
    <row r="42">
      <c r="A42" s="6" t="n">
        <v>46238.738793125</v>
      </c>
      <c r="B42" s="7" t="n">
        <v>147.0078070106956</v>
      </c>
      <c r="C42" s="7" t="n">
        <v>158.9501329080277</v>
      </c>
      <c r="D42" s="7" t="n">
        <v>153.7951229691114</v>
      </c>
      <c r="E42" s="7" t="n">
        <v>126.9075948389091</v>
      </c>
      <c r="F42" s="7" t="n">
        <v>114.1834153793923</v>
      </c>
      <c r="G42" s="7" t="n">
        <v>91.95953979962567</v>
      </c>
      <c r="H42" s="7" t="n">
        <v>143.6842908438061</v>
      </c>
      <c r="I42" s="7" t="n">
        <v>144.624724797219</v>
      </c>
      <c r="J42" s="7" t="n">
        <v>141.1873569376126</v>
      </c>
      <c r="K42" s="7" t="n">
        <v>89.9596313603323</v>
      </c>
      <c r="L42" s="7" t="n">
        <v>99.56330315420561</v>
      </c>
      <c r="M42" s="7" t="n">
        <v>81.03202126313126</v>
      </c>
      <c r="N42" s="7" t="n">
        <v>144.6620548645425</v>
      </c>
      <c r="O42" s="8">
        <f>N42*$B$2/100</f>
        <v/>
      </c>
    </row>
    <row r="43">
      <c r="A43" s="6" t="n">
        <v>46238.73880474537</v>
      </c>
      <c r="B43" s="7" t="n">
        <v>142.1196572019795</v>
      </c>
      <c r="C43" s="7" t="n">
        <v>159.8295858688576</v>
      </c>
      <c r="D43" s="7" t="n">
        <v>141.5224475820258</v>
      </c>
      <c r="E43" s="7" t="n">
        <v>162.4410186263455</v>
      </c>
      <c r="F43" s="7" t="n">
        <v>148.5730140419269</v>
      </c>
      <c r="G43" s="7" t="n">
        <v>88.24874388691633</v>
      </c>
      <c r="H43" s="7" t="n">
        <v>130.3449902155397</v>
      </c>
      <c r="I43" s="7" t="n">
        <v>119.6568613492041</v>
      </c>
      <c r="J43" s="7" t="n">
        <v>138.6941292012222</v>
      </c>
      <c r="K43" s="7" t="n">
        <v>96.1835724533716</v>
      </c>
      <c r="L43" s="7" t="n">
        <v>76.81830495356037</v>
      </c>
      <c r="M43" s="7" t="n">
        <v>72.17848810079327</v>
      </c>
      <c r="N43" s="7" t="n">
        <v>145.4686378780113</v>
      </c>
      <c r="O43" s="8">
        <f>N43*$B$2/100</f>
        <v/>
      </c>
    </row>
    <row r="44">
      <c r="A44" s="6" t="n">
        <v>46238.73881635417</v>
      </c>
      <c r="B44" s="7" t="n">
        <v>132.2127404855919</v>
      </c>
      <c r="C44" s="7" t="n">
        <v>158.9865308962638</v>
      </c>
      <c r="D44" s="7" t="n">
        <v>150.3191431217453</v>
      </c>
      <c r="E44" s="7" t="n">
        <v>115.4826672396505</v>
      </c>
      <c r="F44" s="7" t="n">
        <v>100.1524300441826</v>
      </c>
      <c r="G44" s="7" t="n">
        <v>102.411779661017</v>
      </c>
      <c r="H44" s="7" t="n">
        <v>128.2836476066875</v>
      </c>
      <c r="I44" s="7" t="n">
        <v>153.0241279906128</v>
      </c>
      <c r="J44" s="7" t="n">
        <v>146.0879994976242</v>
      </c>
      <c r="K44" s="7" t="n">
        <v>88.91789801133207</v>
      </c>
      <c r="L44" s="7" t="n">
        <v>103.6474395313681</v>
      </c>
      <c r="M44" s="7" t="n">
        <v>127.3912040274087</v>
      </c>
      <c r="N44" s="7" t="n">
        <v>143.2047798086587</v>
      </c>
      <c r="O44" s="8">
        <f>N44*$B$2/100</f>
        <v/>
      </c>
    </row>
    <row r="45">
      <c r="A45" s="6" t="n">
        <v>46238.73882800926</v>
      </c>
      <c r="B45" s="7" t="n">
        <v>115.4848284023669</v>
      </c>
      <c r="C45" s="7" t="n">
        <v>159.3278482920475</v>
      </c>
      <c r="D45" s="7" t="n">
        <v>158.1550111578856</v>
      </c>
      <c r="E45" s="7" t="n">
        <v>110.1205561926605</v>
      </c>
      <c r="F45" s="7" t="n">
        <v>130.9274561791133</v>
      </c>
      <c r="G45" s="7" t="n">
        <v>95.31887121978123</v>
      </c>
      <c r="H45" s="7" t="n">
        <v>135.384911815314</v>
      </c>
      <c r="I45" s="7" t="n">
        <v>146.7220366317244</v>
      </c>
      <c r="J45" s="7" t="n">
        <v>147.7654047388943</v>
      </c>
      <c r="K45" s="7" t="n">
        <v>101.0058048012593</v>
      </c>
      <c r="L45" s="7" t="n">
        <v>93.25590622182146</v>
      </c>
      <c r="M45" s="7" t="n">
        <v>77.80073427016077</v>
      </c>
      <c r="N45" s="7" t="n">
        <v>144.8862301580086</v>
      </c>
      <c r="O45" s="8">
        <f>N45*$B$2/100</f>
        <v/>
      </c>
    </row>
    <row r="46">
      <c r="A46" s="6" t="n">
        <v>46238.73883961805</v>
      </c>
      <c r="B46" s="7" t="n">
        <v>130.2017548710575</v>
      </c>
      <c r="C46" s="7" t="n">
        <v>160.1112683413895</v>
      </c>
      <c r="D46" s="7" t="n">
        <v>159.7224901454397</v>
      </c>
      <c r="E46" s="7" t="n">
        <v>145.2922797585361</v>
      </c>
      <c r="F46" s="7" t="n">
        <v>126.5884615384615</v>
      </c>
      <c r="G46" s="7" t="n">
        <v>77.95292879163847</v>
      </c>
      <c r="H46" s="7" t="n">
        <v>123.3293272392477</v>
      </c>
      <c r="I46" s="7" t="n">
        <v>128.9607210115685</v>
      </c>
      <c r="J46" s="7" t="n">
        <v>137.4546110330688</v>
      </c>
      <c r="K46" s="7" t="n">
        <v>89.3971097395755</v>
      </c>
      <c r="L46" s="7" t="n">
        <v>102.1913499344692</v>
      </c>
      <c r="M46" s="7" t="n">
        <v>70.76578824263215</v>
      </c>
      <c r="N46" s="7" t="n">
        <v>144.4091363787929</v>
      </c>
      <c r="O46" s="8">
        <f>N46*$B$2/100</f>
        <v/>
      </c>
    </row>
    <row r="47">
      <c r="A47" s="6" t="n">
        <v>46238.73885123843</v>
      </c>
      <c r="B47" s="7" t="n">
        <v>146.6242636616499</v>
      </c>
      <c r="C47" s="7" t="n">
        <v>114.5444593072374</v>
      </c>
      <c r="D47" s="7" t="n">
        <v>144.5831018425326</v>
      </c>
      <c r="E47" s="7" t="n">
        <v>154.6053059550578</v>
      </c>
      <c r="F47" s="7" t="n">
        <v>112.2657059289501</v>
      </c>
      <c r="G47" s="7" t="n">
        <v>112.1023751023751</v>
      </c>
      <c r="H47" s="7" t="n">
        <v>136.2304756229071</v>
      </c>
      <c r="I47" s="7" t="n">
        <v>157.8094597476744</v>
      </c>
      <c r="J47" s="7" t="n">
        <v>140.0809673277215</v>
      </c>
      <c r="K47" s="7" t="n">
        <v>101.0495552731893</v>
      </c>
      <c r="L47" s="7" t="n">
        <v>100.2482026251567</v>
      </c>
      <c r="M47" s="7" t="n">
        <v>91.02020905923345</v>
      </c>
      <c r="N47" s="7" t="n">
        <v>141.9228149630488</v>
      </c>
      <c r="O47" s="8">
        <f>N47*$B$2/100</f>
        <v/>
      </c>
    </row>
    <row r="48">
      <c r="A48" s="6" t="n">
        <v>46238.73886285879</v>
      </c>
      <c r="B48" s="7" t="n">
        <v>159.6264043577647</v>
      </c>
      <c r="C48" s="7" t="n">
        <v>141.8297769234497</v>
      </c>
      <c r="D48" s="7" t="n">
        <v>108.4887276096356</v>
      </c>
      <c r="E48" s="7" t="n">
        <v>160.5609005358315</v>
      </c>
      <c r="F48" s="7" t="n">
        <v>132.0885255622856</v>
      </c>
      <c r="G48" s="7" t="n">
        <v>127.4339867396944</v>
      </c>
      <c r="H48" s="7" t="n">
        <v>127.160228978979</v>
      </c>
      <c r="I48" s="7" t="n">
        <v>140.1753420376415</v>
      </c>
      <c r="J48" s="7" t="n">
        <v>147.8715026646365</v>
      </c>
      <c r="K48" s="7" t="n">
        <v>87.10657974530018</v>
      </c>
      <c r="L48" s="7" t="n">
        <v>108.4247531494723</v>
      </c>
      <c r="M48" s="7" t="n">
        <v>79.99850835322195</v>
      </c>
      <c r="N48" s="7" t="n">
        <v>145.675450008738</v>
      </c>
      <c r="O48" s="8">
        <f>N48*$B$2/100</f>
        <v/>
      </c>
    </row>
    <row r="49">
      <c r="A49" s="6" t="n">
        <v>46238.73887447917</v>
      </c>
      <c r="B49" s="7" t="n">
        <v>142.0350120059705</v>
      </c>
      <c r="C49" s="7" t="n">
        <v>155.2419388678748</v>
      </c>
      <c r="D49" s="7" t="n">
        <v>157.8175488078974</v>
      </c>
      <c r="E49" s="7" t="n">
        <v>128.0692679081683</v>
      </c>
      <c r="F49" s="7" t="n">
        <v>133.4824751066856</v>
      </c>
      <c r="G49" s="7" t="n">
        <v>117.9811071551625</v>
      </c>
      <c r="H49" s="7" t="n">
        <v>142.3500240111505</v>
      </c>
      <c r="I49" s="7" t="n">
        <v>117.2405907278166</v>
      </c>
      <c r="J49" s="7" t="n">
        <v>138.5308394513138</v>
      </c>
      <c r="K49" s="7" t="n">
        <v>103.4005925700828</v>
      </c>
      <c r="L49" s="7" t="n">
        <v>110.4405742527654</v>
      </c>
      <c r="M49" s="7" t="n">
        <v>111.4985563937785</v>
      </c>
      <c r="N49" s="7" t="n">
        <v>143.2790310052431</v>
      </c>
      <c r="O49" s="8">
        <f>N49*$B$2/100</f>
        <v/>
      </c>
    </row>
    <row r="50">
      <c r="A50" s="6" t="n">
        <v>46238.73888611111</v>
      </c>
      <c r="B50" s="7" t="n">
        <v>117.9331795108445</v>
      </c>
      <c r="C50" s="7" t="n">
        <v>159.2472778753201</v>
      </c>
      <c r="D50" s="7" t="n">
        <v>146.6529486206024</v>
      </c>
      <c r="E50" s="7" t="n">
        <v>146.145974548476</v>
      </c>
      <c r="F50" s="7" t="n">
        <v>128.2178809217196</v>
      </c>
      <c r="G50" s="7" t="n">
        <v>89.97983970916302</v>
      </c>
      <c r="H50" s="7" t="n">
        <v>135.0596572137492</v>
      </c>
      <c r="I50" s="7" t="n">
        <v>154.5725369217757</v>
      </c>
      <c r="J50" s="7" t="n">
        <v>137.9104854422217</v>
      </c>
      <c r="K50" s="7" t="n">
        <v>95.02643043857101</v>
      </c>
      <c r="L50" s="7" t="n">
        <v>90.31768573307035</v>
      </c>
      <c r="M50" s="7" t="n">
        <v>70.9022807906741</v>
      </c>
      <c r="N50" s="7" t="n">
        <v>144.1559927418585</v>
      </c>
      <c r="O50" s="8">
        <f>N50*$B$2/100</f>
        <v/>
      </c>
    </row>
    <row r="51">
      <c r="A51" s="6" t="n">
        <v>46238.73889775463</v>
      </c>
      <c r="B51" s="7" t="n">
        <v>152.7996915764701</v>
      </c>
      <c r="C51" s="7" t="n">
        <v>159.8488883466662</v>
      </c>
      <c r="D51" s="7" t="n">
        <v>133.9883193623746</v>
      </c>
      <c r="E51" s="7" t="n">
        <v>117.5277218791201</v>
      </c>
      <c r="F51" s="7" t="n">
        <v>136.0706956160974</v>
      </c>
      <c r="G51" s="7" t="n">
        <v>100.5980654633388</v>
      </c>
      <c r="H51" s="7" t="n">
        <v>131.9719460762163</v>
      </c>
      <c r="I51" s="7" t="n">
        <v>140.4549764441869</v>
      </c>
      <c r="J51" s="7" t="n">
        <v>128.7099955603476</v>
      </c>
      <c r="K51" s="7" t="n">
        <v>77.63074526097118</v>
      </c>
      <c r="L51" s="7" t="n">
        <v>82.74433703650267</v>
      </c>
      <c r="M51" s="7" t="n">
        <v>82.42387600307794</v>
      </c>
      <c r="N51" s="7" t="n">
        <v>142.0832610894379</v>
      </c>
      <c r="O51" s="8">
        <f>N51*$B$2/100</f>
        <v/>
      </c>
    </row>
    <row r="52">
      <c r="A52" s="6" t="n">
        <v>46238.73890938657</v>
      </c>
      <c r="B52" s="7" t="n">
        <v>140.0564678086238</v>
      </c>
      <c r="C52" s="7" t="n">
        <v>160.8736188554956</v>
      </c>
      <c r="D52" s="7" t="n">
        <v>136.2541166735623</v>
      </c>
      <c r="E52" s="7" t="n">
        <v>161.274722361539</v>
      </c>
      <c r="F52" s="7" t="n">
        <v>87.68404647208841</v>
      </c>
      <c r="G52" s="7" t="n">
        <v>84.61662323157111</v>
      </c>
      <c r="H52" s="7" t="n">
        <v>135.6807448198619</v>
      </c>
      <c r="I52" s="7" t="n">
        <v>124.6347212454834</v>
      </c>
      <c r="J52" s="7" t="n">
        <v>145.1417648435671</v>
      </c>
      <c r="K52" s="7" t="n">
        <v>73.97338451695458</v>
      </c>
      <c r="L52" s="7" t="n">
        <v>120.8320109951896</v>
      </c>
      <c r="M52" s="7" t="n">
        <v>86.51203470472991</v>
      </c>
      <c r="N52" s="7" t="n">
        <v>144.7470922369489</v>
      </c>
      <c r="O52" s="8">
        <f>N52*$B$2/100</f>
        <v/>
      </c>
    </row>
    <row r="53">
      <c r="A53" s="6" t="n">
        <v>46238.73892119213</v>
      </c>
      <c r="B53" s="7" t="n">
        <v>119.0400740195396</v>
      </c>
      <c r="C53" s="7" t="n">
        <v>160.8495359138506</v>
      </c>
      <c r="D53" s="7" t="n">
        <v>140.2562440963908</v>
      </c>
      <c r="E53" s="7" t="n">
        <v>151.4299265978979</v>
      </c>
      <c r="F53" s="7" t="n">
        <v>142.1424545613422</v>
      </c>
      <c r="G53" s="7" t="n">
        <v>106.8420160205812</v>
      </c>
      <c r="H53" s="7" t="n">
        <v>139.2723341667892</v>
      </c>
      <c r="I53" s="7" t="n">
        <v>158.4717732946946</v>
      </c>
      <c r="J53" s="7" t="n">
        <v>143.7425198915799</v>
      </c>
      <c r="K53" s="7" t="n">
        <v>94.73447432762836</v>
      </c>
      <c r="L53" s="7" t="n">
        <v>88.13730322785817</v>
      </c>
      <c r="M53" s="7" t="n">
        <v>99.67117595902985</v>
      </c>
      <c r="N53" s="7" t="n">
        <v>145.0527428065676</v>
      </c>
      <c r="O53" s="8">
        <f>N53*$B$2/100</f>
        <v/>
      </c>
    </row>
    <row r="54">
      <c r="A54" s="6" t="n">
        <v>46238.73893296297</v>
      </c>
      <c r="B54" s="7" t="n">
        <v>123.9193734352352</v>
      </c>
      <c r="C54" s="7" t="n">
        <v>158.0050866541811</v>
      </c>
      <c r="D54" s="7" t="n">
        <v>152.7753272390439</v>
      </c>
      <c r="E54" s="7" t="n">
        <v>98.17256396298312</v>
      </c>
      <c r="F54" s="7" t="n">
        <v>127.7925107815294</v>
      </c>
      <c r="G54" s="7" t="n">
        <v>114.8656009164757</v>
      </c>
      <c r="H54" s="7" t="n">
        <v>132.2430181704867</v>
      </c>
      <c r="I54" s="7" t="n">
        <v>138.3770309317418</v>
      </c>
      <c r="J54" s="7" t="n">
        <v>137.6005010086679</v>
      </c>
      <c r="K54" s="7" t="n">
        <v>99.18547055586131</v>
      </c>
      <c r="L54" s="7" t="n">
        <v>115.7955698264228</v>
      </c>
      <c r="M54" s="7" t="n">
        <v>88.49582973828012</v>
      </c>
      <c r="N54" s="7" t="n">
        <v>140.5864178458877</v>
      </c>
      <c r="O54" s="8">
        <f>N54*$B$2/100</f>
        <v/>
      </c>
    </row>
    <row r="55">
      <c r="A55" s="6" t="n">
        <v>46238.73894457176</v>
      </c>
      <c r="B55" s="7" t="n">
        <v>137.8556115276476</v>
      </c>
      <c r="C55" s="7" t="n">
        <v>158.3648759771799</v>
      </c>
      <c r="D55" s="7" t="n">
        <v>138.2998262490995</v>
      </c>
      <c r="E55" s="7" t="n">
        <v>121.3847355237955</v>
      </c>
      <c r="F55" s="7" t="n">
        <v>139.9201107415301</v>
      </c>
      <c r="G55" s="7" t="n">
        <v>128.7633538060674</v>
      </c>
      <c r="H55" s="7" t="n">
        <v>141.4739593092634</v>
      </c>
      <c r="I55" s="7" t="n">
        <v>143.7322387947552</v>
      </c>
      <c r="J55" s="7" t="n">
        <v>137.0597840463651</v>
      </c>
      <c r="K55" s="7" t="n">
        <v>148.0608449462584</v>
      </c>
      <c r="L55" s="7" t="n">
        <v>143.9437830741428</v>
      </c>
      <c r="M55" s="7" t="n">
        <v>113.8603465184701</v>
      </c>
      <c r="N55" s="7" t="n">
        <v>144.7782108626198</v>
      </c>
      <c r="O55" s="8">
        <f>N55*$B$2/100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9" customWidth="1" min="4" max="4"/>
    <col width="56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테스트 구간별 시각 경계와 실행 스레드, 그 구간의 평균 클럭</t>
        </is>
      </c>
    </row>
    <row r="2">
      <c r="A2" s="4" t="inlineStr">
        <is>
          <t>시각 경계 출처: 전체·워밍업·워커 읽기는 프로브의 [구간 시각] 출력, 측정 회차는 IMPLOG의 시작시각ms(첫 스캔 시작)와 마지막 스캔 시작+바퀴 시간이다.</t>
        </is>
      </c>
    </row>
    <row r="3">
      <c r="A3" s="4" t="inlineStr">
        <is>
      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      </is>
      </c>
    </row>
    <row r="5">
      <c r="A5" s="5" t="inlineStr">
        <is>
          <t>구간</t>
        </is>
      </c>
      <c r="B5" s="5" t="inlineStr">
        <is>
          <t>시작 시각</t>
        </is>
      </c>
      <c r="C5" s="5" t="inlineStr">
        <is>
          <t>끝 시각</t>
        </is>
      </c>
      <c r="D5" s="5" t="inlineStr">
        <is>
          <t>길이(초)</t>
        </is>
      </c>
      <c r="E5" s="5" t="inlineStr">
        <is>
          <t>실행 스레드</t>
        </is>
      </c>
      <c r="F5" s="5" t="inlineStr">
        <is>
          <t>표본 수(개)</t>
        </is>
      </c>
      <c r="G5" s="5" t="inlineStr">
        <is>
          <t>평균 클럭(%)</t>
        </is>
      </c>
      <c r="H5" s="5" t="inlineStr">
        <is>
          <t>평균 클럭(GHz)</t>
        </is>
      </c>
    </row>
    <row r="6">
      <c r="A6" s="9" t="inlineStr">
        <is>
          <t>순차 전체</t>
        </is>
      </c>
      <c r="B6" s="10" t="n">
        <v>46238.73849122231</v>
      </c>
      <c r="C6" s="10" t="n">
        <v>46238.73866370917</v>
      </c>
      <c r="D6" s="11">
        <f>(C6-B6)*86400</f>
        <v/>
      </c>
      <c r="E6" s="12" t="inlineStr">
        <is>
          <t>main (improveSequential, 워밍업+측정)</t>
        </is>
      </c>
      <c r="F6" s="13">
        <f>COUNTIFS('클럭 정리'!$A$6:$A$55,"&gt;="&amp;B6,'클럭 정리'!$A$6:$A$55,"&lt;="&amp;C6)</f>
        <v/>
      </c>
      <c r="G6" s="14">
        <f>AVERAGEIFS('클럭 정리'!$N$6:$N$55,'클럭 정리'!$A$6:$A$55,"&gt;="&amp;B6,'클럭 정리'!$A$6:$A$55,"&lt;="&amp;C6)</f>
        <v/>
      </c>
      <c r="H6" s="15">
        <f>G6*'클럭 정리'!$B$2/100</f>
        <v/>
      </c>
    </row>
    <row r="7">
      <c r="A7" s="9" t="inlineStr">
        <is>
          <t>병렬도 6 분할 36 전체</t>
        </is>
      </c>
      <c r="B7" s="10" t="n">
        <v>46238.73866370917</v>
      </c>
      <c r="C7" s="10" t="n">
        <v>46238.73870832421</v>
      </c>
      <c r="D7" s="11">
        <f>(C7-B7)*86400</f>
        <v/>
      </c>
      <c r="E7" s="12" t="inlineStr">
        <is>
          <t>워커(호출마다 새 풀)+main</t>
        </is>
      </c>
      <c r="F7" s="13">
        <f>COUNTIFS('클럭 정리'!$A$6:$A$55,"&gt;="&amp;B7,'클럭 정리'!$A$6:$A$55,"&lt;="&amp;C7)</f>
        <v/>
      </c>
      <c r="G7" s="14">
        <f>AVERAGEIFS('클럭 정리'!$N$6:$N$55,'클럭 정리'!$A$6:$A$55,"&gt;="&amp;B7,'클럭 정리'!$A$6:$A$55,"&lt;="&amp;C7)</f>
        <v/>
      </c>
      <c r="H7" s="15">
        <f>G7*'클럭 정리'!$B$2/100</f>
        <v/>
      </c>
    </row>
    <row r="8">
      <c r="A8" s="13" t="inlineStr">
        <is>
          <t>병렬도 6 분할 36 워밍업</t>
        </is>
      </c>
      <c r="B8" s="10" t="n">
        <v>46238.73866370917</v>
      </c>
      <c r="C8" s="10" t="n">
        <v>46238.73867452546</v>
      </c>
      <c r="D8" s="11">
        <f>(C8-B8)*86400</f>
        <v/>
      </c>
      <c r="E8" s="12" t="inlineStr">
        <is>
          <t>워커 (IMPLOG 기록 없음)</t>
        </is>
      </c>
      <c r="F8" s="13">
        <f>COUNTIFS('클럭 정리'!$A$6:$A$55,"&gt;="&amp;B8,'클럭 정리'!$A$6:$A$55,"&lt;="&amp;C8)</f>
        <v/>
      </c>
      <c r="G8" s="14">
        <f>AVERAGEIFS('클럭 정리'!$N$6:$N$55,'클럭 정리'!$A$6:$A$55,"&gt;="&amp;B8,'클럭 정리'!$A$6:$A$55,"&lt;="&amp;C8)</f>
        <v/>
      </c>
      <c r="H8" s="15">
        <f>G8*'클럭 정리'!$B$2/100</f>
        <v/>
      </c>
    </row>
    <row r="9">
      <c r="A9" s="13" t="inlineStr">
        <is>
          <t>병렬도 6 분할 36 측정 1회차</t>
        </is>
      </c>
      <c r="B9" s="10" t="n">
        <v>46238.73867452546</v>
      </c>
      <c r="C9" s="10" t="n">
        <v>46238.73868036763</v>
      </c>
      <c r="D9" s="11">
        <f>(C9-B9)*86400</f>
        <v/>
      </c>
      <c r="E9" s="12" t="inlineStr">
        <is>
          <t>ForkJoinPool-3-worker-1, ForkJoinPool-3-worker-2, ForkJoinPool-3-worker-3, ForkJoinPool-3-worker-4, ForkJoinPool-3-worker-5, ForkJoinPool-3-worker-6 + main(스캔 사이 순차 구간)</t>
        </is>
      </c>
      <c r="F9" s="13">
        <f>COUNTIFS('클럭 정리'!$A$6:$A$55,"&gt;="&amp;B9,'클럭 정리'!$A$6:$A$55,"&lt;="&amp;C9)</f>
        <v/>
      </c>
      <c r="G9" s="14">
        <f>AVERAGEIFS('클럭 정리'!$N$6:$N$55,'클럭 정리'!$A$6:$A$55,"&gt;="&amp;B9,'클럭 정리'!$A$6:$A$55,"&lt;="&amp;C9)</f>
        <v/>
      </c>
      <c r="H9" s="15">
        <f>G9*'클럭 정리'!$B$2/100</f>
        <v/>
      </c>
    </row>
    <row r="10">
      <c r="A10" s="13" t="inlineStr">
        <is>
          <t>병렬도 6 분할 36 측정 2회차</t>
        </is>
      </c>
      <c r="B10" s="10" t="n">
        <v>46238.73868038195</v>
      </c>
      <c r="C10" s="10" t="n">
        <v>46238.73868544307</v>
      </c>
      <c r="D10" s="11">
        <f>(C10-B10)*86400</f>
        <v/>
      </c>
      <c r="E10" s="12" t="inlineStr">
        <is>
          <t>ForkJoinPool-4-worker-1, ForkJoinPool-4-worker-2, ForkJoinPool-4-worker-3, ForkJoinPool-4-worker-4, ForkJoinPool-4-worker-5, ForkJoinPool-4-worker-6, ForkJoinPool-4-worker-7 + main(스캔 사이 순차 구간)</t>
        </is>
      </c>
      <c r="F10" s="13">
        <f>COUNTIFS('클럭 정리'!$A$6:$A$55,"&gt;="&amp;B10,'클럭 정리'!$A$6:$A$55,"&lt;="&amp;C10)</f>
        <v/>
      </c>
      <c r="G10" s="14">
        <f>AVERAGEIFS('클럭 정리'!$N$6:$N$55,'클럭 정리'!$A$6:$A$55,"&gt;="&amp;B10,'클럭 정리'!$A$6:$A$55,"&lt;="&amp;C10)</f>
        <v/>
      </c>
      <c r="H10" s="15">
        <f>G10*'클럭 정리'!$B$2/100</f>
        <v/>
      </c>
    </row>
    <row r="11">
      <c r="A11" s="13" t="inlineStr">
        <is>
          <t>병렬도 6 분할 36 측정 3회차</t>
        </is>
      </c>
      <c r="B11" s="10" t="n">
        <v>46238.73868550926</v>
      </c>
      <c r="C11" s="10" t="n">
        <v>46238.73869055837</v>
      </c>
      <c r="D11" s="11">
        <f>(C11-B11)*86400</f>
        <v/>
      </c>
      <c r="E11" s="12" t="inlineStr">
        <is>
          <t>ForkJoinPool-5-worker-1, ForkJoinPool-5-worker-2, ForkJoinPool-5-worker-3, ForkJoinPool-5-worker-4, ForkJoinPool-5-worker-5, ForkJoinPool-5-worker-6 + main(스캔 사이 순차 구간)</t>
        </is>
      </c>
      <c r="F11" s="13">
        <f>COUNTIFS('클럭 정리'!$A$6:$A$55,"&gt;="&amp;B11,'클럭 정리'!$A$6:$A$55,"&lt;="&amp;C11)</f>
        <v/>
      </c>
      <c r="G11" s="14">
        <f>AVERAGEIFS('클럭 정리'!$N$6:$N$55,'클럭 정리'!$A$6:$A$55,"&gt;="&amp;B11,'클럭 정리'!$A$6:$A$55,"&lt;="&amp;C11)</f>
        <v/>
      </c>
      <c r="H11" s="15">
        <f>G11*'클럭 정리'!$B$2/100</f>
        <v/>
      </c>
    </row>
    <row r="12">
      <c r="A12" s="13" t="inlineStr">
        <is>
          <t>병렬도 6 분할 36 측정 4회차</t>
        </is>
      </c>
      <c r="B12" s="10" t="n">
        <v>46238.73869063657</v>
      </c>
      <c r="C12" s="10" t="n">
        <v>46238.7386955314</v>
      </c>
      <c r="D12" s="11">
        <f>(C12-B12)*86400</f>
        <v/>
      </c>
      <c r="E12" s="12" t="inlineStr">
        <is>
          <t>ForkJoinPool-6-worker-1, ForkJoinPool-6-worker-2, ForkJoinPool-6-worker-3, ForkJoinPool-6-worker-4, ForkJoinPool-6-worker-5, ForkJoinPool-6-worker-6, ForkJoinPool-6-worker-7 + main(스캔 사이 순차 구간)</t>
        </is>
      </c>
      <c r="F12" s="13">
        <f>COUNTIFS('클럭 정리'!$A$6:$A$55,"&gt;="&amp;B12,'클럭 정리'!$A$6:$A$55,"&lt;="&amp;C12)</f>
        <v/>
      </c>
      <c r="G12" s="14">
        <f>AVERAGEIFS('클럭 정리'!$N$6:$N$55,'클럭 정리'!$A$6:$A$55,"&gt;="&amp;B12,'클럭 정리'!$A$6:$A$55,"&lt;="&amp;C12)</f>
        <v/>
      </c>
      <c r="H12" s="15">
        <f>G12*'클럭 정리'!$B$2/100</f>
        <v/>
      </c>
    </row>
    <row r="13">
      <c r="A13" s="13" t="inlineStr">
        <is>
          <t>병렬도 6 분할 36 측정 5회차</t>
        </is>
      </c>
      <c r="B13" s="10" t="n">
        <v>46238.73869570602</v>
      </c>
      <c r="C13" s="10" t="n">
        <v>46238.73870084355</v>
      </c>
      <c r="D13" s="11">
        <f>(C13-B13)*86400</f>
        <v/>
      </c>
      <c r="E13" s="12" t="inlineStr">
        <is>
          <t>ForkJoinPool-7-worker-1, ForkJoinPool-7-worker-2, ForkJoinPool-7-worker-3, ForkJoinPool-7-worker-4, ForkJoinPool-7-worker-5, ForkJoinPool-7-worker-6, ForkJoinPool-7-worker-7 + main(스캔 사이 순차 구간)</t>
        </is>
      </c>
      <c r="F13" s="13">
        <f>COUNTIFS('클럭 정리'!$A$6:$A$55,"&gt;="&amp;B13,'클럭 정리'!$A$6:$A$55,"&lt;="&amp;C13)</f>
        <v/>
      </c>
      <c r="G13" s="14">
        <f>AVERAGEIFS('클럭 정리'!$N$6:$N$55,'클럭 정리'!$A$6:$A$55,"&gt;="&amp;B13,'클럭 정리'!$A$6:$A$55,"&lt;="&amp;C13)</f>
        <v/>
      </c>
      <c r="H13" s="15">
        <f>G13*'클럭 정리'!$B$2/100</f>
        <v/>
      </c>
    </row>
    <row r="14">
      <c r="A14" s="13" t="inlineStr">
        <is>
          <t>병렬도 6 분할 36 워커별 CPU 읽기 실행</t>
        </is>
      </c>
      <c r="B14" s="10" t="n">
        <v>46238.73870084355</v>
      </c>
      <c r="C14" s="10" t="n">
        <v>46238.73870832421</v>
      </c>
      <c r="D14" s="11">
        <f>(C14-B14)*86400</f>
        <v/>
      </c>
      <c r="E14" s="12" t="inlineStr">
        <is>
          <t>ForkJoinPool-8-worker-1, ForkJoinPool-8-worker-3, ForkJoinPool-8-worker-6, ForkJoinPool-8-worker-2, ForkJoinPool-8-worker-4, ForkJoinPool-8-worker-5 + main</t>
        </is>
      </c>
      <c r="F14" s="13">
        <f>COUNTIFS('클럭 정리'!$A$6:$A$55,"&gt;="&amp;B14,'클럭 정리'!$A$6:$A$55,"&lt;="&amp;C14)</f>
        <v/>
      </c>
      <c r="G14" s="14">
        <f>AVERAGEIFS('클럭 정리'!$N$6:$N$55,'클럭 정리'!$A$6:$A$55,"&gt;="&amp;B14,'클럭 정리'!$A$6:$A$55,"&lt;="&amp;C14)</f>
        <v/>
      </c>
      <c r="H14" s="15">
        <f>G14*'클럭 정리'!$B$2/100</f>
        <v/>
      </c>
    </row>
    <row r="15">
      <c r="A15" s="9" t="inlineStr">
        <is>
          <t>병렬도 12 분할 36 전체</t>
        </is>
      </c>
      <c r="B15" s="10" t="n">
        <v>46238.73870832421</v>
      </c>
      <c r="C15" s="10" t="n">
        <v>46238.73873452948</v>
      </c>
      <c r="D15" s="11">
        <f>(C15-B15)*86400</f>
        <v/>
      </c>
      <c r="E15" s="12" t="inlineStr">
        <is>
          <t>워커(호출마다 새 풀)+main</t>
        </is>
      </c>
      <c r="F15" s="13">
        <f>COUNTIFS('클럭 정리'!$A$6:$A$55,"&gt;="&amp;B15,'클럭 정리'!$A$6:$A$55,"&lt;="&amp;C15)</f>
        <v/>
      </c>
      <c r="G15" s="14">
        <f>AVERAGEIFS('클럭 정리'!$N$6:$N$55,'클럭 정리'!$A$6:$A$55,"&gt;="&amp;B15,'클럭 정리'!$A$6:$A$55,"&lt;="&amp;C15)</f>
        <v/>
      </c>
      <c r="H15" s="15">
        <f>G15*'클럭 정리'!$B$2/100</f>
        <v/>
      </c>
    </row>
    <row r="16">
      <c r="A16" s="13" t="inlineStr">
        <is>
          <t>병렬도 12 분할 36 워밍업</t>
        </is>
      </c>
      <c r="B16" s="10" t="n">
        <v>46238.73870832421</v>
      </c>
      <c r="C16" s="10" t="n">
        <v>46238.73871453704</v>
      </c>
      <c r="D16" s="11">
        <f>(C16-B16)*86400</f>
        <v/>
      </c>
      <c r="E16" s="12" t="inlineStr">
        <is>
          <t>워커 (IMPLOG 기록 없음)</t>
        </is>
      </c>
      <c r="F16" s="13">
        <f>COUNTIFS('클럭 정리'!$A$6:$A$55,"&gt;="&amp;B16,'클럭 정리'!$A$6:$A$55,"&lt;="&amp;C16)</f>
        <v/>
      </c>
      <c r="G16" s="14">
        <f>AVERAGEIFS('클럭 정리'!$N$6:$N$55,'클럭 정리'!$A$6:$A$55,"&gt;="&amp;B16,'클럭 정리'!$A$6:$A$55,"&lt;="&amp;C16)</f>
        <v/>
      </c>
      <c r="H16" s="15">
        <f>G16*'클럭 정리'!$B$2/100</f>
        <v/>
      </c>
    </row>
    <row r="17">
      <c r="A17" s="13" t="inlineStr">
        <is>
          <t>병렬도 12 분할 36 측정 1회차</t>
        </is>
      </c>
      <c r="B17" s="10" t="n">
        <v>46238.73871453704</v>
      </c>
      <c r="C17" s="10" t="n">
        <v>46238.73871755553</v>
      </c>
      <c r="D17" s="11">
        <f>(C17-B17)*86400</f>
        <v/>
      </c>
      <c r="E17" s="12" t="inlineStr">
        <is>
          <t>ForkJoinPool-11-worker-1, ForkJoinPool-11-worker-10, ForkJoinPool-11-worker-11, ForkJoinPool-11-worker-12, ForkJoinPool-11-worker-2, ForkJoinPool-11-worker-3, ForkJoinPool-11-worker-4, ForkJoinPool-11-worker-5, ForkJoinPool-11-worker-6, ForkJoinPool-11-worker-7, ForkJoinPool-11-worker-8, ForkJoinPool-11-worker-9 + main(스캔 사이 순차 구간)</t>
        </is>
      </c>
      <c r="F17" s="13">
        <f>COUNTIFS('클럭 정리'!$A$6:$A$55,"&gt;="&amp;B17,'클럭 정리'!$A$6:$A$55,"&lt;="&amp;C17)</f>
        <v/>
      </c>
      <c r="G17" s="14">
        <f>AVERAGEIFS('클럭 정리'!$N$6:$N$55,'클럭 정리'!$A$6:$A$55,"&gt;="&amp;B17,'클럭 정리'!$A$6:$A$55,"&lt;="&amp;C17)</f>
        <v/>
      </c>
      <c r="H17" s="15">
        <f>G17*'클럭 정리'!$B$2/100</f>
        <v/>
      </c>
    </row>
    <row r="18">
      <c r="A18" s="13" t="inlineStr">
        <is>
          <t>병렬도 12 분할 36 측정 2회차</t>
        </is>
      </c>
      <c r="B18" s="10" t="n">
        <v>46238.73871755787</v>
      </c>
      <c r="C18" s="10" t="n">
        <v>46238.73872070568</v>
      </c>
      <c r="D18" s="11">
        <f>(C18-B18)*86400</f>
        <v/>
      </c>
      <c r="E18" s="12" t="inlineStr">
        <is>
          <t>ForkJoinPool-12-worker-1, ForkJoinPool-12-worker-10, ForkJoinPool-12-worker-11, ForkJoinPool-12-worker-12, ForkJoinPool-12-worker-2, ForkJoinPool-12-worker-3, ForkJoinPool-12-worker-4, ForkJoinPool-12-worker-5, ForkJoinPool-12-worker-6, ForkJoinPool-12-worker-7, ForkJoinPool-12-worker-8, ForkJoinPool-12-worker-9 + main(스캔 사이 순차 구간)</t>
        </is>
      </c>
      <c r="F18" s="13">
        <f>COUNTIFS('클럭 정리'!$A$6:$A$55,"&gt;="&amp;B18,'클럭 정리'!$A$6:$A$55,"&lt;="&amp;C18)</f>
        <v/>
      </c>
      <c r="G18" s="14">
        <f>AVERAGEIFS('클럭 정리'!$N$6:$N$55,'클럭 정리'!$A$6:$A$55,"&gt;="&amp;B18,'클럭 정리'!$A$6:$A$55,"&lt;="&amp;C18)</f>
        <v/>
      </c>
      <c r="H18" s="15">
        <f>G18*'클럭 정리'!$B$2/100</f>
        <v/>
      </c>
    </row>
    <row r="19">
      <c r="A19" s="13" t="inlineStr">
        <is>
          <t>병렬도 12 분할 36 측정 3회차</t>
        </is>
      </c>
      <c r="B19" s="10" t="n">
        <v>46238.73872068287</v>
      </c>
      <c r="C19" s="10" t="n">
        <v>46238.73872389882</v>
      </c>
      <c r="D19" s="11">
        <f>(C19-B19)*86400</f>
        <v/>
      </c>
      <c r="E19" s="12" t="inlineStr">
        <is>
          <t>ForkJoinPool-13-worker-1, ForkJoinPool-13-worker-10, ForkJoinPool-13-worker-11, ForkJoinPool-13-worker-12, ForkJoinPool-13-worker-2, ForkJoinPool-13-worker-3, ForkJoinPool-13-worker-4, ForkJoinPool-13-worker-5, ForkJoinPool-13-worker-6, ForkJoinPool-13-worker-7, ForkJoinPool-13-worker-8, ForkJoinPool-13-worker-9 + main(스캔 사이 순차 구간)</t>
        </is>
      </c>
      <c r="F19" s="13">
        <f>COUNTIFS('클럭 정리'!$A$6:$A$55,"&gt;="&amp;B19,'클럭 정리'!$A$6:$A$55,"&lt;="&amp;C19)</f>
        <v/>
      </c>
      <c r="G19" s="14">
        <f>AVERAGEIFS('클럭 정리'!$N$6:$N$55,'클럭 정리'!$A$6:$A$55,"&gt;="&amp;B19,'클럭 정리'!$A$6:$A$55,"&lt;="&amp;C19)</f>
        <v/>
      </c>
      <c r="H19" s="15">
        <f>G19*'클럭 정리'!$B$2/100</f>
        <v/>
      </c>
    </row>
    <row r="20">
      <c r="A20" s="13" t="inlineStr">
        <is>
          <t>병렬도 12 분할 36 측정 4회차</t>
        </is>
      </c>
      <c r="B20" s="10" t="n">
        <v>46238.73872391204</v>
      </c>
      <c r="C20" s="10" t="n">
        <v>46238.73872692101</v>
      </c>
      <c r="D20" s="11">
        <f>(C20-B20)*86400</f>
        <v/>
      </c>
      <c r="E20" s="12" t="inlineStr">
        <is>
          <t>ForkJoinPool-14-worker-1, ForkJoinPool-14-worker-10, ForkJoinPool-14-worker-11, ForkJoinPool-14-worker-12, ForkJoinPool-14-worker-2, ForkJoinPool-14-worker-3, ForkJoinPool-14-worker-4, ForkJoinPool-14-worker-5, ForkJoinPool-14-worker-6, ForkJoinPool-14-worker-7, ForkJoinPool-14-worker-8, ForkJoinPool-14-worker-9 + main(스캔 사이 순차 구간)</t>
        </is>
      </c>
      <c r="F20" s="13">
        <f>COUNTIFS('클럭 정리'!$A$6:$A$55,"&gt;="&amp;B20,'클럭 정리'!$A$6:$A$55,"&lt;="&amp;C20)</f>
        <v/>
      </c>
      <c r="G20" s="14">
        <f>AVERAGEIFS('클럭 정리'!$N$6:$N$55,'클럭 정리'!$A$6:$A$55,"&gt;="&amp;B20,'클럭 정리'!$A$6:$A$55,"&lt;="&amp;C20)</f>
        <v/>
      </c>
      <c r="H20" s="15">
        <f>G20*'클럭 정리'!$B$2/100</f>
        <v/>
      </c>
    </row>
    <row r="21">
      <c r="A21" s="13" t="inlineStr">
        <is>
          <t>병렬도 12 분할 36 측정 5회차</t>
        </is>
      </c>
      <c r="B21" s="10" t="n">
        <v>46238.73872694444</v>
      </c>
      <c r="C21" s="10" t="n">
        <v>46238.73872999793</v>
      </c>
      <c r="D21" s="11">
        <f>(C21-B21)*86400</f>
        <v/>
      </c>
      <c r="E21" s="12" t="inlineStr">
        <is>
          <t>ForkJoinPool-15-worker-1, ForkJoinPool-15-worker-10, ForkJoinPool-15-worker-11, ForkJoinPool-15-worker-12, ForkJoinPool-15-worker-2, ForkJoinPool-15-worker-3, ForkJoinPool-15-worker-4, ForkJoinPool-15-worker-5, ForkJoinPool-15-worker-6, ForkJoinPool-15-worker-7, ForkJoinPool-15-worker-8, ForkJoinPool-15-worker-9 + main(스캔 사이 순차 구간)</t>
        </is>
      </c>
      <c r="F21" s="13">
        <f>COUNTIFS('클럭 정리'!$A$6:$A$55,"&gt;="&amp;B21,'클럭 정리'!$A$6:$A$55,"&lt;="&amp;C21)</f>
        <v/>
      </c>
      <c r="G21" s="14">
        <f>AVERAGEIFS('클럭 정리'!$N$6:$N$55,'클럭 정리'!$A$6:$A$55,"&gt;="&amp;B21,'클럭 정리'!$A$6:$A$55,"&lt;="&amp;C21)</f>
        <v/>
      </c>
      <c r="H21" s="15">
        <f>G21*'클럭 정리'!$B$2/100</f>
        <v/>
      </c>
    </row>
    <row r="22">
      <c r="A22" s="13" t="inlineStr">
        <is>
          <t>병렬도 12 분할 36 워커별 CPU 읽기 실행</t>
        </is>
      </c>
      <c r="B22" s="10" t="n">
        <v>46238.73872999793</v>
      </c>
      <c r="C22" s="10" t="n">
        <v>46238.73873452948</v>
      </c>
      <c r="D22" s="11">
        <f>(C22-B22)*86400</f>
        <v/>
      </c>
      <c r="E22" s="12" t="inlineStr">
        <is>
          <t>ForkJoinPool-16-worker-1, ForkJoinPool-16-worker-4, ForkJoinPool-16-worker-3, ForkJoinPool-16-worker-8, ForkJoinPool-16-worker-11, ForkJoinPool-16-worker-2, ForkJoinPool-16-worker-12, ForkJoinPool-16-worker-7, ForkJoinPool-16-worker-5, ForkJoinPool-16-worker-6, ForkJoinPool-16-worker-9, ForkJoinPool-16-worker-10 + main</t>
        </is>
      </c>
      <c r="F22" s="13">
        <f>COUNTIFS('클럭 정리'!$A$6:$A$55,"&gt;="&amp;B22,'클럭 정리'!$A$6:$A$55,"&lt;="&amp;C22)</f>
        <v/>
      </c>
      <c r="G22" s="14">
        <f>AVERAGEIFS('클럭 정리'!$N$6:$N$55,'클럭 정리'!$A$6:$A$55,"&gt;="&amp;B22,'클럭 정리'!$A$6:$A$55,"&lt;="&amp;C22)</f>
        <v/>
      </c>
      <c r="H22" s="15">
        <f>G22*'클럭 정리'!$B$2/100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6" customWidth="1" min="3" max="3"/>
    <col width="40" customWidth="1" min="4" max="4"/>
    <col width="14" customWidth="1" min="5" max="5"/>
    <col width="14" customWidth="1" min="6" max="6"/>
    <col width="17" customWidth="1" min="7" max="7"/>
    <col width="15" customWidth="1" min="8" max="8"/>
    <col width="11" customWidth="1" min="9" max="9"/>
    <col width="12" customWidth="1" min="10" max="10"/>
    <col width="13" customWidth="1" min="11" max="11"/>
  </cols>
  <sheetData>
    <row r="1">
      <c r="A1" s="1" t="inlineStr">
        <is>
          <t>측정 회차 구간 안의 스레드별 활동 창과 클럭, 그리고 풀별 클럭 표본 매핑</t>
        </is>
      </c>
    </row>
    <row r="2">
      <c r="A2" s="4" t="inlineStr">
        <is>
      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      </is>
      </c>
    </row>
    <row r="3">
      <c r="A3" s="4" t="inlineStr">
        <is>
      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      </is>
      </c>
    </row>
    <row r="5">
      <c r="A5" s="5" t="inlineStr">
        <is>
          <t>구간</t>
        </is>
      </c>
      <c r="B5" s="5" t="inlineStr">
        <is>
          <t>회차</t>
        </is>
      </c>
      <c r="C5" s="5" t="inlineStr">
        <is>
          <t>스레드</t>
        </is>
      </c>
      <c r="D5" s="5" t="inlineStr">
        <is>
          <t>역할</t>
        </is>
      </c>
      <c r="E5" s="5" t="inlineStr">
        <is>
          <t>활동 시작</t>
        </is>
      </c>
      <c r="F5" s="5" t="inlineStr">
        <is>
          <t>활동 끝</t>
        </is>
      </c>
      <c r="G5" s="5" t="inlineStr">
        <is>
          <t>처리 수(말단/스캔)</t>
        </is>
      </c>
      <c r="H5" s="5" t="inlineStr">
        <is>
          <t>활동 시간 합(ms)</t>
        </is>
      </c>
      <c r="I5" s="5" t="inlineStr">
        <is>
          <t>표본 수(개)</t>
        </is>
      </c>
      <c r="J5" s="5" t="inlineStr">
        <is>
          <t>평균 클럭(%)</t>
        </is>
      </c>
      <c r="K5" s="5" t="inlineStr">
        <is>
          <t>평균 클럭(GHz)</t>
        </is>
      </c>
    </row>
    <row r="6">
      <c r="A6" s="13" t="inlineStr">
        <is>
          <t>병렬도 6 분할 36</t>
        </is>
      </c>
      <c r="B6" s="13" t="n">
        <v>1</v>
      </c>
      <c r="C6" s="13" t="inlineStr">
        <is>
          <t>ForkJoinPool-3-worker-1</t>
        </is>
      </c>
      <c r="D6" s="12" t="inlineStr">
        <is>
          <t>워커</t>
        </is>
      </c>
      <c r="E6" s="10" t="n">
        <v>46238.73867452546</v>
      </c>
      <c r="F6" s="10" t="n">
        <v>46238.73868026376</v>
      </c>
      <c r="G6" s="13" t="n">
        <v>273</v>
      </c>
      <c r="H6" s="14" t="n">
        <v>432.0649</v>
      </c>
      <c r="I6" s="13">
        <f>COUNTIFS('클럭 정리'!$A$6:$A$55,"&gt;="&amp;E6,'클럭 정리'!$A$6:$A$55,"&lt;="&amp;F6)</f>
        <v/>
      </c>
      <c r="J6" s="14">
        <f>AVERAGEIFS('클럭 정리'!$N$6:$N$55,'클럭 정리'!$A$6:$A$55,"&gt;="&amp;E6,'클럭 정리'!$A$6:$A$55,"&lt;="&amp;F6)</f>
        <v/>
      </c>
      <c r="K6" s="15">
        <f>J6*'클럭 정리'!$B$2/100</f>
        <v/>
      </c>
    </row>
    <row r="7">
      <c r="A7" s="13" t="inlineStr">
        <is>
          <t>병렬도 6 분할 36</t>
        </is>
      </c>
      <c r="B7" s="13" t="n">
        <v>1</v>
      </c>
      <c r="C7" s="13" t="inlineStr">
        <is>
          <t>ForkJoinPool-3-worker-2</t>
        </is>
      </c>
      <c r="D7" s="12" t="inlineStr">
        <is>
          <t>워커</t>
        </is>
      </c>
      <c r="E7" s="10" t="n">
        <v>46238.73867452546</v>
      </c>
      <c r="F7" s="10" t="n">
        <v>46238.73868026402</v>
      </c>
      <c r="G7" s="13" t="n">
        <v>273</v>
      </c>
      <c r="H7" s="14" t="n">
        <v>425.8278</v>
      </c>
      <c r="I7" s="13">
        <f>COUNTIFS('클럭 정리'!$A$6:$A$55,"&gt;="&amp;E7,'클럭 정리'!$A$6:$A$55,"&lt;="&amp;F7)</f>
        <v/>
      </c>
      <c r="J7" s="14">
        <f>AVERAGEIFS('클럭 정리'!$N$6:$N$55,'클럭 정리'!$A$6:$A$55,"&gt;="&amp;E7,'클럭 정리'!$A$6:$A$55,"&lt;="&amp;F7)</f>
        <v/>
      </c>
      <c r="K7" s="15">
        <f>J7*'클럭 정리'!$B$2/100</f>
        <v/>
      </c>
    </row>
    <row r="8">
      <c r="A8" s="13" t="inlineStr">
        <is>
          <t>병렬도 6 분할 36</t>
        </is>
      </c>
      <c r="B8" s="13" t="n">
        <v>1</v>
      </c>
      <c r="C8" s="13" t="inlineStr">
        <is>
          <t>ForkJoinPool-3-worker-3</t>
        </is>
      </c>
      <c r="D8" s="12" t="inlineStr">
        <is>
          <t>워커</t>
        </is>
      </c>
      <c r="E8" s="10" t="n">
        <v>46238.73867456018</v>
      </c>
      <c r="F8" s="10" t="n">
        <v>46238.73868026431</v>
      </c>
      <c r="G8" s="13" t="n">
        <v>272</v>
      </c>
      <c r="H8" s="14" t="n">
        <v>433.5852</v>
      </c>
      <c r="I8" s="13">
        <f>COUNTIFS('클럭 정리'!$A$6:$A$55,"&gt;="&amp;E8,'클럭 정리'!$A$6:$A$55,"&lt;="&amp;F8)</f>
        <v/>
      </c>
      <c r="J8" s="14">
        <f>AVERAGEIFS('클럭 정리'!$N$6:$N$55,'클럭 정리'!$A$6:$A$55,"&gt;="&amp;E8,'클럭 정리'!$A$6:$A$55,"&lt;="&amp;F8)</f>
        <v/>
      </c>
      <c r="K8" s="15">
        <f>J8*'클럭 정리'!$B$2/100</f>
        <v/>
      </c>
    </row>
    <row r="9">
      <c r="A9" s="13" t="inlineStr">
        <is>
          <t>병렬도 6 분할 36</t>
        </is>
      </c>
      <c r="B9" s="13" t="n">
        <v>1</v>
      </c>
      <c r="C9" s="13" t="inlineStr">
        <is>
          <t>ForkJoinPool-3-worker-4</t>
        </is>
      </c>
      <c r="D9" s="12" t="inlineStr">
        <is>
          <t>워커</t>
        </is>
      </c>
      <c r="E9" s="10" t="n">
        <v>46238.73867456018</v>
      </c>
      <c r="F9" s="10" t="n">
        <v>46238.73868026349</v>
      </c>
      <c r="G9" s="13" t="n">
        <v>267</v>
      </c>
      <c r="H9" s="14" t="n">
        <v>419.789</v>
      </c>
      <c r="I9" s="13">
        <f>COUNTIFS('클럭 정리'!$A$6:$A$55,"&gt;="&amp;E9,'클럭 정리'!$A$6:$A$55,"&lt;="&amp;F9)</f>
        <v/>
      </c>
      <c r="J9" s="14">
        <f>AVERAGEIFS('클럭 정리'!$N$6:$N$55,'클럭 정리'!$A$6:$A$55,"&gt;="&amp;E9,'클럭 정리'!$A$6:$A$55,"&lt;="&amp;F9)</f>
        <v/>
      </c>
      <c r="K9" s="15">
        <f>J9*'클럭 정리'!$B$2/100</f>
        <v/>
      </c>
    </row>
    <row r="10">
      <c r="A10" s="13" t="inlineStr">
        <is>
          <t>병렬도 6 분할 36</t>
        </is>
      </c>
      <c r="B10" s="13" t="n">
        <v>1</v>
      </c>
      <c r="C10" s="13" t="inlineStr">
        <is>
          <t>ForkJoinPool-3-worker-5</t>
        </is>
      </c>
      <c r="D10" s="12" t="inlineStr">
        <is>
          <t>워커</t>
        </is>
      </c>
      <c r="E10" s="10" t="n">
        <v>46238.73867456018</v>
      </c>
      <c r="F10" s="10" t="n">
        <v>46238.73868026181</v>
      </c>
      <c r="G10" s="13" t="n">
        <v>266</v>
      </c>
      <c r="H10" s="14" t="n">
        <v>420.4328</v>
      </c>
      <c r="I10" s="13">
        <f>COUNTIFS('클럭 정리'!$A$6:$A$55,"&gt;="&amp;E10,'클럭 정리'!$A$6:$A$55,"&lt;="&amp;F10)</f>
        <v/>
      </c>
      <c r="J10" s="14">
        <f>AVERAGEIFS('클럭 정리'!$N$6:$N$55,'클럭 정리'!$A$6:$A$55,"&gt;="&amp;E10,'클럭 정리'!$A$6:$A$55,"&lt;="&amp;F10)</f>
        <v/>
      </c>
      <c r="K10" s="15">
        <f>J10*'클럭 정리'!$B$2/100</f>
        <v/>
      </c>
    </row>
    <row r="11">
      <c r="A11" s="13" t="inlineStr">
        <is>
          <t>병렬도 6 분할 36</t>
        </is>
      </c>
      <c r="B11" s="13" t="n">
        <v>1</v>
      </c>
      <c r="C11" s="13" t="inlineStr">
        <is>
          <t>ForkJoinPool-3-worker-6</t>
        </is>
      </c>
      <c r="D11" s="12" t="inlineStr">
        <is>
          <t>워커</t>
        </is>
      </c>
      <c r="E11" s="10" t="n">
        <v>46238.73867456018</v>
      </c>
      <c r="F11" s="10" t="n">
        <v>46238.7386802647</v>
      </c>
      <c r="G11" s="13" t="n">
        <v>269</v>
      </c>
      <c r="H11" s="14" t="n">
        <v>428.4532</v>
      </c>
      <c r="I11" s="13">
        <f>COUNTIFS('클럭 정리'!$A$6:$A$55,"&gt;="&amp;E11,'클럭 정리'!$A$6:$A$55,"&lt;="&amp;F11)</f>
        <v/>
      </c>
      <c r="J11" s="14">
        <f>AVERAGEIFS('클럭 정리'!$N$6:$N$55,'클럭 정리'!$A$6:$A$55,"&gt;="&amp;E11,'클럭 정리'!$A$6:$A$55,"&lt;="&amp;F11)</f>
        <v/>
      </c>
      <c r="K11" s="15">
        <f>J11*'클럭 정리'!$B$2/100</f>
        <v/>
      </c>
    </row>
    <row r="12">
      <c r="A12" s="13" t="inlineStr">
        <is>
          <t>병렬도 6 분할 36</t>
        </is>
      </c>
      <c r="B12" s="13" t="n">
        <v>1</v>
      </c>
      <c r="C12" s="13" t="inlineStr">
        <is>
          <t>main</t>
        </is>
      </c>
      <c r="D12" s="12" t="inlineStr">
        <is>
          <t>main (활동 시간 합 = 그 회차 mainCPU, 창은 워커와 겹침)</t>
        </is>
      </c>
      <c r="E12" s="10" t="n">
        <v>46238.73867452546</v>
      </c>
      <c r="F12" s="10" t="n">
        <v>46238.73868036763</v>
      </c>
      <c r="G12" s="13" t="n">
        <v>45</v>
      </c>
      <c r="H12" s="14" t="n">
        <v>15.625</v>
      </c>
      <c r="I12" s="13">
        <f>COUNTIFS('클럭 정리'!$A$6:$A$55,"&gt;="&amp;E12,'클럭 정리'!$A$6:$A$55,"&lt;="&amp;F12)</f>
        <v/>
      </c>
      <c r="J12" s="14">
        <f>AVERAGEIFS('클럭 정리'!$N$6:$N$55,'클럭 정리'!$A$6:$A$55,"&gt;="&amp;E12,'클럭 정리'!$A$6:$A$55,"&lt;="&amp;F12)</f>
        <v/>
      </c>
      <c r="K12" s="15">
        <f>J12*'클럭 정리'!$B$2/100</f>
        <v/>
      </c>
    </row>
    <row r="13">
      <c r="A13" s="13" t="inlineStr">
        <is>
          <t>병렬도 6 분할 36</t>
        </is>
      </c>
      <c r="B13" s="13" t="n">
        <v>2</v>
      </c>
      <c r="C13" s="13" t="inlineStr">
        <is>
          <t>ForkJoinPool-4-worker-1</t>
        </is>
      </c>
      <c r="D13" s="12" t="inlineStr">
        <is>
          <t>워커</t>
        </is>
      </c>
      <c r="E13" s="10" t="n">
        <v>46238.73868038195</v>
      </c>
      <c r="F13" s="10" t="n">
        <v>46238.73868550231</v>
      </c>
      <c r="G13" s="13" t="n">
        <v>270</v>
      </c>
      <c r="H13" s="14" t="n">
        <v>395.3477</v>
      </c>
      <c r="I13" s="13">
        <f>COUNTIFS('클럭 정리'!$A$6:$A$55,"&gt;="&amp;E13,'클럭 정리'!$A$6:$A$55,"&lt;="&amp;F13)</f>
        <v/>
      </c>
      <c r="J13" s="14">
        <f>AVERAGEIFS('클럭 정리'!$N$6:$N$55,'클럭 정리'!$A$6:$A$55,"&gt;="&amp;E13,'클럭 정리'!$A$6:$A$55,"&lt;="&amp;F13)</f>
        <v/>
      </c>
      <c r="K13" s="15">
        <f>J13*'클럭 정리'!$B$2/100</f>
        <v/>
      </c>
    </row>
    <row r="14">
      <c r="A14" s="13" t="inlineStr">
        <is>
          <t>병렬도 6 분할 36</t>
        </is>
      </c>
      <c r="B14" s="13" t="n">
        <v>2</v>
      </c>
      <c r="C14" s="13" t="inlineStr">
        <is>
          <t>ForkJoinPool-4-worker-2</t>
        </is>
      </c>
      <c r="D14" s="12" t="inlineStr">
        <is>
          <t>워커</t>
        </is>
      </c>
      <c r="E14" s="10" t="n">
        <v>46238.73868038195</v>
      </c>
      <c r="F14" s="10" t="n">
        <v>46238.73868550533</v>
      </c>
      <c r="G14" s="13" t="n">
        <v>263</v>
      </c>
      <c r="H14" s="14" t="n">
        <v>381.2759</v>
      </c>
      <c r="I14" s="13">
        <f>COUNTIFS('클럭 정리'!$A$6:$A$55,"&gt;="&amp;E14,'클럭 정리'!$A$6:$A$55,"&lt;="&amp;F14)</f>
        <v/>
      </c>
      <c r="J14" s="14">
        <f>AVERAGEIFS('클럭 정리'!$N$6:$N$55,'클럭 정리'!$A$6:$A$55,"&gt;="&amp;E14,'클럭 정리'!$A$6:$A$55,"&lt;="&amp;F14)</f>
        <v/>
      </c>
      <c r="K14" s="15">
        <f>J14*'클럭 정리'!$B$2/100</f>
        <v/>
      </c>
    </row>
    <row r="15">
      <c r="A15" s="13" t="inlineStr">
        <is>
          <t>병렬도 6 분할 36</t>
        </is>
      </c>
      <c r="B15" s="13" t="n">
        <v>2</v>
      </c>
      <c r="C15" s="13" t="inlineStr">
        <is>
          <t>ForkJoinPool-4-worker-3</t>
        </is>
      </c>
      <c r="D15" s="12" t="inlineStr">
        <is>
          <t>워커</t>
        </is>
      </c>
      <c r="E15" s="10" t="n">
        <v>46238.73868038195</v>
      </c>
      <c r="F15" s="10" t="n">
        <v>46238.73868550273</v>
      </c>
      <c r="G15" s="13" t="n">
        <v>254</v>
      </c>
      <c r="H15" s="14" t="n">
        <v>368.957</v>
      </c>
      <c r="I15" s="13">
        <f>COUNTIFS('클럭 정리'!$A$6:$A$55,"&gt;="&amp;E15,'클럭 정리'!$A$6:$A$55,"&lt;="&amp;F15)</f>
        <v/>
      </c>
      <c r="J15" s="14">
        <f>AVERAGEIFS('클럭 정리'!$N$6:$N$55,'클럭 정리'!$A$6:$A$55,"&gt;="&amp;E15,'클럭 정리'!$A$6:$A$55,"&lt;="&amp;F15)</f>
        <v/>
      </c>
      <c r="K15" s="15">
        <f>J15*'클럭 정리'!$B$2/100</f>
        <v/>
      </c>
    </row>
    <row r="16">
      <c r="A16" s="13" t="inlineStr">
        <is>
          <t>병렬도 6 분할 36</t>
        </is>
      </c>
      <c r="B16" s="13" t="n">
        <v>2</v>
      </c>
      <c r="C16" s="13" t="inlineStr">
        <is>
          <t>ForkJoinPool-4-worker-4</t>
        </is>
      </c>
      <c r="D16" s="12" t="inlineStr">
        <is>
          <t>워커</t>
        </is>
      </c>
      <c r="E16" s="10" t="n">
        <v>46238.73868038195</v>
      </c>
      <c r="F16" s="10" t="n">
        <v>46238.73868550251</v>
      </c>
      <c r="G16" s="13" t="n">
        <v>270</v>
      </c>
      <c r="H16" s="14" t="n">
        <v>393.4476</v>
      </c>
      <c r="I16" s="13">
        <f>COUNTIFS('클럭 정리'!$A$6:$A$55,"&gt;="&amp;E16,'클럭 정리'!$A$6:$A$55,"&lt;="&amp;F16)</f>
        <v/>
      </c>
      <c r="J16" s="14">
        <f>AVERAGEIFS('클럭 정리'!$N$6:$N$55,'클럭 정리'!$A$6:$A$55,"&gt;="&amp;E16,'클럭 정리'!$A$6:$A$55,"&lt;="&amp;F16)</f>
        <v/>
      </c>
      <c r="K16" s="15">
        <f>J16*'클럭 정리'!$B$2/100</f>
        <v/>
      </c>
    </row>
    <row r="17">
      <c r="A17" s="13" t="inlineStr">
        <is>
          <t>병렬도 6 분할 36</t>
        </is>
      </c>
      <c r="B17" s="13" t="n">
        <v>2</v>
      </c>
      <c r="C17" s="13" t="inlineStr">
        <is>
          <t>ForkJoinPool-4-worker-5</t>
        </is>
      </c>
      <c r="D17" s="12" t="inlineStr">
        <is>
          <t>워커</t>
        </is>
      </c>
      <c r="E17" s="10" t="n">
        <v>46238.73868038195</v>
      </c>
      <c r="F17" s="10" t="n">
        <v>46238.73868550186</v>
      </c>
      <c r="G17" s="13" t="n">
        <v>263</v>
      </c>
      <c r="H17" s="14" t="n">
        <v>382.6988</v>
      </c>
      <c r="I17" s="13">
        <f>COUNTIFS('클럭 정리'!$A$6:$A$55,"&gt;="&amp;E17,'클럭 정리'!$A$6:$A$55,"&lt;="&amp;F17)</f>
        <v/>
      </c>
      <c r="J17" s="14">
        <f>AVERAGEIFS('클럭 정리'!$N$6:$N$55,'클럭 정리'!$A$6:$A$55,"&gt;="&amp;E17,'클럭 정리'!$A$6:$A$55,"&lt;="&amp;F17)</f>
        <v/>
      </c>
      <c r="K17" s="15">
        <f>J17*'클럭 정리'!$B$2/100</f>
        <v/>
      </c>
    </row>
    <row r="18">
      <c r="A18" s="13" t="inlineStr">
        <is>
          <t>병렬도 6 분할 36</t>
        </is>
      </c>
      <c r="B18" s="13" t="n">
        <v>2</v>
      </c>
      <c r="C18" s="13" t="inlineStr">
        <is>
          <t>ForkJoinPool-4-worker-6</t>
        </is>
      </c>
      <c r="D18" s="12" t="inlineStr">
        <is>
          <t>워커</t>
        </is>
      </c>
      <c r="E18" s="10" t="n">
        <v>46238.73868038195</v>
      </c>
      <c r="F18" s="10" t="n">
        <v>46238.73868550202</v>
      </c>
      <c r="G18" s="13" t="n">
        <v>258</v>
      </c>
      <c r="H18" s="14" t="n">
        <v>373.5526</v>
      </c>
      <c r="I18" s="13">
        <f>COUNTIFS('클럭 정리'!$A$6:$A$55,"&gt;="&amp;E18,'클럭 정리'!$A$6:$A$55,"&lt;="&amp;F18)</f>
        <v/>
      </c>
      <c r="J18" s="14">
        <f>AVERAGEIFS('클럭 정리'!$N$6:$N$55,'클럭 정리'!$A$6:$A$55,"&gt;="&amp;E18,'클럭 정리'!$A$6:$A$55,"&lt;="&amp;F18)</f>
        <v/>
      </c>
      <c r="K18" s="15">
        <f>J18*'클럭 정리'!$B$2/100</f>
        <v/>
      </c>
    </row>
    <row r="19">
      <c r="A19" s="13" t="inlineStr">
        <is>
          <t>병렬도 6 분할 36</t>
        </is>
      </c>
      <c r="B19" s="13" t="n">
        <v>2</v>
      </c>
      <c r="C19" s="13" t="inlineStr">
        <is>
          <t>ForkJoinPool-4-worker-7</t>
        </is>
      </c>
      <c r="D19" s="12" t="inlineStr">
        <is>
          <t>워커</t>
        </is>
      </c>
      <c r="E19" s="10" t="n">
        <v>46238.73868454861</v>
      </c>
      <c r="F19" s="10" t="n">
        <v>46238.73868547957</v>
      </c>
      <c r="G19" s="13" t="n">
        <v>42</v>
      </c>
      <c r="H19" s="14" t="n">
        <v>61.9052</v>
      </c>
      <c r="I19" s="13">
        <f>COUNTIFS('클럭 정리'!$A$6:$A$55,"&gt;="&amp;E19,'클럭 정리'!$A$6:$A$55,"&lt;="&amp;F19)</f>
        <v/>
      </c>
      <c r="J19" s="14">
        <f>AVERAGEIFS('클럭 정리'!$N$6:$N$55,'클럭 정리'!$A$6:$A$55,"&gt;="&amp;E19,'클럭 정리'!$A$6:$A$55,"&lt;="&amp;F19)</f>
        <v/>
      </c>
      <c r="K19" s="15">
        <f>J19*'클럭 정리'!$B$2/100</f>
        <v/>
      </c>
    </row>
    <row r="20">
      <c r="A20" s="13" t="inlineStr">
        <is>
          <t>병렬도 6 분할 36</t>
        </is>
      </c>
      <c r="B20" s="13" t="n">
        <v>2</v>
      </c>
      <c r="C20" s="13" t="inlineStr">
        <is>
          <t>main</t>
        </is>
      </c>
      <c r="D20" s="12" t="inlineStr">
        <is>
          <t>main (활동 시간 합 = 그 회차 mainCPU, 창은 워커와 겹침)</t>
        </is>
      </c>
      <c r="E20" s="10" t="n">
        <v>46238.73868038195</v>
      </c>
      <c r="F20" s="10" t="n">
        <v>46238.73868544307</v>
      </c>
      <c r="G20" s="13" t="n">
        <v>45</v>
      </c>
      <c r="H20" s="14" t="n">
        <v>0</v>
      </c>
      <c r="I20" s="13">
        <f>COUNTIFS('클럭 정리'!$A$6:$A$55,"&gt;="&amp;E20,'클럭 정리'!$A$6:$A$55,"&lt;="&amp;F20)</f>
        <v/>
      </c>
      <c r="J20" s="14">
        <f>AVERAGEIFS('클럭 정리'!$N$6:$N$55,'클럭 정리'!$A$6:$A$55,"&gt;="&amp;E20,'클럭 정리'!$A$6:$A$55,"&lt;="&amp;F20)</f>
        <v/>
      </c>
      <c r="K20" s="15">
        <f>J20*'클럭 정리'!$B$2/100</f>
        <v/>
      </c>
    </row>
    <row r="21">
      <c r="A21" s="13" t="inlineStr">
        <is>
          <t>병렬도 6 분할 36</t>
        </is>
      </c>
      <c r="B21" s="13" t="n">
        <v>3</v>
      </c>
      <c r="C21" s="13" t="inlineStr">
        <is>
          <t>ForkJoinPool-5-worker-1</t>
        </is>
      </c>
      <c r="D21" s="12" t="inlineStr">
        <is>
          <t>워커</t>
        </is>
      </c>
      <c r="E21" s="10" t="n">
        <v>46238.73868550926</v>
      </c>
      <c r="F21" s="10" t="n">
        <v>46238.73869065563</v>
      </c>
      <c r="G21" s="13" t="n">
        <v>275</v>
      </c>
      <c r="H21" s="14" t="n">
        <v>399.1072</v>
      </c>
      <c r="I21" s="13">
        <f>COUNTIFS('클럭 정리'!$A$6:$A$55,"&gt;="&amp;E21,'클럭 정리'!$A$6:$A$55,"&lt;="&amp;F21)</f>
        <v/>
      </c>
      <c r="J21" s="14">
        <f>AVERAGEIFS('클럭 정리'!$N$6:$N$55,'클럭 정리'!$A$6:$A$55,"&gt;="&amp;E21,'클럭 정리'!$A$6:$A$55,"&lt;="&amp;F21)</f>
        <v/>
      </c>
      <c r="K21" s="15">
        <f>J21*'클럭 정리'!$B$2/100</f>
        <v/>
      </c>
    </row>
    <row r="22">
      <c r="A22" s="13" t="inlineStr">
        <is>
          <t>병렬도 6 분할 36</t>
        </is>
      </c>
      <c r="B22" s="13" t="n">
        <v>3</v>
      </c>
      <c r="C22" s="13" t="inlineStr">
        <is>
          <t>ForkJoinPool-5-worker-2</t>
        </is>
      </c>
      <c r="D22" s="12" t="inlineStr">
        <is>
          <t>워커</t>
        </is>
      </c>
      <c r="E22" s="10" t="n">
        <v>46238.73868550926</v>
      </c>
      <c r="F22" s="10" t="n">
        <v>46238.73869065346</v>
      </c>
      <c r="G22" s="13" t="n">
        <v>271</v>
      </c>
      <c r="H22" s="14" t="n">
        <v>384.5133</v>
      </c>
      <c r="I22" s="13">
        <f>COUNTIFS('클럭 정리'!$A$6:$A$55,"&gt;="&amp;E22,'클럭 정리'!$A$6:$A$55,"&lt;="&amp;F22)</f>
        <v/>
      </c>
      <c r="J22" s="14">
        <f>AVERAGEIFS('클럭 정리'!$N$6:$N$55,'클럭 정리'!$A$6:$A$55,"&gt;="&amp;E22,'클럭 정리'!$A$6:$A$55,"&lt;="&amp;F22)</f>
        <v/>
      </c>
      <c r="K22" s="15">
        <f>J22*'클럭 정리'!$B$2/100</f>
        <v/>
      </c>
    </row>
    <row r="23">
      <c r="A23" s="13" t="inlineStr">
        <is>
          <t>병렬도 6 분할 36</t>
        </is>
      </c>
      <c r="B23" s="13" t="n">
        <v>3</v>
      </c>
      <c r="C23" s="13" t="inlineStr">
        <is>
          <t>ForkJoinPool-5-worker-3</t>
        </is>
      </c>
      <c r="D23" s="12" t="inlineStr">
        <is>
          <t>워커</t>
        </is>
      </c>
      <c r="E23" s="10" t="n">
        <v>46238.73868550926</v>
      </c>
      <c r="F23" s="10" t="n">
        <v>46238.7386906526</v>
      </c>
      <c r="G23" s="13" t="n">
        <v>266</v>
      </c>
      <c r="H23" s="14" t="n">
        <v>380.1138</v>
      </c>
      <c r="I23" s="13">
        <f>COUNTIFS('클럭 정리'!$A$6:$A$55,"&gt;="&amp;E23,'클럭 정리'!$A$6:$A$55,"&lt;="&amp;F23)</f>
        <v/>
      </c>
      <c r="J23" s="14">
        <f>AVERAGEIFS('클럭 정리'!$N$6:$N$55,'클럭 정리'!$A$6:$A$55,"&gt;="&amp;E23,'클럭 정리'!$A$6:$A$55,"&lt;="&amp;F23)</f>
        <v/>
      </c>
      <c r="K23" s="15">
        <f>J23*'클럭 정리'!$B$2/100</f>
        <v/>
      </c>
    </row>
    <row r="24">
      <c r="A24" s="13" t="inlineStr">
        <is>
          <t>병렬도 6 분할 36</t>
        </is>
      </c>
      <c r="B24" s="13" t="n">
        <v>3</v>
      </c>
      <c r="C24" s="13" t="inlineStr">
        <is>
          <t>ForkJoinPool-5-worker-4</t>
        </is>
      </c>
      <c r="D24" s="12" t="inlineStr">
        <is>
          <t>워커</t>
        </is>
      </c>
      <c r="E24" s="10" t="n">
        <v>46238.73868550926</v>
      </c>
      <c r="F24" s="10" t="n">
        <v>46238.7386906539</v>
      </c>
      <c r="G24" s="13" t="n">
        <v>266</v>
      </c>
      <c r="H24" s="14" t="n">
        <v>384.9691</v>
      </c>
      <c r="I24" s="13">
        <f>COUNTIFS('클럭 정리'!$A$6:$A$55,"&gt;="&amp;E24,'클럭 정리'!$A$6:$A$55,"&lt;="&amp;F24)</f>
        <v/>
      </c>
      <c r="J24" s="14">
        <f>AVERAGEIFS('클럭 정리'!$N$6:$N$55,'클럭 정리'!$A$6:$A$55,"&gt;="&amp;E24,'클럭 정리'!$A$6:$A$55,"&lt;="&amp;F24)</f>
        <v/>
      </c>
      <c r="K24" s="15">
        <f>J24*'클럭 정리'!$B$2/100</f>
        <v/>
      </c>
    </row>
    <row r="25">
      <c r="A25" s="13" t="inlineStr">
        <is>
          <t>병렬도 6 분할 36</t>
        </is>
      </c>
      <c r="B25" s="13" t="n">
        <v>3</v>
      </c>
      <c r="C25" s="13" t="inlineStr">
        <is>
          <t>ForkJoinPool-5-worker-5</t>
        </is>
      </c>
      <c r="D25" s="12" t="inlineStr">
        <is>
          <t>워커</t>
        </is>
      </c>
      <c r="E25" s="10" t="n">
        <v>46238.73868550926</v>
      </c>
      <c r="F25" s="10" t="n">
        <v>46238.73869065354</v>
      </c>
      <c r="G25" s="13" t="n">
        <v>270</v>
      </c>
      <c r="H25" s="14" t="n">
        <v>392.026</v>
      </c>
      <c r="I25" s="13">
        <f>COUNTIFS('클럭 정리'!$A$6:$A$55,"&gt;="&amp;E25,'클럭 정리'!$A$6:$A$55,"&lt;="&amp;F25)</f>
        <v/>
      </c>
      <c r="J25" s="14">
        <f>AVERAGEIFS('클럭 정리'!$N$6:$N$55,'클럭 정리'!$A$6:$A$55,"&gt;="&amp;E25,'클럭 정리'!$A$6:$A$55,"&lt;="&amp;F25)</f>
        <v/>
      </c>
      <c r="K25" s="15">
        <f>J25*'클럭 정리'!$B$2/100</f>
        <v/>
      </c>
    </row>
    <row r="26">
      <c r="A26" s="13" t="inlineStr">
        <is>
          <t>병렬도 6 분할 36</t>
        </is>
      </c>
      <c r="B26" s="13" t="n">
        <v>3</v>
      </c>
      <c r="C26" s="13" t="inlineStr">
        <is>
          <t>ForkJoinPool-5-worker-6</t>
        </is>
      </c>
      <c r="D26" s="12" t="inlineStr">
        <is>
          <t>워커</t>
        </is>
      </c>
      <c r="E26" s="10" t="n">
        <v>46238.73868550926</v>
      </c>
      <c r="F26" s="10" t="n">
        <v>46238.73869065285</v>
      </c>
      <c r="G26" s="13" t="n">
        <v>272</v>
      </c>
      <c r="H26" s="14" t="n">
        <v>395.0964</v>
      </c>
      <c r="I26" s="13">
        <f>COUNTIFS('클럭 정리'!$A$6:$A$55,"&gt;="&amp;E26,'클럭 정리'!$A$6:$A$55,"&lt;="&amp;F26)</f>
        <v/>
      </c>
      <c r="J26" s="14">
        <f>AVERAGEIFS('클럭 정리'!$N$6:$N$55,'클럭 정리'!$A$6:$A$55,"&gt;="&amp;E26,'클럭 정리'!$A$6:$A$55,"&lt;="&amp;F26)</f>
        <v/>
      </c>
      <c r="K26" s="15">
        <f>J26*'클럭 정리'!$B$2/100</f>
        <v/>
      </c>
    </row>
    <row r="27">
      <c r="A27" s="13" t="inlineStr">
        <is>
          <t>병렬도 6 분할 36</t>
        </is>
      </c>
      <c r="B27" s="13" t="n">
        <v>3</v>
      </c>
      <c r="C27" s="13" t="inlineStr">
        <is>
          <t>main</t>
        </is>
      </c>
      <c r="D27" s="12" t="inlineStr">
        <is>
          <t>main (활동 시간 합 = 그 회차 mainCPU, 창은 워커와 겹침)</t>
        </is>
      </c>
      <c r="E27" s="10" t="n">
        <v>46238.73868550926</v>
      </c>
      <c r="F27" s="10" t="n">
        <v>46238.73869055837</v>
      </c>
      <c r="G27" s="13" t="n">
        <v>45</v>
      </c>
      <c r="H27" s="14" t="n">
        <v>0</v>
      </c>
      <c r="I27" s="13">
        <f>COUNTIFS('클럭 정리'!$A$6:$A$55,"&gt;="&amp;E27,'클럭 정리'!$A$6:$A$55,"&lt;="&amp;F27)</f>
        <v/>
      </c>
      <c r="J27" s="14">
        <f>AVERAGEIFS('클럭 정리'!$N$6:$N$55,'클럭 정리'!$A$6:$A$55,"&gt;="&amp;E27,'클럭 정리'!$A$6:$A$55,"&lt;="&amp;F27)</f>
        <v/>
      </c>
      <c r="K27" s="15">
        <f>J27*'클럭 정리'!$B$2/100</f>
        <v/>
      </c>
    </row>
    <row r="28">
      <c r="A28" s="13" t="inlineStr">
        <is>
          <t>병렬도 6 분할 36</t>
        </is>
      </c>
      <c r="B28" s="13" t="n">
        <v>4</v>
      </c>
      <c r="C28" s="13" t="inlineStr">
        <is>
          <t>ForkJoinPool-6-worker-1</t>
        </is>
      </c>
      <c r="D28" s="12" t="inlineStr">
        <is>
          <t>워커</t>
        </is>
      </c>
      <c r="E28" s="10" t="n">
        <v>46238.73869063657</v>
      </c>
      <c r="F28" s="10" t="n">
        <v>46238.73869562119</v>
      </c>
      <c r="G28" s="13" t="n">
        <v>259</v>
      </c>
      <c r="H28" s="14" t="n">
        <v>376.5022</v>
      </c>
      <c r="I28" s="13">
        <f>COUNTIFS('클럭 정리'!$A$6:$A$55,"&gt;="&amp;E28,'클럭 정리'!$A$6:$A$55,"&lt;="&amp;F28)</f>
        <v/>
      </c>
      <c r="J28" s="14">
        <f>AVERAGEIFS('클럭 정리'!$N$6:$N$55,'클럭 정리'!$A$6:$A$55,"&gt;="&amp;E28,'클럭 정리'!$A$6:$A$55,"&lt;="&amp;F28)</f>
        <v/>
      </c>
      <c r="K28" s="15">
        <f>J28*'클럭 정리'!$B$2/100</f>
        <v/>
      </c>
    </row>
    <row r="29">
      <c r="A29" s="13" t="inlineStr">
        <is>
          <t>병렬도 6 분할 36</t>
        </is>
      </c>
      <c r="B29" s="13" t="n">
        <v>4</v>
      </c>
      <c r="C29" s="13" t="inlineStr">
        <is>
          <t>ForkJoinPool-6-worker-2</t>
        </is>
      </c>
      <c r="D29" s="12" t="inlineStr">
        <is>
          <t>워커</t>
        </is>
      </c>
      <c r="E29" s="10" t="n">
        <v>46238.73869063657</v>
      </c>
      <c r="F29" s="10" t="n">
        <v>46238.7386956179</v>
      </c>
      <c r="G29" s="13" t="n">
        <v>241</v>
      </c>
      <c r="H29" s="14" t="n">
        <v>348.8981</v>
      </c>
      <c r="I29" s="13">
        <f>COUNTIFS('클럭 정리'!$A$6:$A$55,"&gt;="&amp;E29,'클럭 정리'!$A$6:$A$55,"&lt;="&amp;F29)</f>
        <v/>
      </c>
      <c r="J29" s="14">
        <f>AVERAGEIFS('클럭 정리'!$N$6:$N$55,'클럭 정리'!$A$6:$A$55,"&gt;="&amp;E29,'클럭 정리'!$A$6:$A$55,"&lt;="&amp;F29)</f>
        <v/>
      </c>
      <c r="K29" s="15">
        <f>J29*'클럭 정리'!$B$2/100</f>
        <v/>
      </c>
    </row>
    <row r="30">
      <c r="A30" s="13" t="inlineStr">
        <is>
          <t>병렬도 6 분할 36</t>
        </is>
      </c>
      <c r="B30" s="13" t="n">
        <v>4</v>
      </c>
      <c r="C30" s="13" t="inlineStr">
        <is>
          <t>ForkJoinPool-6-worker-3</t>
        </is>
      </c>
      <c r="D30" s="12" t="inlineStr">
        <is>
          <t>워커</t>
        </is>
      </c>
      <c r="E30" s="10" t="n">
        <v>46238.73869063657</v>
      </c>
      <c r="F30" s="10" t="n">
        <v>46238.73869561874</v>
      </c>
      <c r="G30" s="13" t="n">
        <v>245</v>
      </c>
      <c r="H30" s="14" t="n">
        <v>357.7225</v>
      </c>
      <c r="I30" s="13">
        <f>COUNTIFS('클럭 정리'!$A$6:$A$55,"&gt;="&amp;E30,'클럭 정리'!$A$6:$A$55,"&lt;="&amp;F30)</f>
        <v/>
      </c>
      <c r="J30" s="14">
        <f>AVERAGEIFS('클럭 정리'!$N$6:$N$55,'클럭 정리'!$A$6:$A$55,"&gt;="&amp;E30,'클럭 정리'!$A$6:$A$55,"&lt;="&amp;F30)</f>
        <v/>
      </c>
      <c r="K30" s="15">
        <f>J30*'클럭 정리'!$B$2/100</f>
        <v/>
      </c>
    </row>
    <row r="31">
      <c r="A31" s="13" t="inlineStr">
        <is>
          <t>병렬도 6 분할 36</t>
        </is>
      </c>
      <c r="B31" s="13" t="n">
        <v>4</v>
      </c>
      <c r="C31" s="13" t="inlineStr">
        <is>
          <t>ForkJoinPool-6-worker-4</t>
        </is>
      </c>
      <c r="D31" s="12" t="inlineStr">
        <is>
          <t>워커</t>
        </is>
      </c>
      <c r="E31" s="10" t="n">
        <v>46238.73869063657</v>
      </c>
      <c r="F31" s="10" t="n">
        <v>46238.73869561878</v>
      </c>
      <c r="G31" s="13" t="n">
        <v>256</v>
      </c>
      <c r="H31" s="14" t="n">
        <v>372.5948</v>
      </c>
      <c r="I31" s="13">
        <f>COUNTIFS('클럭 정리'!$A$6:$A$55,"&gt;="&amp;E31,'클럭 정리'!$A$6:$A$55,"&lt;="&amp;F31)</f>
        <v/>
      </c>
      <c r="J31" s="14">
        <f>AVERAGEIFS('클럭 정리'!$N$6:$N$55,'클럭 정리'!$A$6:$A$55,"&gt;="&amp;E31,'클럭 정리'!$A$6:$A$55,"&lt;="&amp;F31)</f>
        <v/>
      </c>
      <c r="K31" s="15">
        <f>J31*'클럭 정리'!$B$2/100</f>
        <v/>
      </c>
    </row>
    <row r="32">
      <c r="A32" s="13" t="inlineStr">
        <is>
          <t>병렬도 6 분할 36</t>
        </is>
      </c>
      <c r="B32" s="13" t="n">
        <v>4</v>
      </c>
      <c r="C32" s="13" t="inlineStr">
        <is>
          <t>ForkJoinPool-6-worker-5</t>
        </is>
      </c>
      <c r="D32" s="12" t="inlineStr">
        <is>
          <t>워커</t>
        </is>
      </c>
      <c r="E32" s="10" t="n">
        <v>46238.73869063657</v>
      </c>
      <c r="F32" s="10" t="n">
        <v>46238.73869562168</v>
      </c>
      <c r="G32" s="13" t="n">
        <v>268</v>
      </c>
      <c r="H32" s="14" t="n">
        <v>391.1793</v>
      </c>
      <c r="I32" s="13">
        <f>COUNTIFS('클럭 정리'!$A$6:$A$55,"&gt;="&amp;E32,'클럭 정리'!$A$6:$A$55,"&lt;="&amp;F32)</f>
        <v/>
      </c>
      <c r="J32" s="14">
        <f>AVERAGEIFS('클럭 정리'!$N$6:$N$55,'클럭 정리'!$A$6:$A$55,"&gt;="&amp;E32,'클럭 정리'!$A$6:$A$55,"&lt;="&amp;F32)</f>
        <v/>
      </c>
      <c r="K32" s="15">
        <f>J32*'클럭 정리'!$B$2/100</f>
        <v/>
      </c>
    </row>
    <row r="33">
      <c r="A33" s="13" t="inlineStr">
        <is>
          <t>병렬도 6 분할 36</t>
        </is>
      </c>
      <c r="B33" s="13" t="n">
        <v>4</v>
      </c>
      <c r="C33" s="13" t="inlineStr">
        <is>
          <t>ForkJoinPool-6-worker-6</t>
        </is>
      </c>
      <c r="D33" s="12" t="inlineStr">
        <is>
          <t>워커</t>
        </is>
      </c>
      <c r="E33" s="10" t="n">
        <v>46238.73869063657</v>
      </c>
      <c r="F33" s="10" t="n">
        <v>46238.73869562052</v>
      </c>
      <c r="G33" s="13" t="n">
        <v>248</v>
      </c>
      <c r="H33" s="14" t="n">
        <v>353.6819</v>
      </c>
      <c r="I33" s="13">
        <f>COUNTIFS('클럭 정리'!$A$6:$A$55,"&gt;="&amp;E33,'클럭 정리'!$A$6:$A$55,"&lt;="&amp;F33)</f>
        <v/>
      </c>
      <c r="J33" s="14">
        <f>AVERAGEIFS('클럭 정리'!$N$6:$N$55,'클럭 정리'!$A$6:$A$55,"&gt;="&amp;E33,'클럭 정리'!$A$6:$A$55,"&lt;="&amp;F33)</f>
        <v/>
      </c>
      <c r="K33" s="15">
        <f>J33*'클럭 정리'!$B$2/100</f>
        <v/>
      </c>
    </row>
    <row r="34">
      <c r="A34" s="13" t="inlineStr">
        <is>
          <t>병렬도 6 분할 36</t>
        </is>
      </c>
      <c r="B34" s="13" t="n">
        <v>4</v>
      </c>
      <c r="C34" s="13" t="inlineStr">
        <is>
          <t>ForkJoinPool-6-worker-7</t>
        </is>
      </c>
      <c r="D34" s="12" t="inlineStr">
        <is>
          <t>워커</t>
        </is>
      </c>
      <c r="E34" s="10" t="n">
        <v>46238.73869340277</v>
      </c>
      <c r="F34" s="10" t="n">
        <v>46238.7386956202</v>
      </c>
      <c r="G34" s="13" t="n">
        <v>103</v>
      </c>
      <c r="H34" s="14" t="n">
        <v>146.647</v>
      </c>
      <c r="I34" s="13">
        <f>COUNTIFS('클럭 정리'!$A$6:$A$55,"&gt;="&amp;E34,'클럭 정리'!$A$6:$A$55,"&lt;="&amp;F34)</f>
        <v/>
      </c>
      <c r="J34" s="14">
        <f>AVERAGEIFS('클럭 정리'!$N$6:$N$55,'클럭 정리'!$A$6:$A$55,"&gt;="&amp;E34,'클럭 정리'!$A$6:$A$55,"&lt;="&amp;F34)</f>
        <v/>
      </c>
      <c r="K34" s="15">
        <f>J34*'클럭 정리'!$B$2/100</f>
        <v/>
      </c>
    </row>
    <row r="35">
      <c r="A35" s="13" t="inlineStr">
        <is>
          <t>병렬도 6 분할 36</t>
        </is>
      </c>
      <c r="B35" s="13" t="n">
        <v>4</v>
      </c>
      <c r="C35" s="13" t="inlineStr">
        <is>
          <t>main</t>
        </is>
      </c>
      <c r="D35" s="12" t="inlineStr">
        <is>
          <t>main (활동 시간 합 = 그 회차 mainCPU, 창은 워커와 겹침)</t>
        </is>
      </c>
      <c r="E35" s="10" t="n">
        <v>46238.73869063657</v>
      </c>
      <c r="F35" s="10" t="n">
        <v>46238.7386955314</v>
      </c>
      <c r="G35" s="13" t="n">
        <v>45</v>
      </c>
      <c r="H35" s="14" t="n">
        <v>0</v>
      </c>
      <c r="I35" s="13">
        <f>COUNTIFS('클럭 정리'!$A$6:$A$55,"&gt;="&amp;E35,'클럭 정리'!$A$6:$A$55,"&lt;="&amp;F35)</f>
        <v/>
      </c>
      <c r="J35" s="14">
        <f>AVERAGEIFS('클럭 정리'!$N$6:$N$55,'클럭 정리'!$A$6:$A$55,"&gt;="&amp;E35,'클럭 정리'!$A$6:$A$55,"&lt;="&amp;F35)</f>
        <v/>
      </c>
      <c r="K35" s="15">
        <f>J35*'클럭 정리'!$B$2/100</f>
        <v/>
      </c>
    </row>
    <row r="36">
      <c r="A36" s="13" t="inlineStr">
        <is>
          <t>병렬도 6 분할 36</t>
        </is>
      </c>
      <c r="B36" s="13" t="n">
        <v>5</v>
      </c>
      <c r="C36" s="13" t="inlineStr">
        <is>
          <t>ForkJoinPool-7-worker-1</t>
        </is>
      </c>
      <c r="D36" s="12" t="inlineStr">
        <is>
          <t>워커</t>
        </is>
      </c>
      <c r="E36" s="10" t="n">
        <v>46238.73869570602</v>
      </c>
      <c r="F36" s="10" t="n">
        <v>46238.73870081521</v>
      </c>
      <c r="G36" s="13" t="n">
        <v>257</v>
      </c>
      <c r="H36" s="14" t="n">
        <v>374.6538</v>
      </c>
      <c r="I36" s="13">
        <f>COUNTIFS('클럭 정리'!$A$6:$A$55,"&gt;="&amp;E36,'클럭 정리'!$A$6:$A$55,"&lt;="&amp;F36)</f>
        <v/>
      </c>
      <c r="J36" s="14">
        <f>AVERAGEIFS('클럭 정리'!$N$6:$N$55,'클럭 정리'!$A$6:$A$55,"&gt;="&amp;E36,'클럭 정리'!$A$6:$A$55,"&lt;="&amp;F36)</f>
        <v/>
      </c>
      <c r="K36" s="15">
        <f>J36*'클럭 정리'!$B$2/100</f>
        <v/>
      </c>
    </row>
    <row r="37">
      <c r="A37" s="13" t="inlineStr">
        <is>
          <t>병렬도 6 분할 36</t>
        </is>
      </c>
      <c r="B37" s="13" t="n">
        <v>5</v>
      </c>
      <c r="C37" s="13" t="inlineStr">
        <is>
          <t>ForkJoinPool-7-worker-2</t>
        </is>
      </c>
      <c r="D37" s="12" t="inlineStr">
        <is>
          <t>워커</t>
        </is>
      </c>
      <c r="E37" s="10" t="n">
        <v>46238.73869570602</v>
      </c>
      <c r="F37" s="10" t="n">
        <v>46238.73870081484</v>
      </c>
      <c r="G37" s="13" t="n">
        <v>265</v>
      </c>
      <c r="H37" s="14" t="n">
        <v>388.2609</v>
      </c>
      <c r="I37" s="13">
        <f>COUNTIFS('클럭 정리'!$A$6:$A$55,"&gt;="&amp;E37,'클럭 정리'!$A$6:$A$55,"&lt;="&amp;F37)</f>
        <v/>
      </c>
      <c r="J37" s="14">
        <f>AVERAGEIFS('클럭 정리'!$N$6:$N$55,'클럭 정리'!$A$6:$A$55,"&gt;="&amp;E37,'클럭 정리'!$A$6:$A$55,"&lt;="&amp;F37)</f>
        <v/>
      </c>
      <c r="K37" s="15">
        <f>J37*'클럭 정리'!$B$2/100</f>
        <v/>
      </c>
    </row>
    <row r="38">
      <c r="A38" s="13" t="inlineStr">
        <is>
          <t>병렬도 6 분할 36</t>
        </is>
      </c>
      <c r="B38" s="13" t="n">
        <v>5</v>
      </c>
      <c r="C38" s="13" t="inlineStr">
        <is>
          <t>ForkJoinPool-7-worker-3</t>
        </is>
      </c>
      <c r="D38" s="12" t="inlineStr">
        <is>
          <t>워커</t>
        </is>
      </c>
      <c r="E38" s="10" t="n">
        <v>46238.73869570602</v>
      </c>
      <c r="F38" s="10" t="n">
        <v>46238.73870081844</v>
      </c>
      <c r="G38" s="13" t="n">
        <v>265</v>
      </c>
      <c r="H38" s="14" t="n">
        <v>383.7523</v>
      </c>
      <c r="I38" s="13">
        <f>COUNTIFS('클럭 정리'!$A$6:$A$55,"&gt;="&amp;E38,'클럭 정리'!$A$6:$A$55,"&lt;="&amp;F38)</f>
        <v/>
      </c>
      <c r="J38" s="14">
        <f>AVERAGEIFS('클럭 정리'!$N$6:$N$55,'클럭 정리'!$A$6:$A$55,"&gt;="&amp;E38,'클럭 정리'!$A$6:$A$55,"&lt;="&amp;F38)</f>
        <v/>
      </c>
      <c r="K38" s="15">
        <f>J38*'클럭 정리'!$B$2/100</f>
        <v/>
      </c>
    </row>
    <row r="39">
      <c r="A39" s="13" t="inlineStr">
        <is>
          <t>병렬도 6 분할 36</t>
        </is>
      </c>
      <c r="B39" s="13" t="n">
        <v>5</v>
      </c>
      <c r="C39" s="13" t="inlineStr">
        <is>
          <t>ForkJoinPool-7-worker-4</t>
        </is>
      </c>
      <c r="D39" s="12" t="inlineStr">
        <is>
          <t>워커</t>
        </is>
      </c>
      <c r="E39" s="10" t="n">
        <v>46238.73869570602</v>
      </c>
      <c r="F39" s="10" t="n">
        <v>46238.738700815</v>
      </c>
      <c r="G39" s="13" t="n">
        <v>262</v>
      </c>
      <c r="H39" s="14" t="n">
        <v>383.2932</v>
      </c>
      <c r="I39" s="13">
        <f>COUNTIFS('클럭 정리'!$A$6:$A$55,"&gt;="&amp;E39,'클럭 정리'!$A$6:$A$55,"&lt;="&amp;F39)</f>
        <v/>
      </c>
      <c r="J39" s="14">
        <f>AVERAGEIFS('클럭 정리'!$N$6:$N$55,'클럭 정리'!$A$6:$A$55,"&gt;="&amp;E39,'클럭 정리'!$A$6:$A$55,"&lt;="&amp;F39)</f>
        <v/>
      </c>
      <c r="K39" s="15">
        <f>J39*'클럭 정리'!$B$2/100</f>
        <v/>
      </c>
    </row>
    <row r="40">
      <c r="A40" s="13" t="inlineStr">
        <is>
          <t>병렬도 6 분할 36</t>
        </is>
      </c>
      <c r="B40" s="13" t="n">
        <v>5</v>
      </c>
      <c r="C40" s="13" t="inlineStr">
        <is>
          <t>ForkJoinPool-7-worker-5</t>
        </is>
      </c>
      <c r="D40" s="12" t="inlineStr">
        <is>
          <t>워커</t>
        </is>
      </c>
      <c r="E40" s="10" t="n">
        <v>46238.73869570602</v>
      </c>
      <c r="F40" s="10" t="n">
        <v>46238.7387008138</v>
      </c>
      <c r="G40" s="13" t="n">
        <v>260</v>
      </c>
      <c r="H40" s="14" t="n">
        <v>380.8707</v>
      </c>
      <c r="I40" s="13">
        <f>COUNTIFS('클럭 정리'!$A$6:$A$55,"&gt;="&amp;E40,'클럭 정리'!$A$6:$A$55,"&lt;="&amp;F40)</f>
        <v/>
      </c>
      <c r="J40" s="14">
        <f>AVERAGEIFS('클럭 정리'!$N$6:$N$55,'클럭 정리'!$A$6:$A$55,"&gt;="&amp;E40,'클럭 정리'!$A$6:$A$55,"&lt;="&amp;F40)</f>
        <v/>
      </c>
      <c r="K40" s="15">
        <f>J40*'클럭 정리'!$B$2/100</f>
        <v/>
      </c>
    </row>
    <row r="41">
      <c r="A41" s="13" t="inlineStr">
        <is>
          <t>병렬도 6 분할 36</t>
        </is>
      </c>
      <c r="B41" s="13" t="n">
        <v>5</v>
      </c>
      <c r="C41" s="13" t="inlineStr">
        <is>
          <t>ForkJoinPool-7-worker-6</t>
        </is>
      </c>
      <c r="D41" s="12" t="inlineStr">
        <is>
          <t>워커</t>
        </is>
      </c>
      <c r="E41" s="10" t="n">
        <v>46238.73869570602</v>
      </c>
      <c r="F41" s="10" t="n">
        <v>46238.7387008146</v>
      </c>
      <c r="G41" s="13" t="n">
        <v>266</v>
      </c>
      <c r="H41" s="14" t="n">
        <v>386.5253</v>
      </c>
      <c r="I41" s="13">
        <f>COUNTIFS('클럭 정리'!$A$6:$A$55,"&gt;="&amp;E41,'클럭 정리'!$A$6:$A$55,"&lt;="&amp;F41)</f>
        <v/>
      </c>
      <c r="J41" s="14">
        <f>AVERAGEIFS('클럭 정리'!$N$6:$N$55,'클럭 정리'!$A$6:$A$55,"&gt;="&amp;E41,'클럭 정리'!$A$6:$A$55,"&lt;="&amp;F41)</f>
        <v/>
      </c>
      <c r="K41" s="15">
        <f>J41*'클럭 정리'!$B$2/100</f>
        <v/>
      </c>
    </row>
    <row r="42">
      <c r="A42" s="13" t="inlineStr">
        <is>
          <t>병렬도 6 분할 36</t>
        </is>
      </c>
      <c r="B42" s="13" t="n">
        <v>5</v>
      </c>
      <c r="C42" s="13" t="inlineStr">
        <is>
          <t>ForkJoinPool-7-worker-7</t>
        </is>
      </c>
      <c r="D42" s="12" t="inlineStr">
        <is>
          <t>워커</t>
        </is>
      </c>
      <c r="E42" s="10" t="n">
        <v>46238.7387</v>
      </c>
      <c r="F42" s="10" t="n">
        <v>46238.73870081462</v>
      </c>
      <c r="G42" s="13" t="n">
        <v>45</v>
      </c>
      <c r="H42" s="14" t="n">
        <v>64.77500000000001</v>
      </c>
      <c r="I42" s="13">
        <f>COUNTIFS('클럭 정리'!$A$6:$A$55,"&gt;="&amp;E42,'클럭 정리'!$A$6:$A$55,"&lt;="&amp;F42)</f>
        <v/>
      </c>
      <c r="J42" s="14">
        <f>AVERAGEIFS('클럭 정리'!$N$6:$N$55,'클럭 정리'!$A$6:$A$55,"&gt;="&amp;E42,'클럭 정리'!$A$6:$A$55,"&lt;="&amp;F42)</f>
        <v/>
      </c>
      <c r="K42" s="15">
        <f>J42*'클럭 정리'!$B$2/100</f>
        <v/>
      </c>
    </row>
    <row r="43">
      <c r="A43" s="13" t="inlineStr">
        <is>
          <t>병렬도 6 분할 36</t>
        </is>
      </c>
      <c r="B43" s="13" t="n">
        <v>5</v>
      </c>
      <c r="C43" s="13" t="inlineStr">
        <is>
          <t>main</t>
        </is>
      </c>
      <c r="D43" s="12" t="inlineStr">
        <is>
          <t>main (활동 시간 합 = 그 회차 mainCPU, 창은 워커와 겹침)</t>
        </is>
      </c>
      <c r="E43" s="10" t="n">
        <v>46238.73869570602</v>
      </c>
      <c r="F43" s="10" t="n">
        <v>46238.73870084355</v>
      </c>
      <c r="G43" s="13" t="n">
        <v>45</v>
      </c>
      <c r="H43" s="14" t="n">
        <v>0</v>
      </c>
      <c r="I43" s="13">
        <f>COUNTIFS('클럭 정리'!$A$6:$A$55,"&gt;="&amp;E43,'클럭 정리'!$A$6:$A$55,"&lt;="&amp;F43)</f>
        <v/>
      </c>
      <c r="J43" s="14">
        <f>AVERAGEIFS('클럭 정리'!$N$6:$N$55,'클럭 정리'!$A$6:$A$55,"&gt;="&amp;E43,'클럭 정리'!$A$6:$A$55,"&lt;="&amp;F43)</f>
        <v/>
      </c>
      <c r="K43" s="15">
        <f>J43*'클럭 정리'!$B$2/100</f>
        <v/>
      </c>
    </row>
    <row r="44">
      <c r="A44" s="13" t="inlineStr">
        <is>
          <t>병렬도 12 분할 36</t>
        </is>
      </c>
      <c r="B44" s="13" t="n">
        <v>1</v>
      </c>
      <c r="C44" s="13" t="inlineStr">
        <is>
          <t>ForkJoinPool-11-worker-1</t>
        </is>
      </c>
      <c r="D44" s="12" t="inlineStr">
        <is>
          <t>워커</t>
        </is>
      </c>
      <c r="E44" s="10" t="n">
        <v>46238.73871453704</v>
      </c>
      <c r="F44" s="10" t="n">
        <v>46238.73871753934</v>
      </c>
      <c r="G44" s="13" t="n">
        <v>138</v>
      </c>
      <c r="H44" s="14" t="n">
        <v>215.0189</v>
      </c>
      <c r="I44" s="13">
        <f>COUNTIFS('클럭 정리'!$A$6:$A$55,"&gt;="&amp;E44,'클럭 정리'!$A$6:$A$55,"&lt;="&amp;F44)</f>
        <v/>
      </c>
      <c r="J44" s="14">
        <f>AVERAGEIFS('클럭 정리'!$N$6:$N$55,'클럭 정리'!$A$6:$A$55,"&gt;="&amp;E44,'클럭 정리'!$A$6:$A$55,"&lt;="&amp;F44)</f>
        <v/>
      </c>
      <c r="K44" s="15">
        <f>J44*'클럭 정리'!$B$2/100</f>
        <v/>
      </c>
    </row>
    <row r="45">
      <c r="A45" s="13" t="inlineStr">
        <is>
          <t>병렬도 12 분할 36</t>
        </is>
      </c>
      <c r="B45" s="13" t="n">
        <v>1</v>
      </c>
      <c r="C45" s="13" t="inlineStr">
        <is>
          <t>ForkJoinPool-11-worker-10</t>
        </is>
      </c>
      <c r="D45" s="12" t="inlineStr">
        <is>
          <t>워커</t>
        </is>
      </c>
      <c r="E45" s="10" t="n">
        <v>46238.73871453704</v>
      </c>
      <c r="F45" s="10" t="n">
        <v>46238.73871754004</v>
      </c>
      <c r="G45" s="13" t="n">
        <v>141</v>
      </c>
      <c r="H45" s="14" t="n">
        <v>209.7216</v>
      </c>
      <c r="I45" s="13">
        <f>COUNTIFS('클럭 정리'!$A$6:$A$55,"&gt;="&amp;E45,'클럭 정리'!$A$6:$A$55,"&lt;="&amp;F45)</f>
        <v/>
      </c>
      <c r="J45" s="14">
        <f>AVERAGEIFS('클럭 정리'!$N$6:$N$55,'클럭 정리'!$A$6:$A$55,"&gt;="&amp;E45,'클럭 정리'!$A$6:$A$55,"&lt;="&amp;F45)</f>
        <v/>
      </c>
      <c r="K45" s="15">
        <f>J45*'클럭 정리'!$B$2/100</f>
        <v/>
      </c>
    </row>
    <row r="46">
      <c r="A46" s="13" t="inlineStr">
        <is>
          <t>병렬도 12 분할 36</t>
        </is>
      </c>
      <c r="B46" s="13" t="n">
        <v>1</v>
      </c>
      <c r="C46" s="13" t="inlineStr">
        <is>
          <t>ForkJoinPool-11-worker-11</t>
        </is>
      </c>
      <c r="D46" s="12" t="inlineStr">
        <is>
          <t>워커</t>
        </is>
      </c>
      <c r="E46" s="10" t="n">
        <v>46238.73871457176</v>
      </c>
      <c r="F46" s="10" t="n">
        <v>46238.73871754156</v>
      </c>
      <c r="G46" s="13" t="n">
        <v>128</v>
      </c>
      <c r="H46" s="14" t="n">
        <v>187.4181</v>
      </c>
      <c r="I46" s="13">
        <f>COUNTIFS('클럭 정리'!$A$6:$A$55,"&gt;="&amp;E46,'클럭 정리'!$A$6:$A$55,"&lt;="&amp;F46)</f>
        <v/>
      </c>
      <c r="J46" s="14">
        <f>AVERAGEIFS('클럭 정리'!$N$6:$N$55,'클럭 정리'!$A$6:$A$55,"&gt;="&amp;E46,'클럭 정리'!$A$6:$A$55,"&lt;="&amp;F46)</f>
        <v/>
      </c>
      <c r="K46" s="15">
        <f>J46*'클럭 정리'!$B$2/100</f>
        <v/>
      </c>
    </row>
    <row r="47">
      <c r="A47" s="13" t="inlineStr">
        <is>
          <t>병렬도 12 분할 36</t>
        </is>
      </c>
      <c r="B47" s="13" t="n">
        <v>1</v>
      </c>
      <c r="C47" s="13" t="inlineStr">
        <is>
          <t>ForkJoinPool-11-worker-12</t>
        </is>
      </c>
      <c r="D47" s="12" t="inlineStr">
        <is>
          <t>워커</t>
        </is>
      </c>
      <c r="E47" s="10" t="n">
        <v>46238.73871457176</v>
      </c>
      <c r="F47" s="10" t="n">
        <v>46238.73871755107</v>
      </c>
      <c r="G47" s="13" t="n">
        <v>141</v>
      </c>
      <c r="H47" s="14" t="n">
        <v>208.2649</v>
      </c>
      <c r="I47" s="13">
        <f>COUNTIFS('클럭 정리'!$A$6:$A$55,"&gt;="&amp;E47,'클럭 정리'!$A$6:$A$55,"&lt;="&amp;F47)</f>
        <v/>
      </c>
      <c r="J47" s="14">
        <f>AVERAGEIFS('클럭 정리'!$N$6:$N$55,'클럭 정리'!$A$6:$A$55,"&gt;="&amp;E47,'클럭 정리'!$A$6:$A$55,"&lt;="&amp;F47)</f>
        <v/>
      </c>
      <c r="K47" s="15">
        <f>J47*'클럭 정리'!$B$2/100</f>
        <v/>
      </c>
    </row>
    <row r="48">
      <c r="A48" s="13" t="inlineStr">
        <is>
          <t>병렬도 12 분할 36</t>
        </is>
      </c>
      <c r="B48" s="13" t="n">
        <v>1</v>
      </c>
      <c r="C48" s="13" t="inlineStr">
        <is>
          <t>ForkJoinPool-11-worker-2</t>
        </is>
      </c>
      <c r="D48" s="12" t="inlineStr">
        <is>
          <t>워커</t>
        </is>
      </c>
      <c r="E48" s="10" t="n">
        <v>46238.73871453704</v>
      </c>
      <c r="F48" s="10" t="n">
        <v>46238.73871753994</v>
      </c>
      <c r="G48" s="13" t="n">
        <v>140</v>
      </c>
      <c r="H48" s="14" t="n">
        <v>207.5689</v>
      </c>
      <c r="I48" s="13">
        <f>COUNTIFS('클럭 정리'!$A$6:$A$55,"&gt;="&amp;E48,'클럭 정리'!$A$6:$A$55,"&lt;="&amp;F48)</f>
        <v/>
      </c>
      <c r="J48" s="14">
        <f>AVERAGEIFS('클럭 정리'!$N$6:$N$55,'클럭 정리'!$A$6:$A$55,"&gt;="&amp;E48,'클럭 정리'!$A$6:$A$55,"&lt;="&amp;F48)</f>
        <v/>
      </c>
      <c r="K48" s="15">
        <f>J48*'클럭 정리'!$B$2/100</f>
        <v/>
      </c>
    </row>
    <row r="49">
      <c r="A49" s="13" t="inlineStr">
        <is>
          <t>병렬도 12 분할 36</t>
        </is>
      </c>
      <c r="B49" s="13" t="n">
        <v>1</v>
      </c>
      <c r="C49" s="13" t="inlineStr">
        <is>
          <t>ForkJoinPool-11-worker-3</t>
        </is>
      </c>
      <c r="D49" s="12" t="inlineStr">
        <is>
          <t>워커</t>
        </is>
      </c>
      <c r="E49" s="10" t="n">
        <v>46238.73871453704</v>
      </c>
      <c r="F49" s="10" t="n">
        <v>46238.73871754012</v>
      </c>
      <c r="G49" s="13" t="n">
        <v>137</v>
      </c>
      <c r="H49" s="14" t="n">
        <v>203.177</v>
      </c>
      <c r="I49" s="13">
        <f>COUNTIFS('클럭 정리'!$A$6:$A$55,"&gt;="&amp;E49,'클럭 정리'!$A$6:$A$55,"&lt;="&amp;F49)</f>
        <v/>
      </c>
      <c r="J49" s="14">
        <f>AVERAGEIFS('클럭 정리'!$N$6:$N$55,'클럭 정리'!$A$6:$A$55,"&gt;="&amp;E49,'클럭 정리'!$A$6:$A$55,"&lt;="&amp;F49)</f>
        <v/>
      </c>
      <c r="K49" s="15">
        <f>J49*'클럭 정리'!$B$2/100</f>
        <v/>
      </c>
    </row>
    <row r="50">
      <c r="A50" s="13" t="inlineStr">
        <is>
          <t>병렬도 12 분할 36</t>
        </is>
      </c>
      <c r="B50" s="13" t="n">
        <v>1</v>
      </c>
      <c r="C50" s="13" t="inlineStr">
        <is>
          <t>ForkJoinPool-11-worker-4</t>
        </is>
      </c>
      <c r="D50" s="12" t="inlineStr">
        <is>
          <t>워커</t>
        </is>
      </c>
      <c r="E50" s="10" t="n">
        <v>46238.73871453704</v>
      </c>
      <c r="F50" s="10" t="n">
        <v>46238.7387175505</v>
      </c>
      <c r="G50" s="13" t="n">
        <v>130</v>
      </c>
      <c r="H50" s="14" t="n">
        <v>188.0865</v>
      </c>
      <c r="I50" s="13">
        <f>COUNTIFS('클럭 정리'!$A$6:$A$55,"&gt;="&amp;E50,'클럭 정리'!$A$6:$A$55,"&lt;="&amp;F50)</f>
        <v/>
      </c>
      <c r="J50" s="14">
        <f>AVERAGEIFS('클럭 정리'!$N$6:$N$55,'클럭 정리'!$A$6:$A$55,"&gt;="&amp;E50,'클럭 정리'!$A$6:$A$55,"&lt;="&amp;F50)</f>
        <v/>
      </c>
      <c r="K50" s="15">
        <f>J50*'클럭 정리'!$B$2/100</f>
        <v/>
      </c>
    </row>
    <row r="51">
      <c r="A51" s="13" t="inlineStr">
        <is>
          <t>병렬도 12 분할 36</t>
        </is>
      </c>
      <c r="B51" s="13" t="n">
        <v>1</v>
      </c>
      <c r="C51" s="13" t="inlineStr">
        <is>
          <t>ForkJoinPool-11-worker-5</t>
        </is>
      </c>
      <c r="D51" s="12" t="inlineStr">
        <is>
          <t>워커</t>
        </is>
      </c>
      <c r="E51" s="10" t="n">
        <v>46238.73871453704</v>
      </c>
      <c r="F51" s="10" t="n">
        <v>46238.73871754001</v>
      </c>
      <c r="G51" s="13" t="n">
        <v>133</v>
      </c>
      <c r="H51" s="14" t="n">
        <v>195.2971</v>
      </c>
      <c r="I51" s="13">
        <f>COUNTIFS('클럭 정리'!$A$6:$A$55,"&gt;="&amp;E51,'클럭 정리'!$A$6:$A$55,"&lt;="&amp;F51)</f>
        <v/>
      </c>
      <c r="J51" s="14">
        <f>AVERAGEIFS('클럭 정리'!$N$6:$N$55,'클럭 정리'!$A$6:$A$55,"&gt;="&amp;E51,'클럭 정리'!$A$6:$A$55,"&lt;="&amp;F51)</f>
        <v/>
      </c>
      <c r="K51" s="15">
        <f>J51*'클럭 정리'!$B$2/100</f>
        <v/>
      </c>
    </row>
    <row r="52">
      <c r="A52" s="13" t="inlineStr">
        <is>
          <t>병렬도 12 분할 36</t>
        </is>
      </c>
      <c r="B52" s="13" t="n">
        <v>1</v>
      </c>
      <c r="C52" s="13" t="inlineStr">
        <is>
          <t>ForkJoinPool-11-worker-6</t>
        </is>
      </c>
      <c r="D52" s="12" t="inlineStr">
        <is>
          <t>워커</t>
        </is>
      </c>
      <c r="E52" s="10" t="n">
        <v>46238.73871453704</v>
      </c>
      <c r="F52" s="10" t="n">
        <v>46238.73871753947</v>
      </c>
      <c r="G52" s="13" t="n">
        <v>139</v>
      </c>
      <c r="H52" s="14" t="n">
        <v>204.2953</v>
      </c>
      <c r="I52" s="13">
        <f>COUNTIFS('클럭 정리'!$A$6:$A$55,"&gt;="&amp;E52,'클럭 정리'!$A$6:$A$55,"&lt;="&amp;F52)</f>
        <v/>
      </c>
      <c r="J52" s="14">
        <f>AVERAGEIFS('클럭 정리'!$N$6:$N$55,'클럭 정리'!$A$6:$A$55,"&gt;="&amp;E52,'클럭 정리'!$A$6:$A$55,"&lt;="&amp;F52)</f>
        <v/>
      </c>
      <c r="K52" s="15">
        <f>J52*'클럭 정리'!$B$2/100</f>
        <v/>
      </c>
    </row>
    <row r="53">
      <c r="A53" s="13" t="inlineStr">
        <is>
          <t>병렬도 12 분할 36</t>
        </is>
      </c>
      <c r="B53" s="13" t="n">
        <v>1</v>
      </c>
      <c r="C53" s="13" t="inlineStr">
        <is>
          <t>ForkJoinPool-11-worker-7</t>
        </is>
      </c>
      <c r="D53" s="12" t="inlineStr">
        <is>
          <t>워커</t>
        </is>
      </c>
      <c r="E53" s="10" t="n">
        <v>46238.73871453704</v>
      </c>
      <c r="F53" s="10" t="n">
        <v>46238.73871754276</v>
      </c>
      <c r="G53" s="13" t="n">
        <v>136</v>
      </c>
      <c r="H53" s="14" t="n">
        <v>198.8671</v>
      </c>
      <c r="I53" s="13">
        <f>COUNTIFS('클럭 정리'!$A$6:$A$55,"&gt;="&amp;E53,'클럭 정리'!$A$6:$A$55,"&lt;="&amp;F53)</f>
        <v/>
      </c>
      <c r="J53" s="14">
        <f>AVERAGEIFS('클럭 정리'!$N$6:$N$55,'클럭 정리'!$A$6:$A$55,"&gt;="&amp;E53,'클럭 정리'!$A$6:$A$55,"&lt;="&amp;F53)</f>
        <v/>
      </c>
      <c r="K53" s="15">
        <f>J53*'클럭 정리'!$B$2/100</f>
        <v/>
      </c>
    </row>
    <row r="54">
      <c r="A54" s="13" t="inlineStr">
        <is>
          <t>병렬도 12 분할 36</t>
        </is>
      </c>
      <c r="B54" s="13" t="n">
        <v>1</v>
      </c>
      <c r="C54" s="13" t="inlineStr">
        <is>
          <t>ForkJoinPool-11-worker-8</t>
        </is>
      </c>
      <c r="D54" s="12" t="inlineStr">
        <is>
          <t>워커</t>
        </is>
      </c>
      <c r="E54" s="10" t="n">
        <v>46238.73871453704</v>
      </c>
      <c r="F54" s="10" t="n">
        <v>46238.73871755515</v>
      </c>
      <c r="G54" s="13" t="n">
        <v>129</v>
      </c>
      <c r="H54" s="14" t="n">
        <v>202.0027</v>
      </c>
      <c r="I54" s="13">
        <f>COUNTIFS('클럭 정리'!$A$6:$A$55,"&gt;="&amp;E54,'클럭 정리'!$A$6:$A$55,"&lt;="&amp;F54)</f>
        <v/>
      </c>
      <c r="J54" s="14">
        <f>AVERAGEIFS('클럭 정리'!$N$6:$N$55,'클럭 정리'!$A$6:$A$55,"&gt;="&amp;E54,'클럭 정리'!$A$6:$A$55,"&lt;="&amp;F54)</f>
        <v/>
      </c>
      <c r="K54" s="15">
        <f>J54*'클럭 정리'!$B$2/100</f>
        <v/>
      </c>
    </row>
    <row r="55">
      <c r="A55" s="13" t="inlineStr">
        <is>
          <t>병렬도 12 분할 36</t>
        </is>
      </c>
      <c r="B55" s="13" t="n">
        <v>1</v>
      </c>
      <c r="C55" s="13" t="inlineStr">
        <is>
          <t>ForkJoinPool-11-worker-9</t>
        </is>
      </c>
      <c r="D55" s="12" t="inlineStr">
        <is>
          <t>워커</t>
        </is>
      </c>
      <c r="E55" s="10" t="n">
        <v>46238.73871453704</v>
      </c>
      <c r="F55" s="10" t="n">
        <v>46238.73871755136</v>
      </c>
      <c r="G55" s="13" t="n">
        <v>128</v>
      </c>
      <c r="H55" s="14" t="n">
        <v>188.6074</v>
      </c>
      <c r="I55" s="13">
        <f>COUNTIFS('클럭 정리'!$A$6:$A$55,"&gt;="&amp;E55,'클럭 정리'!$A$6:$A$55,"&lt;="&amp;F55)</f>
        <v/>
      </c>
      <c r="J55" s="14">
        <f>AVERAGEIFS('클럭 정리'!$N$6:$N$55,'클럭 정리'!$A$6:$A$55,"&gt;="&amp;E55,'클럭 정리'!$A$6:$A$55,"&lt;="&amp;F55)</f>
        <v/>
      </c>
      <c r="K55" s="15">
        <f>J55*'클럭 정리'!$B$2/100</f>
        <v/>
      </c>
    </row>
    <row r="56">
      <c r="A56" s="13" t="inlineStr">
        <is>
          <t>병렬도 12 분할 36</t>
        </is>
      </c>
      <c r="B56" s="13" t="n">
        <v>1</v>
      </c>
      <c r="C56" s="13" t="inlineStr">
        <is>
          <t>main</t>
        </is>
      </c>
      <c r="D56" s="12" t="inlineStr">
        <is>
          <t>main (활동 시간 합 = 그 회차 mainCPU, 창은 워커와 겹침)</t>
        </is>
      </c>
      <c r="E56" s="10" t="n">
        <v>46238.73871453704</v>
      </c>
      <c r="F56" s="10" t="n">
        <v>46238.73871755553</v>
      </c>
      <c r="G56" s="13" t="n">
        <v>45</v>
      </c>
      <c r="H56" s="14" t="n">
        <v>0</v>
      </c>
      <c r="I56" s="13">
        <f>COUNTIFS('클럭 정리'!$A$6:$A$55,"&gt;="&amp;E56,'클럭 정리'!$A$6:$A$55,"&lt;="&amp;F56)</f>
        <v/>
      </c>
      <c r="J56" s="14">
        <f>AVERAGEIFS('클럭 정리'!$N$6:$N$55,'클럭 정리'!$A$6:$A$55,"&gt;="&amp;E56,'클럭 정리'!$A$6:$A$55,"&lt;="&amp;F56)</f>
        <v/>
      </c>
      <c r="K56" s="15">
        <f>J56*'클럭 정리'!$B$2/100</f>
        <v/>
      </c>
    </row>
    <row r="57">
      <c r="A57" s="13" t="inlineStr">
        <is>
          <t>병렬도 12 분할 36</t>
        </is>
      </c>
      <c r="B57" s="13" t="n">
        <v>2</v>
      </c>
      <c r="C57" s="13" t="inlineStr">
        <is>
          <t>ForkJoinPool-12-worker-1</t>
        </is>
      </c>
      <c r="D57" s="12" t="inlineStr">
        <is>
          <t>워커</t>
        </is>
      </c>
      <c r="E57" s="10" t="n">
        <v>46238.73871755787</v>
      </c>
      <c r="F57" s="10" t="n">
        <v>46238.73872069964</v>
      </c>
      <c r="G57" s="13" t="n">
        <v>145</v>
      </c>
      <c r="H57" s="14" t="n">
        <v>224.9657</v>
      </c>
      <c r="I57" s="13">
        <f>COUNTIFS('클럭 정리'!$A$6:$A$55,"&gt;="&amp;E57,'클럭 정리'!$A$6:$A$55,"&lt;="&amp;F57)</f>
        <v/>
      </c>
      <c r="J57" s="14">
        <f>AVERAGEIFS('클럭 정리'!$N$6:$N$55,'클럭 정리'!$A$6:$A$55,"&gt;="&amp;E57,'클럭 정리'!$A$6:$A$55,"&lt;="&amp;F57)</f>
        <v/>
      </c>
      <c r="K57" s="15">
        <f>J57*'클럭 정리'!$B$2/100</f>
        <v/>
      </c>
    </row>
    <row r="58">
      <c r="A58" s="13" t="inlineStr">
        <is>
          <t>병렬도 12 분할 36</t>
        </is>
      </c>
      <c r="B58" s="13" t="n">
        <v>2</v>
      </c>
      <c r="C58" s="13" t="inlineStr">
        <is>
          <t>ForkJoinPool-12-worker-10</t>
        </is>
      </c>
      <c r="D58" s="12" t="inlineStr">
        <is>
          <t>워커</t>
        </is>
      </c>
      <c r="E58" s="10" t="n">
        <v>46238.73871761574</v>
      </c>
      <c r="F58" s="10" t="n">
        <v>46238.73872069911</v>
      </c>
      <c r="G58" s="13" t="n">
        <v>138</v>
      </c>
      <c r="H58" s="14" t="n">
        <v>203.8819</v>
      </c>
      <c r="I58" s="13">
        <f>COUNTIFS('클럭 정리'!$A$6:$A$55,"&gt;="&amp;E58,'클럭 정리'!$A$6:$A$55,"&lt;="&amp;F58)</f>
        <v/>
      </c>
      <c r="J58" s="14">
        <f>AVERAGEIFS('클럭 정리'!$N$6:$N$55,'클럭 정리'!$A$6:$A$55,"&gt;="&amp;E58,'클럭 정리'!$A$6:$A$55,"&lt;="&amp;F58)</f>
        <v/>
      </c>
      <c r="K58" s="15">
        <f>J58*'클럭 정리'!$B$2/100</f>
        <v/>
      </c>
    </row>
    <row r="59">
      <c r="A59" s="13" t="inlineStr">
        <is>
          <t>병렬도 12 분할 36</t>
        </is>
      </c>
      <c r="B59" s="13" t="n">
        <v>2</v>
      </c>
      <c r="C59" s="13" t="inlineStr">
        <is>
          <t>ForkJoinPool-12-worker-11</t>
        </is>
      </c>
      <c r="D59" s="12" t="inlineStr">
        <is>
          <t>워커</t>
        </is>
      </c>
      <c r="E59" s="10" t="n">
        <v>46238.73871755787</v>
      </c>
      <c r="F59" s="10" t="n">
        <v>46238.73872069953</v>
      </c>
      <c r="G59" s="13" t="n">
        <v>136</v>
      </c>
      <c r="H59" s="14" t="n">
        <v>201.8419</v>
      </c>
      <c r="I59" s="13">
        <f>COUNTIFS('클럭 정리'!$A$6:$A$55,"&gt;="&amp;E59,'클럭 정리'!$A$6:$A$55,"&lt;="&amp;F59)</f>
        <v/>
      </c>
      <c r="J59" s="14">
        <f>AVERAGEIFS('클럭 정리'!$N$6:$N$55,'클럭 정리'!$A$6:$A$55,"&gt;="&amp;E59,'클럭 정리'!$A$6:$A$55,"&lt;="&amp;F59)</f>
        <v/>
      </c>
      <c r="K59" s="15">
        <f>J59*'클럭 정리'!$B$2/100</f>
        <v/>
      </c>
    </row>
    <row r="60">
      <c r="A60" s="13" t="inlineStr">
        <is>
          <t>병렬도 12 분할 36</t>
        </is>
      </c>
      <c r="B60" s="13" t="n">
        <v>2</v>
      </c>
      <c r="C60" s="13" t="inlineStr">
        <is>
          <t>ForkJoinPool-12-worker-12</t>
        </is>
      </c>
      <c r="D60" s="12" t="inlineStr">
        <is>
          <t>워커</t>
        </is>
      </c>
      <c r="E60" s="10" t="n">
        <v>46238.73871761574</v>
      </c>
      <c r="F60" s="10" t="n">
        <v>46238.73872067602</v>
      </c>
      <c r="G60" s="13" t="n">
        <v>140</v>
      </c>
      <c r="H60" s="14" t="n">
        <v>205.412</v>
      </c>
      <c r="I60" s="13">
        <f>COUNTIFS('클럭 정리'!$A$6:$A$55,"&gt;="&amp;E60,'클럭 정리'!$A$6:$A$55,"&lt;="&amp;F60)</f>
        <v/>
      </c>
      <c r="J60" s="14">
        <f>AVERAGEIFS('클럭 정리'!$N$6:$N$55,'클럭 정리'!$A$6:$A$55,"&gt;="&amp;E60,'클럭 정리'!$A$6:$A$55,"&lt;="&amp;F60)</f>
        <v/>
      </c>
      <c r="K60" s="15">
        <f>J60*'클럭 정리'!$B$2/100</f>
        <v/>
      </c>
    </row>
    <row r="61">
      <c r="A61" s="13" t="inlineStr">
        <is>
          <t>병렬도 12 분할 36</t>
        </is>
      </c>
      <c r="B61" s="13" t="n">
        <v>2</v>
      </c>
      <c r="C61" s="13" t="inlineStr">
        <is>
          <t>ForkJoinPool-12-worker-2</t>
        </is>
      </c>
      <c r="D61" s="12" t="inlineStr">
        <is>
          <t>워커</t>
        </is>
      </c>
      <c r="E61" s="10" t="n">
        <v>46238.73871755787</v>
      </c>
      <c r="F61" s="10" t="n">
        <v>46238.73872065323</v>
      </c>
      <c r="G61" s="13" t="n">
        <v>132</v>
      </c>
      <c r="H61" s="14" t="n">
        <v>199.8369</v>
      </c>
      <c r="I61" s="13">
        <f>COUNTIFS('클럭 정리'!$A$6:$A$55,"&gt;="&amp;E61,'클럭 정리'!$A$6:$A$55,"&lt;="&amp;F61)</f>
        <v/>
      </c>
      <c r="J61" s="14">
        <f>AVERAGEIFS('클럭 정리'!$N$6:$N$55,'클럭 정리'!$A$6:$A$55,"&gt;="&amp;E61,'클럭 정리'!$A$6:$A$55,"&lt;="&amp;F61)</f>
        <v/>
      </c>
      <c r="K61" s="15">
        <f>J61*'클럭 정리'!$B$2/100</f>
        <v/>
      </c>
    </row>
    <row r="62">
      <c r="A62" s="13" t="inlineStr">
        <is>
          <t>병렬도 12 분할 36</t>
        </is>
      </c>
      <c r="B62" s="13" t="n">
        <v>2</v>
      </c>
      <c r="C62" s="13" t="inlineStr">
        <is>
          <t>ForkJoinPool-12-worker-3</t>
        </is>
      </c>
      <c r="D62" s="12" t="inlineStr">
        <is>
          <t>워커</t>
        </is>
      </c>
      <c r="E62" s="10" t="n">
        <v>46238.73871755787</v>
      </c>
      <c r="F62" s="10" t="n">
        <v>46238.7387206991</v>
      </c>
      <c r="G62" s="13" t="n">
        <v>138</v>
      </c>
      <c r="H62" s="14" t="n">
        <v>206.0908</v>
      </c>
      <c r="I62" s="13">
        <f>COUNTIFS('클럭 정리'!$A$6:$A$55,"&gt;="&amp;E62,'클럭 정리'!$A$6:$A$55,"&lt;="&amp;F62)</f>
        <v/>
      </c>
      <c r="J62" s="14">
        <f>AVERAGEIFS('클럭 정리'!$N$6:$N$55,'클럭 정리'!$A$6:$A$55,"&gt;="&amp;E62,'클럭 정리'!$A$6:$A$55,"&lt;="&amp;F62)</f>
        <v/>
      </c>
      <c r="K62" s="15">
        <f>J62*'클럭 정리'!$B$2/100</f>
        <v/>
      </c>
    </row>
    <row r="63">
      <c r="A63" s="13" t="inlineStr">
        <is>
          <t>병렬도 12 분할 36</t>
        </is>
      </c>
      <c r="B63" s="13" t="n">
        <v>2</v>
      </c>
      <c r="C63" s="13" t="inlineStr">
        <is>
          <t>ForkJoinPool-12-worker-4</t>
        </is>
      </c>
      <c r="D63" s="12" t="inlineStr">
        <is>
          <t>워커</t>
        </is>
      </c>
      <c r="E63" s="10" t="n">
        <v>46238.73871755787</v>
      </c>
      <c r="F63" s="10" t="n">
        <v>46238.73872067523</v>
      </c>
      <c r="G63" s="13" t="n">
        <v>140</v>
      </c>
      <c r="H63" s="14" t="n">
        <v>214.7152</v>
      </c>
      <c r="I63" s="13">
        <f>COUNTIFS('클럭 정리'!$A$6:$A$55,"&gt;="&amp;E63,'클럭 정리'!$A$6:$A$55,"&lt;="&amp;F63)</f>
        <v/>
      </c>
      <c r="J63" s="14">
        <f>AVERAGEIFS('클럭 정리'!$N$6:$N$55,'클럭 정리'!$A$6:$A$55,"&gt;="&amp;E63,'클럭 정리'!$A$6:$A$55,"&lt;="&amp;F63)</f>
        <v/>
      </c>
      <c r="K63" s="15">
        <f>J63*'클럭 정리'!$B$2/100</f>
        <v/>
      </c>
    </row>
    <row r="64">
      <c r="A64" s="13" t="inlineStr">
        <is>
          <t>병렬도 12 분할 36</t>
        </is>
      </c>
      <c r="B64" s="13" t="n">
        <v>2</v>
      </c>
      <c r="C64" s="13" t="inlineStr">
        <is>
          <t>ForkJoinPool-12-worker-5</t>
        </is>
      </c>
      <c r="D64" s="12" t="inlineStr">
        <is>
          <t>워커</t>
        </is>
      </c>
      <c r="E64" s="10" t="n">
        <v>46238.73871755787</v>
      </c>
      <c r="F64" s="10" t="n">
        <v>46238.73872067639</v>
      </c>
      <c r="G64" s="13" t="n">
        <v>134</v>
      </c>
      <c r="H64" s="14" t="n">
        <v>206.8055</v>
      </c>
      <c r="I64" s="13">
        <f>COUNTIFS('클럭 정리'!$A$6:$A$55,"&gt;="&amp;E64,'클럭 정리'!$A$6:$A$55,"&lt;="&amp;F64)</f>
        <v/>
      </c>
      <c r="J64" s="14">
        <f>AVERAGEIFS('클럭 정리'!$N$6:$N$55,'클럭 정리'!$A$6:$A$55,"&gt;="&amp;E64,'클럭 정리'!$A$6:$A$55,"&lt;="&amp;F64)</f>
        <v/>
      </c>
      <c r="K64" s="15">
        <f>J64*'클럭 정리'!$B$2/100</f>
        <v/>
      </c>
    </row>
    <row r="65">
      <c r="A65" s="13" t="inlineStr">
        <is>
          <t>병렬도 12 분할 36</t>
        </is>
      </c>
      <c r="B65" s="13" t="n">
        <v>2</v>
      </c>
      <c r="C65" s="13" t="inlineStr">
        <is>
          <t>ForkJoinPool-12-worker-6</t>
        </is>
      </c>
      <c r="D65" s="12" t="inlineStr">
        <is>
          <t>워커</t>
        </is>
      </c>
      <c r="E65" s="10" t="n">
        <v>46238.73871755787</v>
      </c>
      <c r="F65" s="10" t="n">
        <v>46238.73872069933</v>
      </c>
      <c r="G65" s="13" t="n">
        <v>129</v>
      </c>
      <c r="H65" s="14" t="n">
        <v>189.3378</v>
      </c>
      <c r="I65" s="13">
        <f>COUNTIFS('클럭 정리'!$A$6:$A$55,"&gt;="&amp;E65,'클럭 정리'!$A$6:$A$55,"&lt;="&amp;F65)</f>
        <v/>
      </c>
      <c r="J65" s="14">
        <f>AVERAGEIFS('클럭 정리'!$N$6:$N$55,'클럭 정리'!$A$6:$A$55,"&gt;="&amp;E65,'클럭 정리'!$A$6:$A$55,"&lt;="&amp;F65)</f>
        <v/>
      </c>
      <c r="K65" s="15">
        <f>J65*'클럭 정리'!$B$2/100</f>
        <v/>
      </c>
    </row>
    <row r="66">
      <c r="A66" s="13" t="inlineStr">
        <is>
          <t>병렬도 12 분할 36</t>
        </is>
      </c>
      <c r="B66" s="13" t="n">
        <v>2</v>
      </c>
      <c r="C66" s="13" t="inlineStr">
        <is>
          <t>ForkJoinPool-12-worker-7</t>
        </is>
      </c>
      <c r="D66" s="12" t="inlineStr">
        <is>
          <t>워커</t>
        </is>
      </c>
      <c r="E66" s="10" t="n">
        <v>46238.73871755787</v>
      </c>
      <c r="F66" s="10" t="n">
        <v>46238.73872067618</v>
      </c>
      <c r="G66" s="13" t="n">
        <v>126</v>
      </c>
      <c r="H66" s="14" t="n">
        <v>188.2203</v>
      </c>
      <c r="I66" s="13">
        <f>COUNTIFS('클럭 정리'!$A$6:$A$55,"&gt;="&amp;E66,'클럭 정리'!$A$6:$A$55,"&lt;="&amp;F66)</f>
        <v/>
      </c>
      <c r="J66" s="14">
        <f>AVERAGEIFS('클럭 정리'!$N$6:$N$55,'클럭 정리'!$A$6:$A$55,"&gt;="&amp;E66,'클럭 정리'!$A$6:$A$55,"&lt;="&amp;F66)</f>
        <v/>
      </c>
      <c r="K66" s="15">
        <f>J66*'클럭 정리'!$B$2/100</f>
        <v/>
      </c>
    </row>
    <row r="67">
      <c r="A67" s="13" t="inlineStr">
        <is>
          <t>병렬도 12 분할 36</t>
        </is>
      </c>
      <c r="B67" s="13" t="n">
        <v>2</v>
      </c>
      <c r="C67" s="13" t="inlineStr">
        <is>
          <t>ForkJoinPool-12-worker-8</t>
        </is>
      </c>
      <c r="D67" s="12" t="inlineStr">
        <is>
          <t>워커</t>
        </is>
      </c>
      <c r="E67" s="10" t="n">
        <v>46238.73871755787</v>
      </c>
      <c r="F67" s="10" t="n">
        <v>46238.73872066743</v>
      </c>
      <c r="G67" s="13" t="n">
        <v>134</v>
      </c>
      <c r="H67" s="14" t="n">
        <v>199.2578</v>
      </c>
      <c r="I67" s="13">
        <f>COUNTIFS('클럭 정리'!$A$6:$A$55,"&gt;="&amp;E67,'클럭 정리'!$A$6:$A$55,"&lt;="&amp;F67)</f>
        <v/>
      </c>
      <c r="J67" s="14">
        <f>AVERAGEIFS('클럭 정리'!$N$6:$N$55,'클럭 정리'!$A$6:$A$55,"&gt;="&amp;E67,'클럭 정리'!$A$6:$A$55,"&lt;="&amp;F67)</f>
        <v/>
      </c>
      <c r="K67" s="15">
        <f>J67*'클럭 정리'!$B$2/100</f>
        <v/>
      </c>
    </row>
    <row r="68">
      <c r="A68" s="13" t="inlineStr">
        <is>
          <t>병렬도 12 분할 36</t>
        </is>
      </c>
      <c r="B68" s="13" t="n">
        <v>2</v>
      </c>
      <c r="C68" s="13" t="inlineStr">
        <is>
          <t>ForkJoinPool-12-worker-9</t>
        </is>
      </c>
      <c r="D68" s="12" t="inlineStr">
        <is>
          <t>워커</t>
        </is>
      </c>
      <c r="E68" s="10" t="n">
        <v>46238.73871761574</v>
      </c>
      <c r="F68" s="10" t="n">
        <v>46238.73872069951</v>
      </c>
      <c r="G68" s="13" t="n">
        <v>128</v>
      </c>
      <c r="H68" s="14" t="n">
        <v>199.962</v>
      </c>
      <c r="I68" s="13">
        <f>COUNTIFS('클럭 정리'!$A$6:$A$55,"&gt;="&amp;E68,'클럭 정리'!$A$6:$A$55,"&lt;="&amp;F68)</f>
        <v/>
      </c>
      <c r="J68" s="14">
        <f>AVERAGEIFS('클럭 정리'!$N$6:$N$55,'클럭 정리'!$A$6:$A$55,"&gt;="&amp;E68,'클럭 정리'!$A$6:$A$55,"&lt;="&amp;F68)</f>
        <v/>
      </c>
      <c r="K68" s="15">
        <f>J68*'클럭 정리'!$B$2/100</f>
        <v/>
      </c>
    </row>
    <row r="69">
      <c r="A69" s="13" t="inlineStr">
        <is>
          <t>병렬도 12 분할 36</t>
        </is>
      </c>
      <c r="B69" s="13" t="n">
        <v>2</v>
      </c>
      <c r="C69" s="13" t="inlineStr">
        <is>
          <t>main</t>
        </is>
      </c>
      <c r="D69" s="12" t="inlineStr">
        <is>
          <t>main (활동 시간 합 = 그 회차 mainCPU, 창은 워커와 겹침)</t>
        </is>
      </c>
      <c r="E69" s="10" t="n">
        <v>46238.73871755787</v>
      </c>
      <c r="F69" s="10" t="n">
        <v>46238.73872070568</v>
      </c>
      <c r="G69" s="13" t="n">
        <v>45</v>
      </c>
      <c r="H69" s="14" t="n">
        <v>0</v>
      </c>
      <c r="I69" s="13">
        <f>COUNTIFS('클럭 정리'!$A$6:$A$55,"&gt;="&amp;E69,'클럭 정리'!$A$6:$A$55,"&lt;="&amp;F69)</f>
        <v/>
      </c>
      <c r="J69" s="14">
        <f>AVERAGEIFS('클럭 정리'!$N$6:$N$55,'클럭 정리'!$A$6:$A$55,"&gt;="&amp;E69,'클럭 정리'!$A$6:$A$55,"&lt;="&amp;F69)</f>
        <v/>
      </c>
      <c r="K69" s="15">
        <f>J69*'클럭 정리'!$B$2/100</f>
        <v/>
      </c>
    </row>
    <row r="70">
      <c r="A70" s="13" t="inlineStr">
        <is>
          <t>병렬도 12 분할 36</t>
        </is>
      </c>
      <c r="B70" s="13" t="n">
        <v>3</v>
      </c>
      <c r="C70" s="13" t="inlineStr">
        <is>
          <t>ForkJoinPool-13-worker-1</t>
        </is>
      </c>
      <c r="D70" s="12" t="inlineStr">
        <is>
          <t>워커</t>
        </is>
      </c>
      <c r="E70" s="10" t="n">
        <v>46238.73872068287</v>
      </c>
      <c r="F70" s="10" t="n">
        <v>46238.73872389454</v>
      </c>
      <c r="G70" s="13" t="n">
        <v>143</v>
      </c>
      <c r="H70" s="14" t="n">
        <v>230.6312</v>
      </c>
      <c r="I70" s="13">
        <f>COUNTIFS('클럭 정리'!$A$6:$A$55,"&gt;="&amp;E70,'클럭 정리'!$A$6:$A$55,"&lt;="&amp;F70)</f>
        <v/>
      </c>
      <c r="J70" s="14">
        <f>AVERAGEIFS('클럭 정리'!$N$6:$N$55,'클럭 정리'!$A$6:$A$55,"&gt;="&amp;E70,'클럭 정리'!$A$6:$A$55,"&lt;="&amp;F70)</f>
        <v/>
      </c>
      <c r="K70" s="15">
        <f>J70*'클럭 정리'!$B$2/100</f>
        <v/>
      </c>
    </row>
    <row r="71">
      <c r="A71" s="13" t="inlineStr">
        <is>
          <t>병렬도 12 분할 36</t>
        </is>
      </c>
      <c r="B71" s="13" t="n">
        <v>3</v>
      </c>
      <c r="C71" s="13" t="inlineStr">
        <is>
          <t>ForkJoinPool-13-worker-10</t>
        </is>
      </c>
      <c r="D71" s="12" t="inlineStr">
        <is>
          <t>워커</t>
        </is>
      </c>
      <c r="E71" s="10" t="n">
        <v>46238.73872068287</v>
      </c>
      <c r="F71" s="10" t="n">
        <v>46238.73872389397</v>
      </c>
      <c r="G71" s="13" t="n">
        <v>140</v>
      </c>
      <c r="H71" s="14" t="n">
        <v>208.5629</v>
      </c>
      <c r="I71" s="13">
        <f>COUNTIFS('클럭 정리'!$A$6:$A$55,"&gt;="&amp;E71,'클럭 정리'!$A$6:$A$55,"&lt;="&amp;F71)</f>
        <v/>
      </c>
      <c r="J71" s="14">
        <f>AVERAGEIFS('클럭 정리'!$N$6:$N$55,'클럭 정리'!$A$6:$A$55,"&gt;="&amp;E71,'클럭 정리'!$A$6:$A$55,"&lt;="&amp;F71)</f>
        <v/>
      </c>
      <c r="K71" s="15">
        <f>J71*'클럭 정리'!$B$2/100</f>
        <v/>
      </c>
    </row>
    <row r="72">
      <c r="A72" s="13" t="inlineStr">
        <is>
          <t>병렬도 12 분할 36</t>
        </is>
      </c>
      <c r="B72" s="13" t="n">
        <v>3</v>
      </c>
      <c r="C72" s="13" t="inlineStr">
        <is>
          <t>ForkJoinPool-13-worker-11</t>
        </is>
      </c>
      <c r="D72" s="12" t="inlineStr">
        <is>
          <t>워커</t>
        </is>
      </c>
      <c r="E72" s="10" t="n">
        <v>46238.73872068287</v>
      </c>
      <c r="F72" s="10" t="n">
        <v>46238.7387238936</v>
      </c>
      <c r="G72" s="13" t="n">
        <v>142</v>
      </c>
      <c r="H72" s="14" t="n">
        <v>211.932</v>
      </c>
      <c r="I72" s="13">
        <f>COUNTIFS('클럭 정리'!$A$6:$A$55,"&gt;="&amp;E72,'클럭 정리'!$A$6:$A$55,"&lt;="&amp;F72)</f>
        <v/>
      </c>
      <c r="J72" s="14">
        <f>AVERAGEIFS('클럭 정리'!$N$6:$N$55,'클럭 정리'!$A$6:$A$55,"&gt;="&amp;E72,'클럭 정리'!$A$6:$A$55,"&lt;="&amp;F72)</f>
        <v/>
      </c>
      <c r="K72" s="15">
        <f>J72*'클럭 정리'!$B$2/100</f>
        <v/>
      </c>
    </row>
    <row r="73">
      <c r="A73" s="13" t="inlineStr">
        <is>
          <t>병렬도 12 분할 36</t>
        </is>
      </c>
      <c r="B73" s="13" t="n">
        <v>3</v>
      </c>
      <c r="C73" s="13" t="inlineStr">
        <is>
          <t>ForkJoinPool-13-worker-12</t>
        </is>
      </c>
      <c r="D73" s="12" t="inlineStr">
        <is>
          <t>워커</t>
        </is>
      </c>
      <c r="E73" s="10" t="n">
        <v>46238.73872075231</v>
      </c>
      <c r="F73" s="10" t="n">
        <v>46238.73872389364</v>
      </c>
      <c r="G73" s="13" t="n">
        <v>140</v>
      </c>
      <c r="H73" s="14" t="n">
        <v>211.5051</v>
      </c>
      <c r="I73" s="13">
        <f>COUNTIFS('클럭 정리'!$A$6:$A$55,"&gt;="&amp;E73,'클럭 정리'!$A$6:$A$55,"&lt;="&amp;F73)</f>
        <v/>
      </c>
      <c r="J73" s="14">
        <f>AVERAGEIFS('클럭 정리'!$N$6:$N$55,'클럭 정리'!$A$6:$A$55,"&gt;="&amp;E73,'클럭 정리'!$A$6:$A$55,"&lt;="&amp;F73)</f>
        <v/>
      </c>
      <c r="K73" s="15">
        <f>J73*'클럭 정리'!$B$2/100</f>
        <v/>
      </c>
    </row>
    <row r="74">
      <c r="A74" s="13" t="inlineStr">
        <is>
          <t>병렬도 12 분할 36</t>
        </is>
      </c>
      <c r="B74" s="13" t="n">
        <v>3</v>
      </c>
      <c r="C74" s="13" t="inlineStr">
        <is>
          <t>ForkJoinPool-13-worker-2</t>
        </is>
      </c>
      <c r="D74" s="12" t="inlineStr">
        <is>
          <t>워커</t>
        </is>
      </c>
      <c r="E74" s="10" t="n">
        <v>46238.73872068287</v>
      </c>
      <c r="F74" s="10" t="n">
        <v>46238.73872389398</v>
      </c>
      <c r="G74" s="13" t="n">
        <v>132</v>
      </c>
      <c r="H74" s="14" t="n">
        <v>202.9216</v>
      </c>
      <c r="I74" s="13">
        <f>COUNTIFS('클럭 정리'!$A$6:$A$55,"&gt;="&amp;E74,'클럭 정리'!$A$6:$A$55,"&lt;="&amp;F74)</f>
        <v/>
      </c>
      <c r="J74" s="14">
        <f>AVERAGEIFS('클럭 정리'!$N$6:$N$55,'클럭 정리'!$A$6:$A$55,"&gt;="&amp;E74,'클럭 정리'!$A$6:$A$55,"&lt;="&amp;F74)</f>
        <v/>
      </c>
      <c r="K74" s="15">
        <f>J74*'클럭 정리'!$B$2/100</f>
        <v/>
      </c>
    </row>
    <row r="75">
      <c r="A75" s="13" t="inlineStr">
        <is>
          <t>병렬도 12 분할 36</t>
        </is>
      </c>
      <c r="B75" s="13" t="n">
        <v>3</v>
      </c>
      <c r="C75" s="13" t="inlineStr">
        <is>
          <t>ForkJoinPool-13-worker-3</t>
        </is>
      </c>
      <c r="D75" s="12" t="inlineStr">
        <is>
          <t>워커</t>
        </is>
      </c>
      <c r="E75" s="10" t="n">
        <v>46238.73872068287</v>
      </c>
      <c r="F75" s="10" t="n">
        <v>46238.7387238935</v>
      </c>
      <c r="G75" s="13" t="n">
        <v>133</v>
      </c>
      <c r="H75" s="14" t="n">
        <v>206.7071</v>
      </c>
      <c r="I75" s="13">
        <f>COUNTIFS('클럭 정리'!$A$6:$A$55,"&gt;="&amp;E75,'클럭 정리'!$A$6:$A$55,"&lt;="&amp;F75)</f>
        <v/>
      </c>
      <c r="J75" s="14">
        <f>AVERAGEIFS('클럭 정리'!$N$6:$N$55,'클럭 정리'!$A$6:$A$55,"&gt;="&amp;E75,'클럭 정리'!$A$6:$A$55,"&lt;="&amp;F75)</f>
        <v/>
      </c>
      <c r="K75" s="15">
        <f>J75*'클럭 정리'!$B$2/100</f>
        <v/>
      </c>
    </row>
    <row r="76">
      <c r="A76" s="13" t="inlineStr">
        <is>
          <t>병렬도 12 분할 36</t>
        </is>
      </c>
      <c r="B76" s="13" t="n">
        <v>3</v>
      </c>
      <c r="C76" s="13" t="inlineStr">
        <is>
          <t>ForkJoinPool-13-worker-4</t>
        </is>
      </c>
      <c r="D76" s="12" t="inlineStr">
        <is>
          <t>워커</t>
        </is>
      </c>
      <c r="E76" s="10" t="n">
        <v>46238.73872068287</v>
      </c>
      <c r="F76" s="10" t="n">
        <v>46238.73872387059</v>
      </c>
      <c r="G76" s="13" t="n">
        <v>120</v>
      </c>
      <c r="H76" s="14" t="n">
        <v>185.5963</v>
      </c>
      <c r="I76" s="13">
        <f>COUNTIFS('클럭 정리'!$A$6:$A$55,"&gt;="&amp;E76,'클럭 정리'!$A$6:$A$55,"&lt;="&amp;F76)</f>
        <v/>
      </c>
      <c r="J76" s="14">
        <f>AVERAGEIFS('클럭 정리'!$N$6:$N$55,'클럭 정리'!$A$6:$A$55,"&gt;="&amp;E76,'클럭 정리'!$A$6:$A$55,"&lt;="&amp;F76)</f>
        <v/>
      </c>
      <c r="K76" s="15">
        <f>J76*'클럭 정리'!$B$2/100</f>
        <v/>
      </c>
    </row>
    <row r="77">
      <c r="A77" s="13" t="inlineStr">
        <is>
          <t>병렬도 12 분할 36</t>
        </is>
      </c>
      <c r="B77" s="13" t="n">
        <v>3</v>
      </c>
      <c r="C77" s="13" t="inlineStr">
        <is>
          <t>ForkJoinPool-13-worker-5</t>
        </is>
      </c>
      <c r="D77" s="12" t="inlineStr">
        <is>
          <t>워커</t>
        </is>
      </c>
      <c r="E77" s="10" t="n">
        <v>46238.73872068287</v>
      </c>
      <c r="F77" s="10" t="n">
        <v>46238.73872389333</v>
      </c>
      <c r="G77" s="13" t="n">
        <v>136</v>
      </c>
      <c r="H77" s="14" t="n">
        <v>204.0778</v>
      </c>
      <c r="I77" s="13">
        <f>COUNTIFS('클럭 정리'!$A$6:$A$55,"&gt;="&amp;E77,'클럭 정리'!$A$6:$A$55,"&lt;="&amp;F77)</f>
        <v/>
      </c>
      <c r="J77" s="14">
        <f>AVERAGEIFS('클럭 정리'!$N$6:$N$55,'클럭 정리'!$A$6:$A$55,"&gt;="&amp;E77,'클럭 정리'!$A$6:$A$55,"&lt;="&amp;F77)</f>
        <v/>
      </c>
      <c r="K77" s="15">
        <f>J77*'클럭 정리'!$B$2/100</f>
        <v/>
      </c>
    </row>
    <row r="78">
      <c r="A78" s="13" t="inlineStr">
        <is>
          <t>병렬도 12 분할 36</t>
        </is>
      </c>
      <c r="B78" s="13" t="n">
        <v>3</v>
      </c>
      <c r="C78" s="13" t="inlineStr">
        <is>
          <t>ForkJoinPool-13-worker-6</t>
        </is>
      </c>
      <c r="D78" s="12" t="inlineStr">
        <is>
          <t>워커</t>
        </is>
      </c>
      <c r="E78" s="10" t="n">
        <v>46238.73872068287</v>
      </c>
      <c r="F78" s="10" t="n">
        <v>46238.7387238934</v>
      </c>
      <c r="G78" s="13" t="n">
        <v>131</v>
      </c>
      <c r="H78" s="14" t="n">
        <v>196.7537</v>
      </c>
      <c r="I78" s="13">
        <f>COUNTIFS('클럭 정리'!$A$6:$A$55,"&gt;="&amp;E78,'클럭 정리'!$A$6:$A$55,"&lt;="&amp;F78)</f>
        <v/>
      </c>
      <c r="J78" s="14">
        <f>AVERAGEIFS('클럭 정리'!$N$6:$N$55,'클럭 정리'!$A$6:$A$55,"&gt;="&amp;E78,'클럭 정리'!$A$6:$A$55,"&lt;="&amp;F78)</f>
        <v/>
      </c>
      <c r="K78" s="15">
        <f>J78*'클럭 정리'!$B$2/100</f>
        <v/>
      </c>
    </row>
    <row r="79">
      <c r="A79" s="13" t="inlineStr">
        <is>
          <t>병렬도 12 분할 36</t>
        </is>
      </c>
      <c r="B79" s="13" t="n">
        <v>3</v>
      </c>
      <c r="C79" s="13" t="inlineStr">
        <is>
          <t>ForkJoinPool-13-worker-7</t>
        </is>
      </c>
      <c r="D79" s="12" t="inlineStr">
        <is>
          <t>워커</t>
        </is>
      </c>
      <c r="E79" s="10" t="n">
        <v>46238.73872068287</v>
      </c>
      <c r="F79" s="10" t="n">
        <v>46238.738723893</v>
      </c>
      <c r="G79" s="13" t="n">
        <v>143</v>
      </c>
      <c r="H79" s="14" t="n">
        <v>219.2595</v>
      </c>
      <c r="I79" s="13">
        <f>COUNTIFS('클럭 정리'!$A$6:$A$55,"&gt;="&amp;E79,'클럭 정리'!$A$6:$A$55,"&lt;="&amp;F79)</f>
        <v/>
      </c>
      <c r="J79" s="14">
        <f>AVERAGEIFS('클럭 정리'!$N$6:$N$55,'클럭 정리'!$A$6:$A$55,"&gt;="&amp;E79,'클럭 정리'!$A$6:$A$55,"&lt;="&amp;F79)</f>
        <v/>
      </c>
      <c r="K79" s="15">
        <f>J79*'클럭 정리'!$B$2/100</f>
        <v/>
      </c>
    </row>
    <row r="80">
      <c r="A80" s="13" t="inlineStr">
        <is>
          <t>병렬도 12 분할 36</t>
        </is>
      </c>
      <c r="B80" s="13" t="n">
        <v>3</v>
      </c>
      <c r="C80" s="13" t="inlineStr">
        <is>
          <t>ForkJoinPool-13-worker-8</t>
        </is>
      </c>
      <c r="D80" s="12" t="inlineStr">
        <is>
          <t>워커</t>
        </is>
      </c>
      <c r="E80" s="10" t="n">
        <v>46238.73872068287</v>
      </c>
      <c r="F80" s="10" t="n">
        <v>46238.73872389454</v>
      </c>
      <c r="G80" s="13" t="n">
        <v>124</v>
      </c>
      <c r="H80" s="14" t="n">
        <v>202.6879</v>
      </c>
      <c r="I80" s="13">
        <f>COUNTIFS('클럭 정리'!$A$6:$A$55,"&gt;="&amp;E80,'클럭 정리'!$A$6:$A$55,"&lt;="&amp;F80)</f>
        <v/>
      </c>
      <c r="J80" s="14">
        <f>AVERAGEIFS('클럭 정리'!$N$6:$N$55,'클럭 정리'!$A$6:$A$55,"&gt;="&amp;E80,'클럭 정리'!$A$6:$A$55,"&lt;="&amp;F80)</f>
        <v/>
      </c>
      <c r="K80" s="15">
        <f>J80*'클럭 정리'!$B$2/100</f>
        <v/>
      </c>
    </row>
    <row r="81">
      <c r="A81" s="13" t="inlineStr">
        <is>
          <t>병렬도 12 분할 36</t>
        </is>
      </c>
      <c r="B81" s="13" t="n">
        <v>3</v>
      </c>
      <c r="C81" s="13" t="inlineStr">
        <is>
          <t>ForkJoinPool-13-worker-9</t>
        </is>
      </c>
      <c r="D81" s="12" t="inlineStr">
        <is>
          <t>워커</t>
        </is>
      </c>
      <c r="E81" s="10" t="n">
        <v>46238.73872068287</v>
      </c>
      <c r="F81" s="10" t="n">
        <v>46238.73872389412</v>
      </c>
      <c r="G81" s="13" t="n">
        <v>136</v>
      </c>
      <c r="H81" s="14" t="n">
        <v>212.2651</v>
      </c>
      <c r="I81" s="13">
        <f>COUNTIFS('클럭 정리'!$A$6:$A$55,"&gt;="&amp;E81,'클럭 정리'!$A$6:$A$55,"&lt;="&amp;F81)</f>
        <v/>
      </c>
      <c r="J81" s="14">
        <f>AVERAGEIFS('클럭 정리'!$N$6:$N$55,'클럭 정리'!$A$6:$A$55,"&gt;="&amp;E81,'클럭 정리'!$A$6:$A$55,"&lt;="&amp;F81)</f>
        <v/>
      </c>
      <c r="K81" s="15">
        <f>J81*'클럭 정리'!$B$2/100</f>
        <v/>
      </c>
    </row>
    <row r="82">
      <c r="A82" s="13" t="inlineStr">
        <is>
          <t>병렬도 12 분할 36</t>
        </is>
      </c>
      <c r="B82" s="13" t="n">
        <v>3</v>
      </c>
      <c r="C82" s="13" t="inlineStr">
        <is>
          <t>main</t>
        </is>
      </c>
      <c r="D82" s="12" t="inlineStr">
        <is>
          <t>main (활동 시간 합 = 그 회차 mainCPU, 창은 워커와 겹침)</t>
        </is>
      </c>
      <c r="E82" s="10" t="n">
        <v>46238.73872068287</v>
      </c>
      <c r="F82" s="10" t="n">
        <v>46238.73872389882</v>
      </c>
      <c r="G82" s="13" t="n">
        <v>45</v>
      </c>
      <c r="H82" s="14" t="n">
        <v>0</v>
      </c>
      <c r="I82" s="13">
        <f>COUNTIFS('클럭 정리'!$A$6:$A$55,"&gt;="&amp;E82,'클럭 정리'!$A$6:$A$55,"&lt;="&amp;F82)</f>
        <v/>
      </c>
      <c r="J82" s="14">
        <f>AVERAGEIFS('클럭 정리'!$N$6:$N$55,'클럭 정리'!$A$6:$A$55,"&gt;="&amp;E82,'클럭 정리'!$A$6:$A$55,"&lt;="&amp;F82)</f>
        <v/>
      </c>
      <c r="K82" s="15">
        <f>J82*'클럭 정리'!$B$2/100</f>
        <v/>
      </c>
    </row>
    <row r="83">
      <c r="A83" s="13" t="inlineStr">
        <is>
          <t>병렬도 12 분할 36</t>
        </is>
      </c>
      <c r="B83" s="13" t="n">
        <v>4</v>
      </c>
      <c r="C83" s="13" t="inlineStr">
        <is>
          <t>ForkJoinPool-14-worker-1</t>
        </is>
      </c>
      <c r="D83" s="12" t="inlineStr">
        <is>
          <t>워커</t>
        </is>
      </c>
      <c r="E83" s="10" t="n">
        <v>46238.73872391204</v>
      </c>
      <c r="F83" s="10" t="n">
        <v>46238.73872691499</v>
      </c>
      <c r="G83" s="13" t="n">
        <v>130</v>
      </c>
      <c r="H83" s="14" t="n">
        <v>196.7087</v>
      </c>
      <c r="I83" s="13">
        <f>COUNTIFS('클럭 정리'!$A$6:$A$55,"&gt;="&amp;E83,'클럭 정리'!$A$6:$A$55,"&lt;="&amp;F83)</f>
        <v/>
      </c>
      <c r="J83" s="14">
        <f>AVERAGEIFS('클럭 정리'!$N$6:$N$55,'클럭 정리'!$A$6:$A$55,"&gt;="&amp;E83,'클럭 정리'!$A$6:$A$55,"&lt;="&amp;F83)</f>
        <v/>
      </c>
      <c r="K83" s="15">
        <f>J83*'클럭 정리'!$B$2/100</f>
        <v/>
      </c>
    </row>
    <row r="84">
      <c r="A84" s="13" t="inlineStr">
        <is>
          <t>병렬도 12 분할 36</t>
        </is>
      </c>
      <c r="B84" s="13" t="n">
        <v>4</v>
      </c>
      <c r="C84" s="13" t="inlineStr">
        <is>
          <t>ForkJoinPool-14-worker-10</t>
        </is>
      </c>
      <c r="D84" s="12" t="inlineStr">
        <is>
          <t>워커</t>
        </is>
      </c>
      <c r="E84" s="10" t="n">
        <v>46238.73872391204</v>
      </c>
      <c r="F84" s="10" t="n">
        <v>46238.73872693731</v>
      </c>
      <c r="G84" s="13" t="n">
        <v>133</v>
      </c>
      <c r="H84" s="14" t="n">
        <v>202.0428</v>
      </c>
      <c r="I84" s="13">
        <f>COUNTIFS('클럭 정리'!$A$6:$A$55,"&gt;="&amp;E84,'클럭 정리'!$A$6:$A$55,"&lt;="&amp;F84)</f>
        <v/>
      </c>
      <c r="J84" s="14">
        <f>AVERAGEIFS('클럭 정리'!$N$6:$N$55,'클럭 정리'!$A$6:$A$55,"&gt;="&amp;E84,'클럭 정리'!$A$6:$A$55,"&lt;="&amp;F84)</f>
        <v/>
      </c>
      <c r="K84" s="15">
        <f>J84*'클럭 정리'!$B$2/100</f>
        <v/>
      </c>
    </row>
    <row r="85">
      <c r="A85" s="13" t="inlineStr">
        <is>
          <t>병렬도 12 분할 36</t>
        </is>
      </c>
      <c r="B85" s="13" t="n">
        <v>4</v>
      </c>
      <c r="C85" s="13" t="inlineStr">
        <is>
          <t>ForkJoinPool-14-worker-11</t>
        </is>
      </c>
      <c r="D85" s="12" t="inlineStr">
        <is>
          <t>워커</t>
        </is>
      </c>
      <c r="E85" s="10" t="n">
        <v>46238.73872396991</v>
      </c>
      <c r="F85" s="10" t="n">
        <v>46238.73872693742</v>
      </c>
      <c r="G85" s="13" t="n">
        <v>131</v>
      </c>
      <c r="H85" s="14" t="n">
        <v>194.9472</v>
      </c>
      <c r="I85" s="13">
        <f>COUNTIFS('클럭 정리'!$A$6:$A$55,"&gt;="&amp;E85,'클럭 정리'!$A$6:$A$55,"&lt;="&amp;F85)</f>
        <v/>
      </c>
      <c r="J85" s="14">
        <f>AVERAGEIFS('클럭 정리'!$N$6:$N$55,'클럭 정리'!$A$6:$A$55,"&gt;="&amp;E85,'클럭 정리'!$A$6:$A$55,"&lt;="&amp;F85)</f>
        <v/>
      </c>
      <c r="K85" s="15">
        <f>J85*'클럭 정리'!$B$2/100</f>
        <v/>
      </c>
    </row>
    <row r="86">
      <c r="A86" s="13" t="inlineStr">
        <is>
          <t>병렬도 12 분할 36</t>
        </is>
      </c>
      <c r="B86" s="13" t="n">
        <v>4</v>
      </c>
      <c r="C86" s="13" t="inlineStr">
        <is>
          <t>ForkJoinPool-14-worker-12</t>
        </is>
      </c>
      <c r="D86" s="12" t="inlineStr">
        <is>
          <t>워커</t>
        </is>
      </c>
      <c r="E86" s="10" t="n">
        <v>46238.73872396991</v>
      </c>
      <c r="F86" s="10" t="n">
        <v>46238.73872693742</v>
      </c>
      <c r="G86" s="13" t="n">
        <v>136</v>
      </c>
      <c r="H86" s="14" t="n">
        <v>197.1743</v>
      </c>
      <c r="I86" s="13">
        <f>COUNTIFS('클럭 정리'!$A$6:$A$55,"&gt;="&amp;E86,'클럭 정리'!$A$6:$A$55,"&lt;="&amp;F86)</f>
        <v/>
      </c>
      <c r="J86" s="14">
        <f>AVERAGEIFS('클럭 정리'!$N$6:$N$55,'클럭 정리'!$A$6:$A$55,"&gt;="&amp;E86,'클럭 정리'!$A$6:$A$55,"&lt;="&amp;F86)</f>
        <v/>
      </c>
      <c r="K86" s="15">
        <f>J86*'클럭 정리'!$B$2/100</f>
        <v/>
      </c>
    </row>
    <row r="87">
      <c r="A87" s="13" t="inlineStr">
        <is>
          <t>병렬도 12 분할 36</t>
        </is>
      </c>
      <c r="B87" s="13" t="n">
        <v>4</v>
      </c>
      <c r="C87" s="13" t="inlineStr">
        <is>
          <t>ForkJoinPool-14-worker-2</t>
        </is>
      </c>
      <c r="D87" s="12" t="inlineStr">
        <is>
          <t>워커</t>
        </is>
      </c>
      <c r="E87" s="10" t="n">
        <v>46238.73872391204</v>
      </c>
      <c r="F87" s="10" t="n">
        <v>46238.73872691457</v>
      </c>
      <c r="G87" s="13" t="n">
        <v>137</v>
      </c>
      <c r="H87" s="14" t="n">
        <v>202.2692</v>
      </c>
      <c r="I87" s="13">
        <f>COUNTIFS('클럭 정리'!$A$6:$A$55,"&gt;="&amp;E87,'클럭 정리'!$A$6:$A$55,"&lt;="&amp;F87)</f>
        <v/>
      </c>
      <c r="J87" s="14">
        <f>AVERAGEIFS('클럭 정리'!$N$6:$N$55,'클럭 정리'!$A$6:$A$55,"&gt;="&amp;E87,'클럭 정리'!$A$6:$A$55,"&lt;="&amp;F87)</f>
        <v/>
      </c>
      <c r="K87" s="15">
        <f>J87*'클럭 정리'!$B$2/100</f>
        <v/>
      </c>
    </row>
    <row r="88">
      <c r="A88" s="13" t="inlineStr">
        <is>
          <t>병렬도 12 분할 36</t>
        </is>
      </c>
      <c r="B88" s="13" t="n">
        <v>4</v>
      </c>
      <c r="C88" s="13" t="inlineStr">
        <is>
          <t>ForkJoinPool-14-worker-3</t>
        </is>
      </c>
      <c r="D88" s="12" t="inlineStr">
        <is>
          <t>워커</t>
        </is>
      </c>
      <c r="E88" s="10" t="n">
        <v>46238.73872391204</v>
      </c>
      <c r="F88" s="10" t="n">
        <v>46238.73872693768</v>
      </c>
      <c r="G88" s="13" t="n">
        <v>131</v>
      </c>
      <c r="H88" s="14" t="n">
        <v>191.438</v>
      </c>
      <c r="I88" s="13">
        <f>COUNTIFS('클럭 정리'!$A$6:$A$55,"&gt;="&amp;E88,'클럭 정리'!$A$6:$A$55,"&lt;="&amp;F88)</f>
        <v/>
      </c>
      <c r="J88" s="14">
        <f>AVERAGEIFS('클럭 정리'!$N$6:$N$55,'클럭 정리'!$A$6:$A$55,"&gt;="&amp;E88,'클럭 정리'!$A$6:$A$55,"&lt;="&amp;F88)</f>
        <v/>
      </c>
      <c r="K88" s="15">
        <f>J88*'클럭 정리'!$B$2/100</f>
        <v/>
      </c>
    </row>
    <row r="89">
      <c r="A89" s="13" t="inlineStr">
        <is>
          <t>병렬도 12 분할 36</t>
        </is>
      </c>
      <c r="B89" s="13" t="n">
        <v>4</v>
      </c>
      <c r="C89" s="13" t="inlineStr">
        <is>
          <t>ForkJoinPool-14-worker-4</t>
        </is>
      </c>
      <c r="D89" s="12" t="inlineStr">
        <is>
          <t>워커</t>
        </is>
      </c>
      <c r="E89" s="10" t="n">
        <v>46238.73872391204</v>
      </c>
      <c r="F89" s="10" t="n">
        <v>46238.73872691468</v>
      </c>
      <c r="G89" s="13" t="n">
        <v>129</v>
      </c>
      <c r="H89" s="14" t="n">
        <v>192.0584</v>
      </c>
      <c r="I89" s="13">
        <f>COUNTIFS('클럭 정리'!$A$6:$A$55,"&gt;="&amp;E89,'클럭 정리'!$A$6:$A$55,"&lt;="&amp;F89)</f>
        <v/>
      </c>
      <c r="J89" s="14">
        <f>AVERAGEIFS('클럭 정리'!$N$6:$N$55,'클럭 정리'!$A$6:$A$55,"&gt;="&amp;E89,'클럭 정리'!$A$6:$A$55,"&lt;="&amp;F89)</f>
        <v/>
      </c>
      <c r="K89" s="15">
        <f>J89*'클럭 정리'!$B$2/100</f>
        <v/>
      </c>
    </row>
    <row r="90">
      <c r="A90" s="13" t="inlineStr">
        <is>
          <t>병렬도 12 분할 36</t>
        </is>
      </c>
      <c r="B90" s="13" t="n">
        <v>4</v>
      </c>
      <c r="C90" s="13" t="inlineStr">
        <is>
          <t>ForkJoinPool-14-worker-5</t>
        </is>
      </c>
      <c r="D90" s="12" t="inlineStr">
        <is>
          <t>워커</t>
        </is>
      </c>
      <c r="E90" s="10" t="n">
        <v>46238.73872391204</v>
      </c>
      <c r="F90" s="10" t="n">
        <v>46238.73872691803</v>
      </c>
      <c r="G90" s="13" t="n">
        <v>136</v>
      </c>
      <c r="H90" s="14" t="n">
        <v>213.9374</v>
      </c>
      <c r="I90" s="13">
        <f>COUNTIFS('클럭 정리'!$A$6:$A$55,"&gt;="&amp;E90,'클럭 정리'!$A$6:$A$55,"&lt;="&amp;F90)</f>
        <v/>
      </c>
      <c r="J90" s="14">
        <f>AVERAGEIFS('클럭 정리'!$N$6:$N$55,'클럭 정리'!$A$6:$A$55,"&gt;="&amp;E90,'클럭 정리'!$A$6:$A$55,"&lt;="&amp;F90)</f>
        <v/>
      </c>
      <c r="K90" s="15">
        <f>J90*'클럭 정리'!$B$2/100</f>
        <v/>
      </c>
    </row>
    <row r="91">
      <c r="A91" s="13" t="inlineStr">
        <is>
          <t>병렬도 12 분할 36</t>
        </is>
      </c>
      <c r="B91" s="13" t="n">
        <v>4</v>
      </c>
      <c r="C91" s="13" t="inlineStr">
        <is>
          <t>ForkJoinPool-14-worker-6</t>
        </is>
      </c>
      <c r="D91" s="12" t="inlineStr">
        <is>
          <t>워커</t>
        </is>
      </c>
      <c r="E91" s="10" t="n">
        <v>46238.73872391204</v>
      </c>
      <c r="F91" s="10" t="n">
        <v>46238.73872691429</v>
      </c>
      <c r="G91" s="13" t="n">
        <v>140</v>
      </c>
      <c r="H91" s="14" t="n">
        <v>205.1023</v>
      </c>
      <c r="I91" s="13">
        <f>COUNTIFS('클럭 정리'!$A$6:$A$55,"&gt;="&amp;E91,'클럭 정리'!$A$6:$A$55,"&lt;="&amp;F91)</f>
        <v/>
      </c>
      <c r="J91" s="14">
        <f>AVERAGEIFS('클럭 정리'!$N$6:$N$55,'클럭 정리'!$A$6:$A$55,"&gt;="&amp;E91,'클럭 정리'!$A$6:$A$55,"&lt;="&amp;F91)</f>
        <v/>
      </c>
      <c r="K91" s="15">
        <f>J91*'클럭 정리'!$B$2/100</f>
        <v/>
      </c>
    </row>
    <row r="92">
      <c r="A92" s="13" t="inlineStr">
        <is>
          <t>병렬도 12 분할 36</t>
        </is>
      </c>
      <c r="B92" s="13" t="n">
        <v>4</v>
      </c>
      <c r="C92" s="13" t="inlineStr">
        <is>
          <t>ForkJoinPool-14-worker-7</t>
        </is>
      </c>
      <c r="D92" s="12" t="inlineStr">
        <is>
          <t>워커</t>
        </is>
      </c>
      <c r="E92" s="10" t="n">
        <v>46238.73872391204</v>
      </c>
      <c r="F92" s="10" t="n">
        <v>46238.73872691431</v>
      </c>
      <c r="G92" s="13" t="n">
        <v>143</v>
      </c>
      <c r="H92" s="14" t="n">
        <v>209.5572</v>
      </c>
      <c r="I92" s="13">
        <f>COUNTIFS('클럭 정리'!$A$6:$A$55,"&gt;="&amp;E92,'클럭 정리'!$A$6:$A$55,"&lt;="&amp;F92)</f>
        <v/>
      </c>
      <c r="J92" s="14">
        <f>AVERAGEIFS('클럭 정리'!$N$6:$N$55,'클럭 정리'!$A$6:$A$55,"&gt;="&amp;E92,'클럭 정리'!$A$6:$A$55,"&lt;="&amp;F92)</f>
        <v/>
      </c>
      <c r="K92" s="15">
        <f>J92*'클럭 정리'!$B$2/100</f>
        <v/>
      </c>
    </row>
    <row r="93">
      <c r="A93" s="13" t="inlineStr">
        <is>
          <t>병렬도 12 분할 36</t>
        </is>
      </c>
      <c r="B93" s="13" t="n">
        <v>4</v>
      </c>
      <c r="C93" s="13" t="inlineStr">
        <is>
          <t>ForkJoinPool-14-worker-8</t>
        </is>
      </c>
      <c r="D93" s="12" t="inlineStr">
        <is>
          <t>워커</t>
        </is>
      </c>
      <c r="E93" s="10" t="n">
        <v>46238.73872391204</v>
      </c>
      <c r="F93" s="10" t="n">
        <v>46238.73872691453</v>
      </c>
      <c r="G93" s="13" t="n">
        <v>137</v>
      </c>
      <c r="H93" s="14" t="n">
        <v>205.2429</v>
      </c>
      <c r="I93" s="13">
        <f>COUNTIFS('클럭 정리'!$A$6:$A$55,"&gt;="&amp;E93,'클럭 정리'!$A$6:$A$55,"&lt;="&amp;F93)</f>
        <v/>
      </c>
      <c r="J93" s="14">
        <f>AVERAGEIFS('클럭 정리'!$N$6:$N$55,'클럭 정리'!$A$6:$A$55,"&gt;="&amp;E93,'클럭 정리'!$A$6:$A$55,"&lt;="&amp;F93)</f>
        <v/>
      </c>
      <c r="K93" s="15">
        <f>J93*'클럭 정리'!$B$2/100</f>
        <v/>
      </c>
    </row>
    <row r="94">
      <c r="A94" s="13" t="inlineStr">
        <is>
          <t>병렬도 12 분할 36</t>
        </is>
      </c>
      <c r="B94" s="13" t="n">
        <v>4</v>
      </c>
      <c r="C94" s="13" t="inlineStr">
        <is>
          <t>ForkJoinPool-14-worker-9</t>
        </is>
      </c>
      <c r="D94" s="12" t="inlineStr">
        <is>
          <t>워커</t>
        </is>
      </c>
      <c r="E94" s="10" t="n">
        <v>46238.73872391204</v>
      </c>
      <c r="F94" s="10" t="n">
        <v>46238.73872693708</v>
      </c>
      <c r="G94" s="13" t="n">
        <v>137</v>
      </c>
      <c r="H94" s="14" t="n">
        <v>202.7019</v>
      </c>
      <c r="I94" s="13">
        <f>COUNTIFS('클럭 정리'!$A$6:$A$55,"&gt;="&amp;E94,'클럭 정리'!$A$6:$A$55,"&lt;="&amp;F94)</f>
        <v/>
      </c>
      <c r="J94" s="14">
        <f>AVERAGEIFS('클럭 정리'!$N$6:$N$55,'클럭 정리'!$A$6:$A$55,"&gt;="&amp;E94,'클럭 정리'!$A$6:$A$55,"&lt;="&amp;F94)</f>
        <v/>
      </c>
      <c r="K94" s="15">
        <f>J94*'클럭 정리'!$B$2/100</f>
        <v/>
      </c>
    </row>
    <row r="95">
      <c r="A95" s="13" t="inlineStr">
        <is>
          <t>병렬도 12 분할 36</t>
        </is>
      </c>
      <c r="B95" s="13" t="n">
        <v>4</v>
      </c>
      <c r="C95" s="13" t="inlineStr">
        <is>
          <t>main</t>
        </is>
      </c>
      <c r="D95" s="12" t="inlineStr">
        <is>
          <t>main (활동 시간 합 = 그 회차 mainCPU, 창은 워커와 겹침)</t>
        </is>
      </c>
      <c r="E95" s="10" t="n">
        <v>46238.73872391204</v>
      </c>
      <c r="F95" s="10" t="n">
        <v>46238.73872692101</v>
      </c>
      <c r="G95" s="13" t="n">
        <v>45</v>
      </c>
      <c r="H95" s="14" t="n">
        <v>0</v>
      </c>
      <c r="I95" s="13">
        <f>COUNTIFS('클럭 정리'!$A$6:$A$55,"&gt;="&amp;E95,'클럭 정리'!$A$6:$A$55,"&lt;="&amp;F95)</f>
        <v/>
      </c>
      <c r="J95" s="14">
        <f>AVERAGEIFS('클럭 정리'!$N$6:$N$55,'클럭 정리'!$A$6:$A$55,"&gt;="&amp;E95,'클럭 정리'!$A$6:$A$55,"&lt;="&amp;F95)</f>
        <v/>
      </c>
      <c r="K95" s="15">
        <f>J95*'클럭 정리'!$B$2/100</f>
        <v/>
      </c>
    </row>
    <row r="96">
      <c r="A96" s="13" t="inlineStr">
        <is>
          <t>병렬도 12 분할 36</t>
        </is>
      </c>
      <c r="B96" s="13" t="n">
        <v>5</v>
      </c>
      <c r="C96" s="13" t="inlineStr">
        <is>
          <t>ForkJoinPool-15-worker-1</t>
        </is>
      </c>
      <c r="D96" s="12" t="inlineStr">
        <is>
          <t>워커</t>
        </is>
      </c>
      <c r="E96" s="10" t="n">
        <v>46238.73872694444</v>
      </c>
      <c r="F96" s="10" t="n">
        <v>46238.73873000484</v>
      </c>
      <c r="G96" s="13" t="n">
        <v>137</v>
      </c>
      <c r="H96" s="14" t="n">
        <v>219.5191</v>
      </c>
      <c r="I96" s="13">
        <f>COUNTIFS('클럭 정리'!$A$6:$A$55,"&gt;="&amp;E96,'클럭 정리'!$A$6:$A$55,"&lt;="&amp;F96)</f>
        <v/>
      </c>
      <c r="J96" s="14">
        <f>AVERAGEIFS('클럭 정리'!$N$6:$N$55,'클럭 정리'!$A$6:$A$55,"&gt;="&amp;E96,'클럭 정리'!$A$6:$A$55,"&lt;="&amp;F96)</f>
        <v/>
      </c>
      <c r="K96" s="15">
        <f>J96*'클럭 정리'!$B$2/100</f>
        <v/>
      </c>
    </row>
    <row r="97">
      <c r="A97" s="13" t="inlineStr">
        <is>
          <t>병렬도 12 분할 36</t>
        </is>
      </c>
      <c r="B97" s="13" t="n">
        <v>5</v>
      </c>
      <c r="C97" s="13" t="inlineStr">
        <is>
          <t>ForkJoinPool-15-worker-10</t>
        </is>
      </c>
      <c r="D97" s="12" t="inlineStr">
        <is>
          <t>워커</t>
        </is>
      </c>
      <c r="E97" s="10" t="n">
        <v>46238.73872694444</v>
      </c>
      <c r="F97" s="10" t="n">
        <v>46238.73873002833</v>
      </c>
      <c r="G97" s="13" t="n">
        <v>141</v>
      </c>
      <c r="H97" s="14" t="n">
        <v>210.3967</v>
      </c>
      <c r="I97" s="13">
        <f>COUNTIFS('클럭 정리'!$A$6:$A$55,"&gt;="&amp;E97,'클럭 정리'!$A$6:$A$55,"&lt;="&amp;F97)</f>
        <v/>
      </c>
      <c r="J97" s="14">
        <f>AVERAGEIFS('클럭 정리'!$N$6:$N$55,'클럭 정리'!$A$6:$A$55,"&gt;="&amp;E97,'클럭 정리'!$A$6:$A$55,"&lt;="&amp;F97)</f>
        <v/>
      </c>
      <c r="K97" s="15">
        <f>J97*'클럭 정리'!$B$2/100</f>
        <v/>
      </c>
    </row>
    <row r="98">
      <c r="A98" s="13" t="inlineStr">
        <is>
          <t>병렬도 12 분할 36</t>
        </is>
      </c>
      <c r="B98" s="13" t="n">
        <v>5</v>
      </c>
      <c r="C98" s="13" t="inlineStr">
        <is>
          <t>ForkJoinPool-15-worker-11</t>
        </is>
      </c>
      <c r="D98" s="12" t="inlineStr">
        <is>
          <t>워커</t>
        </is>
      </c>
      <c r="E98" s="10" t="n">
        <v>46238.73872694444</v>
      </c>
      <c r="F98" s="10" t="n">
        <v>46238.73873000728</v>
      </c>
      <c r="G98" s="13" t="n">
        <v>135</v>
      </c>
      <c r="H98" s="14" t="n">
        <v>198.5462</v>
      </c>
      <c r="I98" s="13">
        <f>COUNTIFS('클럭 정리'!$A$6:$A$55,"&gt;="&amp;E98,'클럭 정리'!$A$6:$A$55,"&lt;="&amp;F98)</f>
        <v/>
      </c>
      <c r="J98" s="14">
        <f>AVERAGEIFS('클럭 정리'!$N$6:$N$55,'클럭 정리'!$A$6:$A$55,"&gt;="&amp;E98,'클럭 정리'!$A$6:$A$55,"&lt;="&amp;F98)</f>
        <v/>
      </c>
      <c r="K98" s="15">
        <f>J98*'클럭 정리'!$B$2/100</f>
        <v/>
      </c>
    </row>
    <row r="99">
      <c r="A99" s="13" t="inlineStr">
        <is>
          <t>병렬도 12 분할 36</t>
        </is>
      </c>
      <c r="B99" s="13" t="n">
        <v>5</v>
      </c>
      <c r="C99" s="13" t="inlineStr">
        <is>
          <t>ForkJoinPool-15-worker-12</t>
        </is>
      </c>
      <c r="D99" s="12" t="inlineStr">
        <is>
          <t>워커</t>
        </is>
      </c>
      <c r="E99" s="10" t="n">
        <v>46238.73872694444</v>
      </c>
      <c r="F99" s="10" t="n">
        <v>46238.73873002733</v>
      </c>
      <c r="G99" s="13" t="n">
        <v>135</v>
      </c>
      <c r="H99" s="14" t="n">
        <v>199.2243</v>
      </c>
      <c r="I99" s="13">
        <f>COUNTIFS('클럭 정리'!$A$6:$A$55,"&gt;="&amp;E99,'클럭 정리'!$A$6:$A$55,"&lt;="&amp;F99)</f>
        <v/>
      </c>
      <c r="J99" s="14">
        <f>AVERAGEIFS('클럭 정리'!$N$6:$N$55,'클럭 정리'!$A$6:$A$55,"&gt;="&amp;E99,'클럭 정리'!$A$6:$A$55,"&lt;="&amp;F99)</f>
        <v/>
      </c>
      <c r="K99" s="15">
        <f>J99*'클럭 정리'!$B$2/100</f>
        <v/>
      </c>
    </row>
    <row r="100">
      <c r="A100" s="13" t="inlineStr">
        <is>
          <t>병렬도 12 분할 36</t>
        </is>
      </c>
      <c r="B100" s="13" t="n">
        <v>5</v>
      </c>
      <c r="C100" s="13" t="inlineStr">
        <is>
          <t>ForkJoinPool-15-worker-2</t>
        </is>
      </c>
      <c r="D100" s="12" t="inlineStr">
        <is>
          <t>워커</t>
        </is>
      </c>
      <c r="E100" s="10" t="n">
        <v>46238.73872694444</v>
      </c>
      <c r="F100" s="10" t="n">
        <v>46238.73873000514</v>
      </c>
      <c r="G100" s="13" t="n">
        <v>138</v>
      </c>
      <c r="H100" s="14" t="n">
        <v>210.7317</v>
      </c>
      <c r="I100" s="13">
        <f>COUNTIFS('클럭 정리'!$A$6:$A$55,"&gt;="&amp;E100,'클럭 정리'!$A$6:$A$55,"&lt;="&amp;F100)</f>
        <v/>
      </c>
      <c r="J100" s="14">
        <f>AVERAGEIFS('클럭 정리'!$N$6:$N$55,'클럭 정리'!$A$6:$A$55,"&gt;="&amp;E100,'클럭 정리'!$A$6:$A$55,"&lt;="&amp;F100)</f>
        <v/>
      </c>
      <c r="K100" s="15">
        <f>J100*'클럭 정리'!$B$2/100</f>
        <v/>
      </c>
    </row>
    <row r="101">
      <c r="A101" s="13" t="inlineStr">
        <is>
          <t>병렬도 12 분할 36</t>
        </is>
      </c>
      <c r="B101" s="13" t="n">
        <v>5</v>
      </c>
      <c r="C101" s="13" t="inlineStr">
        <is>
          <t>ForkJoinPool-15-worker-3</t>
        </is>
      </c>
      <c r="D101" s="12" t="inlineStr">
        <is>
          <t>워커</t>
        </is>
      </c>
      <c r="E101" s="10" t="n">
        <v>46238.73872694444</v>
      </c>
      <c r="F101" s="10" t="n">
        <v>46238.738730005</v>
      </c>
      <c r="G101" s="13" t="n">
        <v>146</v>
      </c>
      <c r="H101" s="14" t="n">
        <v>218.4455</v>
      </c>
      <c r="I101" s="13">
        <f>COUNTIFS('클럭 정리'!$A$6:$A$55,"&gt;="&amp;E101,'클럭 정리'!$A$6:$A$55,"&lt;="&amp;F101)</f>
        <v/>
      </c>
      <c r="J101" s="14">
        <f>AVERAGEIFS('클럭 정리'!$N$6:$N$55,'클럭 정리'!$A$6:$A$55,"&gt;="&amp;E101,'클럭 정리'!$A$6:$A$55,"&lt;="&amp;F101)</f>
        <v/>
      </c>
      <c r="K101" s="15">
        <f>J101*'클럭 정리'!$B$2/100</f>
        <v/>
      </c>
    </row>
    <row r="102">
      <c r="A102" s="13" t="inlineStr">
        <is>
          <t>병렬도 12 분할 36</t>
        </is>
      </c>
      <c r="B102" s="13" t="n">
        <v>5</v>
      </c>
      <c r="C102" s="13" t="inlineStr">
        <is>
          <t>ForkJoinPool-15-worker-4</t>
        </is>
      </c>
      <c r="D102" s="12" t="inlineStr">
        <is>
          <t>워커</t>
        </is>
      </c>
      <c r="E102" s="10" t="n">
        <v>46238.73872694444</v>
      </c>
      <c r="F102" s="10" t="n">
        <v>46238.73873002805</v>
      </c>
      <c r="G102" s="13" t="n">
        <v>130</v>
      </c>
      <c r="H102" s="14" t="n">
        <v>196.0496</v>
      </c>
      <c r="I102" s="13">
        <f>COUNTIFS('클럭 정리'!$A$6:$A$55,"&gt;="&amp;E102,'클럭 정리'!$A$6:$A$55,"&lt;="&amp;F102)</f>
        <v/>
      </c>
      <c r="J102" s="14">
        <f>AVERAGEIFS('클럭 정리'!$N$6:$N$55,'클럭 정리'!$A$6:$A$55,"&gt;="&amp;E102,'클럭 정리'!$A$6:$A$55,"&lt;="&amp;F102)</f>
        <v/>
      </c>
      <c r="K102" s="15">
        <f>J102*'클럭 정리'!$B$2/100</f>
        <v/>
      </c>
    </row>
    <row r="103">
      <c r="A103" s="13" t="inlineStr">
        <is>
          <t>병렬도 12 분할 36</t>
        </is>
      </c>
      <c r="B103" s="13" t="n">
        <v>5</v>
      </c>
      <c r="C103" s="13" t="inlineStr">
        <is>
          <t>ForkJoinPool-15-worker-5</t>
        </is>
      </c>
      <c r="D103" s="12" t="inlineStr">
        <is>
          <t>워커</t>
        </is>
      </c>
      <c r="E103" s="10" t="n">
        <v>46238.73872694444</v>
      </c>
      <c r="F103" s="10" t="n">
        <v>46238.73873002733</v>
      </c>
      <c r="G103" s="13" t="n">
        <v>124</v>
      </c>
      <c r="H103" s="14" t="n">
        <v>184.8621</v>
      </c>
      <c r="I103" s="13">
        <f>COUNTIFS('클럭 정리'!$A$6:$A$55,"&gt;="&amp;E103,'클럭 정리'!$A$6:$A$55,"&lt;="&amp;F103)</f>
        <v/>
      </c>
      <c r="J103" s="14">
        <f>AVERAGEIFS('클럭 정리'!$N$6:$N$55,'클럭 정리'!$A$6:$A$55,"&gt;="&amp;E103,'클럭 정리'!$A$6:$A$55,"&lt;="&amp;F103)</f>
        <v/>
      </c>
      <c r="K103" s="15">
        <f>J103*'클럭 정리'!$B$2/100</f>
        <v/>
      </c>
    </row>
    <row r="104">
      <c r="A104" s="13" t="inlineStr">
        <is>
          <t>병렬도 12 분할 36</t>
        </is>
      </c>
      <c r="B104" s="13" t="n">
        <v>5</v>
      </c>
      <c r="C104" s="13" t="inlineStr">
        <is>
          <t>ForkJoinPool-15-worker-6</t>
        </is>
      </c>
      <c r="D104" s="12" t="inlineStr">
        <is>
          <t>워커</t>
        </is>
      </c>
      <c r="E104" s="10" t="n">
        <v>46238.73872694444</v>
      </c>
      <c r="F104" s="10" t="n">
        <v>46238.73873002713</v>
      </c>
      <c r="G104" s="13" t="n">
        <v>135</v>
      </c>
      <c r="H104" s="14" t="n">
        <v>198.438</v>
      </c>
      <c r="I104" s="13">
        <f>COUNTIFS('클럭 정리'!$A$6:$A$55,"&gt;="&amp;E104,'클럭 정리'!$A$6:$A$55,"&lt;="&amp;F104)</f>
        <v/>
      </c>
      <c r="J104" s="14">
        <f>AVERAGEIFS('클럭 정리'!$N$6:$N$55,'클럭 정리'!$A$6:$A$55,"&gt;="&amp;E104,'클럭 정리'!$A$6:$A$55,"&lt;="&amp;F104)</f>
        <v/>
      </c>
      <c r="K104" s="15">
        <f>J104*'클럭 정리'!$B$2/100</f>
        <v/>
      </c>
    </row>
    <row r="105">
      <c r="A105" s="13" t="inlineStr">
        <is>
          <t>병렬도 12 분할 36</t>
        </is>
      </c>
      <c r="B105" s="13" t="n">
        <v>5</v>
      </c>
      <c r="C105" s="13" t="inlineStr">
        <is>
          <t>ForkJoinPool-15-worker-7</t>
        </is>
      </c>
      <c r="D105" s="12" t="inlineStr">
        <is>
          <t>워커</t>
        </is>
      </c>
      <c r="E105" s="10" t="n">
        <v>46238.73872694444</v>
      </c>
      <c r="F105" s="10" t="n">
        <v>46238.73873000404</v>
      </c>
      <c r="G105" s="13" t="n">
        <v>134</v>
      </c>
      <c r="H105" s="14" t="n">
        <v>195.977</v>
      </c>
      <c r="I105" s="13">
        <f>COUNTIFS('클럭 정리'!$A$6:$A$55,"&gt;="&amp;E105,'클럭 정리'!$A$6:$A$55,"&lt;="&amp;F105)</f>
        <v/>
      </c>
      <c r="J105" s="14">
        <f>AVERAGEIFS('클럭 정리'!$N$6:$N$55,'클럭 정리'!$A$6:$A$55,"&gt;="&amp;E105,'클럭 정리'!$A$6:$A$55,"&lt;="&amp;F105)</f>
        <v/>
      </c>
      <c r="K105" s="15">
        <f>J105*'클럭 정리'!$B$2/100</f>
        <v/>
      </c>
    </row>
    <row r="106">
      <c r="A106" s="13" t="inlineStr">
        <is>
          <t>병렬도 12 분할 36</t>
        </is>
      </c>
      <c r="B106" s="13" t="n">
        <v>5</v>
      </c>
      <c r="C106" s="13" t="inlineStr">
        <is>
          <t>ForkJoinPool-15-worker-8</t>
        </is>
      </c>
      <c r="D106" s="12" t="inlineStr">
        <is>
          <t>워커</t>
        </is>
      </c>
      <c r="E106" s="10" t="n">
        <v>46238.73872694444</v>
      </c>
      <c r="F106" s="10" t="n">
        <v>46238.73872995334</v>
      </c>
      <c r="G106" s="13" t="n">
        <v>133</v>
      </c>
      <c r="H106" s="14" t="n">
        <v>205.8137</v>
      </c>
      <c r="I106" s="13">
        <f>COUNTIFS('클럭 정리'!$A$6:$A$55,"&gt;="&amp;E106,'클럭 정리'!$A$6:$A$55,"&lt;="&amp;F106)</f>
        <v/>
      </c>
      <c r="J106" s="14">
        <f>AVERAGEIFS('클럭 정리'!$N$6:$N$55,'클럭 정리'!$A$6:$A$55,"&gt;="&amp;E106,'클럭 정리'!$A$6:$A$55,"&lt;="&amp;F106)</f>
        <v/>
      </c>
      <c r="K106" s="15">
        <f>J106*'클럭 정리'!$B$2/100</f>
        <v/>
      </c>
    </row>
    <row r="107">
      <c r="A107" s="13" t="inlineStr">
        <is>
          <t>병렬도 12 분할 36</t>
        </is>
      </c>
      <c r="B107" s="13" t="n">
        <v>5</v>
      </c>
      <c r="C107" s="13" t="inlineStr">
        <is>
          <t>ForkJoinPool-15-worker-9</t>
        </is>
      </c>
      <c r="D107" s="12" t="inlineStr">
        <is>
          <t>워커</t>
        </is>
      </c>
      <c r="E107" s="10" t="n">
        <v>46238.73872694444</v>
      </c>
      <c r="F107" s="10" t="n">
        <v>46238.73872995788</v>
      </c>
      <c r="G107" s="13" t="n">
        <v>132</v>
      </c>
      <c r="H107" s="14" t="n">
        <v>197.8951</v>
      </c>
      <c r="I107" s="13">
        <f>COUNTIFS('클럭 정리'!$A$6:$A$55,"&gt;="&amp;E107,'클럭 정리'!$A$6:$A$55,"&lt;="&amp;F107)</f>
        <v/>
      </c>
      <c r="J107" s="14">
        <f>AVERAGEIFS('클럭 정리'!$N$6:$N$55,'클럭 정리'!$A$6:$A$55,"&gt;="&amp;E107,'클럭 정리'!$A$6:$A$55,"&lt;="&amp;F107)</f>
        <v/>
      </c>
      <c r="K107" s="15">
        <f>J107*'클럭 정리'!$B$2/100</f>
        <v/>
      </c>
    </row>
    <row r="108">
      <c r="A108" s="13" t="inlineStr">
        <is>
          <t>병렬도 12 분할 36</t>
        </is>
      </c>
      <c r="B108" s="13" t="n">
        <v>5</v>
      </c>
      <c r="C108" s="13" t="inlineStr">
        <is>
          <t>main</t>
        </is>
      </c>
      <c r="D108" s="12" t="inlineStr">
        <is>
          <t>main (활동 시간 합 = 그 회차 mainCPU, 창은 워커와 겹침)</t>
        </is>
      </c>
      <c r="E108" s="10" t="n">
        <v>46238.73872694444</v>
      </c>
      <c r="F108" s="10" t="n">
        <v>46238.73872999793</v>
      </c>
      <c r="G108" s="13" t="n">
        <v>45</v>
      </c>
      <c r="H108" s="14" t="n">
        <v>0</v>
      </c>
      <c r="I108" s="13">
        <f>COUNTIFS('클럭 정리'!$A$6:$A$55,"&gt;="&amp;E108,'클럭 정리'!$A$6:$A$55,"&lt;="&amp;F108)</f>
        <v/>
      </c>
      <c r="J108" s="14">
        <f>AVERAGEIFS('클럭 정리'!$N$6:$N$55,'클럭 정리'!$A$6:$A$55,"&gt;="&amp;E108,'클럭 정리'!$A$6:$A$55,"&lt;="&amp;F108)</f>
        <v/>
      </c>
      <c r="K108" s="15">
        <f>J108*'클럭 정리'!$B$2/100</f>
        <v/>
      </c>
    </row>
    <row r="111">
      <c r="A111" s="1" t="inlineStr">
        <is>
          <t>풀·main별 클럭 표본 매핑</t>
        </is>
      </c>
    </row>
    <row r="112">
      <c r="A112" s="4" t="inlineStr">
        <is>
          <t>행 하나가 (풀 또는 main, 그 활동 창에 걸린 클럭 표본 1개)다. 표본 값은 클럭 정리 시트의 해당 행을 참조한다. main의 창은 그 회차 스캔 전체라 같은 회차 풀과 같은 표본에 걸린다.</t>
        </is>
      </c>
    </row>
    <row r="113">
      <c r="A113" s="5" t="inlineStr">
        <is>
          <t>구간</t>
        </is>
      </c>
      <c r="B113" s="5" t="inlineStr">
        <is>
          <t>회차</t>
        </is>
      </c>
      <c r="C113" s="5" t="inlineStr">
        <is>
          <t>풀/스레드</t>
        </is>
      </c>
      <c r="D113" s="5" t="inlineStr">
        <is>
          <t>활동 시작</t>
        </is>
      </c>
      <c r="E113" s="5" t="inlineStr">
        <is>
          <t>활동 끝</t>
        </is>
      </c>
      <c r="F113" s="5" t="inlineStr">
        <is>
          <t>표본 시각</t>
        </is>
      </c>
      <c r="G113" s="5" t="inlineStr">
        <is>
          <t>표본 클럭(%)</t>
        </is>
      </c>
      <c r="H113" s="5" t="inlineStr">
        <is>
          <t>표본 클럭(GHz)</t>
        </is>
      </c>
    </row>
    <row r="114">
      <c r="A114" s="13" t="inlineStr">
        <is>
          <t>병렬도 6 분할 36</t>
        </is>
      </c>
      <c r="B114" s="13" t="n">
        <v>1</v>
      </c>
      <c r="C114" s="13" t="inlineStr">
        <is>
          <t>ForkJoinPool-3</t>
        </is>
      </c>
      <c r="D114" s="10" t="n">
        <v>46238.73867452546</v>
      </c>
      <c r="E114" s="10" t="n">
        <v>46238.7386802647</v>
      </c>
      <c r="F114" s="16">
        <f>'클럭 정리'!A32</f>
        <v/>
      </c>
      <c r="G114" s="17">
        <f>'클럭 정리'!N32</f>
        <v/>
      </c>
      <c r="H114" s="15">
        <f>'클럭 정리'!O32</f>
        <v/>
      </c>
    </row>
    <row r="115">
      <c r="A115" s="13" t="inlineStr">
        <is>
          <t>병렬도 6 분할 36</t>
        </is>
      </c>
      <c r="B115" s="13" t="n">
        <v>1</v>
      </c>
      <c r="C115" s="13" t="inlineStr">
        <is>
          <t>main</t>
        </is>
      </c>
      <c r="D115" s="10" t="n">
        <v>46238.73867452546</v>
      </c>
      <c r="E115" s="10" t="n">
        <v>46238.73868036763</v>
      </c>
      <c r="F115" s="16">
        <f>'클럭 정리'!A32</f>
        <v/>
      </c>
      <c r="G115" s="17">
        <f>'클럭 정리'!N32</f>
        <v/>
      </c>
      <c r="H115" s="15">
        <f>'클럭 정리'!O32</f>
        <v/>
      </c>
    </row>
    <row r="116">
      <c r="A116" s="13" t="inlineStr">
        <is>
          <t>병렬도 6 분할 36</t>
        </is>
      </c>
      <c r="B116" s="13" t="n">
        <v>2</v>
      </c>
      <c r="C116" s="13" t="inlineStr">
        <is>
          <t>ForkJoinPool-4</t>
        </is>
      </c>
      <c r="D116" s="10" t="n">
        <v>46238.73868038195</v>
      </c>
      <c r="E116" s="10" t="n">
        <v>46238.73868550533</v>
      </c>
      <c r="F116" s="13" t="inlineStr">
        <is>
          <t>(걸린 표본 없음)</t>
        </is>
      </c>
      <c r="G116" s="13" t="n"/>
      <c r="H116" s="13" t="n"/>
    </row>
    <row r="117">
      <c r="A117" s="13" t="inlineStr">
        <is>
          <t>병렬도 6 분할 36</t>
        </is>
      </c>
      <c r="B117" s="13" t="n">
        <v>2</v>
      </c>
      <c r="C117" s="13" t="inlineStr">
        <is>
          <t>main</t>
        </is>
      </c>
      <c r="D117" s="10" t="n">
        <v>46238.73868038195</v>
      </c>
      <c r="E117" s="10" t="n">
        <v>46238.73868544307</v>
      </c>
      <c r="F117" s="13" t="inlineStr">
        <is>
          <t>(걸린 표본 없음)</t>
        </is>
      </c>
      <c r="G117" s="13" t="n"/>
      <c r="H117" s="13" t="n"/>
    </row>
    <row r="118">
      <c r="A118" s="13" t="inlineStr">
        <is>
          <t>병렬도 6 분할 36</t>
        </is>
      </c>
      <c r="B118" s="13" t="n">
        <v>3</v>
      </c>
      <c r="C118" s="13" t="inlineStr">
        <is>
          <t>ForkJoinPool-5</t>
        </is>
      </c>
      <c r="D118" s="10" t="n">
        <v>46238.73868550926</v>
      </c>
      <c r="E118" s="10" t="n">
        <v>46238.73869065563</v>
      </c>
      <c r="F118" s="16">
        <f>'클럭 정리'!A33</f>
        <v/>
      </c>
      <c r="G118" s="17">
        <f>'클럭 정리'!N33</f>
        <v/>
      </c>
      <c r="H118" s="15">
        <f>'클럭 정리'!O33</f>
        <v/>
      </c>
    </row>
    <row r="119">
      <c r="A119" s="13" t="inlineStr">
        <is>
          <t>병렬도 6 분할 36</t>
        </is>
      </c>
      <c r="B119" s="13" t="n">
        <v>3</v>
      </c>
      <c r="C119" s="13" t="inlineStr">
        <is>
          <t>main</t>
        </is>
      </c>
      <c r="D119" s="10" t="n">
        <v>46238.73868550926</v>
      </c>
      <c r="E119" s="10" t="n">
        <v>46238.73869055837</v>
      </c>
      <c r="F119" s="16">
        <f>'클럭 정리'!A33</f>
        <v/>
      </c>
      <c r="G119" s="17">
        <f>'클럭 정리'!N33</f>
        <v/>
      </c>
      <c r="H119" s="15">
        <f>'클럭 정리'!O33</f>
        <v/>
      </c>
    </row>
    <row r="120">
      <c r="A120" s="13" t="inlineStr">
        <is>
          <t>병렬도 6 분할 36</t>
        </is>
      </c>
      <c r="B120" s="13" t="n">
        <v>4</v>
      </c>
      <c r="C120" s="13" t="inlineStr">
        <is>
          <t>ForkJoinPool-6</t>
        </is>
      </c>
      <c r="D120" s="10" t="n">
        <v>46238.73869063657</v>
      </c>
      <c r="E120" s="10" t="n">
        <v>46238.73869562168</v>
      </c>
      <c r="F120" s="13" t="inlineStr">
        <is>
          <t>(걸린 표본 없음)</t>
        </is>
      </c>
      <c r="G120" s="13" t="n"/>
      <c r="H120" s="13" t="n"/>
    </row>
    <row r="121">
      <c r="A121" s="13" t="inlineStr">
        <is>
          <t>병렬도 6 분할 36</t>
        </is>
      </c>
      <c r="B121" s="13" t="n">
        <v>4</v>
      </c>
      <c r="C121" s="13" t="inlineStr">
        <is>
          <t>main</t>
        </is>
      </c>
      <c r="D121" s="10" t="n">
        <v>46238.73869063657</v>
      </c>
      <c r="E121" s="10" t="n">
        <v>46238.7386955314</v>
      </c>
      <c r="F121" s="13" t="inlineStr">
        <is>
          <t>(걸린 표본 없음)</t>
        </is>
      </c>
      <c r="G121" s="13" t="n"/>
      <c r="H121" s="13" t="n"/>
    </row>
    <row r="122">
      <c r="A122" s="13" t="inlineStr">
        <is>
          <t>병렬도 6 분할 36</t>
        </is>
      </c>
      <c r="B122" s="13" t="n">
        <v>5</v>
      </c>
      <c r="C122" s="13" t="inlineStr">
        <is>
          <t>ForkJoinPool-7</t>
        </is>
      </c>
      <c r="D122" s="10" t="n">
        <v>46238.73869570602</v>
      </c>
      <c r="E122" s="10" t="n">
        <v>46238.73870081844</v>
      </c>
      <c r="F122" s="16">
        <f>'클럭 정리'!A34</f>
        <v/>
      </c>
      <c r="G122" s="17">
        <f>'클럭 정리'!N34</f>
        <v/>
      </c>
      <c r="H122" s="15">
        <f>'클럭 정리'!O34</f>
        <v/>
      </c>
    </row>
    <row r="123">
      <c r="A123" s="13" t="inlineStr">
        <is>
          <t>병렬도 6 분할 36</t>
        </is>
      </c>
      <c r="B123" s="13" t="n">
        <v>5</v>
      </c>
      <c r="C123" s="13" t="inlineStr">
        <is>
          <t>main</t>
        </is>
      </c>
      <c r="D123" s="10" t="n">
        <v>46238.73869570602</v>
      </c>
      <c r="E123" s="10" t="n">
        <v>46238.73870084355</v>
      </c>
      <c r="F123" s="16">
        <f>'클럭 정리'!A34</f>
        <v/>
      </c>
      <c r="G123" s="17">
        <f>'클럭 정리'!N34</f>
        <v/>
      </c>
      <c r="H123" s="15">
        <f>'클럭 정리'!O34</f>
        <v/>
      </c>
    </row>
    <row r="124">
      <c r="A124" s="13" t="inlineStr">
        <is>
          <t>병렬도 12 분할 36</t>
        </is>
      </c>
      <c r="B124" s="13" t="n">
        <v>1</v>
      </c>
      <c r="C124" s="13" t="inlineStr">
        <is>
          <t>ForkJoinPool-11</t>
        </is>
      </c>
      <c r="D124" s="10" t="n">
        <v>46238.73871453704</v>
      </c>
      <c r="E124" s="10" t="n">
        <v>46238.73871755515</v>
      </c>
      <c r="F124" s="13" t="inlineStr">
        <is>
          <t>(걸린 표본 없음)</t>
        </is>
      </c>
      <c r="G124" s="13" t="n"/>
      <c r="H124" s="13" t="n"/>
    </row>
    <row r="125">
      <c r="A125" s="13" t="inlineStr">
        <is>
          <t>병렬도 12 분할 36</t>
        </is>
      </c>
      <c r="B125" s="13" t="n">
        <v>1</v>
      </c>
      <c r="C125" s="13" t="inlineStr">
        <is>
          <t>main</t>
        </is>
      </c>
      <c r="D125" s="10" t="n">
        <v>46238.73871453704</v>
      </c>
      <c r="E125" s="10" t="n">
        <v>46238.73871755553</v>
      </c>
      <c r="F125" s="13" t="inlineStr">
        <is>
          <t>(걸린 표본 없음)</t>
        </is>
      </c>
      <c r="G125" s="13" t="n"/>
      <c r="H125" s="13" t="n"/>
    </row>
    <row r="126">
      <c r="A126" s="13" t="inlineStr">
        <is>
          <t>병렬도 12 분할 36</t>
        </is>
      </c>
      <c r="B126" s="13" t="n">
        <v>2</v>
      </c>
      <c r="C126" s="13" t="inlineStr">
        <is>
          <t>ForkJoinPool-12</t>
        </is>
      </c>
      <c r="D126" s="10" t="n">
        <v>46238.73871755787</v>
      </c>
      <c r="E126" s="10" t="n">
        <v>46238.73872069964</v>
      </c>
      <c r="F126" s="13" t="inlineStr">
        <is>
          <t>(걸린 표본 없음)</t>
        </is>
      </c>
      <c r="G126" s="13" t="n"/>
      <c r="H126" s="13" t="n"/>
    </row>
    <row r="127">
      <c r="A127" s="13" t="inlineStr">
        <is>
          <t>병렬도 12 분할 36</t>
        </is>
      </c>
      <c r="B127" s="13" t="n">
        <v>2</v>
      </c>
      <c r="C127" s="13" t="inlineStr">
        <is>
          <t>main</t>
        </is>
      </c>
      <c r="D127" s="10" t="n">
        <v>46238.73871755787</v>
      </c>
      <c r="E127" s="10" t="n">
        <v>46238.73872070568</v>
      </c>
      <c r="F127" s="13" t="inlineStr">
        <is>
          <t>(걸린 표본 없음)</t>
        </is>
      </c>
      <c r="G127" s="13" t="n"/>
      <c r="H127" s="13" t="n"/>
    </row>
    <row r="128">
      <c r="A128" s="13" t="inlineStr">
        <is>
          <t>병렬도 12 분할 36</t>
        </is>
      </c>
      <c r="B128" s="13" t="n">
        <v>3</v>
      </c>
      <c r="C128" s="13" t="inlineStr">
        <is>
          <t>ForkJoinPool-13</t>
        </is>
      </c>
      <c r="D128" s="10" t="n">
        <v>46238.73872068287</v>
      </c>
      <c r="E128" s="10" t="n">
        <v>46238.73872389454</v>
      </c>
      <c r="F128" s="16">
        <f>'클럭 정리'!A36</f>
        <v/>
      </c>
      <c r="G128" s="17">
        <f>'클럭 정리'!N36</f>
        <v/>
      </c>
      <c r="H128" s="15">
        <f>'클럭 정리'!O36</f>
        <v/>
      </c>
    </row>
    <row r="129">
      <c r="A129" s="13" t="inlineStr">
        <is>
          <t>병렬도 12 분할 36</t>
        </is>
      </c>
      <c r="B129" s="13" t="n">
        <v>3</v>
      </c>
      <c r="C129" s="13" t="inlineStr">
        <is>
          <t>main</t>
        </is>
      </c>
      <c r="D129" s="10" t="n">
        <v>46238.73872068287</v>
      </c>
      <c r="E129" s="10" t="n">
        <v>46238.73872389882</v>
      </c>
      <c r="F129" s="16">
        <f>'클럭 정리'!A36</f>
        <v/>
      </c>
      <c r="G129" s="17">
        <f>'클럭 정리'!N36</f>
        <v/>
      </c>
      <c r="H129" s="15">
        <f>'클럭 정리'!O36</f>
        <v/>
      </c>
    </row>
    <row r="130">
      <c r="A130" s="13" t="inlineStr">
        <is>
          <t>병렬도 12 분할 36</t>
        </is>
      </c>
      <c r="B130" s="13" t="n">
        <v>4</v>
      </c>
      <c r="C130" s="13" t="inlineStr">
        <is>
          <t>ForkJoinPool-14</t>
        </is>
      </c>
      <c r="D130" s="10" t="n">
        <v>46238.73872391204</v>
      </c>
      <c r="E130" s="10" t="n">
        <v>46238.73872693768</v>
      </c>
      <c r="F130" s="13" t="inlineStr">
        <is>
          <t>(걸린 표본 없음)</t>
        </is>
      </c>
      <c r="G130" s="13" t="n"/>
      <c r="H130" s="13" t="n"/>
    </row>
    <row r="131">
      <c r="A131" s="13" t="inlineStr">
        <is>
          <t>병렬도 12 분할 36</t>
        </is>
      </c>
      <c r="B131" s="13" t="n">
        <v>4</v>
      </c>
      <c r="C131" s="13" t="inlineStr">
        <is>
          <t>main</t>
        </is>
      </c>
      <c r="D131" s="10" t="n">
        <v>46238.73872391204</v>
      </c>
      <c r="E131" s="10" t="n">
        <v>46238.73872692101</v>
      </c>
      <c r="F131" s="13" t="inlineStr">
        <is>
          <t>(걸린 표본 없음)</t>
        </is>
      </c>
      <c r="G131" s="13" t="n"/>
      <c r="H131" s="13" t="n"/>
    </row>
    <row r="132">
      <c r="A132" s="13" t="inlineStr">
        <is>
          <t>병렬도 12 분할 36</t>
        </is>
      </c>
      <c r="B132" s="13" t="n">
        <v>5</v>
      </c>
      <c r="C132" s="13" t="inlineStr">
        <is>
          <t>ForkJoinPool-15</t>
        </is>
      </c>
      <c r="D132" s="10" t="n">
        <v>46238.73872694444</v>
      </c>
      <c r="E132" s="10" t="n">
        <v>46238.73873002833</v>
      </c>
      <c r="F132" s="13" t="inlineStr">
        <is>
          <t>(걸린 표본 없음)</t>
        </is>
      </c>
      <c r="G132" s="13" t="n"/>
      <c r="H132" s="13" t="n"/>
    </row>
    <row r="133">
      <c r="A133" s="13" t="inlineStr">
        <is>
          <t>병렬도 12 분할 36</t>
        </is>
      </c>
      <c r="B133" s="13" t="n">
        <v>5</v>
      </c>
      <c r="C133" s="13" t="inlineStr">
        <is>
          <t>main</t>
        </is>
      </c>
      <c r="D133" s="10" t="n">
        <v>46238.73872694444</v>
      </c>
      <c r="E133" s="10" t="n">
        <v>46238.73872999793</v>
      </c>
      <c r="F133" s="13" t="inlineStr">
        <is>
          <t>(걸린 표본 없음)</t>
        </is>
      </c>
      <c r="G133" s="13" t="n"/>
      <c r="H133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8" customWidth="1" min="12" max="12"/>
    <col width="11" customWidth="1" min="13" max="13"/>
    <col width="14" customWidth="1" min="14" max="14"/>
    <col width="15" customWidth="1" min="15" max="15"/>
    <col width="15" customWidth="1" min="16" max="16"/>
    <col width="13" customWidth="1" min="17" max="17"/>
    <col width="13" customWidth="1" min="18" max="18"/>
    <col width="18" customWidth="1" min="19" max="19"/>
  </cols>
  <sheetData>
    <row r="1">
      <c r="A1" s="1" t="inlineStr">
        <is>
          <t>측정 회차별 원값 (IMPLOG run 레코드). 프로브 표의 행은 5회 평균이고, 이 시트는 그 5회 각각이다</t>
        </is>
      </c>
    </row>
    <row r="2">
      <c r="A2" s="4" t="inlineStr">
        <is>
      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      </is>
      </c>
    </row>
    <row r="3">
      <c r="A3" s="4" t="inlineStr">
        <is>
          <t>할당 열은 그 회차에 새로 만든 객체의 바이트다. main·워커·기타를 더한 값이 총 할당이고, 평가 1회당 할당은 총 할당을 그 회차의 평가 횟수로 나눈 값이다. 평가 횟수는 IMPLOG leaf의 sumDev 실행 횟수 합이다. 순차 행은 말단 기록이 없어 평가 횟수와 평가 1회당 할당이 빈 칸이다. MB는 1,000,000바이트 기준이다.</t>
        </is>
      </c>
    </row>
    <row r="4">
      <c r="A4" s="5" t="inlineStr">
        <is>
          <t>구현</t>
        </is>
      </c>
      <c r="B4" s="5" t="inlineStr">
        <is>
          <t>병렬도</t>
        </is>
      </c>
      <c r="C4" s="5" t="inlineStr">
        <is>
          <t>분할</t>
        </is>
      </c>
      <c r="D4" s="5" t="inlineStr">
        <is>
          <t>회차</t>
        </is>
      </c>
      <c r="E4" s="5" t="inlineStr">
        <is>
          <t>elapsed(ms)</t>
        </is>
      </c>
      <c r="F4" s="5" t="inlineStr">
        <is>
          <t>procCPU(ms)</t>
        </is>
      </c>
      <c r="G4" s="5" t="inlineStr">
        <is>
          <t>busyCore(개)</t>
        </is>
      </c>
      <c r="H4" s="5" t="inlineStr">
        <is>
          <t>mainCPU(ms)</t>
        </is>
      </c>
      <c r="I4" s="5" t="inlineStr">
        <is>
          <t>workerCPU(ms)</t>
        </is>
      </c>
      <c r="J4" s="5" t="inlineStr">
        <is>
          <t>기타 자바(ms)</t>
        </is>
      </c>
      <c r="K4" s="5" t="inlineStr">
        <is>
          <t>자바 아닌(ms)</t>
        </is>
      </c>
      <c r="L4" s="5" t="inlineStr">
        <is>
          <t>GC(ms)</t>
        </is>
      </c>
      <c r="M4" s="5" t="inlineStr">
        <is>
          <t>speedup(배)</t>
        </is>
      </c>
      <c r="N4" s="5" t="inlineStr">
        <is>
          <t>main 할당(MB)</t>
        </is>
      </c>
      <c r="O4" s="5" t="inlineStr">
        <is>
          <t>워커 할당(MB)</t>
        </is>
      </c>
      <c r="P4" s="5" t="inlineStr">
        <is>
          <t>기타 할당(MB)</t>
        </is>
      </c>
      <c r="Q4" s="5" t="inlineStr">
        <is>
          <t>총 할당(MB)</t>
        </is>
      </c>
      <c r="R4" s="5" t="inlineStr">
        <is>
          <t>평가 횟수(회)</t>
        </is>
      </c>
      <c r="S4" s="5" t="inlineStr">
        <is>
          <t>평가 1회당 할당(B)</t>
        </is>
      </c>
    </row>
    <row r="5">
      <c r="A5" s="13" t="inlineStr">
        <is>
          <t>순차</t>
        </is>
      </c>
      <c r="B5" s="13" t="inlineStr">
        <is>
          <t>-</t>
        </is>
      </c>
      <c r="C5" s="13" t="inlineStr">
        <is>
          <t>-</t>
        </is>
      </c>
      <c r="D5" s="13" t="n">
        <v>1</v>
      </c>
      <c r="E5" s="14" t="n">
        <v>2102.048</v>
      </c>
      <c r="F5" s="14" t="n">
        <v>2078.125</v>
      </c>
      <c r="G5" s="11">
        <f>F5/E5</f>
        <v/>
      </c>
      <c r="H5" s="14" t="n">
        <v>2078.125</v>
      </c>
      <c r="I5" s="14" t="n">
        <v>0</v>
      </c>
      <c r="J5" s="14" t="n">
        <v>0</v>
      </c>
      <c r="K5" s="14" t="n">
        <v>-15.625</v>
      </c>
      <c r="L5" s="13" t="n">
        <v>0</v>
      </c>
      <c r="M5" s="13" t="n"/>
      <c r="N5" s="18" t="n">
        <v>0.199456</v>
      </c>
      <c r="O5" s="18" t="n">
        <v>0</v>
      </c>
      <c r="P5" s="18" t="n">
        <v>0</v>
      </c>
      <c r="Q5" s="18">
        <f>N5+O5+P5</f>
        <v/>
      </c>
      <c r="R5" s="13" t="n"/>
      <c r="S5" s="13" t="n"/>
    </row>
    <row r="6">
      <c r="A6" s="13" t="inlineStr">
        <is>
          <t>순차</t>
        </is>
      </c>
      <c r="B6" s="13" t="inlineStr">
        <is>
          <t>-</t>
        </is>
      </c>
      <c r="C6" s="13" t="inlineStr">
        <is>
          <t>-</t>
        </is>
      </c>
      <c r="D6" s="13" t="n">
        <v>2</v>
      </c>
      <c r="E6" s="14" t="n">
        <v>2094.1422</v>
      </c>
      <c r="F6" s="14" t="n">
        <v>2093.75</v>
      </c>
      <c r="G6" s="11">
        <f>F6/E6</f>
        <v/>
      </c>
      <c r="H6" s="14" t="n">
        <v>2093.75</v>
      </c>
      <c r="I6" s="14" t="n">
        <v>0</v>
      </c>
      <c r="J6" s="14" t="n">
        <v>0</v>
      </c>
      <c r="K6" s="14" t="n">
        <v>0</v>
      </c>
      <c r="L6" s="13" t="n">
        <v>0</v>
      </c>
      <c r="M6" s="13" t="n"/>
      <c r="N6" s="18" t="n">
        <v>0.010936</v>
      </c>
      <c r="O6" s="18" t="n">
        <v>0</v>
      </c>
      <c r="P6" s="18" t="n">
        <v>0</v>
      </c>
      <c r="Q6" s="18">
        <f>N6+O6+P6</f>
        <v/>
      </c>
      <c r="R6" s="13" t="n"/>
      <c r="S6" s="13" t="n"/>
    </row>
    <row r="7">
      <c r="A7" s="13" t="inlineStr">
        <is>
          <t>순차</t>
        </is>
      </c>
      <c r="B7" s="13" t="inlineStr">
        <is>
          <t>-</t>
        </is>
      </c>
      <c r="C7" s="13" t="inlineStr">
        <is>
          <t>-</t>
        </is>
      </c>
      <c r="D7" s="13" t="n">
        <v>3</v>
      </c>
      <c r="E7" s="14" t="n">
        <v>2090.7882</v>
      </c>
      <c r="F7" s="14" t="n">
        <v>2093.75</v>
      </c>
      <c r="G7" s="11">
        <f>F7/E7</f>
        <v/>
      </c>
      <c r="H7" s="14" t="n">
        <v>2093.75</v>
      </c>
      <c r="I7" s="14" t="n">
        <v>0</v>
      </c>
      <c r="J7" s="14" t="n">
        <v>0</v>
      </c>
      <c r="K7" s="14" t="n">
        <v>0</v>
      </c>
      <c r="L7" s="13" t="n">
        <v>0</v>
      </c>
      <c r="M7" s="13" t="n"/>
      <c r="N7" s="18" t="n">
        <v>0.010936</v>
      </c>
      <c r="O7" s="18" t="n">
        <v>0</v>
      </c>
      <c r="P7" s="18" t="n">
        <v>0</v>
      </c>
      <c r="Q7" s="18">
        <f>N7+O7+P7</f>
        <v/>
      </c>
      <c r="R7" s="13" t="n"/>
      <c r="S7" s="13" t="n"/>
    </row>
    <row r="8">
      <c r="A8" s="13" t="inlineStr">
        <is>
          <t>순차</t>
        </is>
      </c>
      <c r="B8" s="13" t="inlineStr">
        <is>
          <t>-</t>
        </is>
      </c>
      <c r="C8" s="13" t="inlineStr">
        <is>
          <t>-</t>
        </is>
      </c>
      <c r="D8" s="13" t="n">
        <v>4</v>
      </c>
      <c r="E8" s="14" t="n">
        <v>2090.0339</v>
      </c>
      <c r="F8" s="14" t="n">
        <v>2093.75</v>
      </c>
      <c r="G8" s="11">
        <f>F8/E8</f>
        <v/>
      </c>
      <c r="H8" s="14" t="n">
        <v>2093.75</v>
      </c>
      <c r="I8" s="14" t="n">
        <v>0</v>
      </c>
      <c r="J8" s="14" t="n">
        <v>0</v>
      </c>
      <c r="K8" s="14" t="n">
        <v>0</v>
      </c>
      <c r="L8" s="13" t="n">
        <v>0</v>
      </c>
      <c r="M8" s="13" t="n"/>
      <c r="N8" s="18" t="n">
        <v>0.010936</v>
      </c>
      <c r="O8" s="18" t="n">
        <v>0</v>
      </c>
      <c r="P8" s="18" t="n">
        <v>0</v>
      </c>
      <c r="Q8" s="18">
        <f>N8+O8+P8</f>
        <v/>
      </c>
      <c r="R8" s="13" t="n"/>
      <c r="S8" s="13" t="n"/>
    </row>
    <row r="9">
      <c r="A9" s="13" t="inlineStr">
        <is>
          <t>순차</t>
        </is>
      </c>
      <c r="B9" s="13" t="inlineStr">
        <is>
          <t>-</t>
        </is>
      </c>
      <c r="C9" s="13" t="inlineStr">
        <is>
          <t>-</t>
        </is>
      </c>
      <c r="D9" s="13" t="n">
        <v>5</v>
      </c>
      <c r="E9" s="14" t="n">
        <v>2091.5308</v>
      </c>
      <c r="F9" s="14" t="n">
        <v>2093.75</v>
      </c>
      <c r="G9" s="11">
        <f>F9/E9</f>
        <v/>
      </c>
      <c r="H9" s="14" t="n">
        <v>2093.75</v>
      </c>
      <c r="I9" s="14" t="n">
        <v>0</v>
      </c>
      <c r="J9" s="14" t="n">
        <v>0</v>
      </c>
      <c r="K9" s="14" t="n">
        <v>0</v>
      </c>
      <c r="L9" s="13" t="n">
        <v>0</v>
      </c>
      <c r="M9" s="13" t="n"/>
      <c r="N9" s="18" t="n">
        <v>0.010936</v>
      </c>
      <c r="O9" s="18" t="n">
        <v>0</v>
      </c>
      <c r="P9" s="18" t="n">
        <v>0</v>
      </c>
      <c r="Q9" s="18">
        <f>N9+O9+P9</f>
        <v/>
      </c>
      <c r="R9" s="13" t="n"/>
      <c r="S9" s="13" t="n"/>
    </row>
    <row r="10">
      <c r="A10" s="13" t="inlineStr">
        <is>
          <t>병렬</t>
        </is>
      </c>
      <c r="B10" s="13" t="n">
        <v>6</v>
      </c>
      <c r="C10" s="13" t="n">
        <v>36</v>
      </c>
      <c r="D10" s="13" t="n">
        <v>1</v>
      </c>
      <c r="E10" s="14" t="n">
        <v>507.0197</v>
      </c>
      <c r="F10" s="14" t="n">
        <v>3234.375</v>
      </c>
      <c r="G10" s="11">
        <f>F10/E10</f>
        <v/>
      </c>
      <c r="H10" s="14" t="n">
        <v>15.625</v>
      </c>
      <c r="I10" s="14" t="n">
        <v>2468.75</v>
      </c>
      <c r="J10" s="14" t="n">
        <v>0</v>
      </c>
      <c r="K10" s="14" t="n">
        <v>750</v>
      </c>
      <c r="L10" s="13" t="n">
        <v>2</v>
      </c>
      <c r="M10" s="11">
        <f>AVERAGEIFS($E$5:$E$19,$A$5:$A$19,"순차")/E10</f>
        <v/>
      </c>
      <c r="N10" s="18" t="n">
        <v>0.371448</v>
      </c>
      <c r="O10" s="18" t="n">
        <v>6.953632</v>
      </c>
      <c r="P10" s="18" t="n">
        <v>0</v>
      </c>
      <c r="Q10" s="18">
        <f>N10+O10+P10</f>
        <v/>
      </c>
      <c r="R10" s="19" t="n">
        <v>855000</v>
      </c>
      <c r="S10" s="19">
        <f>Q10*1000000/R10</f>
        <v/>
      </c>
    </row>
    <row r="11">
      <c r="A11" s="13" t="inlineStr">
        <is>
          <t>병렬</t>
        </is>
      </c>
      <c r="B11" s="13" t="n">
        <v>6</v>
      </c>
      <c r="C11" s="13" t="n">
        <v>36</v>
      </c>
      <c r="D11" s="13" t="n">
        <v>2</v>
      </c>
      <c r="E11" s="14" t="n">
        <v>443.2083</v>
      </c>
      <c r="F11" s="14" t="n">
        <v>2484.375</v>
      </c>
      <c r="G11" s="11">
        <f>F11/E11</f>
        <v/>
      </c>
      <c r="H11" s="14" t="n">
        <v>0</v>
      </c>
      <c r="I11" s="14" t="n">
        <v>2421.875</v>
      </c>
      <c r="J11" s="14" t="n">
        <v>0</v>
      </c>
      <c r="K11" s="14" t="n">
        <v>62.5</v>
      </c>
      <c r="L11" s="13" t="n">
        <v>0</v>
      </c>
      <c r="M11" s="11">
        <f>AVERAGEIFS($E$5:$E$19,$A$5:$A$19,"순차")/E11</f>
        <v/>
      </c>
      <c r="N11" s="18" t="n">
        <v>0.034048</v>
      </c>
      <c r="O11" s="18" t="n">
        <v>3.424448</v>
      </c>
      <c r="P11" s="18" t="n">
        <v>0</v>
      </c>
      <c r="Q11" s="18">
        <f>N11+O11+P11</f>
        <v/>
      </c>
      <c r="R11" s="19" t="n">
        <v>855000</v>
      </c>
      <c r="S11" s="19">
        <f>Q11*1000000/R11</f>
        <v/>
      </c>
    </row>
    <row r="12">
      <c r="A12" s="13" t="inlineStr">
        <is>
          <t>병렬</t>
        </is>
      </c>
      <c r="B12" s="13" t="n">
        <v>6</v>
      </c>
      <c r="C12" s="13" t="n">
        <v>36</v>
      </c>
      <c r="D12" s="13" t="n">
        <v>3</v>
      </c>
      <c r="E12" s="14" t="n">
        <v>445.5103</v>
      </c>
      <c r="F12" s="14" t="n">
        <v>2218.75</v>
      </c>
      <c r="G12" s="11">
        <f>F12/E12</f>
        <v/>
      </c>
      <c r="H12" s="14" t="n">
        <v>0</v>
      </c>
      <c r="I12" s="14" t="n">
        <v>2171.875</v>
      </c>
      <c r="J12" s="14" t="n">
        <v>0</v>
      </c>
      <c r="K12" s="14" t="n">
        <v>46.875</v>
      </c>
      <c r="L12" s="13" t="n">
        <v>0</v>
      </c>
      <c r="M12" s="11">
        <f>AVERAGEIFS($E$5:$E$19,$A$5:$A$19,"순차")/E12</f>
        <v/>
      </c>
      <c r="N12" s="18" t="n">
        <v>0.03716</v>
      </c>
      <c r="O12" s="18" t="n">
        <v>3.420344</v>
      </c>
      <c r="P12" s="18" t="n">
        <v>0</v>
      </c>
      <c r="Q12" s="18">
        <f>N12+O12+P12</f>
        <v/>
      </c>
      <c r="R12" s="19" t="n">
        <v>855000</v>
      </c>
      <c r="S12" s="19">
        <f>Q12*1000000/R12</f>
        <v/>
      </c>
    </row>
    <row r="13">
      <c r="A13" s="13" t="inlineStr">
        <is>
          <t>병렬</t>
        </is>
      </c>
      <c r="B13" s="13" t="n">
        <v>6</v>
      </c>
      <c r="C13" s="13" t="n">
        <v>36</v>
      </c>
      <c r="D13" s="13" t="n">
        <v>4</v>
      </c>
      <c r="E13" s="14" t="n">
        <v>432.6459</v>
      </c>
      <c r="F13" s="14" t="n">
        <v>2421.875</v>
      </c>
      <c r="G13" s="11">
        <f>F13/E13</f>
        <v/>
      </c>
      <c r="H13" s="14" t="n">
        <v>0</v>
      </c>
      <c r="I13" s="14" t="n">
        <v>2421.875</v>
      </c>
      <c r="J13" s="14" t="n">
        <v>0</v>
      </c>
      <c r="K13" s="14" t="n">
        <v>0</v>
      </c>
      <c r="L13" s="13" t="n">
        <v>0</v>
      </c>
      <c r="M13" s="11">
        <f>AVERAGEIFS($E$5:$E$19,$A$5:$A$19,"순차")/E13</f>
        <v/>
      </c>
      <c r="N13" s="18" t="n">
        <v>0.040072</v>
      </c>
      <c r="O13" s="18" t="n">
        <v>3.42176</v>
      </c>
      <c r="P13" s="18" t="n">
        <v>0</v>
      </c>
      <c r="Q13" s="18">
        <f>N13+O13+P13</f>
        <v/>
      </c>
      <c r="R13" s="19" t="n">
        <v>855000</v>
      </c>
      <c r="S13" s="19">
        <f>Q13*1000000/R13</f>
        <v/>
      </c>
    </row>
    <row r="14">
      <c r="A14" s="13" t="inlineStr">
        <is>
          <t>병렬</t>
        </is>
      </c>
      <c r="B14" s="13" t="n">
        <v>6</v>
      </c>
      <c r="C14" s="13" t="n">
        <v>36</v>
      </c>
      <c r="D14" s="13" t="n">
        <v>5</v>
      </c>
      <c r="E14" s="14" t="n">
        <v>443.3628</v>
      </c>
      <c r="F14" s="14" t="n">
        <v>2359.375</v>
      </c>
      <c r="G14" s="11">
        <f>F14/E14</f>
        <v/>
      </c>
      <c r="H14" s="14" t="n">
        <v>0</v>
      </c>
      <c r="I14" s="14" t="n">
        <v>2359.375</v>
      </c>
      <c r="J14" s="14" t="n">
        <v>0</v>
      </c>
      <c r="K14" s="14" t="n">
        <v>0</v>
      </c>
      <c r="L14" s="13" t="n">
        <v>3</v>
      </c>
      <c r="M14" s="11">
        <f>AVERAGEIFS($E$5:$E$19,$A$5:$A$19,"순차")/E14</f>
        <v/>
      </c>
      <c r="N14" s="18" t="n">
        <v>0.04292</v>
      </c>
      <c r="O14" s="18" t="n">
        <v>3.422184</v>
      </c>
      <c r="P14" s="18" t="n">
        <v>0</v>
      </c>
      <c r="Q14" s="18">
        <f>N14+O14+P14</f>
        <v/>
      </c>
      <c r="R14" s="19" t="n">
        <v>855000</v>
      </c>
      <c r="S14" s="19">
        <f>Q14*1000000/R14</f>
        <v/>
      </c>
    </row>
    <row r="15">
      <c r="A15" s="13" t="inlineStr">
        <is>
          <t>병렬</t>
        </is>
      </c>
      <c r="B15" s="13" t="n">
        <v>12</v>
      </c>
      <c r="C15" s="13" t="n">
        <v>36</v>
      </c>
      <c r="D15" s="13" t="n">
        <v>1</v>
      </c>
      <c r="E15" s="14" t="n">
        <v>261.8249</v>
      </c>
      <c r="F15" s="14" t="n">
        <v>2312.5</v>
      </c>
      <c r="G15" s="11">
        <f>F15/E15</f>
        <v/>
      </c>
      <c r="H15" s="14" t="n">
        <v>0</v>
      </c>
      <c r="I15" s="14" t="n">
        <v>2312.5</v>
      </c>
      <c r="J15" s="14" t="n">
        <v>0</v>
      </c>
      <c r="K15" s="14" t="n">
        <v>0</v>
      </c>
      <c r="L15" s="13" t="n">
        <v>0</v>
      </c>
      <c r="M15" s="11">
        <f>AVERAGEIFS($E$5:$E$19,$A$5:$A$19,"순차")/E15</f>
        <v/>
      </c>
      <c r="N15" s="18" t="n">
        <v>0.060208</v>
      </c>
      <c r="O15" s="18" t="n">
        <v>3.437104</v>
      </c>
      <c r="P15" s="18" t="n">
        <v>0</v>
      </c>
      <c r="Q15" s="18">
        <f>N15+O15+P15</f>
        <v/>
      </c>
      <c r="R15" s="19" t="n">
        <v>855000</v>
      </c>
      <c r="S15" s="19">
        <f>Q15*1000000/R15</f>
        <v/>
      </c>
    </row>
    <row r="16">
      <c r="A16" s="13" t="inlineStr">
        <is>
          <t>병렬</t>
        </is>
      </c>
      <c r="B16" s="13" t="n">
        <v>12</v>
      </c>
      <c r="C16" s="13" t="n">
        <v>36</v>
      </c>
      <c r="D16" s="13" t="n">
        <v>2</v>
      </c>
      <c r="E16" s="14" t="n">
        <v>270.5221</v>
      </c>
      <c r="F16" s="14" t="n">
        <v>2515.625</v>
      </c>
      <c r="G16" s="11">
        <f>F16/E16</f>
        <v/>
      </c>
      <c r="H16" s="14" t="n">
        <v>0</v>
      </c>
      <c r="I16" s="14" t="n">
        <v>2500</v>
      </c>
      <c r="J16" s="14" t="n">
        <v>0</v>
      </c>
      <c r="K16" s="14" t="n">
        <v>15.625</v>
      </c>
      <c r="L16" s="13" t="n">
        <v>0</v>
      </c>
      <c r="M16" s="11">
        <f>AVERAGEIFS($E$5:$E$19,$A$5:$A$19,"순차")/E16</f>
        <v/>
      </c>
      <c r="N16" s="18" t="n">
        <v>0.065536</v>
      </c>
      <c r="O16" s="18" t="n">
        <v>3.437512</v>
      </c>
      <c r="P16" s="18" t="n">
        <v>0</v>
      </c>
      <c r="Q16" s="18">
        <f>N16+O16+P16</f>
        <v/>
      </c>
      <c r="R16" s="19" t="n">
        <v>855000</v>
      </c>
      <c r="S16" s="19">
        <f>Q16*1000000/R16</f>
        <v/>
      </c>
    </row>
    <row r="17">
      <c r="A17" s="13" t="inlineStr">
        <is>
          <t>병렬</t>
        </is>
      </c>
      <c r="B17" s="13" t="n">
        <v>12</v>
      </c>
      <c r="C17" s="13" t="n">
        <v>36</v>
      </c>
      <c r="D17" s="13" t="n">
        <v>3</v>
      </c>
      <c r="E17" s="14" t="n">
        <v>276.4118</v>
      </c>
      <c r="F17" s="14" t="n">
        <v>2343.75</v>
      </c>
      <c r="G17" s="11">
        <f>F17/E17</f>
        <v/>
      </c>
      <c r="H17" s="14" t="n">
        <v>0</v>
      </c>
      <c r="I17" s="14" t="n">
        <v>2312.5</v>
      </c>
      <c r="J17" s="14" t="n">
        <v>0</v>
      </c>
      <c r="K17" s="14" t="n">
        <v>31.25</v>
      </c>
      <c r="L17" s="13" t="n">
        <v>0</v>
      </c>
      <c r="M17" s="11">
        <f>AVERAGEIFS($E$5:$E$19,$A$5:$A$19,"순차")/E17</f>
        <v/>
      </c>
      <c r="N17" s="18" t="n">
        <v>0.071912</v>
      </c>
      <c r="O17" s="18" t="n">
        <v>3.437992</v>
      </c>
      <c r="P17" s="18" t="n">
        <v>0</v>
      </c>
      <c r="Q17" s="18">
        <f>N17+O17+P17</f>
        <v/>
      </c>
      <c r="R17" s="19" t="n">
        <v>855000</v>
      </c>
      <c r="S17" s="19">
        <f>Q17*1000000/R17</f>
        <v/>
      </c>
    </row>
    <row r="18">
      <c r="A18" s="13" t="inlineStr">
        <is>
          <t>병렬</t>
        </is>
      </c>
      <c r="B18" s="13" t="n">
        <v>12</v>
      </c>
      <c r="C18" s="13" t="n">
        <v>36</v>
      </c>
      <c r="D18" s="13" t="n">
        <v>4</v>
      </c>
      <c r="E18" s="14" t="n">
        <v>260.4664</v>
      </c>
      <c r="F18" s="14" t="n">
        <v>2343.75</v>
      </c>
      <c r="G18" s="11">
        <f>F18/E18</f>
        <v/>
      </c>
      <c r="H18" s="14" t="n">
        <v>0</v>
      </c>
      <c r="I18" s="14" t="n">
        <v>2343.75</v>
      </c>
      <c r="J18" s="14" t="n">
        <v>0</v>
      </c>
      <c r="K18" s="14" t="n">
        <v>0</v>
      </c>
      <c r="L18" s="13" t="n">
        <v>0</v>
      </c>
      <c r="M18" s="11">
        <f>AVERAGEIFS($E$5:$E$19,$A$5:$A$19,"순차")/E18</f>
        <v/>
      </c>
      <c r="N18" s="18" t="n">
        <v>0.077232</v>
      </c>
      <c r="O18" s="18" t="n">
        <v>3.437112</v>
      </c>
      <c r="P18" s="18" t="n">
        <v>0</v>
      </c>
      <c r="Q18" s="18">
        <f>N18+O18+P18</f>
        <v/>
      </c>
      <c r="R18" s="19" t="n">
        <v>855000</v>
      </c>
      <c r="S18" s="19">
        <f>Q18*1000000/R18</f>
        <v/>
      </c>
    </row>
    <row r="19">
      <c r="A19" s="13" t="inlineStr">
        <is>
          <t>병렬</t>
        </is>
      </c>
      <c r="B19" s="13" t="n">
        <v>12</v>
      </c>
      <c r="C19" s="13" t="n">
        <v>36</v>
      </c>
      <c r="D19" s="13" t="n">
        <v>5</v>
      </c>
      <c r="E19" s="14" t="n">
        <v>265.5865</v>
      </c>
      <c r="F19" s="14" t="n">
        <v>2437.5</v>
      </c>
      <c r="G19" s="11">
        <f>F19/E19</f>
        <v/>
      </c>
      <c r="H19" s="14" t="n">
        <v>0</v>
      </c>
      <c r="I19" s="14" t="n">
        <v>2437.5</v>
      </c>
      <c r="J19" s="14" t="n">
        <v>0</v>
      </c>
      <c r="K19" s="14" t="n">
        <v>0</v>
      </c>
      <c r="L19" s="13" t="n">
        <v>0</v>
      </c>
      <c r="M19" s="11">
        <f>AVERAGEIFS($E$5:$E$19,$A$5:$A$19,"순차")/E19</f>
        <v/>
      </c>
      <c r="N19" s="18" t="n">
        <v>0.0828</v>
      </c>
      <c r="O19" s="18" t="n">
        <v>3.438824</v>
      </c>
      <c r="P19" s="18" t="n">
        <v>0</v>
      </c>
      <c r="Q19" s="18">
        <f>N19+O19+P19</f>
        <v/>
      </c>
      <c r="R19" s="19" t="n">
        <v>855000</v>
      </c>
      <c r="S19" s="19">
        <f>Q19*1000000/R19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20" t="inlineStr">
        <is>
          <t>이 시트의 값: '구간과 스레드 매핑' 시트의 평균 클럭(GHz) 열이다. 수식 참조로 그대로 가져왔다</t>
        </is>
      </c>
    </row>
    <row r="2">
      <c r="A2" s="20" t="inlineStr">
        <is>
      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      </is>
      </c>
    </row>
    <row r="3">
      <c r="A3" s="21" t="inlineStr">
        <is>
          <t>구간 종류</t>
        </is>
      </c>
      <c r="B3" s="21" t="inlineStr">
        <is>
          <t>순차</t>
        </is>
      </c>
      <c r="C3" s="21" t="inlineStr">
        <is>
          <t>병렬도 6 분할 36</t>
        </is>
      </c>
      <c r="D3" s="21" t="inlineStr">
        <is>
          <t>병렬도 12 분할 36</t>
        </is>
      </c>
    </row>
    <row r="4">
      <c r="A4" s="20" t="inlineStr">
        <is>
          <t>전체</t>
        </is>
      </c>
      <c r="B4" s="22">
        <f>'구간과 스레드 매핑'!H6</f>
        <v/>
      </c>
      <c r="C4" s="22">
        <f>'구간과 스레드 매핑'!H7</f>
        <v/>
      </c>
      <c r="D4" s="22">
        <f>'구간과 스레드 매핑'!H15</f>
        <v/>
      </c>
    </row>
    <row r="5">
      <c r="A5" s="20" t="inlineStr">
        <is>
          <t>워밍업</t>
        </is>
      </c>
      <c r="C5" s="22">
        <f>'구간과 스레드 매핑'!H8</f>
        <v/>
      </c>
      <c r="D5" s="22">
        <f>'구간과 스레드 매핑'!H16</f>
        <v/>
      </c>
    </row>
    <row r="6">
      <c r="A6" s="20" t="inlineStr">
        <is>
          <t>측정 1회차</t>
        </is>
      </c>
      <c r="C6" s="22">
        <f>'구간과 스레드 매핑'!H9</f>
        <v/>
      </c>
      <c r="D6" s="22">
        <f>'구간과 스레드 매핑'!H17</f>
        <v/>
      </c>
    </row>
    <row r="7">
      <c r="A7" s="20" t="inlineStr">
        <is>
          <t>측정 2회차</t>
        </is>
      </c>
      <c r="C7" s="22">
        <f>'구간과 스레드 매핑'!H10</f>
        <v/>
      </c>
      <c r="D7" s="22">
        <f>'구간과 스레드 매핑'!H18</f>
        <v/>
      </c>
    </row>
    <row r="8">
      <c r="A8" s="20" t="inlineStr">
        <is>
          <t>측정 3회차</t>
        </is>
      </c>
      <c r="C8" s="22">
        <f>'구간과 스레드 매핑'!H11</f>
        <v/>
      </c>
      <c r="D8" s="22">
        <f>'구간과 스레드 매핑'!H19</f>
        <v/>
      </c>
    </row>
    <row r="9">
      <c r="A9" s="20" t="inlineStr">
        <is>
          <t>측정 4회차</t>
        </is>
      </c>
      <c r="C9" s="22">
        <f>'구간과 스레드 매핑'!H12</f>
        <v/>
      </c>
      <c r="D9" s="22">
        <f>'구간과 스레드 매핑'!H20</f>
        <v/>
      </c>
    </row>
    <row r="10">
      <c r="A10" s="20" t="inlineStr">
        <is>
          <t>측정 5회차</t>
        </is>
      </c>
      <c r="C10" s="22">
        <f>'구간과 스레드 매핑'!H13</f>
        <v/>
      </c>
      <c r="D10" s="22">
        <f>'구간과 스레드 매핑'!H21</f>
        <v/>
      </c>
    </row>
    <row r="11">
      <c r="A11" s="20" t="inlineStr">
        <is>
          <t>워커별 CPU 읽기 실행</t>
        </is>
      </c>
      <c r="C11" s="22">
        <f>'구간과 스레드 매핑'!H14</f>
        <v/>
      </c>
      <c r="D11" s="22">
        <f>'구간과 스레드 매핑'!H22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G5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  <col width="24" customWidth="1" min="110" max="110"/>
    <col width="24" customWidth="1" min="111" max="111"/>
  </cols>
  <sheetData>
    <row r="1">
      <c r="A1" s="4" t="inlineStr">
        <is>
          <t>차트 시트 그래프들의 원천 표다. 값은 전부 '클럭 정리' 시트를 참조하는 수식이고, 여기서는 보기만 한다</t>
        </is>
      </c>
    </row>
    <row r="3">
      <c r="A3" s="2" t="inlineStr">
        <is>
          <t>병렬도 6 분할 36 측정 1회차 (스레드별 클럭, GHz)</t>
        </is>
      </c>
      <c r="P3" s="2" t="inlineStr">
        <is>
          <t>전체 추이 데이터 (스레드별 선용, GHz)</t>
        </is>
      </c>
    </row>
    <row r="4">
      <c r="A4" s="23" t="inlineStr">
        <is>
          <t>시각</t>
        </is>
      </c>
      <c r="B4" s="23" t="inlineStr">
        <is>
          <t>ForkJoinPool-3-worker-1</t>
        </is>
      </c>
      <c r="C4" s="23" t="inlineStr">
        <is>
          <t>ForkJoinPool-3-worker-2</t>
        </is>
      </c>
      <c r="D4" s="23" t="inlineStr">
        <is>
          <t>ForkJoinPool-3-worker-3</t>
        </is>
      </c>
      <c r="E4" s="23" t="inlineStr">
        <is>
          <t>ForkJoinPool-3-worker-4</t>
        </is>
      </c>
      <c r="F4" s="23" t="inlineStr">
        <is>
          <t>ForkJoinPool-3-worker-5</t>
        </is>
      </c>
      <c r="G4" s="23" t="inlineStr">
        <is>
          <t>ForkJoinPool-3-worker-6</t>
        </is>
      </c>
      <c r="H4" s="23" t="inlineStr">
        <is>
          <t>main</t>
        </is>
      </c>
      <c r="P4" s="23" t="inlineStr">
        <is>
          <t>시각</t>
        </is>
      </c>
      <c r="Q4" s="23" t="inlineStr">
        <is>
          <t>전체 평균</t>
        </is>
      </c>
      <c r="R4" s="23" t="inlineStr">
        <is>
          <t>ForkJoinPool-3-worker-1</t>
        </is>
      </c>
      <c r="S4" s="23" t="inlineStr">
        <is>
          <t>ForkJoinPool-3-worker-2</t>
        </is>
      </c>
      <c r="T4" s="23" t="inlineStr">
        <is>
          <t>ForkJoinPool-3-worker-3</t>
        </is>
      </c>
      <c r="U4" s="23" t="inlineStr">
        <is>
          <t>ForkJoinPool-3-worker-4</t>
        </is>
      </c>
      <c r="V4" s="23" t="inlineStr">
        <is>
          <t>ForkJoinPool-3-worker-5</t>
        </is>
      </c>
      <c r="W4" s="23" t="inlineStr">
        <is>
          <t>ForkJoinPool-3-worker-6</t>
        </is>
      </c>
      <c r="X4" s="23" t="inlineStr">
        <is>
          <t>main</t>
        </is>
      </c>
      <c r="Y4" s="23" t="inlineStr">
        <is>
          <t>ForkJoinPool-4-worker-1</t>
        </is>
      </c>
      <c r="Z4" s="23" t="inlineStr">
        <is>
          <t>ForkJoinPool-4-worker-2</t>
        </is>
      </c>
      <c r="AA4" s="23" t="inlineStr">
        <is>
          <t>ForkJoinPool-4-worker-3</t>
        </is>
      </c>
      <c r="AB4" s="23" t="inlineStr">
        <is>
          <t>ForkJoinPool-4-worker-4</t>
        </is>
      </c>
      <c r="AC4" s="23" t="inlineStr">
        <is>
          <t>ForkJoinPool-4-worker-5</t>
        </is>
      </c>
      <c r="AD4" s="23" t="inlineStr">
        <is>
          <t>ForkJoinPool-4-worker-6</t>
        </is>
      </c>
      <c r="AE4" s="23" t="inlineStr">
        <is>
          <t>ForkJoinPool-4-worker-7</t>
        </is>
      </c>
      <c r="AF4" s="23" t="inlineStr">
        <is>
          <t>ForkJoinPool-5-worker-1</t>
        </is>
      </c>
      <c r="AG4" s="23" t="inlineStr">
        <is>
          <t>ForkJoinPool-5-worker-2</t>
        </is>
      </c>
      <c r="AH4" s="23" t="inlineStr">
        <is>
          <t>ForkJoinPool-5-worker-3</t>
        </is>
      </c>
      <c r="AI4" s="23" t="inlineStr">
        <is>
          <t>ForkJoinPool-5-worker-4</t>
        </is>
      </c>
      <c r="AJ4" s="23" t="inlineStr">
        <is>
          <t>ForkJoinPool-5-worker-5</t>
        </is>
      </c>
      <c r="AK4" s="23" t="inlineStr">
        <is>
          <t>ForkJoinPool-5-worker-6</t>
        </is>
      </c>
      <c r="AL4" s="23" t="inlineStr">
        <is>
          <t>ForkJoinPool-6-worker-1</t>
        </is>
      </c>
      <c r="AM4" s="23" t="inlineStr">
        <is>
          <t>ForkJoinPool-6-worker-2</t>
        </is>
      </c>
      <c r="AN4" s="23" t="inlineStr">
        <is>
          <t>ForkJoinPool-6-worker-3</t>
        </is>
      </c>
      <c r="AO4" s="23" t="inlineStr">
        <is>
          <t>ForkJoinPool-6-worker-4</t>
        </is>
      </c>
      <c r="AP4" s="23" t="inlineStr">
        <is>
          <t>ForkJoinPool-6-worker-5</t>
        </is>
      </c>
      <c r="AQ4" s="23" t="inlineStr">
        <is>
          <t>ForkJoinPool-6-worker-6</t>
        </is>
      </c>
      <c r="AR4" s="23" t="inlineStr">
        <is>
          <t>ForkJoinPool-6-worker-7</t>
        </is>
      </c>
      <c r="AS4" s="23" t="inlineStr">
        <is>
          <t>ForkJoinPool-7-worker-1</t>
        </is>
      </c>
      <c r="AT4" s="23" t="inlineStr">
        <is>
          <t>ForkJoinPool-7-worker-2</t>
        </is>
      </c>
      <c r="AU4" s="23" t="inlineStr">
        <is>
          <t>ForkJoinPool-7-worker-3</t>
        </is>
      </c>
      <c r="AV4" s="23" t="inlineStr">
        <is>
          <t>ForkJoinPool-7-worker-4</t>
        </is>
      </c>
      <c r="AW4" s="23" t="inlineStr">
        <is>
          <t>ForkJoinPool-7-worker-5</t>
        </is>
      </c>
      <c r="AX4" s="23" t="inlineStr">
        <is>
          <t>ForkJoinPool-7-worker-6</t>
        </is>
      </c>
      <c r="AY4" s="23" t="inlineStr">
        <is>
          <t>ForkJoinPool-7-worker-7</t>
        </is>
      </c>
      <c r="AZ4" s="23" t="inlineStr">
        <is>
          <t>ForkJoinPool-11-worker-1</t>
        </is>
      </c>
      <c r="BA4" s="23" t="inlineStr">
        <is>
          <t>ForkJoinPool-11-worker-10</t>
        </is>
      </c>
      <c r="BB4" s="23" t="inlineStr">
        <is>
          <t>ForkJoinPool-11-worker-11</t>
        </is>
      </c>
      <c r="BC4" s="23" t="inlineStr">
        <is>
          <t>ForkJoinPool-11-worker-12</t>
        </is>
      </c>
      <c r="BD4" s="23" t="inlineStr">
        <is>
          <t>ForkJoinPool-11-worker-2</t>
        </is>
      </c>
      <c r="BE4" s="23" t="inlineStr">
        <is>
          <t>ForkJoinPool-11-worker-3</t>
        </is>
      </c>
      <c r="BF4" s="23" t="inlineStr">
        <is>
          <t>ForkJoinPool-11-worker-4</t>
        </is>
      </c>
      <c r="BG4" s="23" t="inlineStr">
        <is>
          <t>ForkJoinPool-11-worker-5</t>
        </is>
      </c>
      <c r="BH4" s="23" t="inlineStr">
        <is>
          <t>ForkJoinPool-11-worker-6</t>
        </is>
      </c>
      <c r="BI4" s="23" t="inlineStr">
        <is>
          <t>ForkJoinPool-11-worker-7</t>
        </is>
      </c>
      <c r="BJ4" s="23" t="inlineStr">
        <is>
          <t>ForkJoinPool-11-worker-8</t>
        </is>
      </c>
      <c r="BK4" s="23" t="inlineStr">
        <is>
          <t>ForkJoinPool-11-worker-9</t>
        </is>
      </c>
      <c r="BL4" s="23" t="inlineStr">
        <is>
          <t>ForkJoinPool-12-worker-1</t>
        </is>
      </c>
      <c r="BM4" s="23" t="inlineStr">
        <is>
          <t>ForkJoinPool-12-worker-10</t>
        </is>
      </c>
      <c r="BN4" s="23" t="inlineStr">
        <is>
          <t>ForkJoinPool-12-worker-11</t>
        </is>
      </c>
      <c r="BO4" s="23" t="inlineStr">
        <is>
          <t>ForkJoinPool-12-worker-12</t>
        </is>
      </c>
      <c r="BP4" s="23" t="inlineStr">
        <is>
          <t>ForkJoinPool-12-worker-2</t>
        </is>
      </c>
      <c r="BQ4" s="23" t="inlineStr">
        <is>
          <t>ForkJoinPool-12-worker-3</t>
        </is>
      </c>
      <c r="BR4" s="23" t="inlineStr">
        <is>
          <t>ForkJoinPool-12-worker-4</t>
        </is>
      </c>
      <c r="BS4" s="23" t="inlineStr">
        <is>
          <t>ForkJoinPool-12-worker-5</t>
        </is>
      </c>
      <c r="BT4" s="23" t="inlineStr">
        <is>
          <t>ForkJoinPool-12-worker-6</t>
        </is>
      </c>
      <c r="BU4" s="23" t="inlineStr">
        <is>
          <t>ForkJoinPool-12-worker-7</t>
        </is>
      </c>
      <c r="BV4" s="23" t="inlineStr">
        <is>
          <t>ForkJoinPool-12-worker-8</t>
        </is>
      </c>
      <c r="BW4" s="23" t="inlineStr">
        <is>
          <t>ForkJoinPool-12-worker-9</t>
        </is>
      </c>
      <c r="BX4" s="23" t="inlineStr">
        <is>
          <t>ForkJoinPool-13-worker-1</t>
        </is>
      </c>
      <c r="BY4" s="23" t="inlineStr">
        <is>
          <t>ForkJoinPool-13-worker-10</t>
        </is>
      </c>
      <c r="BZ4" s="23" t="inlineStr">
        <is>
          <t>ForkJoinPool-13-worker-11</t>
        </is>
      </c>
      <c r="CA4" s="23" t="inlineStr">
        <is>
          <t>ForkJoinPool-13-worker-12</t>
        </is>
      </c>
      <c r="CB4" s="23" t="inlineStr">
        <is>
          <t>ForkJoinPool-13-worker-2</t>
        </is>
      </c>
      <c r="CC4" s="23" t="inlineStr">
        <is>
          <t>ForkJoinPool-13-worker-3</t>
        </is>
      </c>
      <c r="CD4" s="23" t="inlineStr">
        <is>
          <t>ForkJoinPool-13-worker-4</t>
        </is>
      </c>
      <c r="CE4" s="23" t="inlineStr">
        <is>
          <t>ForkJoinPool-13-worker-5</t>
        </is>
      </c>
      <c r="CF4" s="23" t="inlineStr">
        <is>
          <t>ForkJoinPool-13-worker-6</t>
        </is>
      </c>
      <c r="CG4" s="23" t="inlineStr">
        <is>
          <t>ForkJoinPool-13-worker-7</t>
        </is>
      </c>
      <c r="CH4" s="23" t="inlineStr">
        <is>
          <t>ForkJoinPool-13-worker-8</t>
        </is>
      </c>
      <c r="CI4" s="23" t="inlineStr">
        <is>
          <t>ForkJoinPool-13-worker-9</t>
        </is>
      </c>
      <c r="CJ4" s="23" t="inlineStr">
        <is>
          <t>ForkJoinPool-14-worker-1</t>
        </is>
      </c>
      <c r="CK4" s="23" t="inlineStr">
        <is>
          <t>ForkJoinPool-14-worker-10</t>
        </is>
      </c>
      <c r="CL4" s="23" t="inlineStr">
        <is>
          <t>ForkJoinPool-14-worker-11</t>
        </is>
      </c>
      <c r="CM4" s="23" t="inlineStr">
        <is>
          <t>ForkJoinPool-14-worker-12</t>
        </is>
      </c>
      <c r="CN4" s="23" t="inlineStr">
        <is>
          <t>ForkJoinPool-14-worker-2</t>
        </is>
      </c>
      <c r="CO4" s="23" t="inlineStr">
        <is>
          <t>ForkJoinPool-14-worker-3</t>
        </is>
      </c>
      <c r="CP4" s="23" t="inlineStr">
        <is>
          <t>ForkJoinPool-14-worker-4</t>
        </is>
      </c>
      <c r="CQ4" s="23" t="inlineStr">
        <is>
          <t>ForkJoinPool-14-worker-5</t>
        </is>
      </c>
      <c r="CR4" s="23" t="inlineStr">
        <is>
          <t>ForkJoinPool-14-worker-6</t>
        </is>
      </c>
      <c r="CS4" s="23" t="inlineStr">
        <is>
          <t>ForkJoinPool-14-worker-7</t>
        </is>
      </c>
      <c r="CT4" s="23" t="inlineStr">
        <is>
          <t>ForkJoinPool-14-worker-8</t>
        </is>
      </c>
      <c r="CU4" s="23" t="inlineStr">
        <is>
          <t>ForkJoinPool-14-worker-9</t>
        </is>
      </c>
      <c r="CV4" s="23" t="inlineStr">
        <is>
          <t>ForkJoinPool-15-worker-1</t>
        </is>
      </c>
      <c r="CW4" s="23" t="inlineStr">
        <is>
          <t>ForkJoinPool-15-worker-10</t>
        </is>
      </c>
      <c r="CX4" s="23" t="inlineStr">
        <is>
          <t>ForkJoinPool-15-worker-11</t>
        </is>
      </c>
      <c r="CY4" s="23" t="inlineStr">
        <is>
          <t>ForkJoinPool-15-worker-12</t>
        </is>
      </c>
      <c r="CZ4" s="23" t="inlineStr">
        <is>
          <t>ForkJoinPool-15-worker-2</t>
        </is>
      </c>
      <c r="DA4" s="23" t="inlineStr">
        <is>
          <t>ForkJoinPool-15-worker-3</t>
        </is>
      </c>
      <c r="DB4" s="23" t="inlineStr">
        <is>
          <t>ForkJoinPool-15-worker-4</t>
        </is>
      </c>
      <c r="DC4" s="23" t="inlineStr">
        <is>
          <t>ForkJoinPool-15-worker-5</t>
        </is>
      </c>
      <c r="DD4" s="23" t="inlineStr">
        <is>
          <t>ForkJoinPool-15-worker-6</t>
        </is>
      </c>
      <c r="DE4" s="23" t="inlineStr">
        <is>
          <t>ForkJoinPool-15-worker-7</t>
        </is>
      </c>
      <c r="DF4" s="23" t="inlineStr">
        <is>
          <t>ForkJoinPool-15-worker-8</t>
        </is>
      </c>
      <c r="DG4" s="23" t="inlineStr">
        <is>
          <t>ForkJoinPool-15-worker-9</t>
        </is>
      </c>
    </row>
    <row r="5">
      <c r="A5" s="24">
        <f>'클럭 정리'!A32</f>
        <v/>
      </c>
      <c r="B5" s="25">
        <f>'클럭 정리'!O32</f>
        <v/>
      </c>
      <c r="C5" s="25">
        <f>'클럭 정리'!O32</f>
        <v/>
      </c>
      <c r="D5" s="25">
        <f>'클럭 정리'!O32</f>
        <v/>
      </c>
      <c r="E5" s="25">
        <f>'클럭 정리'!O32</f>
        <v/>
      </c>
      <c r="F5" s="25">
        <f>'클럭 정리'!O32</f>
        <v/>
      </c>
      <c r="G5" s="25">
        <f>'클럭 정리'!O32</f>
        <v/>
      </c>
      <c r="H5" s="25">
        <f>'클럭 정리'!O32</f>
        <v/>
      </c>
      <c r="P5" s="26">
        <f>'클럭 정리'!A6</f>
        <v/>
      </c>
      <c r="Q5" s="25">
        <f>'클럭 정리'!O6</f>
        <v/>
      </c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  <c r="AO5" s="27" t="n"/>
      <c r="AP5" s="27" t="n"/>
      <c r="AQ5" s="27" t="n"/>
      <c r="AR5" s="27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  <c r="BF5" s="27" t="n"/>
      <c r="BG5" s="27" t="n"/>
      <c r="BH5" s="27" t="n"/>
      <c r="BI5" s="27" t="n"/>
      <c r="BJ5" s="27" t="n"/>
      <c r="BK5" s="27" t="n"/>
      <c r="BL5" s="27" t="n"/>
      <c r="BM5" s="27" t="n"/>
      <c r="BN5" s="27" t="n"/>
      <c r="BO5" s="27" t="n"/>
      <c r="BP5" s="27" t="n"/>
      <c r="BQ5" s="27" t="n"/>
      <c r="BR5" s="27" t="n"/>
      <c r="BS5" s="27" t="n"/>
      <c r="BT5" s="27" t="n"/>
      <c r="BU5" s="27" t="n"/>
      <c r="BV5" s="27" t="n"/>
      <c r="BW5" s="27" t="n"/>
      <c r="BX5" s="27" t="n"/>
      <c r="BY5" s="27" t="n"/>
      <c r="BZ5" s="27" t="n"/>
      <c r="CA5" s="27" t="n"/>
      <c r="CB5" s="27" t="n"/>
      <c r="CC5" s="27" t="n"/>
      <c r="CD5" s="27" t="n"/>
      <c r="CE5" s="27" t="n"/>
      <c r="CF5" s="27" t="n"/>
      <c r="CG5" s="27" t="n"/>
      <c r="CH5" s="27" t="n"/>
      <c r="CI5" s="27" t="n"/>
      <c r="CJ5" s="27" t="n"/>
      <c r="CK5" s="27" t="n"/>
      <c r="CL5" s="27" t="n"/>
      <c r="CM5" s="27" t="n"/>
      <c r="CN5" s="27" t="n"/>
      <c r="CO5" s="27" t="n"/>
      <c r="CP5" s="27" t="n"/>
      <c r="CQ5" s="27" t="n"/>
      <c r="CR5" s="27" t="n"/>
      <c r="CS5" s="27" t="n"/>
      <c r="CT5" s="27" t="n"/>
      <c r="CU5" s="27" t="n"/>
      <c r="CV5" s="27" t="n"/>
      <c r="CW5" s="27" t="n"/>
      <c r="CX5" s="27" t="n"/>
      <c r="CY5" s="27" t="n"/>
      <c r="CZ5" s="27" t="n"/>
      <c r="DA5" s="27" t="n"/>
      <c r="DB5" s="27" t="n"/>
      <c r="DC5" s="27" t="n"/>
      <c r="DD5" s="27" t="n"/>
      <c r="DE5" s="27" t="n"/>
      <c r="DF5" s="27" t="n"/>
      <c r="DG5" s="27" t="n"/>
    </row>
    <row r="6">
      <c r="P6" s="26">
        <f>'클럭 정리'!A7</f>
        <v/>
      </c>
      <c r="Q6" s="25">
        <f>'클럭 정리'!O7</f>
        <v/>
      </c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  <c r="BF6" s="27" t="n"/>
      <c r="BG6" s="27" t="n"/>
      <c r="BH6" s="27" t="n"/>
      <c r="BI6" s="27" t="n"/>
      <c r="BJ6" s="27" t="n"/>
      <c r="BK6" s="27" t="n"/>
      <c r="BL6" s="27" t="n"/>
      <c r="BM6" s="27" t="n"/>
      <c r="BN6" s="27" t="n"/>
      <c r="BO6" s="27" t="n"/>
      <c r="BP6" s="27" t="n"/>
      <c r="BQ6" s="27" t="n"/>
      <c r="BR6" s="27" t="n"/>
      <c r="BS6" s="27" t="n"/>
      <c r="BT6" s="27" t="n"/>
      <c r="BU6" s="27" t="n"/>
      <c r="BV6" s="27" t="n"/>
      <c r="BW6" s="27" t="n"/>
      <c r="BX6" s="27" t="n"/>
      <c r="BY6" s="27" t="n"/>
      <c r="BZ6" s="27" t="n"/>
      <c r="CA6" s="27" t="n"/>
      <c r="CB6" s="27" t="n"/>
      <c r="CC6" s="27" t="n"/>
      <c r="CD6" s="27" t="n"/>
      <c r="CE6" s="27" t="n"/>
      <c r="CF6" s="27" t="n"/>
      <c r="CG6" s="27" t="n"/>
      <c r="CH6" s="27" t="n"/>
      <c r="CI6" s="27" t="n"/>
      <c r="CJ6" s="27" t="n"/>
      <c r="CK6" s="27" t="n"/>
      <c r="CL6" s="27" t="n"/>
      <c r="CM6" s="27" t="n"/>
      <c r="CN6" s="27" t="n"/>
      <c r="CO6" s="27" t="n"/>
      <c r="CP6" s="27" t="n"/>
      <c r="CQ6" s="27" t="n"/>
      <c r="CR6" s="27" t="n"/>
      <c r="CS6" s="27" t="n"/>
      <c r="CT6" s="27" t="n"/>
      <c r="CU6" s="27" t="n"/>
      <c r="CV6" s="27" t="n"/>
      <c r="CW6" s="27" t="n"/>
      <c r="CX6" s="27" t="n"/>
      <c r="CY6" s="27" t="n"/>
      <c r="CZ6" s="27" t="n"/>
      <c r="DA6" s="27" t="n"/>
      <c r="DB6" s="27" t="n"/>
      <c r="DC6" s="27" t="n"/>
      <c r="DD6" s="27" t="n"/>
      <c r="DE6" s="27" t="n"/>
      <c r="DF6" s="27" t="n"/>
      <c r="DG6" s="27" t="n"/>
    </row>
    <row r="7">
      <c r="A7" s="2" t="inlineStr">
        <is>
          <t>병렬도 6 분할 36 측정 3회차 (스레드별 클럭, GHz)</t>
        </is>
      </c>
      <c r="P7" s="26">
        <f>'클럭 정리'!A8</f>
        <v/>
      </c>
      <c r="Q7" s="25">
        <f>'클럭 정리'!O8</f>
        <v/>
      </c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  <c r="AS7" s="27" t="n"/>
      <c r="AT7" s="27" t="n"/>
      <c r="AU7" s="27" t="n"/>
      <c r="AV7" s="27" t="n"/>
      <c r="AW7" s="27" t="n"/>
      <c r="AX7" s="27" t="n"/>
      <c r="AY7" s="27" t="n"/>
      <c r="AZ7" s="27" t="n"/>
      <c r="BA7" s="27" t="n"/>
      <c r="BB7" s="27" t="n"/>
      <c r="BC7" s="27" t="n"/>
      <c r="BD7" s="27" t="n"/>
      <c r="BE7" s="27" t="n"/>
      <c r="BF7" s="27" t="n"/>
      <c r="BG7" s="27" t="n"/>
      <c r="BH7" s="27" t="n"/>
      <c r="BI7" s="27" t="n"/>
      <c r="BJ7" s="27" t="n"/>
      <c r="BK7" s="27" t="n"/>
      <c r="BL7" s="27" t="n"/>
      <c r="BM7" s="27" t="n"/>
      <c r="BN7" s="27" t="n"/>
      <c r="BO7" s="27" t="n"/>
      <c r="BP7" s="27" t="n"/>
      <c r="BQ7" s="27" t="n"/>
      <c r="BR7" s="27" t="n"/>
      <c r="BS7" s="27" t="n"/>
      <c r="BT7" s="27" t="n"/>
      <c r="BU7" s="27" t="n"/>
      <c r="BV7" s="27" t="n"/>
      <c r="BW7" s="27" t="n"/>
      <c r="BX7" s="27" t="n"/>
      <c r="BY7" s="27" t="n"/>
      <c r="BZ7" s="27" t="n"/>
      <c r="CA7" s="27" t="n"/>
      <c r="CB7" s="27" t="n"/>
      <c r="CC7" s="27" t="n"/>
      <c r="CD7" s="27" t="n"/>
      <c r="CE7" s="27" t="n"/>
      <c r="CF7" s="27" t="n"/>
      <c r="CG7" s="27" t="n"/>
      <c r="CH7" s="27" t="n"/>
      <c r="CI7" s="27" t="n"/>
      <c r="CJ7" s="27" t="n"/>
      <c r="CK7" s="27" t="n"/>
      <c r="CL7" s="27" t="n"/>
      <c r="CM7" s="27" t="n"/>
      <c r="CN7" s="27" t="n"/>
      <c r="CO7" s="27" t="n"/>
      <c r="CP7" s="27" t="n"/>
      <c r="CQ7" s="27" t="n"/>
      <c r="CR7" s="27" t="n"/>
      <c r="CS7" s="27" t="n"/>
      <c r="CT7" s="27" t="n"/>
      <c r="CU7" s="27" t="n"/>
      <c r="CV7" s="27" t="n"/>
      <c r="CW7" s="27" t="n"/>
      <c r="CX7" s="27" t="n"/>
      <c r="CY7" s="27" t="n"/>
      <c r="CZ7" s="27" t="n"/>
      <c r="DA7" s="27" t="n"/>
      <c r="DB7" s="27" t="n"/>
      <c r="DC7" s="27" t="n"/>
      <c r="DD7" s="27" t="n"/>
      <c r="DE7" s="27" t="n"/>
      <c r="DF7" s="27" t="n"/>
      <c r="DG7" s="27" t="n"/>
    </row>
    <row r="8">
      <c r="A8" s="23" t="inlineStr">
        <is>
          <t>시각</t>
        </is>
      </c>
      <c r="B8" s="23" t="inlineStr">
        <is>
          <t>ForkJoinPool-5-worker-1</t>
        </is>
      </c>
      <c r="C8" s="23" t="inlineStr">
        <is>
          <t>ForkJoinPool-5-worker-2</t>
        </is>
      </c>
      <c r="D8" s="23" t="inlineStr">
        <is>
          <t>ForkJoinPool-5-worker-3</t>
        </is>
      </c>
      <c r="E8" s="23" t="inlineStr">
        <is>
          <t>ForkJoinPool-5-worker-4</t>
        </is>
      </c>
      <c r="F8" s="23" t="inlineStr">
        <is>
          <t>ForkJoinPool-5-worker-5</t>
        </is>
      </c>
      <c r="G8" s="23" t="inlineStr">
        <is>
          <t>ForkJoinPool-5-worker-6</t>
        </is>
      </c>
      <c r="H8" s="23" t="inlineStr">
        <is>
          <t>main</t>
        </is>
      </c>
      <c r="P8" s="26">
        <f>'클럭 정리'!A9</f>
        <v/>
      </c>
      <c r="Q8" s="25">
        <f>'클럭 정리'!O9</f>
        <v/>
      </c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  <c r="AW8" s="27" t="n"/>
      <c r="AX8" s="27" t="n"/>
      <c r="AY8" s="27" t="n"/>
      <c r="AZ8" s="27" t="n"/>
      <c r="BA8" s="27" t="n"/>
      <c r="BB8" s="27" t="n"/>
      <c r="BC8" s="27" t="n"/>
      <c r="BD8" s="27" t="n"/>
      <c r="BE8" s="27" t="n"/>
      <c r="BF8" s="27" t="n"/>
      <c r="BG8" s="27" t="n"/>
      <c r="BH8" s="27" t="n"/>
      <c r="BI8" s="27" t="n"/>
      <c r="BJ8" s="27" t="n"/>
      <c r="BK8" s="27" t="n"/>
      <c r="BL8" s="27" t="n"/>
      <c r="BM8" s="27" t="n"/>
      <c r="BN8" s="27" t="n"/>
      <c r="BO8" s="27" t="n"/>
      <c r="BP8" s="27" t="n"/>
      <c r="BQ8" s="27" t="n"/>
      <c r="BR8" s="27" t="n"/>
      <c r="BS8" s="27" t="n"/>
      <c r="BT8" s="27" t="n"/>
      <c r="BU8" s="27" t="n"/>
      <c r="BV8" s="27" t="n"/>
      <c r="BW8" s="27" t="n"/>
      <c r="BX8" s="27" t="n"/>
      <c r="BY8" s="27" t="n"/>
      <c r="BZ8" s="27" t="n"/>
      <c r="CA8" s="27" t="n"/>
      <c r="CB8" s="27" t="n"/>
      <c r="CC8" s="27" t="n"/>
      <c r="CD8" s="27" t="n"/>
      <c r="CE8" s="27" t="n"/>
      <c r="CF8" s="27" t="n"/>
      <c r="CG8" s="27" t="n"/>
      <c r="CH8" s="27" t="n"/>
      <c r="CI8" s="27" t="n"/>
      <c r="CJ8" s="27" t="n"/>
      <c r="CK8" s="27" t="n"/>
      <c r="CL8" s="27" t="n"/>
      <c r="CM8" s="27" t="n"/>
      <c r="CN8" s="27" t="n"/>
      <c r="CO8" s="27" t="n"/>
      <c r="CP8" s="27" t="n"/>
      <c r="CQ8" s="27" t="n"/>
      <c r="CR8" s="27" t="n"/>
      <c r="CS8" s="27" t="n"/>
      <c r="CT8" s="27" t="n"/>
      <c r="CU8" s="27" t="n"/>
      <c r="CV8" s="27" t="n"/>
      <c r="CW8" s="27" t="n"/>
      <c r="CX8" s="27" t="n"/>
      <c r="CY8" s="27" t="n"/>
      <c r="CZ8" s="27" t="n"/>
      <c r="DA8" s="27" t="n"/>
      <c r="DB8" s="27" t="n"/>
      <c r="DC8" s="27" t="n"/>
      <c r="DD8" s="27" t="n"/>
      <c r="DE8" s="27" t="n"/>
      <c r="DF8" s="27" t="n"/>
      <c r="DG8" s="27" t="n"/>
    </row>
    <row r="9">
      <c r="A9" s="24">
        <f>'클럭 정리'!A33</f>
        <v/>
      </c>
      <c r="B9" s="25">
        <f>'클럭 정리'!O33</f>
        <v/>
      </c>
      <c r="C9" s="25">
        <f>'클럭 정리'!O33</f>
        <v/>
      </c>
      <c r="D9" s="25">
        <f>'클럭 정리'!O33</f>
        <v/>
      </c>
      <c r="E9" s="25">
        <f>'클럭 정리'!O33</f>
        <v/>
      </c>
      <c r="F9" s="25">
        <f>'클럭 정리'!O33</f>
        <v/>
      </c>
      <c r="G9" s="25">
        <f>'클럭 정리'!O33</f>
        <v/>
      </c>
      <c r="H9" s="25">
        <f>'클럭 정리'!O33</f>
        <v/>
      </c>
      <c r="P9" s="26">
        <f>'클럭 정리'!A10</f>
        <v/>
      </c>
      <c r="Q9" s="25">
        <f>'클럭 정리'!O10</f>
        <v/>
      </c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  <c r="AP9" s="27" t="n"/>
      <c r="AQ9" s="27" t="n"/>
      <c r="AR9" s="27" t="n"/>
      <c r="AS9" s="27" t="n"/>
      <c r="AT9" s="27" t="n"/>
      <c r="AU9" s="27" t="n"/>
      <c r="AV9" s="27" t="n"/>
      <c r="AW9" s="27" t="n"/>
      <c r="AX9" s="27" t="n"/>
      <c r="AY9" s="27" t="n"/>
      <c r="AZ9" s="27" t="n"/>
      <c r="BA9" s="27" t="n"/>
      <c r="BB9" s="27" t="n"/>
      <c r="BC9" s="27" t="n"/>
      <c r="BD9" s="27" t="n"/>
      <c r="BE9" s="27" t="n"/>
      <c r="BF9" s="27" t="n"/>
      <c r="BG9" s="27" t="n"/>
      <c r="BH9" s="27" t="n"/>
      <c r="BI9" s="27" t="n"/>
      <c r="BJ9" s="27" t="n"/>
      <c r="BK9" s="27" t="n"/>
      <c r="BL9" s="27" t="n"/>
      <c r="BM9" s="27" t="n"/>
      <c r="BN9" s="27" t="n"/>
      <c r="BO9" s="27" t="n"/>
      <c r="BP9" s="27" t="n"/>
      <c r="BQ9" s="27" t="n"/>
      <c r="BR9" s="27" t="n"/>
      <c r="BS9" s="27" t="n"/>
      <c r="BT9" s="27" t="n"/>
      <c r="BU9" s="27" t="n"/>
      <c r="BV9" s="27" t="n"/>
      <c r="BW9" s="27" t="n"/>
      <c r="BX9" s="27" t="n"/>
      <c r="BY9" s="27" t="n"/>
      <c r="BZ9" s="27" t="n"/>
      <c r="CA9" s="27" t="n"/>
      <c r="CB9" s="27" t="n"/>
      <c r="CC9" s="27" t="n"/>
      <c r="CD9" s="27" t="n"/>
      <c r="CE9" s="27" t="n"/>
      <c r="CF9" s="27" t="n"/>
      <c r="CG9" s="27" t="n"/>
      <c r="CH9" s="27" t="n"/>
      <c r="CI9" s="27" t="n"/>
      <c r="CJ9" s="27" t="n"/>
      <c r="CK9" s="27" t="n"/>
      <c r="CL9" s="27" t="n"/>
      <c r="CM9" s="27" t="n"/>
      <c r="CN9" s="27" t="n"/>
      <c r="CO9" s="27" t="n"/>
      <c r="CP9" s="27" t="n"/>
      <c r="CQ9" s="27" t="n"/>
      <c r="CR9" s="27" t="n"/>
      <c r="CS9" s="27" t="n"/>
      <c r="CT9" s="27" t="n"/>
      <c r="CU9" s="27" t="n"/>
      <c r="CV9" s="27" t="n"/>
      <c r="CW9" s="27" t="n"/>
      <c r="CX9" s="27" t="n"/>
      <c r="CY9" s="27" t="n"/>
      <c r="CZ9" s="27" t="n"/>
      <c r="DA9" s="27" t="n"/>
      <c r="DB9" s="27" t="n"/>
      <c r="DC9" s="27" t="n"/>
      <c r="DD9" s="27" t="n"/>
      <c r="DE9" s="27" t="n"/>
      <c r="DF9" s="27" t="n"/>
      <c r="DG9" s="27" t="n"/>
    </row>
    <row r="10">
      <c r="P10" s="26">
        <f>'클럭 정리'!A11</f>
        <v/>
      </c>
      <c r="Q10" s="25">
        <f>'클럭 정리'!O11</f>
        <v/>
      </c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  <c r="AO10" s="27" t="n"/>
      <c r="AP10" s="27" t="n"/>
      <c r="AQ10" s="27" t="n"/>
      <c r="AR10" s="27" t="n"/>
      <c r="AS10" s="27" t="n"/>
      <c r="AT10" s="27" t="n"/>
      <c r="AU10" s="27" t="n"/>
      <c r="AV10" s="27" t="n"/>
      <c r="AW10" s="27" t="n"/>
      <c r="AX10" s="27" t="n"/>
      <c r="AY10" s="27" t="n"/>
      <c r="AZ10" s="27" t="n"/>
      <c r="BA10" s="27" t="n"/>
      <c r="BB10" s="27" t="n"/>
      <c r="BC10" s="27" t="n"/>
      <c r="BD10" s="27" t="n"/>
      <c r="BE10" s="27" t="n"/>
      <c r="BF10" s="27" t="n"/>
      <c r="BG10" s="27" t="n"/>
      <c r="BH10" s="27" t="n"/>
      <c r="BI10" s="27" t="n"/>
      <c r="BJ10" s="27" t="n"/>
      <c r="BK10" s="27" t="n"/>
      <c r="BL10" s="27" t="n"/>
      <c r="BM10" s="27" t="n"/>
      <c r="BN10" s="27" t="n"/>
      <c r="BO10" s="27" t="n"/>
      <c r="BP10" s="27" t="n"/>
      <c r="BQ10" s="27" t="n"/>
      <c r="BR10" s="27" t="n"/>
      <c r="BS10" s="27" t="n"/>
      <c r="BT10" s="27" t="n"/>
      <c r="BU10" s="27" t="n"/>
      <c r="BV10" s="27" t="n"/>
      <c r="BW10" s="27" t="n"/>
      <c r="BX10" s="27" t="n"/>
      <c r="BY10" s="27" t="n"/>
      <c r="BZ10" s="27" t="n"/>
      <c r="CA10" s="27" t="n"/>
      <c r="CB10" s="27" t="n"/>
      <c r="CC10" s="27" t="n"/>
      <c r="CD10" s="27" t="n"/>
      <c r="CE10" s="27" t="n"/>
      <c r="CF10" s="27" t="n"/>
      <c r="CG10" s="27" t="n"/>
      <c r="CH10" s="27" t="n"/>
      <c r="CI10" s="27" t="n"/>
      <c r="CJ10" s="27" t="n"/>
      <c r="CK10" s="27" t="n"/>
      <c r="CL10" s="27" t="n"/>
      <c r="CM10" s="27" t="n"/>
      <c r="CN10" s="27" t="n"/>
      <c r="CO10" s="27" t="n"/>
      <c r="CP10" s="27" t="n"/>
      <c r="CQ10" s="27" t="n"/>
      <c r="CR10" s="27" t="n"/>
      <c r="CS10" s="27" t="n"/>
      <c r="CT10" s="27" t="n"/>
      <c r="CU10" s="27" t="n"/>
      <c r="CV10" s="27" t="n"/>
      <c r="CW10" s="27" t="n"/>
      <c r="CX10" s="27" t="n"/>
      <c r="CY10" s="27" t="n"/>
      <c r="CZ10" s="27" t="n"/>
      <c r="DA10" s="27" t="n"/>
      <c r="DB10" s="27" t="n"/>
      <c r="DC10" s="27" t="n"/>
      <c r="DD10" s="27" t="n"/>
      <c r="DE10" s="27" t="n"/>
      <c r="DF10" s="27" t="n"/>
      <c r="DG10" s="27" t="n"/>
    </row>
    <row r="11">
      <c r="A11" s="2" t="inlineStr">
        <is>
          <t>병렬도 6 분할 36 측정 5회차 (스레드별 클럭, GHz)</t>
        </is>
      </c>
      <c r="P11" s="26">
        <f>'클럭 정리'!A12</f>
        <v/>
      </c>
      <c r="Q11" s="25">
        <f>'클럭 정리'!O12</f>
        <v/>
      </c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7" t="n"/>
      <c r="AK11" s="27" t="n"/>
      <c r="AL11" s="27" t="n"/>
      <c r="AM11" s="27" t="n"/>
      <c r="AN11" s="27" t="n"/>
      <c r="AO11" s="27" t="n"/>
      <c r="AP11" s="27" t="n"/>
      <c r="AQ11" s="27" t="n"/>
      <c r="AR11" s="27" t="n"/>
      <c r="AS11" s="27" t="n"/>
      <c r="AT11" s="27" t="n"/>
      <c r="AU11" s="27" t="n"/>
      <c r="AV11" s="27" t="n"/>
      <c r="AW11" s="27" t="n"/>
      <c r="AX11" s="27" t="n"/>
      <c r="AY11" s="27" t="n"/>
      <c r="AZ11" s="27" t="n"/>
      <c r="BA11" s="27" t="n"/>
      <c r="BB11" s="27" t="n"/>
      <c r="BC11" s="27" t="n"/>
      <c r="BD11" s="27" t="n"/>
      <c r="BE11" s="27" t="n"/>
      <c r="BF11" s="27" t="n"/>
      <c r="BG11" s="27" t="n"/>
      <c r="BH11" s="27" t="n"/>
      <c r="BI11" s="27" t="n"/>
      <c r="BJ11" s="27" t="n"/>
      <c r="BK11" s="27" t="n"/>
      <c r="BL11" s="27" t="n"/>
      <c r="BM11" s="27" t="n"/>
      <c r="BN11" s="27" t="n"/>
      <c r="BO11" s="27" t="n"/>
      <c r="BP11" s="27" t="n"/>
      <c r="BQ11" s="27" t="n"/>
      <c r="BR11" s="27" t="n"/>
      <c r="BS11" s="27" t="n"/>
      <c r="BT11" s="27" t="n"/>
      <c r="BU11" s="27" t="n"/>
      <c r="BV11" s="27" t="n"/>
      <c r="BW11" s="27" t="n"/>
      <c r="BX11" s="27" t="n"/>
      <c r="BY11" s="27" t="n"/>
      <c r="BZ11" s="27" t="n"/>
      <c r="CA11" s="27" t="n"/>
      <c r="CB11" s="27" t="n"/>
      <c r="CC11" s="27" t="n"/>
      <c r="CD11" s="27" t="n"/>
      <c r="CE11" s="27" t="n"/>
      <c r="CF11" s="27" t="n"/>
      <c r="CG11" s="27" t="n"/>
      <c r="CH11" s="27" t="n"/>
      <c r="CI11" s="27" t="n"/>
      <c r="CJ11" s="27" t="n"/>
      <c r="CK11" s="27" t="n"/>
      <c r="CL11" s="27" t="n"/>
      <c r="CM11" s="27" t="n"/>
      <c r="CN11" s="27" t="n"/>
      <c r="CO11" s="27" t="n"/>
      <c r="CP11" s="27" t="n"/>
      <c r="CQ11" s="27" t="n"/>
      <c r="CR11" s="27" t="n"/>
      <c r="CS11" s="27" t="n"/>
      <c r="CT11" s="27" t="n"/>
      <c r="CU11" s="27" t="n"/>
      <c r="CV11" s="27" t="n"/>
      <c r="CW11" s="27" t="n"/>
      <c r="CX11" s="27" t="n"/>
      <c r="CY11" s="27" t="n"/>
      <c r="CZ11" s="27" t="n"/>
      <c r="DA11" s="27" t="n"/>
      <c r="DB11" s="27" t="n"/>
      <c r="DC11" s="27" t="n"/>
      <c r="DD11" s="27" t="n"/>
      <c r="DE11" s="27" t="n"/>
      <c r="DF11" s="27" t="n"/>
      <c r="DG11" s="27" t="n"/>
    </row>
    <row r="12">
      <c r="A12" s="23" t="inlineStr">
        <is>
          <t>시각</t>
        </is>
      </c>
      <c r="B12" s="23" t="inlineStr">
        <is>
          <t>ForkJoinPool-7-worker-1</t>
        </is>
      </c>
      <c r="C12" s="23" t="inlineStr">
        <is>
          <t>ForkJoinPool-7-worker-2</t>
        </is>
      </c>
      <c r="D12" s="23" t="inlineStr">
        <is>
          <t>ForkJoinPool-7-worker-3</t>
        </is>
      </c>
      <c r="E12" s="23" t="inlineStr">
        <is>
          <t>ForkJoinPool-7-worker-4</t>
        </is>
      </c>
      <c r="F12" s="23" t="inlineStr">
        <is>
          <t>ForkJoinPool-7-worker-5</t>
        </is>
      </c>
      <c r="G12" s="23" t="inlineStr">
        <is>
          <t>ForkJoinPool-7-worker-6</t>
        </is>
      </c>
      <c r="H12" s="23" t="inlineStr">
        <is>
          <t>ForkJoinPool-7-worker-7</t>
        </is>
      </c>
      <c r="I12" s="23" t="inlineStr">
        <is>
          <t>main</t>
        </is>
      </c>
      <c r="P12" s="26">
        <f>'클럭 정리'!A13</f>
        <v/>
      </c>
      <c r="Q12" s="25">
        <f>'클럭 정리'!O13</f>
        <v/>
      </c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7" t="n"/>
      <c r="AI12" s="27" t="n"/>
      <c r="AJ12" s="27" t="n"/>
      <c r="AK12" s="27" t="n"/>
      <c r="AL12" s="27" t="n"/>
      <c r="AM12" s="27" t="n"/>
      <c r="AN12" s="27" t="n"/>
      <c r="AO12" s="27" t="n"/>
      <c r="AP12" s="27" t="n"/>
      <c r="AQ12" s="27" t="n"/>
      <c r="AR12" s="27" t="n"/>
      <c r="AS12" s="27" t="n"/>
      <c r="AT12" s="27" t="n"/>
      <c r="AU12" s="27" t="n"/>
      <c r="AV12" s="27" t="n"/>
      <c r="AW12" s="27" t="n"/>
      <c r="AX12" s="27" t="n"/>
      <c r="AY12" s="27" t="n"/>
      <c r="AZ12" s="27" t="n"/>
      <c r="BA12" s="27" t="n"/>
      <c r="BB12" s="27" t="n"/>
      <c r="BC12" s="27" t="n"/>
      <c r="BD12" s="27" t="n"/>
      <c r="BE12" s="27" t="n"/>
      <c r="BF12" s="27" t="n"/>
      <c r="BG12" s="27" t="n"/>
      <c r="BH12" s="27" t="n"/>
      <c r="BI12" s="27" t="n"/>
      <c r="BJ12" s="27" t="n"/>
      <c r="BK12" s="27" t="n"/>
      <c r="BL12" s="27" t="n"/>
      <c r="BM12" s="27" t="n"/>
      <c r="BN12" s="27" t="n"/>
      <c r="BO12" s="27" t="n"/>
      <c r="BP12" s="27" t="n"/>
      <c r="BQ12" s="27" t="n"/>
      <c r="BR12" s="27" t="n"/>
      <c r="BS12" s="27" t="n"/>
      <c r="BT12" s="27" t="n"/>
      <c r="BU12" s="27" t="n"/>
      <c r="BV12" s="27" t="n"/>
      <c r="BW12" s="27" t="n"/>
      <c r="BX12" s="27" t="n"/>
      <c r="BY12" s="27" t="n"/>
      <c r="BZ12" s="27" t="n"/>
      <c r="CA12" s="27" t="n"/>
      <c r="CB12" s="27" t="n"/>
      <c r="CC12" s="27" t="n"/>
      <c r="CD12" s="27" t="n"/>
      <c r="CE12" s="27" t="n"/>
      <c r="CF12" s="27" t="n"/>
      <c r="CG12" s="27" t="n"/>
      <c r="CH12" s="27" t="n"/>
      <c r="CI12" s="27" t="n"/>
      <c r="CJ12" s="27" t="n"/>
      <c r="CK12" s="27" t="n"/>
      <c r="CL12" s="27" t="n"/>
      <c r="CM12" s="27" t="n"/>
      <c r="CN12" s="27" t="n"/>
      <c r="CO12" s="27" t="n"/>
      <c r="CP12" s="27" t="n"/>
      <c r="CQ12" s="27" t="n"/>
      <c r="CR12" s="27" t="n"/>
      <c r="CS12" s="27" t="n"/>
      <c r="CT12" s="27" t="n"/>
      <c r="CU12" s="27" t="n"/>
      <c r="CV12" s="27" t="n"/>
      <c r="CW12" s="27" t="n"/>
      <c r="CX12" s="27" t="n"/>
      <c r="CY12" s="27" t="n"/>
      <c r="CZ12" s="27" t="n"/>
      <c r="DA12" s="27" t="n"/>
      <c r="DB12" s="27" t="n"/>
      <c r="DC12" s="27" t="n"/>
      <c r="DD12" s="27" t="n"/>
      <c r="DE12" s="27" t="n"/>
      <c r="DF12" s="27" t="n"/>
      <c r="DG12" s="27" t="n"/>
    </row>
    <row r="13">
      <c r="A13" s="24">
        <f>'클럭 정리'!A34</f>
        <v/>
      </c>
      <c r="B13" s="25">
        <f>'클럭 정리'!O34</f>
        <v/>
      </c>
      <c r="C13" s="25">
        <f>'클럭 정리'!O34</f>
        <v/>
      </c>
      <c r="D13" s="25">
        <f>'클럭 정리'!O34</f>
        <v/>
      </c>
      <c r="E13" s="25">
        <f>'클럭 정리'!O34</f>
        <v/>
      </c>
      <c r="F13" s="25">
        <f>'클럭 정리'!O34</f>
        <v/>
      </c>
      <c r="G13" s="25">
        <f>'클럭 정리'!O34</f>
        <v/>
      </c>
      <c r="H13" s="27" t="n"/>
      <c r="I13" s="25">
        <f>'클럭 정리'!O34</f>
        <v/>
      </c>
      <c r="P13" s="26">
        <f>'클럭 정리'!A14</f>
        <v/>
      </c>
      <c r="Q13" s="25">
        <f>'클럭 정리'!O14</f>
        <v/>
      </c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  <c r="AP13" s="27" t="n"/>
      <c r="AQ13" s="27" t="n"/>
      <c r="AR13" s="27" t="n"/>
      <c r="AS13" s="27" t="n"/>
      <c r="AT13" s="27" t="n"/>
      <c r="AU13" s="27" t="n"/>
      <c r="AV13" s="27" t="n"/>
      <c r="AW13" s="27" t="n"/>
      <c r="AX13" s="27" t="n"/>
      <c r="AY13" s="27" t="n"/>
      <c r="AZ13" s="27" t="n"/>
      <c r="BA13" s="27" t="n"/>
      <c r="BB13" s="27" t="n"/>
      <c r="BC13" s="27" t="n"/>
      <c r="BD13" s="27" t="n"/>
      <c r="BE13" s="27" t="n"/>
      <c r="BF13" s="27" t="n"/>
      <c r="BG13" s="27" t="n"/>
      <c r="BH13" s="27" t="n"/>
      <c r="BI13" s="27" t="n"/>
      <c r="BJ13" s="27" t="n"/>
      <c r="BK13" s="27" t="n"/>
      <c r="BL13" s="27" t="n"/>
      <c r="BM13" s="27" t="n"/>
      <c r="BN13" s="27" t="n"/>
      <c r="BO13" s="27" t="n"/>
      <c r="BP13" s="27" t="n"/>
      <c r="BQ13" s="27" t="n"/>
      <c r="BR13" s="27" t="n"/>
      <c r="BS13" s="27" t="n"/>
      <c r="BT13" s="27" t="n"/>
      <c r="BU13" s="27" t="n"/>
      <c r="BV13" s="27" t="n"/>
      <c r="BW13" s="27" t="n"/>
      <c r="BX13" s="27" t="n"/>
      <c r="BY13" s="27" t="n"/>
      <c r="BZ13" s="27" t="n"/>
      <c r="CA13" s="27" t="n"/>
      <c r="CB13" s="27" t="n"/>
      <c r="CC13" s="27" t="n"/>
      <c r="CD13" s="27" t="n"/>
      <c r="CE13" s="27" t="n"/>
      <c r="CF13" s="27" t="n"/>
      <c r="CG13" s="27" t="n"/>
      <c r="CH13" s="27" t="n"/>
      <c r="CI13" s="27" t="n"/>
      <c r="CJ13" s="27" t="n"/>
      <c r="CK13" s="27" t="n"/>
      <c r="CL13" s="27" t="n"/>
      <c r="CM13" s="27" t="n"/>
      <c r="CN13" s="27" t="n"/>
      <c r="CO13" s="27" t="n"/>
      <c r="CP13" s="27" t="n"/>
      <c r="CQ13" s="27" t="n"/>
      <c r="CR13" s="27" t="n"/>
      <c r="CS13" s="27" t="n"/>
      <c r="CT13" s="27" t="n"/>
      <c r="CU13" s="27" t="n"/>
      <c r="CV13" s="27" t="n"/>
      <c r="CW13" s="27" t="n"/>
      <c r="CX13" s="27" t="n"/>
      <c r="CY13" s="27" t="n"/>
      <c r="CZ13" s="27" t="n"/>
      <c r="DA13" s="27" t="n"/>
      <c r="DB13" s="27" t="n"/>
      <c r="DC13" s="27" t="n"/>
      <c r="DD13" s="27" t="n"/>
      <c r="DE13" s="27" t="n"/>
      <c r="DF13" s="27" t="n"/>
      <c r="DG13" s="27" t="n"/>
    </row>
    <row r="14">
      <c r="P14" s="26">
        <f>'클럭 정리'!A15</f>
        <v/>
      </c>
      <c r="Q14" s="25">
        <f>'클럭 정리'!O15</f>
        <v/>
      </c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  <c r="AO14" s="27" t="n"/>
      <c r="AP14" s="27" t="n"/>
      <c r="AQ14" s="27" t="n"/>
      <c r="AR14" s="27" t="n"/>
      <c r="AS14" s="27" t="n"/>
      <c r="AT14" s="27" t="n"/>
      <c r="AU14" s="27" t="n"/>
      <c r="AV14" s="27" t="n"/>
      <c r="AW14" s="27" t="n"/>
      <c r="AX14" s="27" t="n"/>
      <c r="AY14" s="27" t="n"/>
      <c r="AZ14" s="27" t="n"/>
      <c r="BA14" s="27" t="n"/>
      <c r="BB14" s="27" t="n"/>
      <c r="BC14" s="27" t="n"/>
      <c r="BD14" s="27" t="n"/>
      <c r="BE14" s="27" t="n"/>
      <c r="BF14" s="27" t="n"/>
      <c r="BG14" s="27" t="n"/>
      <c r="BH14" s="27" t="n"/>
      <c r="BI14" s="27" t="n"/>
      <c r="BJ14" s="27" t="n"/>
      <c r="BK14" s="27" t="n"/>
      <c r="BL14" s="27" t="n"/>
      <c r="BM14" s="27" t="n"/>
      <c r="BN14" s="27" t="n"/>
      <c r="BO14" s="27" t="n"/>
      <c r="BP14" s="27" t="n"/>
      <c r="BQ14" s="27" t="n"/>
      <c r="BR14" s="27" t="n"/>
      <c r="BS14" s="27" t="n"/>
      <c r="BT14" s="27" t="n"/>
      <c r="BU14" s="27" t="n"/>
      <c r="BV14" s="27" t="n"/>
      <c r="BW14" s="27" t="n"/>
      <c r="BX14" s="27" t="n"/>
      <c r="BY14" s="27" t="n"/>
      <c r="BZ14" s="27" t="n"/>
      <c r="CA14" s="27" t="n"/>
      <c r="CB14" s="27" t="n"/>
      <c r="CC14" s="27" t="n"/>
      <c r="CD14" s="27" t="n"/>
      <c r="CE14" s="27" t="n"/>
      <c r="CF14" s="27" t="n"/>
      <c r="CG14" s="27" t="n"/>
      <c r="CH14" s="27" t="n"/>
      <c r="CI14" s="27" t="n"/>
      <c r="CJ14" s="27" t="n"/>
      <c r="CK14" s="27" t="n"/>
      <c r="CL14" s="27" t="n"/>
      <c r="CM14" s="27" t="n"/>
      <c r="CN14" s="27" t="n"/>
      <c r="CO14" s="27" t="n"/>
      <c r="CP14" s="27" t="n"/>
      <c r="CQ14" s="27" t="n"/>
      <c r="CR14" s="27" t="n"/>
      <c r="CS14" s="27" t="n"/>
      <c r="CT14" s="27" t="n"/>
      <c r="CU14" s="27" t="n"/>
      <c r="CV14" s="27" t="n"/>
      <c r="CW14" s="27" t="n"/>
      <c r="CX14" s="27" t="n"/>
      <c r="CY14" s="27" t="n"/>
      <c r="CZ14" s="27" t="n"/>
      <c r="DA14" s="27" t="n"/>
      <c r="DB14" s="27" t="n"/>
      <c r="DC14" s="27" t="n"/>
      <c r="DD14" s="27" t="n"/>
      <c r="DE14" s="27" t="n"/>
      <c r="DF14" s="27" t="n"/>
      <c r="DG14" s="27" t="n"/>
    </row>
    <row r="15">
      <c r="A15" s="2" t="inlineStr">
        <is>
          <t>병렬도 12 분할 36 측정 3회차 (스레드별 클럭, GHz)</t>
        </is>
      </c>
      <c r="P15" s="26">
        <f>'클럭 정리'!A16</f>
        <v/>
      </c>
      <c r="Q15" s="25">
        <f>'클럭 정리'!O16</f>
        <v/>
      </c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7" t="n"/>
      <c r="CZ15" s="27" t="n"/>
      <c r="DA15" s="27" t="n"/>
      <c r="DB15" s="27" t="n"/>
      <c r="DC15" s="27" t="n"/>
      <c r="DD15" s="27" t="n"/>
      <c r="DE15" s="27" t="n"/>
      <c r="DF15" s="27" t="n"/>
      <c r="DG15" s="27" t="n"/>
    </row>
    <row r="16">
      <c r="A16" s="23" t="inlineStr">
        <is>
          <t>시각</t>
        </is>
      </c>
      <c r="B16" s="23" t="inlineStr">
        <is>
          <t>ForkJoinPool-13-worker-1</t>
        </is>
      </c>
      <c r="C16" s="23" t="inlineStr">
        <is>
          <t>ForkJoinPool-13-worker-10</t>
        </is>
      </c>
      <c r="D16" s="23" t="inlineStr">
        <is>
          <t>ForkJoinPool-13-worker-11</t>
        </is>
      </c>
      <c r="E16" s="23" t="inlineStr">
        <is>
          <t>ForkJoinPool-13-worker-12</t>
        </is>
      </c>
      <c r="F16" s="23" t="inlineStr">
        <is>
          <t>ForkJoinPool-13-worker-2</t>
        </is>
      </c>
      <c r="G16" s="23" t="inlineStr">
        <is>
          <t>ForkJoinPool-13-worker-3</t>
        </is>
      </c>
      <c r="H16" s="23" t="inlineStr">
        <is>
          <t>ForkJoinPool-13-worker-4</t>
        </is>
      </c>
      <c r="I16" s="23" t="inlineStr">
        <is>
          <t>ForkJoinPool-13-worker-5</t>
        </is>
      </c>
      <c r="J16" s="23" t="inlineStr">
        <is>
          <t>ForkJoinPool-13-worker-6</t>
        </is>
      </c>
      <c r="K16" s="23" t="inlineStr">
        <is>
          <t>ForkJoinPool-13-worker-7</t>
        </is>
      </c>
      <c r="L16" s="23" t="inlineStr">
        <is>
          <t>ForkJoinPool-13-worker-8</t>
        </is>
      </c>
      <c r="M16" s="23" t="inlineStr">
        <is>
          <t>ForkJoinPool-13-worker-9</t>
        </is>
      </c>
      <c r="N16" s="23" t="inlineStr">
        <is>
          <t>main</t>
        </is>
      </c>
      <c r="P16" s="26">
        <f>'클럭 정리'!A17</f>
        <v/>
      </c>
      <c r="Q16" s="25">
        <f>'클럭 정리'!O17</f>
        <v/>
      </c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  <c r="AS16" s="27" t="n"/>
      <c r="AT16" s="27" t="n"/>
      <c r="AU16" s="27" t="n"/>
      <c r="AV16" s="27" t="n"/>
      <c r="AW16" s="27" t="n"/>
      <c r="AX16" s="27" t="n"/>
      <c r="AY16" s="27" t="n"/>
      <c r="AZ16" s="27" t="n"/>
      <c r="BA16" s="27" t="n"/>
      <c r="BB16" s="27" t="n"/>
      <c r="BC16" s="27" t="n"/>
      <c r="BD16" s="27" t="n"/>
      <c r="BE16" s="27" t="n"/>
      <c r="BF16" s="27" t="n"/>
      <c r="BG16" s="27" t="n"/>
      <c r="BH16" s="27" t="n"/>
      <c r="BI16" s="27" t="n"/>
      <c r="BJ16" s="27" t="n"/>
      <c r="BK16" s="27" t="n"/>
      <c r="BL16" s="27" t="n"/>
      <c r="BM16" s="27" t="n"/>
      <c r="BN16" s="27" t="n"/>
      <c r="BO16" s="27" t="n"/>
      <c r="BP16" s="27" t="n"/>
      <c r="BQ16" s="27" t="n"/>
      <c r="BR16" s="27" t="n"/>
      <c r="BS16" s="27" t="n"/>
      <c r="BT16" s="27" t="n"/>
      <c r="BU16" s="27" t="n"/>
      <c r="BV16" s="27" t="n"/>
      <c r="BW16" s="27" t="n"/>
      <c r="BX16" s="27" t="n"/>
      <c r="BY16" s="27" t="n"/>
      <c r="BZ16" s="27" t="n"/>
      <c r="CA16" s="27" t="n"/>
      <c r="CB16" s="27" t="n"/>
      <c r="CC16" s="27" t="n"/>
      <c r="CD16" s="27" t="n"/>
      <c r="CE16" s="27" t="n"/>
      <c r="CF16" s="27" t="n"/>
      <c r="CG16" s="27" t="n"/>
      <c r="CH16" s="27" t="n"/>
      <c r="CI16" s="27" t="n"/>
      <c r="CJ16" s="27" t="n"/>
      <c r="CK16" s="27" t="n"/>
      <c r="CL16" s="27" t="n"/>
      <c r="CM16" s="27" t="n"/>
      <c r="CN16" s="27" t="n"/>
      <c r="CO16" s="27" t="n"/>
      <c r="CP16" s="27" t="n"/>
      <c r="CQ16" s="27" t="n"/>
      <c r="CR16" s="27" t="n"/>
      <c r="CS16" s="27" t="n"/>
      <c r="CT16" s="27" t="n"/>
      <c r="CU16" s="27" t="n"/>
      <c r="CV16" s="27" t="n"/>
      <c r="CW16" s="27" t="n"/>
      <c r="CX16" s="27" t="n"/>
      <c r="CY16" s="27" t="n"/>
      <c r="CZ16" s="27" t="n"/>
      <c r="DA16" s="27" t="n"/>
      <c r="DB16" s="27" t="n"/>
      <c r="DC16" s="27" t="n"/>
      <c r="DD16" s="27" t="n"/>
      <c r="DE16" s="27" t="n"/>
      <c r="DF16" s="27" t="n"/>
      <c r="DG16" s="27" t="n"/>
    </row>
    <row r="17">
      <c r="A17" s="24">
        <f>'클럭 정리'!A36</f>
        <v/>
      </c>
      <c r="B17" s="25">
        <f>'클럭 정리'!O36</f>
        <v/>
      </c>
      <c r="C17" s="25">
        <f>'클럭 정리'!O36</f>
        <v/>
      </c>
      <c r="D17" s="25">
        <f>'클럭 정리'!O36</f>
        <v/>
      </c>
      <c r="E17" s="25">
        <f>'클럭 정리'!O36</f>
        <v/>
      </c>
      <c r="F17" s="25">
        <f>'클럭 정리'!O36</f>
        <v/>
      </c>
      <c r="G17" s="25">
        <f>'클럭 정리'!O36</f>
        <v/>
      </c>
      <c r="H17" s="25">
        <f>'클럭 정리'!O36</f>
        <v/>
      </c>
      <c r="I17" s="25">
        <f>'클럭 정리'!O36</f>
        <v/>
      </c>
      <c r="J17" s="25">
        <f>'클럭 정리'!O36</f>
        <v/>
      </c>
      <c r="K17" s="25">
        <f>'클럭 정리'!O36</f>
        <v/>
      </c>
      <c r="L17" s="25">
        <f>'클럭 정리'!O36</f>
        <v/>
      </c>
      <c r="M17" s="25">
        <f>'클럭 정리'!O36</f>
        <v/>
      </c>
      <c r="N17" s="25">
        <f>'클럭 정리'!O36</f>
        <v/>
      </c>
      <c r="P17" s="26">
        <f>'클럭 정리'!A18</f>
        <v/>
      </c>
      <c r="Q17" s="25">
        <f>'클럭 정리'!O18</f>
        <v/>
      </c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7" t="n"/>
      <c r="AR17" s="27" t="n"/>
      <c r="AS17" s="27" t="n"/>
      <c r="AT17" s="27" t="n"/>
      <c r="AU17" s="27" t="n"/>
      <c r="AV17" s="27" t="n"/>
      <c r="AW17" s="27" t="n"/>
      <c r="AX17" s="27" t="n"/>
      <c r="AY17" s="27" t="n"/>
      <c r="AZ17" s="27" t="n"/>
      <c r="BA17" s="27" t="n"/>
      <c r="BB17" s="27" t="n"/>
      <c r="BC17" s="27" t="n"/>
      <c r="BD17" s="27" t="n"/>
      <c r="BE17" s="27" t="n"/>
      <c r="BF17" s="27" t="n"/>
      <c r="BG17" s="27" t="n"/>
      <c r="BH17" s="27" t="n"/>
      <c r="BI17" s="27" t="n"/>
      <c r="BJ17" s="27" t="n"/>
      <c r="BK17" s="27" t="n"/>
      <c r="BL17" s="27" t="n"/>
      <c r="BM17" s="27" t="n"/>
      <c r="BN17" s="27" t="n"/>
      <c r="BO17" s="27" t="n"/>
      <c r="BP17" s="27" t="n"/>
      <c r="BQ17" s="27" t="n"/>
      <c r="BR17" s="27" t="n"/>
      <c r="BS17" s="27" t="n"/>
      <c r="BT17" s="27" t="n"/>
      <c r="BU17" s="27" t="n"/>
      <c r="BV17" s="27" t="n"/>
      <c r="BW17" s="27" t="n"/>
      <c r="BX17" s="27" t="n"/>
      <c r="BY17" s="27" t="n"/>
      <c r="BZ17" s="27" t="n"/>
      <c r="CA17" s="27" t="n"/>
      <c r="CB17" s="27" t="n"/>
      <c r="CC17" s="27" t="n"/>
      <c r="CD17" s="27" t="n"/>
      <c r="CE17" s="27" t="n"/>
      <c r="CF17" s="27" t="n"/>
      <c r="CG17" s="27" t="n"/>
      <c r="CH17" s="27" t="n"/>
      <c r="CI17" s="27" t="n"/>
      <c r="CJ17" s="27" t="n"/>
      <c r="CK17" s="27" t="n"/>
      <c r="CL17" s="27" t="n"/>
      <c r="CM17" s="27" t="n"/>
      <c r="CN17" s="27" t="n"/>
      <c r="CO17" s="27" t="n"/>
      <c r="CP17" s="27" t="n"/>
      <c r="CQ17" s="27" t="n"/>
      <c r="CR17" s="27" t="n"/>
      <c r="CS17" s="27" t="n"/>
      <c r="CT17" s="27" t="n"/>
      <c r="CU17" s="27" t="n"/>
      <c r="CV17" s="27" t="n"/>
      <c r="CW17" s="27" t="n"/>
      <c r="CX17" s="27" t="n"/>
      <c r="CY17" s="27" t="n"/>
      <c r="CZ17" s="27" t="n"/>
      <c r="DA17" s="27" t="n"/>
      <c r="DB17" s="27" t="n"/>
      <c r="DC17" s="27" t="n"/>
      <c r="DD17" s="27" t="n"/>
      <c r="DE17" s="27" t="n"/>
      <c r="DF17" s="27" t="n"/>
      <c r="DG17" s="27" t="n"/>
    </row>
    <row r="18">
      <c r="P18" s="26">
        <f>'클럭 정리'!A19</f>
        <v/>
      </c>
      <c r="Q18" s="25">
        <f>'클럭 정리'!O19</f>
        <v/>
      </c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  <c r="AQ18" s="27" t="n"/>
      <c r="AR18" s="27" t="n"/>
      <c r="AS18" s="27" t="n"/>
      <c r="AT18" s="27" t="n"/>
      <c r="AU18" s="27" t="n"/>
      <c r="AV18" s="27" t="n"/>
      <c r="AW18" s="27" t="n"/>
      <c r="AX18" s="27" t="n"/>
      <c r="AY18" s="27" t="n"/>
      <c r="AZ18" s="27" t="n"/>
      <c r="BA18" s="27" t="n"/>
      <c r="BB18" s="27" t="n"/>
      <c r="BC18" s="27" t="n"/>
      <c r="BD18" s="27" t="n"/>
      <c r="BE18" s="27" t="n"/>
      <c r="BF18" s="27" t="n"/>
      <c r="BG18" s="27" t="n"/>
      <c r="BH18" s="27" t="n"/>
      <c r="BI18" s="27" t="n"/>
      <c r="BJ18" s="27" t="n"/>
      <c r="BK18" s="27" t="n"/>
      <c r="BL18" s="27" t="n"/>
      <c r="BM18" s="27" t="n"/>
      <c r="BN18" s="27" t="n"/>
      <c r="BO18" s="27" t="n"/>
      <c r="BP18" s="27" t="n"/>
      <c r="BQ18" s="27" t="n"/>
      <c r="BR18" s="27" t="n"/>
      <c r="BS18" s="27" t="n"/>
      <c r="BT18" s="27" t="n"/>
      <c r="BU18" s="27" t="n"/>
      <c r="BV18" s="27" t="n"/>
      <c r="BW18" s="27" t="n"/>
      <c r="BX18" s="27" t="n"/>
      <c r="BY18" s="27" t="n"/>
      <c r="BZ18" s="27" t="n"/>
      <c r="CA18" s="27" t="n"/>
      <c r="CB18" s="27" t="n"/>
      <c r="CC18" s="27" t="n"/>
      <c r="CD18" s="27" t="n"/>
      <c r="CE18" s="27" t="n"/>
      <c r="CF18" s="27" t="n"/>
      <c r="CG18" s="27" t="n"/>
      <c r="CH18" s="27" t="n"/>
      <c r="CI18" s="27" t="n"/>
      <c r="CJ18" s="27" t="n"/>
      <c r="CK18" s="27" t="n"/>
      <c r="CL18" s="27" t="n"/>
      <c r="CM18" s="27" t="n"/>
      <c r="CN18" s="27" t="n"/>
      <c r="CO18" s="27" t="n"/>
      <c r="CP18" s="27" t="n"/>
      <c r="CQ18" s="27" t="n"/>
      <c r="CR18" s="27" t="n"/>
      <c r="CS18" s="27" t="n"/>
      <c r="CT18" s="27" t="n"/>
      <c r="CU18" s="27" t="n"/>
      <c r="CV18" s="27" t="n"/>
      <c r="CW18" s="27" t="n"/>
      <c r="CX18" s="27" t="n"/>
      <c r="CY18" s="27" t="n"/>
      <c r="CZ18" s="27" t="n"/>
      <c r="DA18" s="27" t="n"/>
      <c r="DB18" s="27" t="n"/>
      <c r="DC18" s="27" t="n"/>
      <c r="DD18" s="27" t="n"/>
      <c r="DE18" s="27" t="n"/>
      <c r="DF18" s="27" t="n"/>
      <c r="DG18" s="27" t="n"/>
    </row>
    <row r="19">
      <c r="P19" s="26">
        <f>'클럭 정리'!A20</f>
        <v/>
      </c>
      <c r="Q19" s="25">
        <f>'클럭 정리'!O20</f>
        <v/>
      </c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  <c r="AO19" s="27" t="n"/>
      <c r="AP19" s="27" t="n"/>
      <c r="AQ19" s="27" t="n"/>
      <c r="AR19" s="27" t="n"/>
      <c r="AS19" s="27" t="n"/>
      <c r="AT19" s="27" t="n"/>
      <c r="AU19" s="27" t="n"/>
      <c r="AV19" s="27" t="n"/>
      <c r="AW19" s="27" t="n"/>
      <c r="AX19" s="27" t="n"/>
      <c r="AY19" s="27" t="n"/>
      <c r="AZ19" s="27" t="n"/>
      <c r="BA19" s="27" t="n"/>
      <c r="BB19" s="27" t="n"/>
      <c r="BC19" s="27" t="n"/>
      <c r="BD19" s="27" t="n"/>
      <c r="BE19" s="27" t="n"/>
      <c r="BF19" s="27" t="n"/>
      <c r="BG19" s="27" t="n"/>
      <c r="BH19" s="27" t="n"/>
      <c r="BI19" s="27" t="n"/>
      <c r="BJ19" s="27" t="n"/>
      <c r="BK19" s="27" t="n"/>
      <c r="BL19" s="27" t="n"/>
      <c r="BM19" s="27" t="n"/>
      <c r="BN19" s="27" t="n"/>
      <c r="BO19" s="27" t="n"/>
      <c r="BP19" s="27" t="n"/>
      <c r="BQ19" s="27" t="n"/>
      <c r="BR19" s="27" t="n"/>
      <c r="BS19" s="27" t="n"/>
      <c r="BT19" s="27" t="n"/>
      <c r="BU19" s="27" t="n"/>
      <c r="BV19" s="27" t="n"/>
      <c r="BW19" s="27" t="n"/>
      <c r="BX19" s="27" t="n"/>
      <c r="BY19" s="27" t="n"/>
      <c r="BZ19" s="27" t="n"/>
      <c r="CA19" s="27" t="n"/>
      <c r="CB19" s="27" t="n"/>
      <c r="CC19" s="27" t="n"/>
      <c r="CD19" s="27" t="n"/>
      <c r="CE19" s="27" t="n"/>
      <c r="CF19" s="27" t="n"/>
      <c r="CG19" s="27" t="n"/>
      <c r="CH19" s="27" t="n"/>
      <c r="CI19" s="27" t="n"/>
      <c r="CJ19" s="27" t="n"/>
      <c r="CK19" s="27" t="n"/>
      <c r="CL19" s="27" t="n"/>
      <c r="CM19" s="27" t="n"/>
      <c r="CN19" s="27" t="n"/>
      <c r="CO19" s="27" t="n"/>
      <c r="CP19" s="27" t="n"/>
      <c r="CQ19" s="27" t="n"/>
      <c r="CR19" s="27" t="n"/>
      <c r="CS19" s="27" t="n"/>
      <c r="CT19" s="27" t="n"/>
      <c r="CU19" s="27" t="n"/>
      <c r="CV19" s="27" t="n"/>
      <c r="CW19" s="27" t="n"/>
      <c r="CX19" s="27" t="n"/>
      <c r="CY19" s="27" t="n"/>
      <c r="CZ19" s="27" t="n"/>
      <c r="DA19" s="27" t="n"/>
      <c r="DB19" s="27" t="n"/>
      <c r="DC19" s="27" t="n"/>
      <c r="DD19" s="27" t="n"/>
      <c r="DE19" s="27" t="n"/>
      <c r="DF19" s="27" t="n"/>
      <c r="DG19" s="27" t="n"/>
    </row>
    <row r="20">
      <c r="P20" s="26">
        <f>'클럭 정리'!A21</f>
        <v/>
      </c>
      <c r="Q20" s="25">
        <f>'클럭 정리'!O21</f>
        <v/>
      </c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  <c r="AR20" s="27" t="n"/>
      <c r="AS20" s="27" t="n"/>
      <c r="AT20" s="27" t="n"/>
      <c r="AU20" s="27" t="n"/>
      <c r="AV20" s="27" t="n"/>
      <c r="AW20" s="27" t="n"/>
      <c r="AX20" s="27" t="n"/>
      <c r="AY20" s="27" t="n"/>
      <c r="AZ20" s="27" t="n"/>
      <c r="BA20" s="27" t="n"/>
      <c r="BB20" s="27" t="n"/>
      <c r="BC20" s="27" t="n"/>
      <c r="BD20" s="27" t="n"/>
      <c r="BE20" s="27" t="n"/>
      <c r="BF20" s="27" t="n"/>
      <c r="BG20" s="27" t="n"/>
      <c r="BH20" s="27" t="n"/>
      <c r="BI20" s="27" t="n"/>
      <c r="BJ20" s="27" t="n"/>
      <c r="BK20" s="27" t="n"/>
      <c r="BL20" s="27" t="n"/>
      <c r="BM20" s="27" t="n"/>
      <c r="BN20" s="27" t="n"/>
      <c r="BO20" s="27" t="n"/>
      <c r="BP20" s="27" t="n"/>
      <c r="BQ20" s="27" t="n"/>
      <c r="BR20" s="27" t="n"/>
      <c r="BS20" s="27" t="n"/>
      <c r="BT20" s="27" t="n"/>
      <c r="BU20" s="27" t="n"/>
      <c r="BV20" s="27" t="n"/>
      <c r="BW20" s="27" t="n"/>
      <c r="BX20" s="27" t="n"/>
      <c r="BY20" s="27" t="n"/>
      <c r="BZ20" s="27" t="n"/>
      <c r="CA20" s="27" t="n"/>
      <c r="CB20" s="27" t="n"/>
      <c r="CC20" s="27" t="n"/>
      <c r="CD20" s="27" t="n"/>
      <c r="CE20" s="27" t="n"/>
      <c r="CF20" s="27" t="n"/>
      <c r="CG20" s="27" t="n"/>
      <c r="CH20" s="27" t="n"/>
      <c r="CI20" s="27" t="n"/>
      <c r="CJ20" s="27" t="n"/>
      <c r="CK20" s="27" t="n"/>
      <c r="CL20" s="27" t="n"/>
      <c r="CM20" s="27" t="n"/>
      <c r="CN20" s="27" t="n"/>
      <c r="CO20" s="27" t="n"/>
      <c r="CP20" s="27" t="n"/>
      <c r="CQ20" s="27" t="n"/>
      <c r="CR20" s="27" t="n"/>
      <c r="CS20" s="27" t="n"/>
      <c r="CT20" s="27" t="n"/>
      <c r="CU20" s="27" t="n"/>
      <c r="CV20" s="27" t="n"/>
      <c r="CW20" s="27" t="n"/>
      <c r="CX20" s="27" t="n"/>
      <c r="CY20" s="27" t="n"/>
      <c r="CZ20" s="27" t="n"/>
      <c r="DA20" s="27" t="n"/>
      <c r="DB20" s="27" t="n"/>
      <c r="DC20" s="27" t="n"/>
      <c r="DD20" s="27" t="n"/>
      <c r="DE20" s="27" t="n"/>
      <c r="DF20" s="27" t="n"/>
      <c r="DG20" s="27" t="n"/>
    </row>
    <row r="21">
      <c r="P21" s="26">
        <f>'클럭 정리'!A22</f>
        <v/>
      </c>
      <c r="Q21" s="25">
        <f>'클럭 정리'!O22</f>
        <v/>
      </c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  <c r="AS21" s="27" t="n"/>
      <c r="AT21" s="27" t="n"/>
      <c r="AU21" s="27" t="n"/>
      <c r="AV21" s="27" t="n"/>
      <c r="AW21" s="27" t="n"/>
      <c r="AX21" s="27" t="n"/>
      <c r="AY21" s="27" t="n"/>
      <c r="AZ21" s="27" t="n"/>
      <c r="BA21" s="27" t="n"/>
      <c r="BB21" s="27" t="n"/>
      <c r="BC21" s="27" t="n"/>
      <c r="BD21" s="27" t="n"/>
      <c r="BE21" s="27" t="n"/>
      <c r="BF21" s="27" t="n"/>
      <c r="BG21" s="27" t="n"/>
      <c r="BH21" s="27" t="n"/>
      <c r="BI21" s="27" t="n"/>
      <c r="BJ21" s="27" t="n"/>
      <c r="BK21" s="27" t="n"/>
      <c r="BL21" s="27" t="n"/>
      <c r="BM21" s="27" t="n"/>
      <c r="BN21" s="27" t="n"/>
      <c r="BO21" s="27" t="n"/>
      <c r="BP21" s="27" t="n"/>
      <c r="BQ21" s="27" t="n"/>
      <c r="BR21" s="27" t="n"/>
      <c r="BS21" s="27" t="n"/>
      <c r="BT21" s="27" t="n"/>
      <c r="BU21" s="27" t="n"/>
      <c r="BV21" s="27" t="n"/>
      <c r="BW21" s="27" t="n"/>
      <c r="BX21" s="27" t="n"/>
      <c r="BY21" s="27" t="n"/>
      <c r="BZ21" s="27" t="n"/>
      <c r="CA21" s="27" t="n"/>
      <c r="CB21" s="27" t="n"/>
      <c r="CC21" s="27" t="n"/>
      <c r="CD21" s="27" t="n"/>
      <c r="CE21" s="27" t="n"/>
      <c r="CF21" s="27" t="n"/>
      <c r="CG21" s="27" t="n"/>
      <c r="CH21" s="27" t="n"/>
      <c r="CI21" s="27" t="n"/>
      <c r="CJ21" s="27" t="n"/>
      <c r="CK21" s="27" t="n"/>
      <c r="CL21" s="27" t="n"/>
      <c r="CM21" s="27" t="n"/>
      <c r="CN21" s="27" t="n"/>
      <c r="CO21" s="27" t="n"/>
      <c r="CP21" s="27" t="n"/>
      <c r="CQ21" s="27" t="n"/>
      <c r="CR21" s="27" t="n"/>
      <c r="CS21" s="27" t="n"/>
      <c r="CT21" s="27" t="n"/>
      <c r="CU21" s="27" t="n"/>
      <c r="CV21" s="27" t="n"/>
      <c r="CW21" s="27" t="n"/>
      <c r="CX21" s="27" t="n"/>
      <c r="CY21" s="27" t="n"/>
      <c r="CZ21" s="27" t="n"/>
      <c r="DA21" s="27" t="n"/>
      <c r="DB21" s="27" t="n"/>
      <c r="DC21" s="27" t="n"/>
      <c r="DD21" s="27" t="n"/>
      <c r="DE21" s="27" t="n"/>
      <c r="DF21" s="27" t="n"/>
      <c r="DG21" s="27" t="n"/>
    </row>
    <row r="22">
      <c r="P22" s="26">
        <f>'클럭 정리'!A23</f>
        <v/>
      </c>
      <c r="Q22" s="25">
        <f>'클럭 정리'!O23</f>
        <v/>
      </c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  <c r="AP22" s="27" t="n"/>
      <c r="AQ22" s="27" t="n"/>
      <c r="AR22" s="27" t="n"/>
      <c r="AS22" s="27" t="n"/>
      <c r="AT22" s="27" t="n"/>
      <c r="AU22" s="27" t="n"/>
      <c r="AV22" s="27" t="n"/>
      <c r="AW22" s="27" t="n"/>
      <c r="AX22" s="27" t="n"/>
      <c r="AY22" s="27" t="n"/>
      <c r="AZ22" s="27" t="n"/>
      <c r="BA22" s="27" t="n"/>
      <c r="BB22" s="27" t="n"/>
      <c r="BC22" s="27" t="n"/>
      <c r="BD22" s="27" t="n"/>
      <c r="BE22" s="27" t="n"/>
      <c r="BF22" s="27" t="n"/>
      <c r="BG22" s="27" t="n"/>
      <c r="BH22" s="27" t="n"/>
      <c r="BI22" s="27" t="n"/>
      <c r="BJ22" s="27" t="n"/>
      <c r="BK22" s="27" t="n"/>
      <c r="BL22" s="27" t="n"/>
      <c r="BM22" s="27" t="n"/>
      <c r="BN22" s="27" t="n"/>
      <c r="BO22" s="27" t="n"/>
      <c r="BP22" s="27" t="n"/>
      <c r="BQ22" s="27" t="n"/>
      <c r="BR22" s="27" t="n"/>
      <c r="BS22" s="27" t="n"/>
      <c r="BT22" s="27" t="n"/>
      <c r="BU22" s="27" t="n"/>
      <c r="BV22" s="27" t="n"/>
      <c r="BW22" s="27" t="n"/>
      <c r="BX22" s="27" t="n"/>
      <c r="BY22" s="27" t="n"/>
      <c r="BZ22" s="27" t="n"/>
      <c r="CA22" s="27" t="n"/>
      <c r="CB22" s="27" t="n"/>
      <c r="CC22" s="27" t="n"/>
      <c r="CD22" s="27" t="n"/>
      <c r="CE22" s="27" t="n"/>
      <c r="CF22" s="27" t="n"/>
      <c r="CG22" s="27" t="n"/>
      <c r="CH22" s="27" t="n"/>
      <c r="CI22" s="27" t="n"/>
      <c r="CJ22" s="27" t="n"/>
      <c r="CK22" s="27" t="n"/>
      <c r="CL22" s="27" t="n"/>
      <c r="CM22" s="27" t="n"/>
      <c r="CN22" s="27" t="n"/>
      <c r="CO22" s="27" t="n"/>
      <c r="CP22" s="27" t="n"/>
      <c r="CQ22" s="27" t="n"/>
      <c r="CR22" s="27" t="n"/>
      <c r="CS22" s="27" t="n"/>
      <c r="CT22" s="27" t="n"/>
      <c r="CU22" s="27" t="n"/>
      <c r="CV22" s="27" t="n"/>
      <c r="CW22" s="27" t="n"/>
      <c r="CX22" s="27" t="n"/>
      <c r="CY22" s="27" t="n"/>
      <c r="CZ22" s="27" t="n"/>
      <c r="DA22" s="27" t="n"/>
      <c r="DB22" s="27" t="n"/>
      <c r="DC22" s="27" t="n"/>
      <c r="DD22" s="27" t="n"/>
      <c r="DE22" s="27" t="n"/>
      <c r="DF22" s="27" t="n"/>
      <c r="DG22" s="27" t="n"/>
    </row>
    <row r="23">
      <c r="P23" s="26">
        <f>'클럭 정리'!A24</f>
        <v/>
      </c>
      <c r="Q23" s="25">
        <f>'클럭 정리'!O24</f>
        <v/>
      </c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  <c r="AQ23" s="27" t="n"/>
      <c r="AR23" s="27" t="n"/>
      <c r="AS23" s="27" t="n"/>
      <c r="AT23" s="27" t="n"/>
      <c r="AU23" s="27" t="n"/>
      <c r="AV23" s="27" t="n"/>
      <c r="AW23" s="27" t="n"/>
      <c r="AX23" s="27" t="n"/>
      <c r="AY23" s="27" t="n"/>
      <c r="AZ23" s="27" t="n"/>
      <c r="BA23" s="27" t="n"/>
      <c r="BB23" s="27" t="n"/>
      <c r="BC23" s="27" t="n"/>
      <c r="BD23" s="27" t="n"/>
      <c r="BE23" s="27" t="n"/>
      <c r="BF23" s="27" t="n"/>
      <c r="BG23" s="27" t="n"/>
      <c r="BH23" s="27" t="n"/>
      <c r="BI23" s="27" t="n"/>
      <c r="BJ23" s="27" t="n"/>
      <c r="BK23" s="27" t="n"/>
      <c r="BL23" s="27" t="n"/>
      <c r="BM23" s="27" t="n"/>
      <c r="BN23" s="27" t="n"/>
      <c r="BO23" s="27" t="n"/>
      <c r="BP23" s="27" t="n"/>
      <c r="BQ23" s="27" t="n"/>
      <c r="BR23" s="27" t="n"/>
      <c r="BS23" s="27" t="n"/>
      <c r="BT23" s="27" t="n"/>
      <c r="BU23" s="27" t="n"/>
      <c r="BV23" s="27" t="n"/>
      <c r="BW23" s="27" t="n"/>
      <c r="BX23" s="27" t="n"/>
      <c r="BY23" s="27" t="n"/>
      <c r="BZ23" s="27" t="n"/>
      <c r="CA23" s="27" t="n"/>
      <c r="CB23" s="27" t="n"/>
      <c r="CC23" s="27" t="n"/>
      <c r="CD23" s="27" t="n"/>
      <c r="CE23" s="27" t="n"/>
      <c r="CF23" s="27" t="n"/>
      <c r="CG23" s="27" t="n"/>
      <c r="CH23" s="27" t="n"/>
      <c r="CI23" s="27" t="n"/>
      <c r="CJ23" s="27" t="n"/>
      <c r="CK23" s="27" t="n"/>
      <c r="CL23" s="27" t="n"/>
      <c r="CM23" s="27" t="n"/>
      <c r="CN23" s="27" t="n"/>
      <c r="CO23" s="27" t="n"/>
      <c r="CP23" s="27" t="n"/>
      <c r="CQ23" s="27" t="n"/>
      <c r="CR23" s="27" t="n"/>
      <c r="CS23" s="27" t="n"/>
      <c r="CT23" s="27" t="n"/>
      <c r="CU23" s="27" t="n"/>
      <c r="CV23" s="27" t="n"/>
      <c r="CW23" s="27" t="n"/>
      <c r="CX23" s="27" t="n"/>
      <c r="CY23" s="27" t="n"/>
      <c r="CZ23" s="27" t="n"/>
      <c r="DA23" s="27" t="n"/>
      <c r="DB23" s="27" t="n"/>
      <c r="DC23" s="27" t="n"/>
      <c r="DD23" s="27" t="n"/>
      <c r="DE23" s="27" t="n"/>
      <c r="DF23" s="27" t="n"/>
      <c r="DG23" s="27" t="n"/>
    </row>
    <row r="24">
      <c r="P24" s="26">
        <f>'클럭 정리'!A25</f>
        <v/>
      </c>
      <c r="Q24" s="25">
        <f>'클럭 정리'!O25</f>
        <v/>
      </c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  <c r="AP24" s="27" t="n"/>
      <c r="AQ24" s="27" t="n"/>
      <c r="AR24" s="27" t="n"/>
      <c r="AS24" s="27" t="n"/>
      <c r="AT24" s="27" t="n"/>
      <c r="AU24" s="27" t="n"/>
      <c r="AV24" s="27" t="n"/>
      <c r="AW24" s="27" t="n"/>
      <c r="AX24" s="27" t="n"/>
      <c r="AY24" s="27" t="n"/>
      <c r="AZ24" s="27" t="n"/>
      <c r="BA24" s="27" t="n"/>
      <c r="BB24" s="27" t="n"/>
      <c r="BC24" s="27" t="n"/>
      <c r="BD24" s="27" t="n"/>
      <c r="BE24" s="27" t="n"/>
      <c r="BF24" s="27" t="n"/>
      <c r="BG24" s="27" t="n"/>
      <c r="BH24" s="27" t="n"/>
      <c r="BI24" s="27" t="n"/>
      <c r="BJ24" s="27" t="n"/>
      <c r="BK24" s="27" t="n"/>
      <c r="BL24" s="27" t="n"/>
      <c r="BM24" s="27" t="n"/>
      <c r="BN24" s="27" t="n"/>
      <c r="BO24" s="27" t="n"/>
      <c r="BP24" s="27" t="n"/>
      <c r="BQ24" s="27" t="n"/>
      <c r="BR24" s="27" t="n"/>
      <c r="BS24" s="27" t="n"/>
      <c r="BT24" s="27" t="n"/>
      <c r="BU24" s="27" t="n"/>
      <c r="BV24" s="27" t="n"/>
      <c r="BW24" s="27" t="n"/>
      <c r="BX24" s="27" t="n"/>
      <c r="BY24" s="27" t="n"/>
      <c r="BZ24" s="27" t="n"/>
      <c r="CA24" s="27" t="n"/>
      <c r="CB24" s="27" t="n"/>
      <c r="CC24" s="27" t="n"/>
      <c r="CD24" s="27" t="n"/>
      <c r="CE24" s="27" t="n"/>
      <c r="CF24" s="27" t="n"/>
      <c r="CG24" s="27" t="n"/>
      <c r="CH24" s="27" t="n"/>
      <c r="CI24" s="27" t="n"/>
      <c r="CJ24" s="27" t="n"/>
      <c r="CK24" s="27" t="n"/>
      <c r="CL24" s="27" t="n"/>
      <c r="CM24" s="27" t="n"/>
      <c r="CN24" s="27" t="n"/>
      <c r="CO24" s="27" t="n"/>
      <c r="CP24" s="27" t="n"/>
      <c r="CQ24" s="27" t="n"/>
      <c r="CR24" s="27" t="n"/>
      <c r="CS24" s="27" t="n"/>
      <c r="CT24" s="27" t="n"/>
      <c r="CU24" s="27" t="n"/>
      <c r="CV24" s="27" t="n"/>
      <c r="CW24" s="27" t="n"/>
      <c r="CX24" s="27" t="n"/>
      <c r="CY24" s="27" t="n"/>
      <c r="CZ24" s="27" t="n"/>
      <c r="DA24" s="27" t="n"/>
      <c r="DB24" s="27" t="n"/>
      <c r="DC24" s="27" t="n"/>
      <c r="DD24" s="27" t="n"/>
      <c r="DE24" s="27" t="n"/>
      <c r="DF24" s="27" t="n"/>
      <c r="DG24" s="27" t="n"/>
    </row>
    <row r="25">
      <c r="P25" s="26">
        <f>'클럭 정리'!A26</f>
        <v/>
      </c>
      <c r="Q25" s="25">
        <f>'클럭 정리'!O26</f>
        <v/>
      </c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  <c r="AP25" s="27" t="n"/>
      <c r="AQ25" s="27" t="n"/>
      <c r="AR25" s="27" t="n"/>
      <c r="AS25" s="27" t="n"/>
      <c r="AT25" s="27" t="n"/>
      <c r="AU25" s="27" t="n"/>
      <c r="AV25" s="27" t="n"/>
      <c r="AW25" s="27" t="n"/>
      <c r="AX25" s="27" t="n"/>
      <c r="AY25" s="27" t="n"/>
      <c r="AZ25" s="27" t="n"/>
      <c r="BA25" s="27" t="n"/>
      <c r="BB25" s="27" t="n"/>
      <c r="BC25" s="27" t="n"/>
      <c r="BD25" s="27" t="n"/>
      <c r="BE25" s="27" t="n"/>
      <c r="BF25" s="27" t="n"/>
      <c r="BG25" s="27" t="n"/>
      <c r="BH25" s="27" t="n"/>
      <c r="BI25" s="27" t="n"/>
      <c r="BJ25" s="27" t="n"/>
      <c r="BK25" s="27" t="n"/>
      <c r="BL25" s="27" t="n"/>
      <c r="BM25" s="27" t="n"/>
      <c r="BN25" s="27" t="n"/>
      <c r="BO25" s="27" t="n"/>
      <c r="BP25" s="27" t="n"/>
      <c r="BQ25" s="27" t="n"/>
      <c r="BR25" s="27" t="n"/>
      <c r="BS25" s="27" t="n"/>
      <c r="BT25" s="27" t="n"/>
      <c r="BU25" s="27" t="n"/>
      <c r="BV25" s="27" t="n"/>
      <c r="BW25" s="27" t="n"/>
      <c r="BX25" s="27" t="n"/>
      <c r="BY25" s="27" t="n"/>
      <c r="BZ25" s="27" t="n"/>
      <c r="CA25" s="27" t="n"/>
      <c r="CB25" s="27" t="n"/>
      <c r="CC25" s="27" t="n"/>
      <c r="CD25" s="27" t="n"/>
      <c r="CE25" s="27" t="n"/>
      <c r="CF25" s="27" t="n"/>
      <c r="CG25" s="27" t="n"/>
      <c r="CH25" s="27" t="n"/>
      <c r="CI25" s="27" t="n"/>
      <c r="CJ25" s="27" t="n"/>
      <c r="CK25" s="27" t="n"/>
      <c r="CL25" s="27" t="n"/>
      <c r="CM25" s="27" t="n"/>
      <c r="CN25" s="27" t="n"/>
      <c r="CO25" s="27" t="n"/>
      <c r="CP25" s="27" t="n"/>
      <c r="CQ25" s="27" t="n"/>
      <c r="CR25" s="27" t="n"/>
      <c r="CS25" s="27" t="n"/>
      <c r="CT25" s="27" t="n"/>
      <c r="CU25" s="27" t="n"/>
      <c r="CV25" s="27" t="n"/>
      <c r="CW25" s="27" t="n"/>
      <c r="CX25" s="27" t="n"/>
      <c r="CY25" s="27" t="n"/>
      <c r="CZ25" s="27" t="n"/>
      <c r="DA25" s="27" t="n"/>
      <c r="DB25" s="27" t="n"/>
      <c r="DC25" s="27" t="n"/>
      <c r="DD25" s="27" t="n"/>
      <c r="DE25" s="27" t="n"/>
      <c r="DF25" s="27" t="n"/>
      <c r="DG25" s="27" t="n"/>
    </row>
    <row r="26">
      <c r="P26" s="26">
        <f>'클럭 정리'!A27</f>
        <v/>
      </c>
      <c r="Q26" s="25">
        <f>'클럭 정리'!O27</f>
        <v/>
      </c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  <c r="AP26" s="27" t="n"/>
      <c r="AQ26" s="27" t="n"/>
      <c r="AR26" s="27" t="n"/>
      <c r="AS26" s="27" t="n"/>
      <c r="AT26" s="27" t="n"/>
      <c r="AU26" s="27" t="n"/>
      <c r="AV26" s="27" t="n"/>
      <c r="AW26" s="27" t="n"/>
      <c r="AX26" s="27" t="n"/>
      <c r="AY26" s="27" t="n"/>
      <c r="AZ26" s="27" t="n"/>
      <c r="BA26" s="27" t="n"/>
      <c r="BB26" s="27" t="n"/>
      <c r="BC26" s="27" t="n"/>
      <c r="BD26" s="27" t="n"/>
      <c r="BE26" s="27" t="n"/>
      <c r="BF26" s="27" t="n"/>
      <c r="BG26" s="27" t="n"/>
      <c r="BH26" s="27" t="n"/>
      <c r="BI26" s="27" t="n"/>
      <c r="BJ26" s="27" t="n"/>
      <c r="BK26" s="27" t="n"/>
      <c r="BL26" s="27" t="n"/>
      <c r="BM26" s="27" t="n"/>
      <c r="BN26" s="27" t="n"/>
      <c r="BO26" s="27" t="n"/>
      <c r="BP26" s="27" t="n"/>
      <c r="BQ26" s="27" t="n"/>
      <c r="BR26" s="27" t="n"/>
      <c r="BS26" s="27" t="n"/>
      <c r="BT26" s="27" t="n"/>
      <c r="BU26" s="27" t="n"/>
      <c r="BV26" s="27" t="n"/>
      <c r="BW26" s="27" t="n"/>
      <c r="BX26" s="27" t="n"/>
      <c r="BY26" s="27" t="n"/>
      <c r="BZ26" s="27" t="n"/>
      <c r="CA26" s="27" t="n"/>
      <c r="CB26" s="27" t="n"/>
      <c r="CC26" s="27" t="n"/>
      <c r="CD26" s="27" t="n"/>
      <c r="CE26" s="27" t="n"/>
      <c r="CF26" s="27" t="n"/>
      <c r="CG26" s="27" t="n"/>
      <c r="CH26" s="27" t="n"/>
      <c r="CI26" s="27" t="n"/>
      <c r="CJ26" s="27" t="n"/>
      <c r="CK26" s="27" t="n"/>
      <c r="CL26" s="27" t="n"/>
      <c r="CM26" s="27" t="n"/>
      <c r="CN26" s="27" t="n"/>
      <c r="CO26" s="27" t="n"/>
      <c r="CP26" s="27" t="n"/>
      <c r="CQ26" s="27" t="n"/>
      <c r="CR26" s="27" t="n"/>
      <c r="CS26" s="27" t="n"/>
      <c r="CT26" s="27" t="n"/>
      <c r="CU26" s="27" t="n"/>
      <c r="CV26" s="27" t="n"/>
      <c r="CW26" s="27" t="n"/>
      <c r="CX26" s="27" t="n"/>
      <c r="CY26" s="27" t="n"/>
      <c r="CZ26" s="27" t="n"/>
      <c r="DA26" s="27" t="n"/>
      <c r="DB26" s="27" t="n"/>
      <c r="DC26" s="27" t="n"/>
      <c r="DD26" s="27" t="n"/>
      <c r="DE26" s="27" t="n"/>
      <c r="DF26" s="27" t="n"/>
      <c r="DG26" s="27" t="n"/>
    </row>
    <row r="27">
      <c r="P27" s="26">
        <f>'클럭 정리'!A28</f>
        <v/>
      </c>
      <c r="Q27" s="25">
        <f>'클럭 정리'!O28</f>
        <v/>
      </c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  <c r="AP27" s="27" t="n"/>
      <c r="AQ27" s="27" t="n"/>
      <c r="AR27" s="27" t="n"/>
      <c r="AS27" s="27" t="n"/>
      <c r="AT27" s="27" t="n"/>
      <c r="AU27" s="27" t="n"/>
      <c r="AV27" s="27" t="n"/>
      <c r="AW27" s="27" t="n"/>
      <c r="AX27" s="27" t="n"/>
      <c r="AY27" s="27" t="n"/>
      <c r="AZ27" s="27" t="n"/>
      <c r="BA27" s="27" t="n"/>
      <c r="BB27" s="27" t="n"/>
      <c r="BC27" s="27" t="n"/>
      <c r="BD27" s="27" t="n"/>
      <c r="BE27" s="27" t="n"/>
      <c r="BF27" s="27" t="n"/>
      <c r="BG27" s="27" t="n"/>
      <c r="BH27" s="27" t="n"/>
      <c r="BI27" s="27" t="n"/>
      <c r="BJ27" s="27" t="n"/>
      <c r="BK27" s="27" t="n"/>
      <c r="BL27" s="27" t="n"/>
      <c r="BM27" s="27" t="n"/>
      <c r="BN27" s="27" t="n"/>
      <c r="BO27" s="27" t="n"/>
      <c r="BP27" s="27" t="n"/>
      <c r="BQ27" s="27" t="n"/>
      <c r="BR27" s="27" t="n"/>
      <c r="BS27" s="27" t="n"/>
      <c r="BT27" s="27" t="n"/>
      <c r="BU27" s="27" t="n"/>
      <c r="BV27" s="27" t="n"/>
      <c r="BW27" s="27" t="n"/>
      <c r="BX27" s="27" t="n"/>
      <c r="BY27" s="27" t="n"/>
      <c r="BZ27" s="27" t="n"/>
      <c r="CA27" s="27" t="n"/>
      <c r="CB27" s="27" t="n"/>
      <c r="CC27" s="27" t="n"/>
      <c r="CD27" s="27" t="n"/>
      <c r="CE27" s="27" t="n"/>
      <c r="CF27" s="27" t="n"/>
      <c r="CG27" s="27" t="n"/>
      <c r="CH27" s="27" t="n"/>
      <c r="CI27" s="27" t="n"/>
      <c r="CJ27" s="27" t="n"/>
      <c r="CK27" s="27" t="n"/>
      <c r="CL27" s="27" t="n"/>
      <c r="CM27" s="27" t="n"/>
      <c r="CN27" s="27" t="n"/>
      <c r="CO27" s="27" t="n"/>
      <c r="CP27" s="27" t="n"/>
      <c r="CQ27" s="27" t="n"/>
      <c r="CR27" s="27" t="n"/>
      <c r="CS27" s="27" t="n"/>
      <c r="CT27" s="27" t="n"/>
      <c r="CU27" s="27" t="n"/>
      <c r="CV27" s="27" t="n"/>
      <c r="CW27" s="27" t="n"/>
      <c r="CX27" s="27" t="n"/>
      <c r="CY27" s="27" t="n"/>
      <c r="CZ27" s="27" t="n"/>
      <c r="DA27" s="27" t="n"/>
      <c r="DB27" s="27" t="n"/>
      <c r="DC27" s="27" t="n"/>
      <c r="DD27" s="27" t="n"/>
      <c r="DE27" s="27" t="n"/>
      <c r="DF27" s="27" t="n"/>
      <c r="DG27" s="27" t="n"/>
    </row>
    <row r="28">
      <c r="P28" s="26">
        <f>'클럭 정리'!A29</f>
        <v/>
      </c>
      <c r="Q28" s="25">
        <f>'클럭 정리'!O29</f>
        <v/>
      </c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  <c r="AQ28" s="27" t="n"/>
      <c r="AR28" s="27" t="n"/>
      <c r="AS28" s="27" t="n"/>
      <c r="AT28" s="27" t="n"/>
      <c r="AU28" s="27" t="n"/>
      <c r="AV28" s="27" t="n"/>
      <c r="AW28" s="27" t="n"/>
      <c r="AX28" s="27" t="n"/>
      <c r="AY28" s="27" t="n"/>
      <c r="AZ28" s="27" t="n"/>
      <c r="BA28" s="27" t="n"/>
      <c r="BB28" s="27" t="n"/>
      <c r="BC28" s="27" t="n"/>
      <c r="BD28" s="27" t="n"/>
      <c r="BE28" s="27" t="n"/>
      <c r="BF28" s="27" t="n"/>
      <c r="BG28" s="27" t="n"/>
      <c r="BH28" s="27" t="n"/>
      <c r="BI28" s="27" t="n"/>
      <c r="BJ28" s="27" t="n"/>
      <c r="BK28" s="27" t="n"/>
      <c r="BL28" s="27" t="n"/>
      <c r="BM28" s="27" t="n"/>
      <c r="BN28" s="27" t="n"/>
      <c r="BO28" s="27" t="n"/>
      <c r="BP28" s="27" t="n"/>
      <c r="BQ28" s="27" t="n"/>
      <c r="BR28" s="27" t="n"/>
      <c r="BS28" s="27" t="n"/>
      <c r="BT28" s="27" t="n"/>
      <c r="BU28" s="27" t="n"/>
      <c r="BV28" s="27" t="n"/>
      <c r="BW28" s="27" t="n"/>
      <c r="BX28" s="27" t="n"/>
      <c r="BY28" s="27" t="n"/>
      <c r="BZ28" s="27" t="n"/>
      <c r="CA28" s="27" t="n"/>
      <c r="CB28" s="27" t="n"/>
      <c r="CC28" s="27" t="n"/>
      <c r="CD28" s="27" t="n"/>
      <c r="CE28" s="27" t="n"/>
      <c r="CF28" s="27" t="n"/>
      <c r="CG28" s="27" t="n"/>
      <c r="CH28" s="27" t="n"/>
      <c r="CI28" s="27" t="n"/>
      <c r="CJ28" s="27" t="n"/>
      <c r="CK28" s="27" t="n"/>
      <c r="CL28" s="27" t="n"/>
      <c r="CM28" s="27" t="n"/>
      <c r="CN28" s="27" t="n"/>
      <c r="CO28" s="27" t="n"/>
      <c r="CP28" s="27" t="n"/>
      <c r="CQ28" s="27" t="n"/>
      <c r="CR28" s="27" t="n"/>
      <c r="CS28" s="27" t="n"/>
      <c r="CT28" s="27" t="n"/>
      <c r="CU28" s="27" t="n"/>
      <c r="CV28" s="27" t="n"/>
      <c r="CW28" s="27" t="n"/>
      <c r="CX28" s="27" t="n"/>
      <c r="CY28" s="27" t="n"/>
      <c r="CZ28" s="27" t="n"/>
      <c r="DA28" s="27" t="n"/>
      <c r="DB28" s="27" t="n"/>
      <c r="DC28" s="27" t="n"/>
      <c r="DD28" s="27" t="n"/>
      <c r="DE28" s="27" t="n"/>
      <c r="DF28" s="27" t="n"/>
      <c r="DG28" s="27" t="n"/>
    </row>
    <row r="29">
      <c r="P29" s="26">
        <f>'클럭 정리'!A30</f>
        <v/>
      </c>
      <c r="Q29" s="25">
        <f>'클럭 정리'!O30</f>
        <v/>
      </c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  <c r="AQ29" s="27" t="n"/>
      <c r="AR29" s="27" t="n"/>
      <c r="AS29" s="27" t="n"/>
      <c r="AT29" s="27" t="n"/>
      <c r="AU29" s="27" t="n"/>
      <c r="AV29" s="27" t="n"/>
      <c r="AW29" s="27" t="n"/>
      <c r="AX29" s="27" t="n"/>
      <c r="AY29" s="27" t="n"/>
      <c r="AZ29" s="27" t="n"/>
      <c r="BA29" s="27" t="n"/>
      <c r="BB29" s="27" t="n"/>
      <c r="BC29" s="27" t="n"/>
      <c r="BD29" s="27" t="n"/>
      <c r="BE29" s="27" t="n"/>
      <c r="BF29" s="27" t="n"/>
      <c r="BG29" s="27" t="n"/>
      <c r="BH29" s="27" t="n"/>
      <c r="BI29" s="27" t="n"/>
      <c r="BJ29" s="27" t="n"/>
      <c r="BK29" s="27" t="n"/>
      <c r="BL29" s="27" t="n"/>
      <c r="BM29" s="27" t="n"/>
      <c r="BN29" s="27" t="n"/>
      <c r="BO29" s="27" t="n"/>
      <c r="BP29" s="27" t="n"/>
      <c r="BQ29" s="27" t="n"/>
      <c r="BR29" s="27" t="n"/>
      <c r="BS29" s="27" t="n"/>
      <c r="BT29" s="27" t="n"/>
      <c r="BU29" s="27" t="n"/>
      <c r="BV29" s="27" t="n"/>
      <c r="BW29" s="27" t="n"/>
      <c r="BX29" s="27" t="n"/>
      <c r="BY29" s="27" t="n"/>
      <c r="BZ29" s="27" t="n"/>
      <c r="CA29" s="27" t="n"/>
      <c r="CB29" s="27" t="n"/>
      <c r="CC29" s="27" t="n"/>
      <c r="CD29" s="27" t="n"/>
      <c r="CE29" s="27" t="n"/>
      <c r="CF29" s="27" t="n"/>
      <c r="CG29" s="27" t="n"/>
      <c r="CH29" s="27" t="n"/>
      <c r="CI29" s="27" t="n"/>
      <c r="CJ29" s="27" t="n"/>
      <c r="CK29" s="27" t="n"/>
      <c r="CL29" s="27" t="n"/>
      <c r="CM29" s="27" t="n"/>
      <c r="CN29" s="27" t="n"/>
      <c r="CO29" s="27" t="n"/>
      <c r="CP29" s="27" t="n"/>
      <c r="CQ29" s="27" t="n"/>
      <c r="CR29" s="27" t="n"/>
      <c r="CS29" s="27" t="n"/>
      <c r="CT29" s="27" t="n"/>
      <c r="CU29" s="27" t="n"/>
      <c r="CV29" s="27" t="n"/>
      <c r="CW29" s="27" t="n"/>
      <c r="CX29" s="27" t="n"/>
      <c r="CY29" s="27" t="n"/>
      <c r="CZ29" s="27" t="n"/>
      <c r="DA29" s="27" t="n"/>
      <c r="DB29" s="27" t="n"/>
      <c r="DC29" s="27" t="n"/>
      <c r="DD29" s="27" t="n"/>
      <c r="DE29" s="27" t="n"/>
      <c r="DF29" s="27" t="n"/>
      <c r="DG29" s="27" t="n"/>
    </row>
    <row r="30">
      <c r="P30" s="26">
        <f>'클럭 정리'!A31</f>
        <v/>
      </c>
      <c r="Q30" s="25">
        <f>'클럭 정리'!O31</f>
        <v/>
      </c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  <c r="AQ30" s="27" t="n"/>
      <c r="AR30" s="27" t="n"/>
      <c r="AS30" s="27" t="n"/>
      <c r="AT30" s="27" t="n"/>
      <c r="AU30" s="27" t="n"/>
      <c r="AV30" s="27" t="n"/>
      <c r="AW30" s="27" t="n"/>
      <c r="AX30" s="27" t="n"/>
      <c r="AY30" s="27" t="n"/>
      <c r="AZ30" s="27" t="n"/>
      <c r="BA30" s="27" t="n"/>
      <c r="BB30" s="27" t="n"/>
      <c r="BC30" s="27" t="n"/>
      <c r="BD30" s="27" t="n"/>
      <c r="BE30" s="27" t="n"/>
      <c r="BF30" s="27" t="n"/>
      <c r="BG30" s="27" t="n"/>
      <c r="BH30" s="27" t="n"/>
      <c r="BI30" s="27" t="n"/>
      <c r="BJ30" s="27" t="n"/>
      <c r="BK30" s="27" t="n"/>
      <c r="BL30" s="27" t="n"/>
      <c r="BM30" s="27" t="n"/>
      <c r="BN30" s="27" t="n"/>
      <c r="BO30" s="27" t="n"/>
      <c r="BP30" s="27" t="n"/>
      <c r="BQ30" s="27" t="n"/>
      <c r="BR30" s="27" t="n"/>
      <c r="BS30" s="27" t="n"/>
      <c r="BT30" s="27" t="n"/>
      <c r="BU30" s="27" t="n"/>
      <c r="BV30" s="27" t="n"/>
      <c r="BW30" s="27" t="n"/>
      <c r="BX30" s="27" t="n"/>
      <c r="BY30" s="27" t="n"/>
      <c r="BZ30" s="27" t="n"/>
      <c r="CA30" s="27" t="n"/>
      <c r="CB30" s="27" t="n"/>
      <c r="CC30" s="27" t="n"/>
      <c r="CD30" s="27" t="n"/>
      <c r="CE30" s="27" t="n"/>
      <c r="CF30" s="27" t="n"/>
      <c r="CG30" s="27" t="n"/>
      <c r="CH30" s="27" t="n"/>
      <c r="CI30" s="27" t="n"/>
      <c r="CJ30" s="27" t="n"/>
      <c r="CK30" s="27" t="n"/>
      <c r="CL30" s="27" t="n"/>
      <c r="CM30" s="27" t="n"/>
      <c r="CN30" s="27" t="n"/>
      <c r="CO30" s="27" t="n"/>
      <c r="CP30" s="27" t="n"/>
      <c r="CQ30" s="27" t="n"/>
      <c r="CR30" s="27" t="n"/>
      <c r="CS30" s="27" t="n"/>
      <c r="CT30" s="27" t="n"/>
      <c r="CU30" s="27" t="n"/>
      <c r="CV30" s="27" t="n"/>
      <c r="CW30" s="27" t="n"/>
      <c r="CX30" s="27" t="n"/>
      <c r="CY30" s="27" t="n"/>
      <c r="CZ30" s="27" t="n"/>
      <c r="DA30" s="27" t="n"/>
      <c r="DB30" s="27" t="n"/>
      <c r="DC30" s="27" t="n"/>
      <c r="DD30" s="27" t="n"/>
      <c r="DE30" s="27" t="n"/>
      <c r="DF30" s="27" t="n"/>
      <c r="DG30" s="27" t="n"/>
    </row>
    <row r="31">
      <c r="P31" s="26">
        <f>'클럭 정리'!A32</f>
        <v/>
      </c>
      <c r="Q31" s="25">
        <f>'클럭 정리'!O32</f>
        <v/>
      </c>
      <c r="R31" s="25">
        <f>'클럭 정리'!O32</f>
        <v/>
      </c>
      <c r="S31" s="25">
        <f>'클럭 정리'!O32</f>
        <v/>
      </c>
      <c r="T31" s="25">
        <f>'클럭 정리'!O32</f>
        <v/>
      </c>
      <c r="U31" s="25">
        <f>'클럭 정리'!O32</f>
        <v/>
      </c>
      <c r="V31" s="25">
        <f>'클럭 정리'!O32</f>
        <v/>
      </c>
      <c r="W31" s="25">
        <f>'클럭 정리'!O32</f>
        <v/>
      </c>
      <c r="X31" s="25">
        <f>'클럭 정리'!O32</f>
        <v/>
      </c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  <c r="AQ31" s="27" t="n"/>
      <c r="AR31" s="27" t="n"/>
      <c r="AS31" s="27" t="n"/>
      <c r="AT31" s="27" t="n"/>
      <c r="AU31" s="27" t="n"/>
      <c r="AV31" s="27" t="n"/>
      <c r="AW31" s="27" t="n"/>
      <c r="AX31" s="27" t="n"/>
      <c r="AY31" s="27" t="n"/>
      <c r="AZ31" s="27" t="n"/>
      <c r="BA31" s="27" t="n"/>
      <c r="BB31" s="27" t="n"/>
      <c r="BC31" s="27" t="n"/>
      <c r="BD31" s="27" t="n"/>
      <c r="BE31" s="27" t="n"/>
      <c r="BF31" s="27" t="n"/>
      <c r="BG31" s="27" t="n"/>
      <c r="BH31" s="27" t="n"/>
      <c r="BI31" s="27" t="n"/>
      <c r="BJ31" s="27" t="n"/>
      <c r="BK31" s="27" t="n"/>
      <c r="BL31" s="27" t="n"/>
      <c r="BM31" s="27" t="n"/>
      <c r="BN31" s="27" t="n"/>
      <c r="BO31" s="27" t="n"/>
      <c r="BP31" s="27" t="n"/>
      <c r="BQ31" s="27" t="n"/>
      <c r="BR31" s="27" t="n"/>
      <c r="BS31" s="27" t="n"/>
      <c r="BT31" s="27" t="n"/>
      <c r="BU31" s="27" t="n"/>
      <c r="BV31" s="27" t="n"/>
      <c r="BW31" s="27" t="n"/>
      <c r="BX31" s="27" t="n"/>
      <c r="BY31" s="27" t="n"/>
      <c r="BZ31" s="27" t="n"/>
      <c r="CA31" s="27" t="n"/>
      <c r="CB31" s="27" t="n"/>
      <c r="CC31" s="27" t="n"/>
      <c r="CD31" s="27" t="n"/>
      <c r="CE31" s="27" t="n"/>
      <c r="CF31" s="27" t="n"/>
      <c r="CG31" s="27" t="n"/>
      <c r="CH31" s="27" t="n"/>
      <c r="CI31" s="27" t="n"/>
      <c r="CJ31" s="27" t="n"/>
      <c r="CK31" s="27" t="n"/>
      <c r="CL31" s="27" t="n"/>
      <c r="CM31" s="27" t="n"/>
      <c r="CN31" s="27" t="n"/>
      <c r="CO31" s="27" t="n"/>
      <c r="CP31" s="27" t="n"/>
      <c r="CQ31" s="27" t="n"/>
      <c r="CR31" s="27" t="n"/>
      <c r="CS31" s="27" t="n"/>
      <c r="CT31" s="27" t="n"/>
      <c r="CU31" s="27" t="n"/>
      <c r="CV31" s="27" t="n"/>
      <c r="CW31" s="27" t="n"/>
      <c r="CX31" s="27" t="n"/>
      <c r="CY31" s="27" t="n"/>
      <c r="CZ31" s="27" t="n"/>
      <c r="DA31" s="27" t="n"/>
      <c r="DB31" s="27" t="n"/>
      <c r="DC31" s="27" t="n"/>
      <c r="DD31" s="27" t="n"/>
      <c r="DE31" s="27" t="n"/>
      <c r="DF31" s="27" t="n"/>
      <c r="DG31" s="27" t="n"/>
    </row>
    <row r="32">
      <c r="P32" s="26">
        <f>'클럭 정리'!A33</f>
        <v/>
      </c>
      <c r="Q32" s="25">
        <f>'클럭 정리'!O33</f>
        <v/>
      </c>
      <c r="R32" s="27" t="n"/>
      <c r="S32" s="27" t="n"/>
      <c r="T32" s="27" t="n"/>
      <c r="U32" s="27" t="n"/>
      <c r="V32" s="27" t="n"/>
      <c r="W32" s="27" t="n"/>
      <c r="X32" s="25">
        <f>'클럭 정리'!O33</f>
        <v/>
      </c>
      <c r="Y32" s="27" t="n"/>
      <c r="Z32" s="27" t="n"/>
      <c r="AA32" s="27" t="n"/>
      <c r="AB32" s="27" t="n"/>
      <c r="AC32" s="27" t="n"/>
      <c r="AD32" s="27" t="n"/>
      <c r="AE32" s="27" t="n"/>
      <c r="AF32" s="25">
        <f>'클럭 정리'!O33</f>
        <v/>
      </c>
      <c r="AG32" s="25">
        <f>'클럭 정리'!O33</f>
        <v/>
      </c>
      <c r="AH32" s="25">
        <f>'클럭 정리'!O33</f>
        <v/>
      </c>
      <c r="AI32" s="25">
        <f>'클럭 정리'!O33</f>
        <v/>
      </c>
      <c r="AJ32" s="25">
        <f>'클럭 정리'!O33</f>
        <v/>
      </c>
      <c r="AK32" s="25">
        <f>'클럭 정리'!O33</f>
        <v/>
      </c>
      <c r="AL32" s="27" t="n"/>
      <c r="AM32" s="27" t="n"/>
      <c r="AN32" s="27" t="n"/>
      <c r="AO32" s="27" t="n"/>
      <c r="AP32" s="27" t="n"/>
      <c r="AQ32" s="27" t="n"/>
      <c r="AR32" s="27" t="n"/>
      <c r="AS32" s="27" t="n"/>
      <c r="AT32" s="27" t="n"/>
      <c r="AU32" s="27" t="n"/>
      <c r="AV32" s="27" t="n"/>
      <c r="AW32" s="27" t="n"/>
      <c r="AX32" s="27" t="n"/>
      <c r="AY32" s="27" t="n"/>
      <c r="AZ32" s="27" t="n"/>
      <c r="BA32" s="27" t="n"/>
      <c r="BB32" s="27" t="n"/>
      <c r="BC32" s="27" t="n"/>
      <c r="BD32" s="27" t="n"/>
      <c r="BE32" s="27" t="n"/>
      <c r="BF32" s="27" t="n"/>
      <c r="BG32" s="27" t="n"/>
      <c r="BH32" s="27" t="n"/>
      <c r="BI32" s="27" t="n"/>
      <c r="BJ32" s="27" t="n"/>
      <c r="BK32" s="27" t="n"/>
      <c r="BL32" s="27" t="n"/>
      <c r="BM32" s="27" t="n"/>
      <c r="BN32" s="27" t="n"/>
      <c r="BO32" s="27" t="n"/>
      <c r="BP32" s="27" t="n"/>
      <c r="BQ32" s="27" t="n"/>
      <c r="BR32" s="27" t="n"/>
      <c r="BS32" s="27" t="n"/>
      <c r="BT32" s="27" t="n"/>
      <c r="BU32" s="27" t="n"/>
      <c r="BV32" s="27" t="n"/>
      <c r="BW32" s="27" t="n"/>
      <c r="BX32" s="27" t="n"/>
      <c r="BY32" s="27" t="n"/>
      <c r="BZ32" s="27" t="n"/>
      <c r="CA32" s="27" t="n"/>
      <c r="CB32" s="27" t="n"/>
      <c r="CC32" s="27" t="n"/>
      <c r="CD32" s="27" t="n"/>
      <c r="CE32" s="27" t="n"/>
      <c r="CF32" s="27" t="n"/>
      <c r="CG32" s="27" t="n"/>
      <c r="CH32" s="27" t="n"/>
      <c r="CI32" s="27" t="n"/>
      <c r="CJ32" s="27" t="n"/>
      <c r="CK32" s="27" t="n"/>
      <c r="CL32" s="27" t="n"/>
      <c r="CM32" s="27" t="n"/>
      <c r="CN32" s="27" t="n"/>
      <c r="CO32" s="27" t="n"/>
      <c r="CP32" s="27" t="n"/>
      <c r="CQ32" s="27" t="n"/>
      <c r="CR32" s="27" t="n"/>
      <c r="CS32" s="27" t="n"/>
      <c r="CT32" s="27" t="n"/>
      <c r="CU32" s="27" t="n"/>
      <c r="CV32" s="27" t="n"/>
      <c r="CW32" s="27" t="n"/>
      <c r="CX32" s="27" t="n"/>
      <c r="CY32" s="27" t="n"/>
      <c r="CZ32" s="27" t="n"/>
      <c r="DA32" s="27" t="n"/>
      <c r="DB32" s="27" t="n"/>
      <c r="DC32" s="27" t="n"/>
      <c r="DD32" s="27" t="n"/>
      <c r="DE32" s="27" t="n"/>
      <c r="DF32" s="27" t="n"/>
      <c r="DG32" s="27" t="n"/>
    </row>
    <row r="33">
      <c r="P33" s="26">
        <f>'클럭 정리'!A34</f>
        <v/>
      </c>
      <c r="Q33" s="25">
        <f>'클럭 정리'!O34</f>
        <v/>
      </c>
      <c r="R33" s="27" t="n"/>
      <c r="S33" s="27" t="n"/>
      <c r="T33" s="27" t="n"/>
      <c r="U33" s="27" t="n"/>
      <c r="V33" s="27" t="n"/>
      <c r="W33" s="27" t="n"/>
      <c r="X33" s="25">
        <f>'클럭 정리'!O34</f>
        <v/>
      </c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  <c r="AQ33" s="27" t="n"/>
      <c r="AR33" s="27" t="n"/>
      <c r="AS33" s="25">
        <f>'클럭 정리'!O34</f>
        <v/>
      </c>
      <c r="AT33" s="25">
        <f>'클럭 정리'!O34</f>
        <v/>
      </c>
      <c r="AU33" s="25">
        <f>'클럭 정리'!O34</f>
        <v/>
      </c>
      <c r="AV33" s="25">
        <f>'클럭 정리'!O34</f>
        <v/>
      </c>
      <c r="AW33" s="25">
        <f>'클럭 정리'!O34</f>
        <v/>
      </c>
      <c r="AX33" s="25">
        <f>'클럭 정리'!O34</f>
        <v/>
      </c>
      <c r="AY33" s="27" t="n"/>
      <c r="AZ33" s="27" t="n"/>
      <c r="BA33" s="27" t="n"/>
      <c r="BB33" s="27" t="n"/>
      <c r="BC33" s="27" t="n"/>
      <c r="BD33" s="27" t="n"/>
      <c r="BE33" s="27" t="n"/>
      <c r="BF33" s="27" t="n"/>
      <c r="BG33" s="27" t="n"/>
      <c r="BH33" s="27" t="n"/>
      <c r="BI33" s="27" t="n"/>
      <c r="BJ33" s="27" t="n"/>
      <c r="BK33" s="27" t="n"/>
      <c r="BL33" s="27" t="n"/>
      <c r="BM33" s="27" t="n"/>
      <c r="BN33" s="27" t="n"/>
      <c r="BO33" s="27" t="n"/>
      <c r="BP33" s="27" t="n"/>
      <c r="BQ33" s="27" t="n"/>
      <c r="BR33" s="27" t="n"/>
      <c r="BS33" s="27" t="n"/>
      <c r="BT33" s="27" t="n"/>
      <c r="BU33" s="27" t="n"/>
      <c r="BV33" s="27" t="n"/>
      <c r="BW33" s="27" t="n"/>
      <c r="BX33" s="27" t="n"/>
      <c r="BY33" s="27" t="n"/>
      <c r="BZ33" s="27" t="n"/>
      <c r="CA33" s="27" t="n"/>
      <c r="CB33" s="27" t="n"/>
      <c r="CC33" s="27" t="n"/>
      <c r="CD33" s="27" t="n"/>
      <c r="CE33" s="27" t="n"/>
      <c r="CF33" s="27" t="n"/>
      <c r="CG33" s="27" t="n"/>
      <c r="CH33" s="27" t="n"/>
      <c r="CI33" s="27" t="n"/>
      <c r="CJ33" s="27" t="n"/>
      <c r="CK33" s="27" t="n"/>
      <c r="CL33" s="27" t="n"/>
      <c r="CM33" s="27" t="n"/>
      <c r="CN33" s="27" t="n"/>
      <c r="CO33" s="27" t="n"/>
      <c r="CP33" s="27" t="n"/>
      <c r="CQ33" s="27" t="n"/>
      <c r="CR33" s="27" t="n"/>
      <c r="CS33" s="27" t="n"/>
      <c r="CT33" s="27" t="n"/>
      <c r="CU33" s="27" t="n"/>
      <c r="CV33" s="27" t="n"/>
      <c r="CW33" s="27" t="n"/>
      <c r="CX33" s="27" t="n"/>
      <c r="CY33" s="27" t="n"/>
      <c r="CZ33" s="27" t="n"/>
      <c r="DA33" s="27" t="n"/>
      <c r="DB33" s="27" t="n"/>
      <c r="DC33" s="27" t="n"/>
      <c r="DD33" s="27" t="n"/>
      <c r="DE33" s="27" t="n"/>
      <c r="DF33" s="27" t="n"/>
      <c r="DG33" s="27" t="n"/>
    </row>
    <row r="34">
      <c r="P34" s="26">
        <f>'클럭 정리'!A35</f>
        <v/>
      </c>
      <c r="Q34" s="25">
        <f>'클럭 정리'!O35</f>
        <v/>
      </c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27" t="n"/>
      <c r="AU34" s="27" t="n"/>
      <c r="AV34" s="27" t="n"/>
      <c r="AW34" s="27" t="n"/>
      <c r="AX34" s="27" t="n"/>
      <c r="AY34" s="27" t="n"/>
      <c r="AZ34" s="27" t="n"/>
      <c r="BA34" s="27" t="n"/>
      <c r="BB34" s="27" t="n"/>
      <c r="BC34" s="27" t="n"/>
      <c r="BD34" s="27" t="n"/>
      <c r="BE34" s="27" t="n"/>
      <c r="BF34" s="27" t="n"/>
      <c r="BG34" s="27" t="n"/>
      <c r="BH34" s="27" t="n"/>
      <c r="BI34" s="27" t="n"/>
      <c r="BJ34" s="27" t="n"/>
      <c r="BK34" s="27" t="n"/>
      <c r="BL34" s="27" t="n"/>
      <c r="BM34" s="27" t="n"/>
      <c r="BN34" s="27" t="n"/>
      <c r="BO34" s="27" t="n"/>
      <c r="BP34" s="27" t="n"/>
      <c r="BQ34" s="27" t="n"/>
      <c r="BR34" s="27" t="n"/>
      <c r="BS34" s="27" t="n"/>
      <c r="BT34" s="27" t="n"/>
      <c r="BU34" s="27" t="n"/>
      <c r="BV34" s="27" t="n"/>
      <c r="BW34" s="27" t="n"/>
      <c r="BX34" s="27" t="n"/>
      <c r="BY34" s="27" t="n"/>
      <c r="BZ34" s="27" t="n"/>
      <c r="CA34" s="27" t="n"/>
      <c r="CB34" s="27" t="n"/>
      <c r="CC34" s="27" t="n"/>
      <c r="CD34" s="27" t="n"/>
      <c r="CE34" s="27" t="n"/>
      <c r="CF34" s="27" t="n"/>
      <c r="CG34" s="27" t="n"/>
      <c r="CH34" s="27" t="n"/>
      <c r="CI34" s="27" t="n"/>
      <c r="CJ34" s="27" t="n"/>
      <c r="CK34" s="27" t="n"/>
      <c r="CL34" s="27" t="n"/>
      <c r="CM34" s="27" t="n"/>
      <c r="CN34" s="27" t="n"/>
      <c r="CO34" s="27" t="n"/>
      <c r="CP34" s="27" t="n"/>
      <c r="CQ34" s="27" t="n"/>
      <c r="CR34" s="27" t="n"/>
      <c r="CS34" s="27" t="n"/>
      <c r="CT34" s="27" t="n"/>
      <c r="CU34" s="27" t="n"/>
      <c r="CV34" s="27" t="n"/>
      <c r="CW34" s="27" t="n"/>
      <c r="CX34" s="27" t="n"/>
      <c r="CY34" s="27" t="n"/>
      <c r="CZ34" s="27" t="n"/>
      <c r="DA34" s="27" t="n"/>
      <c r="DB34" s="27" t="n"/>
      <c r="DC34" s="27" t="n"/>
      <c r="DD34" s="27" t="n"/>
      <c r="DE34" s="27" t="n"/>
      <c r="DF34" s="27" t="n"/>
      <c r="DG34" s="27" t="n"/>
    </row>
    <row r="35">
      <c r="P35" s="26">
        <f>'클럭 정리'!A36</f>
        <v/>
      </c>
      <c r="Q35" s="25">
        <f>'클럭 정리'!O36</f>
        <v/>
      </c>
      <c r="R35" s="27" t="n"/>
      <c r="S35" s="27" t="n"/>
      <c r="T35" s="27" t="n"/>
      <c r="U35" s="27" t="n"/>
      <c r="V35" s="27" t="n"/>
      <c r="W35" s="27" t="n"/>
      <c r="X35" s="25">
        <f>'클럭 정리'!O36</f>
        <v/>
      </c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  <c r="AO35" s="27" t="n"/>
      <c r="AP35" s="27" t="n"/>
      <c r="AQ35" s="27" t="n"/>
      <c r="AR35" s="27" t="n"/>
      <c r="AS35" s="27" t="n"/>
      <c r="AT35" s="27" t="n"/>
      <c r="AU35" s="27" t="n"/>
      <c r="AV35" s="27" t="n"/>
      <c r="AW35" s="27" t="n"/>
      <c r="AX35" s="27" t="n"/>
      <c r="AY35" s="27" t="n"/>
      <c r="AZ35" s="27" t="n"/>
      <c r="BA35" s="27" t="n"/>
      <c r="BB35" s="27" t="n"/>
      <c r="BC35" s="27" t="n"/>
      <c r="BD35" s="27" t="n"/>
      <c r="BE35" s="27" t="n"/>
      <c r="BF35" s="27" t="n"/>
      <c r="BG35" s="27" t="n"/>
      <c r="BH35" s="27" t="n"/>
      <c r="BI35" s="27" t="n"/>
      <c r="BJ35" s="27" t="n"/>
      <c r="BK35" s="27" t="n"/>
      <c r="BL35" s="27" t="n"/>
      <c r="BM35" s="27" t="n"/>
      <c r="BN35" s="27" t="n"/>
      <c r="BO35" s="27" t="n"/>
      <c r="BP35" s="27" t="n"/>
      <c r="BQ35" s="27" t="n"/>
      <c r="BR35" s="27" t="n"/>
      <c r="BS35" s="27" t="n"/>
      <c r="BT35" s="27" t="n"/>
      <c r="BU35" s="27" t="n"/>
      <c r="BV35" s="27" t="n"/>
      <c r="BW35" s="27" t="n"/>
      <c r="BX35" s="25">
        <f>'클럭 정리'!O36</f>
        <v/>
      </c>
      <c r="BY35" s="25">
        <f>'클럭 정리'!O36</f>
        <v/>
      </c>
      <c r="BZ35" s="25">
        <f>'클럭 정리'!O36</f>
        <v/>
      </c>
      <c r="CA35" s="25">
        <f>'클럭 정리'!O36</f>
        <v/>
      </c>
      <c r="CB35" s="25">
        <f>'클럭 정리'!O36</f>
        <v/>
      </c>
      <c r="CC35" s="25">
        <f>'클럭 정리'!O36</f>
        <v/>
      </c>
      <c r="CD35" s="25">
        <f>'클럭 정리'!O36</f>
        <v/>
      </c>
      <c r="CE35" s="25">
        <f>'클럭 정리'!O36</f>
        <v/>
      </c>
      <c r="CF35" s="25">
        <f>'클럭 정리'!O36</f>
        <v/>
      </c>
      <c r="CG35" s="25">
        <f>'클럭 정리'!O36</f>
        <v/>
      </c>
      <c r="CH35" s="25">
        <f>'클럭 정리'!O36</f>
        <v/>
      </c>
      <c r="CI35" s="25">
        <f>'클럭 정리'!O36</f>
        <v/>
      </c>
      <c r="CJ35" s="27" t="n"/>
      <c r="CK35" s="27" t="n"/>
      <c r="CL35" s="27" t="n"/>
      <c r="CM35" s="27" t="n"/>
      <c r="CN35" s="27" t="n"/>
      <c r="CO35" s="27" t="n"/>
      <c r="CP35" s="27" t="n"/>
      <c r="CQ35" s="27" t="n"/>
      <c r="CR35" s="27" t="n"/>
      <c r="CS35" s="27" t="n"/>
      <c r="CT35" s="27" t="n"/>
      <c r="CU35" s="27" t="n"/>
      <c r="CV35" s="27" t="n"/>
      <c r="CW35" s="27" t="n"/>
      <c r="CX35" s="27" t="n"/>
      <c r="CY35" s="27" t="n"/>
      <c r="CZ35" s="27" t="n"/>
      <c r="DA35" s="27" t="n"/>
      <c r="DB35" s="27" t="n"/>
      <c r="DC35" s="27" t="n"/>
      <c r="DD35" s="27" t="n"/>
      <c r="DE35" s="27" t="n"/>
      <c r="DF35" s="27" t="n"/>
      <c r="DG35" s="27" t="n"/>
    </row>
    <row r="36">
      <c r="P36" s="26">
        <f>'클럭 정리'!A37</f>
        <v/>
      </c>
      <c r="Q36" s="25">
        <f>'클럭 정리'!O37</f>
        <v/>
      </c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  <c r="AP36" s="27" t="n"/>
      <c r="AQ36" s="27" t="n"/>
      <c r="AR36" s="27" t="n"/>
      <c r="AS36" s="27" t="n"/>
      <c r="AT36" s="27" t="n"/>
      <c r="AU36" s="27" t="n"/>
      <c r="AV36" s="27" t="n"/>
      <c r="AW36" s="27" t="n"/>
      <c r="AX36" s="27" t="n"/>
      <c r="AY36" s="27" t="n"/>
      <c r="AZ36" s="27" t="n"/>
      <c r="BA36" s="27" t="n"/>
      <c r="BB36" s="27" t="n"/>
      <c r="BC36" s="27" t="n"/>
      <c r="BD36" s="27" t="n"/>
      <c r="BE36" s="27" t="n"/>
      <c r="BF36" s="27" t="n"/>
      <c r="BG36" s="27" t="n"/>
      <c r="BH36" s="27" t="n"/>
      <c r="BI36" s="27" t="n"/>
      <c r="BJ36" s="27" t="n"/>
      <c r="BK36" s="27" t="n"/>
      <c r="BL36" s="27" t="n"/>
      <c r="BM36" s="27" t="n"/>
      <c r="BN36" s="27" t="n"/>
      <c r="BO36" s="27" t="n"/>
      <c r="BP36" s="27" t="n"/>
      <c r="BQ36" s="27" t="n"/>
      <c r="BR36" s="27" t="n"/>
      <c r="BS36" s="27" t="n"/>
      <c r="BT36" s="27" t="n"/>
      <c r="BU36" s="27" t="n"/>
      <c r="BV36" s="27" t="n"/>
      <c r="BW36" s="27" t="n"/>
      <c r="BX36" s="27" t="n"/>
      <c r="BY36" s="27" t="n"/>
      <c r="BZ36" s="27" t="n"/>
      <c r="CA36" s="27" t="n"/>
      <c r="CB36" s="27" t="n"/>
      <c r="CC36" s="27" t="n"/>
      <c r="CD36" s="27" t="n"/>
      <c r="CE36" s="27" t="n"/>
      <c r="CF36" s="27" t="n"/>
      <c r="CG36" s="27" t="n"/>
      <c r="CH36" s="27" t="n"/>
      <c r="CI36" s="27" t="n"/>
      <c r="CJ36" s="27" t="n"/>
      <c r="CK36" s="27" t="n"/>
      <c r="CL36" s="27" t="n"/>
      <c r="CM36" s="27" t="n"/>
      <c r="CN36" s="27" t="n"/>
      <c r="CO36" s="27" t="n"/>
      <c r="CP36" s="27" t="n"/>
      <c r="CQ36" s="27" t="n"/>
      <c r="CR36" s="27" t="n"/>
      <c r="CS36" s="27" t="n"/>
      <c r="CT36" s="27" t="n"/>
      <c r="CU36" s="27" t="n"/>
      <c r="CV36" s="27" t="n"/>
      <c r="CW36" s="27" t="n"/>
      <c r="CX36" s="27" t="n"/>
      <c r="CY36" s="27" t="n"/>
      <c r="CZ36" s="27" t="n"/>
      <c r="DA36" s="27" t="n"/>
      <c r="DB36" s="27" t="n"/>
      <c r="DC36" s="27" t="n"/>
      <c r="DD36" s="27" t="n"/>
      <c r="DE36" s="27" t="n"/>
      <c r="DF36" s="27" t="n"/>
      <c r="DG36" s="27" t="n"/>
    </row>
    <row r="37">
      <c r="P37" s="26">
        <f>'클럭 정리'!A38</f>
        <v/>
      </c>
      <c r="Q37" s="25">
        <f>'클럭 정리'!O38</f>
        <v/>
      </c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  <c r="AO37" s="27" t="n"/>
      <c r="AP37" s="27" t="n"/>
      <c r="AQ37" s="27" t="n"/>
      <c r="AR37" s="27" t="n"/>
      <c r="AS37" s="27" t="n"/>
      <c r="AT37" s="27" t="n"/>
      <c r="AU37" s="27" t="n"/>
      <c r="AV37" s="27" t="n"/>
      <c r="AW37" s="27" t="n"/>
      <c r="AX37" s="27" t="n"/>
      <c r="AY37" s="27" t="n"/>
      <c r="AZ37" s="27" t="n"/>
      <c r="BA37" s="27" t="n"/>
      <c r="BB37" s="27" t="n"/>
      <c r="BC37" s="27" t="n"/>
      <c r="BD37" s="27" t="n"/>
      <c r="BE37" s="27" t="n"/>
      <c r="BF37" s="27" t="n"/>
      <c r="BG37" s="27" t="n"/>
      <c r="BH37" s="27" t="n"/>
      <c r="BI37" s="27" t="n"/>
      <c r="BJ37" s="27" t="n"/>
      <c r="BK37" s="27" t="n"/>
      <c r="BL37" s="27" t="n"/>
      <c r="BM37" s="27" t="n"/>
      <c r="BN37" s="27" t="n"/>
      <c r="BO37" s="27" t="n"/>
      <c r="BP37" s="27" t="n"/>
      <c r="BQ37" s="27" t="n"/>
      <c r="BR37" s="27" t="n"/>
      <c r="BS37" s="27" t="n"/>
      <c r="BT37" s="27" t="n"/>
      <c r="BU37" s="27" t="n"/>
      <c r="BV37" s="27" t="n"/>
      <c r="BW37" s="27" t="n"/>
      <c r="BX37" s="27" t="n"/>
      <c r="BY37" s="27" t="n"/>
      <c r="BZ37" s="27" t="n"/>
      <c r="CA37" s="27" t="n"/>
      <c r="CB37" s="27" t="n"/>
      <c r="CC37" s="27" t="n"/>
      <c r="CD37" s="27" t="n"/>
      <c r="CE37" s="27" t="n"/>
      <c r="CF37" s="27" t="n"/>
      <c r="CG37" s="27" t="n"/>
      <c r="CH37" s="27" t="n"/>
      <c r="CI37" s="27" t="n"/>
      <c r="CJ37" s="27" t="n"/>
      <c r="CK37" s="27" t="n"/>
      <c r="CL37" s="27" t="n"/>
      <c r="CM37" s="27" t="n"/>
      <c r="CN37" s="27" t="n"/>
      <c r="CO37" s="27" t="n"/>
      <c r="CP37" s="27" t="n"/>
      <c r="CQ37" s="27" t="n"/>
      <c r="CR37" s="27" t="n"/>
      <c r="CS37" s="27" t="n"/>
      <c r="CT37" s="27" t="n"/>
      <c r="CU37" s="27" t="n"/>
      <c r="CV37" s="27" t="n"/>
      <c r="CW37" s="27" t="n"/>
      <c r="CX37" s="27" t="n"/>
      <c r="CY37" s="27" t="n"/>
      <c r="CZ37" s="27" t="n"/>
      <c r="DA37" s="27" t="n"/>
      <c r="DB37" s="27" t="n"/>
      <c r="DC37" s="27" t="n"/>
      <c r="DD37" s="27" t="n"/>
      <c r="DE37" s="27" t="n"/>
      <c r="DF37" s="27" t="n"/>
      <c r="DG37" s="27" t="n"/>
    </row>
    <row r="38">
      <c r="P38" s="26">
        <f>'클럭 정리'!A39</f>
        <v/>
      </c>
      <c r="Q38" s="25">
        <f>'클럭 정리'!O39</f>
        <v/>
      </c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  <c r="AO38" s="27" t="n"/>
      <c r="AP38" s="27" t="n"/>
      <c r="AQ38" s="27" t="n"/>
      <c r="AR38" s="27" t="n"/>
      <c r="AS38" s="27" t="n"/>
      <c r="AT38" s="27" t="n"/>
      <c r="AU38" s="27" t="n"/>
      <c r="AV38" s="27" t="n"/>
      <c r="AW38" s="27" t="n"/>
      <c r="AX38" s="27" t="n"/>
      <c r="AY38" s="27" t="n"/>
      <c r="AZ38" s="27" t="n"/>
      <c r="BA38" s="27" t="n"/>
      <c r="BB38" s="27" t="n"/>
      <c r="BC38" s="27" t="n"/>
      <c r="BD38" s="27" t="n"/>
      <c r="BE38" s="27" t="n"/>
      <c r="BF38" s="27" t="n"/>
      <c r="BG38" s="27" t="n"/>
      <c r="BH38" s="27" t="n"/>
      <c r="BI38" s="27" t="n"/>
      <c r="BJ38" s="27" t="n"/>
      <c r="BK38" s="27" t="n"/>
      <c r="BL38" s="27" t="n"/>
      <c r="BM38" s="27" t="n"/>
      <c r="BN38" s="27" t="n"/>
      <c r="BO38" s="27" t="n"/>
      <c r="BP38" s="27" t="n"/>
      <c r="BQ38" s="27" t="n"/>
      <c r="BR38" s="27" t="n"/>
      <c r="BS38" s="27" t="n"/>
      <c r="BT38" s="27" t="n"/>
      <c r="BU38" s="27" t="n"/>
      <c r="BV38" s="27" t="n"/>
      <c r="BW38" s="27" t="n"/>
      <c r="BX38" s="27" t="n"/>
      <c r="BY38" s="27" t="n"/>
      <c r="BZ38" s="27" t="n"/>
      <c r="CA38" s="27" t="n"/>
      <c r="CB38" s="27" t="n"/>
      <c r="CC38" s="27" t="n"/>
      <c r="CD38" s="27" t="n"/>
      <c r="CE38" s="27" t="n"/>
      <c r="CF38" s="27" t="n"/>
      <c r="CG38" s="27" t="n"/>
      <c r="CH38" s="27" t="n"/>
      <c r="CI38" s="27" t="n"/>
      <c r="CJ38" s="27" t="n"/>
      <c r="CK38" s="27" t="n"/>
      <c r="CL38" s="27" t="n"/>
      <c r="CM38" s="27" t="n"/>
      <c r="CN38" s="27" t="n"/>
      <c r="CO38" s="27" t="n"/>
      <c r="CP38" s="27" t="n"/>
      <c r="CQ38" s="27" t="n"/>
      <c r="CR38" s="27" t="n"/>
      <c r="CS38" s="27" t="n"/>
      <c r="CT38" s="27" t="n"/>
      <c r="CU38" s="27" t="n"/>
      <c r="CV38" s="27" t="n"/>
      <c r="CW38" s="27" t="n"/>
      <c r="CX38" s="27" t="n"/>
      <c r="CY38" s="27" t="n"/>
      <c r="CZ38" s="27" t="n"/>
      <c r="DA38" s="27" t="n"/>
      <c r="DB38" s="27" t="n"/>
      <c r="DC38" s="27" t="n"/>
      <c r="DD38" s="27" t="n"/>
      <c r="DE38" s="27" t="n"/>
      <c r="DF38" s="27" t="n"/>
      <c r="DG38" s="27" t="n"/>
    </row>
    <row r="39">
      <c r="P39" s="26">
        <f>'클럭 정리'!A40</f>
        <v/>
      </c>
      <c r="Q39" s="25">
        <f>'클럭 정리'!O40</f>
        <v/>
      </c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  <c r="AO39" s="27" t="n"/>
      <c r="AP39" s="27" t="n"/>
      <c r="AQ39" s="27" t="n"/>
      <c r="AR39" s="27" t="n"/>
      <c r="AS39" s="27" t="n"/>
      <c r="AT39" s="27" t="n"/>
      <c r="AU39" s="27" t="n"/>
      <c r="AV39" s="27" t="n"/>
      <c r="AW39" s="27" t="n"/>
      <c r="AX39" s="27" t="n"/>
      <c r="AY39" s="27" t="n"/>
      <c r="AZ39" s="27" t="n"/>
      <c r="BA39" s="27" t="n"/>
      <c r="BB39" s="27" t="n"/>
      <c r="BC39" s="27" t="n"/>
      <c r="BD39" s="27" t="n"/>
      <c r="BE39" s="27" t="n"/>
      <c r="BF39" s="27" t="n"/>
      <c r="BG39" s="27" t="n"/>
      <c r="BH39" s="27" t="n"/>
      <c r="BI39" s="27" t="n"/>
      <c r="BJ39" s="27" t="n"/>
      <c r="BK39" s="27" t="n"/>
      <c r="BL39" s="27" t="n"/>
      <c r="BM39" s="27" t="n"/>
      <c r="BN39" s="27" t="n"/>
      <c r="BO39" s="27" t="n"/>
      <c r="BP39" s="27" t="n"/>
      <c r="BQ39" s="27" t="n"/>
      <c r="BR39" s="27" t="n"/>
      <c r="BS39" s="27" t="n"/>
      <c r="BT39" s="27" t="n"/>
      <c r="BU39" s="27" t="n"/>
      <c r="BV39" s="27" t="n"/>
      <c r="BW39" s="27" t="n"/>
      <c r="BX39" s="27" t="n"/>
      <c r="BY39" s="27" t="n"/>
      <c r="BZ39" s="27" t="n"/>
      <c r="CA39" s="27" t="n"/>
      <c r="CB39" s="27" t="n"/>
      <c r="CC39" s="27" t="n"/>
      <c r="CD39" s="27" t="n"/>
      <c r="CE39" s="27" t="n"/>
      <c r="CF39" s="27" t="n"/>
      <c r="CG39" s="27" t="n"/>
      <c r="CH39" s="27" t="n"/>
      <c r="CI39" s="27" t="n"/>
      <c r="CJ39" s="27" t="n"/>
      <c r="CK39" s="27" t="n"/>
      <c r="CL39" s="27" t="n"/>
      <c r="CM39" s="27" t="n"/>
      <c r="CN39" s="27" t="n"/>
      <c r="CO39" s="27" t="n"/>
      <c r="CP39" s="27" t="n"/>
      <c r="CQ39" s="27" t="n"/>
      <c r="CR39" s="27" t="n"/>
      <c r="CS39" s="27" t="n"/>
      <c r="CT39" s="27" t="n"/>
      <c r="CU39" s="27" t="n"/>
      <c r="CV39" s="27" t="n"/>
      <c r="CW39" s="27" t="n"/>
      <c r="CX39" s="27" t="n"/>
      <c r="CY39" s="27" t="n"/>
      <c r="CZ39" s="27" t="n"/>
      <c r="DA39" s="27" t="n"/>
      <c r="DB39" s="27" t="n"/>
      <c r="DC39" s="27" t="n"/>
      <c r="DD39" s="27" t="n"/>
      <c r="DE39" s="27" t="n"/>
      <c r="DF39" s="27" t="n"/>
      <c r="DG39" s="27" t="n"/>
    </row>
    <row r="40">
      <c r="P40" s="26">
        <f>'클럭 정리'!A41</f>
        <v/>
      </c>
      <c r="Q40" s="25">
        <f>'클럭 정리'!O41</f>
        <v/>
      </c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  <c r="AP40" s="27" t="n"/>
      <c r="AQ40" s="27" t="n"/>
      <c r="AR40" s="27" t="n"/>
      <c r="AS40" s="27" t="n"/>
      <c r="AT40" s="27" t="n"/>
      <c r="AU40" s="27" t="n"/>
      <c r="AV40" s="27" t="n"/>
      <c r="AW40" s="27" t="n"/>
      <c r="AX40" s="27" t="n"/>
      <c r="AY40" s="27" t="n"/>
      <c r="AZ40" s="27" t="n"/>
      <c r="BA40" s="27" t="n"/>
      <c r="BB40" s="27" t="n"/>
      <c r="BC40" s="27" t="n"/>
      <c r="BD40" s="27" t="n"/>
      <c r="BE40" s="27" t="n"/>
      <c r="BF40" s="27" t="n"/>
      <c r="BG40" s="27" t="n"/>
      <c r="BH40" s="27" t="n"/>
      <c r="BI40" s="27" t="n"/>
      <c r="BJ40" s="27" t="n"/>
      <c r="BK40" s="27" t="n"/>
      <c r="BL40" s="27" t="n"/>
      <c r="BM40" s="27" t="n"/>
      <c r="BN40" s="27" t="n"/>
      <c r="BO40" s="27" t="n"/>
      <c r="BP40" s="27" t="n"/>
      <c r="BQ40" s="27" t="n"/>
      <c r="BR40" s="27" t="n"/>
      <c r="BS40" s="27" t="n"/>
      <c r="BT40" s="27" t="n"/>
      <c r="BU40" s="27" t="n"/>
      <c r="BV40" s="27" t="n"/>
      <c r="BW40" s="27" t="n"/>
      <c r="BX40" s="27" t="n"/>
      <c r="BY40" s="27" t="n"/>
      <c r="BZ40" s="27" t="n"/>
      <c r="CA40" s="27" t="n"/>
      <c r="CB40" s="27" t="n"/>
      <c r="CC40" s="27" t="n"/>
      <c r="CD40" s="27" t="n"/>
      <c r="CE40" s="27" t="n"/>
      <c r="CF40" s="27" t="n"/>
      <c r="CG40" s="27" t="n"/>
      <c r="CH40" s="27" t="n"/>
      <c r="CI40" s="27" t="n"/>
      <c r="CJ40" s="27" t="n"/>
      <c r="CK40" s="27" t="n"/>
      <c r="CL40" s="27" t="n"/>
      <c r="CM40" s="27" t="n"/>
      <c r="CN40" s="27" t="n"/>
      <c r="CO40" s="27" t="n"/>
      <c r="CP40" s="27" t="n"/>
      <c r="CQ40" s="27" t="n"/>
      <c r="CR40" s="27" t="n"/>
      <c r="CS40" s="27" t="n"/>
      <c r="CT40" s="27" t="n"/>
      <c r="CU40" s="27" t="n"/>
      <c r="CV40" s="27" t="n"/>
      <c r="CW40" s="27" t="n"/>
      <c r="CX40" s="27" t="n"/>
      <c r="CY40" s="27" t="n"/>
      <c r="CZ40" s="27" t="n"/>
      <c r="DA40" s="27" t="n"/>
      <c r="DB40" s="27" t="n"/>
      <c r="DC40" s="27" t="n"/>
      <c r="DD40" s="27" t="n"/>
      <c r="DE40" s="27" t="n"/>
      <c r="DF40" s="27" t="n"/>
      <c r="DG40" s="27" t="n"/>
    </row>
    <row r="41">
      <c r="P41" s="26">
        <f>'클럭 정리'!A42</f>
        <v/>
      </c>
      <c r="Q41" s="25">
        <f>'클럭 정리'!O42</f>
        <v/>
      </c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  <c r="AQ41" s="27" t="n"/>
      <c r="AR41" s="27" t="n"/>
      <c r="AS41" s="27" t="n"/>
      <c r="AT41" s="27" t="n"/>
      <c r="AU41" s="27" t="n"/>
      <c r="AV41" s="27" t="n"/>
      <c r="AW41" s="27" t="n"/>
      <c r="AX41" s="27" t="n"/>
      <c r="AY41" s="27" t="n"/>
      <c r="AZ41" s="27" t="n"/>
      <c r="BA41" s="27" t="n"/>
      <c r="BB41" s="27" t="n"/>
      <c r="BC41" s="27" t="n"/>
      <c r="BD41" s="27" t="n"/>
      <c r="BE41" s="27" t="n"/>
      <c r="BF41" s="27" t="n"/>
      <c r="BG41" s="27" t="n"/>
      <c r="BH41" s="27" t="n"/>
      <c r="BI41" s="27" t="n"/>
      <c r="BJ41" s="27" t="n"/>
      <c r="BK41" s="27" t="n"/>
      <c r="BL41" s="27" t="n"/>
      <c r="BM41" s="27" t="n"/>
      <c r="BN41" s="27" t="n"/>
      <c r="BO41" s="27" t="n"/>
      <c r="BP41" s="27" t="n"/>
      <c r="BQ41" s="27" t="n"/>
      <c r="BR41" s="27" t="n"/>
      <c r="BS41" s="27" t="n"/>
      <c r="BT41" s="27" t="n"/>
      <c r="BU41" s="27" t="n"/>
      <c r="BV41" s="27" t="n"/>
      <c r="BW41" s="27" t="n"/>
      <c r="BX41" s="27" t="n"/>
      <c r="BY41" s="27" t="n"/>
      <c r="BZ41" s="27" t="n"/>
      <c r="CA41" s="27" t="n"/>
      <c r="CB41" s="27" t="n"/>
      <c r="CC41" s="27" t="n"/>
      <c r="CD41" s="27" t="n"/>
      <c r="CE41" s="27" t="n"/>
      <c r="CF41" s="27" t="n"/>
      <c r="CG41" s="27" t="n"/>
      <c r="CH41" s="27" t="n"/>
      <c r="CI41" s="27" t="n"/>
      <c r="CJ41" s="27" t="n"/>
      <c r="CK41" s="27" t="n"/>
      <c r="CL41" s="27" t="n"/>
      <c r="CM41" s="27" t="n"/>
      <c r="CN41" s="27" t="n"/>
      <c r="CO41" s="27" t="n"/>
      <c r="CP41" s="27" t="n"/>
      <c r="CQ41" s="27" t="n"/>
      <c r="CR41" s="27" t="n"/>
      <c r="CS41" s="27" t="n"/>
      <c r="CT41" s="27" t="n"/>
      <c r="CU41" s="27" t="n"/>
      <c r="CV41" s="27" t="n"/>
      <c r="CW41" s="27" t="n"/>
      <c r="CX41" s="27" t="n"/>
      <c r="CY41" s="27" t="n"/>
      <c r="CZ41" s="27" t="n"/>
      <c r="DA41" s="27" t="n"/>
      <c r="DB41" s="27" t="n"/>
      <c r="DC41" s="27" t="n"/>
      <c r="DD41" s="27" t="n"/>
      <c r="DE41" s="27" t="n"/>
      <c r="DF41" s="27" t="n"/>
      <c r="DG41" s="27" t="n"/>
    </row>
    <row r="42">
      <c r="P42" s="26">
        <f>'클럭 정리'!A43</f>
        <v/>
      </c>
      <c r="Q42" s="25">
        <f>'클럭 정리'!O43</f>
        <v/>
      </c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  <c r="AP42" s="27" t="n"/>
      <c r="AQ42" s="27" t="n"/>
      <c r="AR42" s="27" t="n"/>
      <c r="AS42" s="27" t="n"/>
      <c r="AT42" s="27" t="n"/>
      <c r="AU42" s="27" t="n"/>
      <c r="AV42" s="27" t="n"/>
      <c r="AW42" s="27" t="n"/>
      <c r="AX42" s="27" t="n"/>
      <c r="AY42" s="27" t="n"/>
      <c r="AZ42" s="27" t="n"/>
      <c r="BA42" s="27" t="n"/>
      <c r="BB42" s="27" t="n"/>
      <c r="BC42" s="27" t="n"/>
      <c r="BD42" s="27" t="n"/>
      <c r="BE42" s="27" t="n"/>
      <c r="BF42" s="27" t="n"/>
      <c r="BG42" s="27" t="n"/>
      <c r="BH42" s="27" t="n"/>
      <c r="BI42" s="27" t="n"/>
      <c r="BJ42" s="27" t="n"/>
      <c r="BK42" s="27" t="n"/>
      <c r="BL42" s="27" t="n"/>
      <c r="BM42" s="27" t="n"/>
      <c r="BN42" s="27" t="n"/>
      <c r="BO42" s="27" t="n"/>
      <c r="BP42" s="27" t="n"/>
      <c r="BQ42" s="27" t="n"/>
      <c r="BR42" s="27" t="n"/>
      <c r="BS42" s="27" t="n"/>
      <c r="BT42" s="27" t="n"/>
      <c r="BU42" s="27" t="n"/>
      <c r="BV42" s="27" t="n"/>
      <c r="BW42" s="27" t="n"/>
      <c r="BX42" s="27" t="n"/>
      <c r="BY42" s="27" t="n"/>
      <c r="BZ42" s="27" t="n"/>
      <c r="CA42" s="27" t="n"/>
      <c r="CB42" s="27" t="n"/>
      <c r="CC42" s="27" t="n"/>
      <c r="CD42" s="27" t="n"/>
      <c r="CE42" s="27" t="n"/>
      <c r="CF42" s="27" t="n"/>
      <c r="CG42" s="27" t="n"/>
      <c r="CH42" s="27" t="n"/>
      <c r="CI42" s="27" t="n"/>
      <c r="CJ42" s="27" t="n"/>
      <c r="CK42" s="27" t="n"/>
      <c r="CL42" s="27" t="n"/>
      <c r="CM42" s="27" t="n"/>
      <c r="CN42" s="27" t="n"/>
      <c r="CO42" s="27" t="n"/>
      <c r="CP42" s="27" t="n"/>
      <c r="CQ42" s="27" t="n"/>
      <c r="CR42" s="27" t="n"/>
      <c r="CS42" s="27" t="n"/>
      <c r="CT42" s="27" t="n"/>
      <c r="CU42" s="27" t="n"/>
      <c r="CV42" s="27" t="n"/>
      <c r="CW42" s="27" t="n"/>
      <c r="CX42" s="27" t="n"/>
      <c r="CY42" s="27" t="n"/>
      <c r="CZ42" s="27" t="n"/>
      <c r="DA42" s="27" t="n"/>
      <c r="DB42" s="27" t="n"/>
      <c r="DC42" s="27" t="n"/>
      <c r="DD42" s="27" t="n"/>
      <c r="DE42" s="27" t="n"/>
      <c r="DF42" s="27" t="n"/>
      <c r="DG42" s="27" t="n"/>
    </row>
    <row r="43">
      <c r="P43" s="26">
        <f>'클럭 정리'!A44</f>
        <v/>
      </c>
      <c r="Q43" s="25">
        <f>'클럭 정리'!O44</f>
        <v/>
      </c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  <c r="AP43" s="27" t="n"/>
      <c r="AQ43" s="27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  <c r="BB43" s="27" t="n"/>
      <c r="BC43" s="27" t="n"/>
      <c r="BD43" s="27" t="n"/>
      <c r="BE43" s="27" t="n"/>
      <c r="BF43" s="27" t="n"/>
      <c r="BG43" s="27" t="n"/>
      <c r="BH43" s="27" t="n"/>
      <c r="BI43" s="27" t="n"/>
      <c r="BJ43" s="27" t="n"/>
      <c r="BK43" s="27" t="n"/>
      <c r="BL43" s="27" t="n"/>
      <c r="BM43" s="27" t="n"/>
      <c r="BN43" s="27" t="n"/>
      <c r="BO43" s="27" t="n"/>
      <c r="BP43" s="27" t="n"/>
      <c r="BQ43" s="27" t="n"/>
      <c r="BR43" s="27" t="n"/>
      <c r="BS43" s="27" t="n"/>
      <c r="BT43" s="27" t="n"/>
      <c r="BU43" s="27" t="n"/>
      <c r="BV43" s="27" t="n"/>
      <c r="BW43" s="27" t="n"/>
      <c r="BX43" s="27" t="n"/>
      <c r="BY43" s="27" t="n"/>
      <c r="BZ43" s="27" t="n"/>
      <c r="CA43" s="27" t="n"/>
      <c r="CB43" s="27" t="n"/>
      <c r="CC43" s="27" t="n"/>
      <c r="CD43" s="27" t="n"/>
      <c r="CE43" s="27" t="n"/>
      <c r="CF43" s="27" t="n"/>
      <c r="CG43" s="27" t="n"/>
      <c r="CH43" s="27" t="n"/>
      <c r="CI43" s="27" t="n"/>
      <c r="CJ43" s="27" t="n"/>
      <c r="CK43" s="27" t="n"/>
      <c r="CL43" s="27" t="n"/>
      <c r="CM43" s="27" t="n"/>
      <c r="CN43" s="27" t="n"/>
      <c r="CO43" s="27" t="n"/>
      <c r="CP43" s="27" t="n"/>
      <c r="CQ43" s="27" t="n"/>
      <c r="CR43" s="27" t="n"/>
      <c r="CS43" s="27" t="n"/>
      <c r="CT43" s="27" t="n"/>
      <c r="CU43" s="27" t="n"/>
      <c r="CV43" s="27" t="n"/>
      <c r="CW43" s="27" t="n"/>
      <c r="CX43" s="27" t="n"/>
      <c r="CY43" s="27" t="n"/>
      <c r="CZ43" s="27" t="n"/>
      <c r="DA43" s="27" t="n"/>
      <c r="DB43" s="27" t="n"/>
      <c r="DC43" s="27" t="n"/>
      <c r="DD43" s="27" t="n"/>
      <c r="DE43" s="27" t="n"/>
      <c r="DF43" s="27" t="n"/>
      <c r="DG43" s="27" t="n"/>
    </row>
    <row r="44">
      <c r="P44" s="26">
        <f>'클럭 정리'!A45</f>
        <v/>
      </c>
      <c r="Q44" s="25">
        <f>'클럭 정리'!O45</f>
        <v/>
      </c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  <c r="AL44" s="27" t="n"/>
      <c r="AM44" s="27" t="n"/>
      <c r="AN44" s="27" t="n"/>
      <c r="AO44" s="27" t="n"/>
      <c r="AP44" s="27" t="n"/>
      <c r="AQ44" s="27" t="n"/>
      <c r="AR44" s="27" t="n"/>
      <c r="AS44" s="27" t="n"/>
      <c r="AT44" s="27" t="n"/>
      <c r="AU44" s="27" t="n"/>
      <c r="AV44" s="27" t="n"/>
      <c r="AW44" s="27" t="n"/>
      <c r="AX44" s="27" t="n"/>
      <c r="AY44" s="27" t="n"/>
      <c r="AZ44" s="27" t="n"/>
      <c r="BA44" s="27" t="n"/>
      <c r="BB44" s="27" t="n"/>
      <c r="BC44" s="27" t="n"/>
      <c r="BD44" s="27" t="n"/>
      <c r="BE44" s="27" t="n"/>
      <c r="BF44" s="27" t="n"/>
      <c r="BG44" s="27" t="n"/>
      <c r="BH44" s="27" t="n"/>
      <c r="BI44" s="27" t="n"/>
      <c r="BJ44" s="27" t="n"/>
      <c r="BK44" s="27" t="n"/>
      <c r="BL44" s="27" t="n"/>
      <c r="BM44" s="27" t="n"/>
      <c r="BN44" s="27" t="n"/>
      <c r="BO44" s="27" t="n"/>
      <c r="BP44" s="27" t="n"/>
      <c r="BQ44" s="27" t="n"/>
      <c r="BR44" s="27" t="n"/>
      <c r="BS44" s="27" t="n"/>
      <c r="BT44" s="27" t="n"/>
      <c r="BU44" s="27" t="n"/>
      <c r="BV44" s="27" t="n"/>
      <c r="BW44" s="27" t="n"/>
      <c r="BX44" s="27" t="n"/>
      <c r="BY44" s="27" t="n"/>
      <c r="BZ44" s="27" t="n"/>
      <c r="CA44" s="27" t="n"/>
      <c r="CB44" s="27" t="n"/>
      <c r="CC44" s="27" t="n"/>
      <c r="CD44" s="27" t="n"/>
      <c r="CE44" s="27" t="n"/>
      <c r="CF44" s="27" t="n"/>
      <c r="CG44" s="27" t="n"/>
      <c r="CH44" s="27" t="n"/>
      <c r="CI44" s="27" t="n"/>
      <c r="CJ44" s="27" t="n"/>
      <c r="CK44" s="27" t="n"/>
      <c r="CL44" s="27" t="n"/>
      <c r="CM44" s="27" t="n"/>
      <c r="CN44" s="27" t="n"/>
      <c r="CO44" s="27" t="n"/>
      <c r="CP44" s="27" t="n"/>
      <c r="CQ44" s="27" t="n"/>
      <c r="CR44" s="27" t="n"/>
      <c r="CS44" s="27" t="n"/>
      <c r="CT44" s="27" t="n"/>
      <c r="CU44" s="27" t="n"/>
      <c r="CV44" s="27" t="n"/>
      <c r="CW44" s="27" t="n"/>
      <c r="CX44" s="27" t="n"/>
      <c r="CY44" s="27" t="n"/>
      <c r="CZ44" s="27" t="n"/>
      <c r="DA44" s="27" t="n"/>
      <c r="DB44" s="27" t="n"/>
      <c r="DC44" s="27" t="n"/>
      <c r="DD44" s="27" t="n"/>
      <c r="DE44" s="27" t="n"/>
      <c r="DF44" s="27" t="n"/>
      <c r="DG44" s="27" t="n"/>
    </row>
    <row r="45">
      <c r="P45" s="26">
        <f>'클럭 정리'!A46</f>
        <v/>
      </c>
      <c r="Q45" s="25">
        <f>'클럭 정리'!O46</f>
        <v/>
      </c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  <c r="AL45" s="27" t="n"/>
      <c r="AM45" s="27" t="n"/>
      <c r="AN45" s="27" t="n"/>
      <c r="AO45" s="27" t="n"/>
      <c r="AP45" s="27" t="n"/>
      <c r="AQ45" s="27" t="n"/>
      <c r="AR45" s="27" t="n"/>
      <c r="AS45" s="27" t="n"/>
      <c r="AT45" s="27" t="n"/>
      <c r="AU45" s="27" t="n"/>
      <c r="AV45" s="27" t="n"/>
      <c r="AW45" s="27" t="n"/>
      <c r="AX45" s="27" t="n"/>
      <c r="AY45" s="27" t="n"/>
      <c r="AZ45" s="27" t="n"/>
      <c r="BA45" s="27" t="n"/>
      <c r="BB45" s="27" t="n"/>
      <c r="BC45" s="27" t="n"/>
      <c r="BD45" s="27" t="n"/>
      <c r="BE45" s="27" t="n"/>
      <c r="BF45" s="27" t="n"/>
      <c r="BG45" s="27" t="n"/>
      <c r="BH45" s="27" t="n"/>
      <c r="BI45" s="27" t="n"/>
      <c r="BJ45" s="27" t="n"/>
      <c r="BK45" s="27" t="n"/>
      <c r="BL45" s="27" t="n"/>
      <c r="BM45" s="27" t="n"/>
      <c r="BN45" s="27" t="n"/>
      <c r="BO45" s="27" t="n"/>
      <c r="BP45" s="27" t="n"/>
      <c r="BQ45" s="27" t="n"/>
      <c r="BR45" s="27" t="n"/>
      <c r="BS45" s="27" t="n"/>
      <c r="BT45" s="27" t="n"/>
      <c r="BU45" s="27" t="n"/>
      <c r="BV45" s="27" t="n"/>
      <c r="BW45" s="27" t="n"/>
      <c r="BX45" s="27" t="n"/>
      <c r="BY45" s="27" t="n"/>
      <c r="BZ45" s="27" t="n"/>
      <c r="CA45" s="27" t="n"/>
      <c r="CB45" s="27" t="n"/>
      <c r="CC45" s="27" t="n"/>
      <c r="CD45" s="27" t="n"/>
      <c r="CE45" s="27" t="n"/>
      <c r="CF45" s="27" t="n"/>
      <c r="CG45" s="27" t="n"/>
      <c r="CH45" s="27" t="n"/>
      <c r="CI45" s="27" t="n"/>
      <c r="CJ45" s="27" t="n"/>
      <c r="CK45" s="27" t="n"/>
      <c r="CL45" s="27" t="n"/>
      <c r="CM45" s="27" t="n"/>
      <c r="CN45" s="27" t="n"/>
      <c r="CO45" s="27" t="n"/>
      <c r="CP45" s="27" t="n"/>
      <c r="CQ45" s="27" t="n"/>
      <c r="CR45" s="27" t="n"/>
      <c r="CS45" s="27" t="n"/>
      <c r="CT45" s="27" t="n"/>
      <c r="CU45" s="27" t="n"/>
      <c r="CV45" s="27" t="n"/>
      <c r="CW45" s="27" t="n"/>
      <c r="CX45" s="27" t="n"/>
      <c r="CY45" s="27" t="n"/>
      <c r="CZ45" s="27" t="n"/>
      <c r="DA45" s="27" t="n"/>
      <c r="DB45" s="27" t="n"/>
      <c r="DC45" s="27" t="n"/>
      <c r="DD45" s="27" t="n"/>
      <c r="DE45" s="27" t="n"/>
      <c r="DF45" s="27" t="n"/>
      <c r="DG45" s="27" t="n"/>
    </row>
    <row r="46">
      <c r="P46" s="26">
        <f>'클럭 정리'!A47</f>
        <v/>
      </c>
      <c r="Q46" s="25">
        <f>'클럭 정리'!O47</f>
        <v/>
      </c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  <c r="AL46" s="27" t="n"/>
      <c r="AM46" s="27" t="n"/>
      <c r="AN46" s="27" t="n"/>
      <c r="AO46" s="27" t="n"/>
      <c r="AP46" s="27" t="n"/>
      <c r="AQ46" s="27" t="n"/>
      <c r="AR46" s="27" t="n"/>
      <c r="AS46" s="27" t="n"/>
      <c r="AT46" s="27" t="n"/>
      <c r="AU46" s="27" t="n"/>
      <c r="AV46" s="27" t="n"/>
      <c r="AW46" s="27" t="n"/>
      <c r="AX46" s="27" t="n"/>
      <c r="AY46" s="27" t="n"/>
      <c r="AZ46" s="27" t="n"/>
      <c r="BA46" s="27" t="n"/>
      <c r="BB46" s="27" t="n"/>
      <c r="BC46" s="27" t="n"/>
      <c r="BD46" s="27" t="n"/>
      <c r="BE46" s="27" t="n"/>
      <c r="BF46" s="27" t="n"/>
      <c r="BG46" s="27" t="n"/>
      <c r="BH46" s="27" t="n"/>
      <c r="BI46" s="27" t="n"/>
      <c r="BJ46" s="27" t="n"/>
      <c r="BK46" s="27" t="n"/>
      <c r="BL46" s="27" t="n"/>
      <c r="BM46" s="27" t="n"/>
      <c r="BN46" s="27" t="n"/>
      <c r="BO46" s="27" t="n"/>
      <c r="BP46" s="27" t="n"/>
      <c r="BQ46" s="27" t="n"/>
      <c r="BR46" s="27" t="n"/>
      <c r="BS46" s="27" t="n"/>
      <c r="BT46" s="27" t="n"/>
      <c r="BU46" s="27" t="n"/>
      <c r="BV46" s="27" t="n"/>
      <c r="BW46" s="27" t="n"/>
      <c r="BX46" s="27" t="n"/>
      <c r="BY46" s="27" t="n"/>
      <c r="BZ46" s="27" t="n"/>
      <c r="CA46" s="27" t="n"/>
      <c r="CB46" s="27" t="n"/>
      <c r="CC46" s="27" t="n"/>
      <c r="CD46" s="27" t="n"/>
      <c r="CE46" s="27" t="n"/>
      <c r="CF46" s="27" t="n"/>
      <c r="CG46" s="27" t="n"/>
      <c r="CH46" s="27" t="n"/>
      <c r="CI46" s="27" t="n"/>
      <c r="CJ46" s="27" t="n"/>
      <c r="CK46" s="27" t="n"/>
      <c r="CL46" s="27" t="n"/>
      <c r="CM46" s="27" t="n"/>
      <c r="CN46" s="27" t="n"/>
      <c r="CO46" s="27" t="n"/>
      <c r="CP46" s="27" t="n"/>
      <c r="CQ46" s="27" t="n"/>
      <c r="CR46" s="27" t="n"/>
      <c r="CS46" s="27" t="n"/>
      <c r="CT46" s="27" t="n"/>
      <c r="CU46" s="27" t="n"/>
      <c r="CV46" s="27" t="n"/>
      <c r="CW46" s="27" t="n"/>
      <c r="CX46" s="27" t="n"/>
      <c r="CY46" s="27" t="n"/>
      <c r="CZ46" s="27" t="n"/>
      <c r="DA46" s="27" t="n"/>
      <c r="DB46" s="27" t="n"/>
      <c r="DC46" s="27" t="n"/>
      <c r="DD46" s="27" t="n"/>
      <c r="DE46" s="27" t="n"/>
      <c r="DF46" s="27" t="n"/>
      <c r="DG46" s="27" t="n"/>
    </row>
    <row r="47">
      <c r="P47" s="26">
        <f>'클럭 정리'!A48</f>
        <v/>
      </c>
      <c r="Q47" s="25">
        <f>'클럭 정리'!O48</f>
        <v/>
      </c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  <c r="AL47" s="27" t="n"/>
      <c r="AM47" s="27" t="n"/>
      <c r="AN47" s="27" t="n"/>
      <c r="AO47" s="27" t="n"/>
      <c r="AP47" s="27" t="n"/>
      <c r="AQ47" s="27" t="n"/>
      <c r="AR47" s="27" t="n"/>
      <c r="AS47" s="27" t="n"/>
      <c r="AT47" s="27" t="n"/>
      <c r="AU47" s="27" t="n"/>
      <c r="AV47" s="27" t="n"/>
      <c r="AW47" s="27" t="n"/>
      <c r="AX47" s="27" t="n"/>
      <c r="AY47" s="27" t="n"/>
      <c r="AZ47" s="27" t="n"/>
      <c r="BA47" s="27" t="n"/>
      <c r="BB47" s="27" t="n"/>
      <c r="BC47" s="27" t="n"/>
      <c r="BD47" s="27" t="n"/>
      <c r="BE47" s="27" t="n"/>
      <c r="BF47" s="27" t="n"/>
      <c r="BG47" s="27" t="n"/>
      <c r="BH47" s="27" t="n"/>
      <c r="BI47" s="27" t="n"/>
      <c r="BJ47" s="27" t="n"/>
      <c r="BK47" s="27" t="n"/>
      <c r="BL47" s="27" t="n"/>
      <c r="BM47" s="27" t="n"/>
      <c r="BN47" s="27" t="n"/>
      <c r="BO47" s="27" t="n"/>
      <c r="BP47" s="27" t="n"/>
      <c r="BQ47" s="27" t="n"/>
      <c r="BR47" s="27" t="n"/>
      <c r="BS47" s="27" t="n"/>
      <c r="BT47" s="27" t="n"/>
      <c r="BU47" s="27" t="n"/>
      <c r="BV47" s="27" t="n"/>
      <c r="BW47" s="27" t="n"/>
      <c r="BX47" s="27" t="n"/>
      <c r="BY47" s="27" t="n"/>
      <c r="BZ47" s="27" t="n"/>
      <c r="CA47" s="27" t="n"/>
      <c r="CB47" s="27" t="n"/>
      <c r="CC47" s="27" t="n"/>
      <c r="CD47" s="27" t="n"/>
      <c r="CE47" s="27" t="n"/>
      <c r="CF47" s="27" t="n"/>
      <c r="CG47" s="27" t="n"/>
      <c r="CH47" s="27" t="n"/>
      <c r="CI47" s="27" t="n"/>
      <c r="CJ47" s="27" t="n"/>
      <c r="CK47" s="27" t="n"/>
      <c r="CL47" s="27" t="n"/>
      <c r="CM47" s="27" t="n"/>
      <c r="CN47" s="27" t="n"/>
      <c r="CO47" s="27" t="n"/>
      <c r="CP47" s="27" t="n"/>
      <c r="CQ47" s="27" t="n"/>
      <c r="CR47" s="27" t="n"/>
      <c r="CS47" s="27" t="n"/>
      <c r="CT47" s="27" t="n"/>
      <c r="CU47" s="27" t="n"/>
      <c r="CV47" s="27" t="n"/>
      <c r="CW47" s="27" t="n"/>
      <c r="CX47" s="27" t="n"/>
      <c r="CY47" s="27" t="n"/>
      <c r="CZ47" s="27" t="n"/>
      <c r="DA47" s="27" t="n"/>
      <c r="DB47" s="27" t="n"/>
      <c r="DC47" s="27" t="n"/>
      <c r="DD47" s="27" t="n"/>
      <c r="DE47" s="27" t="n"/>
      <c r="DF47" s="27" t="n"/>
      <c r="DG47" s="27" t="n"/>
    </row>
    <row r="48">
      <c r="P48" s="26">
        <f>'클럭 정리'!A49</f>
        <v/>
      </c>
      <c r="Q48" s="25">
        <f>'클럭 정리'!O49</f>
        <v/>
      </c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  <c r="AP48" s="27" t="n"/>
      <c r="AQ48" s="27" t="n"/>
      <c r="AR48" s="27" t="n"/>
      <c r="AS48" s="27" t="n"/>
      <c r="AT48" s="27" t="n"/>
      <c r="AU48" s="27" t="n"/>
      <c r="AV48" s="27" t="n"/>
      <c r="AW48" s="27" t="n"/>
      <c r="AX48" s="27" t="n"/>
      <c r="AY48" s="27" t="n"/>
      <c r="AZ48" s="27" t="n"/>
      <c r="BA48" s="27" t="n"/>
      <c r="BB48" s="27" t="n"/>
      <c r="BC48" s="27" t="n"/>
      <c r="BD48" s="27" t="n"/>
      <c r="BE48" s="27" t="n"/>
      <c r="BF48" s="27" t="n"/>
      <c r="BG48" s="27" t="n"/>
      <c r="BH48" s="27" t="n"/>
      <c r="BI48" s="27" t="n"/>
      <c r="BJ48" s="27" t="n"/>
      <c r="BK48" s="27" t="n"/>
      <c r="BL48" s="27" t="n"/>
      <c r="BM48" s="27" t="n"/>
      <c r="BN48" s="27" t="n"/>
      <c r="BO48" s="27" t="n"/>
      <c r="BP48" s="27" t="n"/>
      <c r="BQ48" s="27" t="n"/>
      <c r="BR48" s="27" t="n"/>
      <c r="BS48" s="27" t="n"/>
      <c r="BT48" s="27" t="n"/>
      <c r="BU48" s="27" t="n"/>
      <c r="BV48" s="27" t="n"/>
      <c r="BW48" s="27" t="n"/>
      <c r="BX48" s="27" t="n"/>
      <c r="BY48" s="27" t="n"/>
      <c r="BZ48" s="27" t="n"/>
      <c r="CA48" s="27" t="n"/>
      <c r="CB48" s="27" t="n"/>
      <c r="CC48" s="27" t="n"/>
      <c r="CD48" s="27" t="n"/>
      <c r="CE48" s="27" t="n"/>
      <c r="CF48" s="27" t="n"/>
      <c r="CG48" s="27" t="n"/>
      <c r="CH48" s="27" t="n"/>
      <c r="CI48" s="27" t="n"/>
      <c r="CJ48" s="27" t="n"/>
      <c r="CK48" s="27" t="n"/>
      <c r="CL48" s="27" t="n"/>
      <c r="CM48" s="27" t="n"/>
      <c r="CN48" s="27" t="n"/>
      <c r="CO48" s="27" t="n"/>
      <c r="CP48" s="27" t="n"/>
      <c r="CQ48" s="27" t="n"/>
      <c r="CR48" s="27" t="n"/>
      <c r="CS48" s="27" t="n"/>
      <c r="CT48" s="27" t="n"/>
      <c r="CU48" s="27" t="n"/>
      <c r="CV48" s="27" t="n"/>
      <c r="CW48" s="27" t="n"/>
      <c r="CX48" s="27" t="n"/>
      <c r="CY48" s="27" t="n"/>
      <c r="CZ48" s="27" t="n"/>
      <c r="DA48" s="27" t="n"/>
      <c r="DB48" s="27" t="n"/>
      <c r="DC48" s="27" t="n"/>
      <c r="DD48" s="27" t="n"/>
      <c r="DE48" s="27" t="n"/>
      <c r="DF48" s="27" t="n"/>
      <c r="DG48" s="27" t="n"/>
    </row>
    <row r="49">
      <c r="P49" s="26">
        <f>'클럭 정리'!A50</f>
        <v/>
      </c>
      <c r="Q49" s="25">
        <f>'클럭 정리'!O50</f>
        <v/>
      </c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  <c r="AL49" s="27" t="n"/>
      <c r="AM49" s="27" t="n"/>
      <c r="AN49" s="27" t="n"/>
      <c r="AO49" s="27" t="n"/>
      <c r="AP49" s="27" t="n"/>
      <c r="AQ49" s="27" t="n"/>
      <c r="AR49" s="27" t="n"/>
      <c r="AS49" s="27" t="n"/>
      <c r="AT49" s="27" t="n"/>
      <c r="AU49" s="27" t="n"/>
      <c r="AV49" s="27" t="n"/>
      <c r="AW49" s="27" t="n"/>
      <c r="AX49" s="27" t="n"/>
      <c r="AY49" s="27" t="n"/>
      <c r="AZ49" s="27" t="n"/>
      <c r="BA49" s="27" t="n"/>
      <c r="BB49" s="27" t="n"/>
      <c r="BC49" s="27" t="n"/>
      <c r="BD49" s="27" t="n"/>
      <c r="BE49" s="27" t="n"/>
      <c r="BF49" s="27" t="n"/>
      <c r="BG49" s="27" t="n"/>
      <c r="BH49" s="27" t="n"/>
      <c r="BI49" s="27" t="n"/>
      <c r="BJ49" s="27" t="n"/>
      <c r="BK49" s="27" t="n"/>
      <c r="BL49" s="27" t="n"/>
      <c r="BM49" s="27" t="n"/>
      <c r="BN49" s="27" t="n"/>
      <c r="BO49" s="27" t="n"/>
      <c r="BP49" s="27" t="n"/>
      <c r="BQ49" s="27" t="n"/>
      <c r="BR49" s="27" t="n"/>
      <c r="BS49" s="27" t="n"/>
      <c r="BT49" s="27" t="n"/>
      <c r="BU49" s="27" t="n"/>
      <c r="BV49" s="27" t="n"/>
      <c r="BW49" s="27" t="n"/>
      <c r="BX49" s="27" t="n"/>
      <c r="BY49" s="27" t="n"/>
      <c r="BZ49" s="27" t="n"/>
      <c r="CA49" s="27" t="n"/>
      <c r="CB49" s="27" t="n"/>
      <c r="CC49" s="27" t="n"/>
      <c r="CD49" s="27" t="n"/>
      <c r="CE49" s="27" t="n"/>
      <c r="CF49" s="27" t="n"/>
      <c r="CG49" s="27" t="n"/>
      <c r="CH49" s="27" t="n"/>
      <c r="CI49" s="27" t="n"/>
      <c r="CJ49" s="27" t="n"/>
      <c r="CK49" s="27" t="n"/>
      <c r="CL49" s="27" t="n"/>
      <c r="CM49" s="27" t="n"/>
      <c r="CN49" s="27" t="n"/>
      <c r="CO49" s="27" t="n"/>
      <c r="CP49" s="27" t="n"/>
      <c r="CQ49" s="27" t="n"/>
      <c r="CR49" s="27" t="n"/>
      <c r="CS49" s="27" t="n"/>
      <c r="CT49" s="27" t="n"/>
      <c r="CU49" s="27" t="n"/>
      <c r="CV49" s="27" t="n"/>
      <c r="CW49" s="27" t="n"/>
      <c r="CX49" s="27" t="n"/>
      <c r="CY49" s="27" t="n"/>
      <c r="CZ49" s="27" t="n"/>
      <c r="DA49" s="27" t="n"/>
      <c r="DB49" s="27" t="n"/>
      <c r="DC49" s="27" t="n"/>
      <c r="DD49" s="27" t="n"/>
      <c r="DE49" s="27" t="n"/>
      <c r="DF49" s="27" t="n"/>
      <c r="DG49" s="27" t="n"/>
    </row>
    <row r="50">
      <c r="P50" s="26">
        <f>'클럭 정리'!A51</f>
        <v/>
      </c>
      <c r="Q50" s="25">
        <f>'클럭 정리'!O51</f>
        <v/>
      </c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  <c r="AL50" s="27" t="n"/>
      <c r="AM50" s="27" t="n"/>
      <c r="AN50" s="27" t="n"/>
      <c r="AO50" s="27" t="n"/>
      <c r="AP50" s="27" t="n"/>
      <c r="AQ50" s="27" t="n"/>
      <c r="AR50" s="27" t="n"/>
      <c r="AS50" s="27" t="n"/>
      <c r="AT50" s="27" t="n"/>
      <c r="AU50" s="27" t="n"/>
      <c r="AV50" s="27" t="n"/>
      <c r="AW50" s="27" t="n"/>
      <c r="AX50" s="27" t="n"/>
      <c r="AY50" s="27" t="n"/>
      <c r="AZ50" s="27" t="n"/>
      <c r="BA50" s="27" t="n"/>
      <c r="BB50" s="27" t="n"/>
      <c r="BC50" s="27" t="n"/>
      <c r="BD50" s="27" t="n"/>
      <c r="BE50" s="27" t="n"/>
      <c r="BF50" s="27" t="n"/>
      <c r="BG50" s="27" t="n"/>
      <c r="BH50" s="27" t="n"/>
      <c r="BI50" s="27" t="n"/>
      <c r="BJ50" s="27" t="n"/>
      <c r="BK50" s="27" t="n"/>
      <c r="BL50" s="27" t="n"/>
      <c r="BM50" s="27" t="n"/>
      <c r="BN50" s="27" t="n"/>
      <c r="BO50" s="27" t="n"/>
      <c r="BP50" s="27" t="n"/>
      <c r="BQ50" s="27" t="n"/>
      <c r="BR50" s="27" t="n"/>
      <c r="BS50" s="27" t="n"/>
      <c r="BT50" s="27" t="n"/>
      <c r="BU50" s="27" t="n"/>
      <c r="BV50" s="27" t="n"/>
      <c r="BW50" s="27" t="n"/>
      <c r="BX50" s="27" t="n"/>
      <c r="BY50" s="27" t="n"/>
      <c r="BZ50" s="27" t="n"/>
      <c r="CA50" s="27" t="n"/>
      <c r="CB50" s="27" t="n"/>
      <c r="CC50" s="27" t="n"/>
      <c r="CD50" s="27" t="n"/>
      <c r="CE50" s="27" t="n"/>
      <c r="CF50" s="27" t="n"/>
      <c r="CG50" s="27" t="n"/>
      <c r="CH50" s="27" t="n"/>
      <c r="CI50" s="27" t="n"/>
      <c r="CJ50" s="27" t="n"/>
      <c r="CK50" s="27" t="n"/>
      <c r="CL50" s="27" t="n"/>
      <c r="CM50" s="27" t="n"/>
      <c r="CN50" s="27" t="n"/>
      <c r="CO50" s="27" t="n"/>
      <c r="CP50" s="27" t="n"/>
      <c r="CQ50" s="27" t="n"/>
      <c r="CR50" s="27" t="n"/>
      <c r="CS50" s="27" t="n"/>
      <c r="CT50" s="27" t="n"/>
      <c r="CU50" s="27" t="n"/>
      <c r="CV50" s="27" t="n"/>
      <c r="CW50" s="27" t="n"/>
      <c r="CX50" s="27" t="n"/>
      <c r="CY50" s="27" t="n"/>
      <c r="CZ50" s="27" t="n"/>
      <c r="DA50" s="27" t="n"/>
      <c r="DB50" s="27" t="n"/>
      <c r="DC50" s="27" t="n"/>
      <c r="DD50" s="27" t="n"/>
      <c r="DE50" s="27" t="n"/>
      <c r="DF50" s="27" t="n"/>
      <c r="DG50" s="27" t="n"/>
    </row>
    <row r="51">
      <c r="P51" s="26">
        <f>'클럭 정리'!A52</f>
        <v/>
      </c>
      <c r="Q51" s="25">
        <f>'클럭 정리'!O52</f>
        <v/>
      </c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  <c r="AL51" s="27" t="n"/>
      <c r="AM51" s="27" t="n"/>
      <c r="AN51" s="27" t="n"/>
      <c r="AO51" s="27" t="n"/>
      <c r="AP51" s="27" t="n"/>
      <c r="AQ51" s="27" t="n"/>
      <c r="AR51" s="27" t="n"/>
      <c r="AS51" s="27" t="n"/>
      <c r="AT51" s="27" t="n"/>
      <c r="AU51" s="27" t="n"/>
      <c r="AV51" s="27" t="n"/>
      <c r="AW51" s="27" t="n"/>
      <c r="AX51" s="27" t="n"/>
      <c r="AY51" s="27" t="n"/>
      <c r="AZ51" s="27" t="n"/>
      <c r="BA51" s="27" t="n"/>
      <c r="BB51" s="27" t="n"/>
      <c r="BC51" s="27" t="n"/>
      <c r="BD51" s="27" t="n"/>
      <c r="BE51" s="27" t="n"/>
      <c r="BF51" s="27" t="n"/>
      <c r="BG51" s="27" t="n"/>
      <c r="BH51" s="27" t="n"/>
      <c r="BI51" s="27" t="n"/>
      <c r="BJ51" s="27" t="n"/>
      <c r="BK51" s="27" t="n"/>
      <c r="BL51" s="27" t="n"/>
      <c r="BM51" s="27" t="n"/>
      <c r="BN51" s="27" t="n"/>
      <c r="BO51" s="27" t="n"/>
      <c r="BP51" s="27" t="n"/>
      <c r="BQ51" s="27" t="n"/>
      <c r="BR51" s="27" t="n"/>
      <c r="BS51" s="27" t="n"/>
      <c r="BT51" s="27" t="n"/>
      <c r="BU51" s="27" t="n"/>
      <c r="BV51" s="27" t="n"/>
      <c r="BW51" s="27" t="n"/>
      <c r="BX51" s="27" t="n"/>
      <c r="BY51" s="27" t="n"/>
      <c r="BZ51" s="27" t="n"/>
      <c r="CA51" s="27" t="n"/>
      <c r="CB51" s="27" t="n"/>
      <c r="CC51" s="27" t="n"/>
      <c r="CD51" s="27" t="n"/>
      <c r="CE51" s="27" t="n"/>
      <c r="CF51" s="27" t="n"/>
      <c r="CG51" s="27" t="n"/>
      <c r="CH51" s="27" t="n"/>
      <c r="CI51" s="27" t="n"/>
      <c r="CJ51" s="27" t="n"/>
      <c r="CK51" s="27" t="n"/>
      <c r="CL51" s="27" t="n"/>
      <c r="CM51" s="27" t="n"/>
      <c r="CN51" s="27" t="n"/>
      <c r="CO51" s="27" t="n"/>
      <c r="CP51" s="27" t="n"/>
      <c r="CQ51" s="27" t="n"/>
      <c r="CR51" s="27" t="n"/>
      <c r="CS51" s="27" t="n"/>
      <c r="CT51" s="27" t="n"/>
      <c r="CU51" s="27" t="n"/>
      <c r="CV51" s="27" t="n"/>
      <c r="CW51" s="27" t="n"/>
      <c r="CX51" s="27" t="n"/>
      <c r="CY51" s="27" t="n"/>
      <c r="CZ51" s="27" t="n"/>
      <c r="DA51" s="27" t="n"/>
      <c r="DB51" s="27" t="n"/>
      <c r="DC51" s="27" t="n"/>
      <c r="DD51" s="27" t="n"/>
      <c r="DE51" s="27" t="n"/>
      <c r="DF51" s="27" t="n"/>
      <c r="DG51" s="27" t="n"/>
    </row>
    <row r="52">
      <c r="P52" s="26">
        <f>'클럭 정리'!A53</f>
        <v/>
      </c>
      <c r="Q52" s="25">
        <f>'클럭 정리'!O53</f>
        <v/>
      </c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  <c r="AL52" s="27" t="n"/>
      <c r="AM52" s="27" t="n"/>
      <c r="AN52" s="27" t="n"/>
      <c r="AO52" s="27" t="n"/>
      <c r="AP52" s="27" t="n"/>
      <c r="AQ52" s="27" t="n"/>
      <c r="AR52" s="27" t="n"/>
      <c r="AS52" s="27" t="n"/>
      <c r="AT52" s="27" t="n"/>
      <c r="AU52" s="27" t="n"/>
      <c r="AV52" s="27" t="n"/>
      <c r="AW52" s="27" t="n"/>
      <c r="AX52" s="27" t="n"/>
      <c r="AY52" s="27" t="n"/>
      <c r="AZ52" s="27" t="n"/>
      <c r="BA52" s="27" t="n"/>
      <c r="BB52" s="27" t="n"/>
      <c r="BC52" s="27" t="n"/>
      <c r="BD52" s="27" t="n"/>
      <c r="BE52" s="27" t="n"/>
      <c r="BF52" s="27" t="n"/>
      <c r="BG52" s="27" t="n"/>
      <c r="BH52" s="27" t="n"/>
      <c r="BI52" s="27" t="n"/>
      <c r="BJ52" s="27" t="n"/>
      <c r="BK52" s="27" t="n"/>
      <c r="BL52" s="27" t="n"/>
      <c r="BM52" s="27" t="n"/>
      <c r="BN52" s="27" t="n"/>
      <c r="BO52" s="27" t="n"/>
      <c r="BP52" s="27" t="n"/>
      <c r="BQ52" s="27" t="n"/>
      <c r="BR52" s="27" t="n"/>
      <c r="BS52" s="27" t="n"/>
      <c r="BT52" s="27" t="n"/>
      <c r="BU52" s="27" t="n"/>
      <c r="BV52" s="27" t="n"/>
      <c r="BW52" s="27" t="n"/>
      <c r="BX52" s="27" t="n"/>
      <c r="BY52" s="27" t="n"/>
      <c r="BZ52" s="27" t="n"/>
      <c r="CA52" s="27" t="n"/>
      <c r="CB52" s="27" t="n"/>
      <c r="CC52" s="27" t="n"/>
      <c r="CD52" s="27" t="n"/>
      <c r="CE52" s="27" t="n"/>
      <c r="CF52" s="27" t="n"/>
      <c r="CG52" s="27" t="n"/>
      <c r="CH52" s="27" t="n"/>
      <c r="CI52" s="27" t="n"/>
      <c r="CJ52" s="27" t="n"/>
      <c r="CK52" s="27" t="n"/>
      <c r="CL52" s="27" t="n"/>
      <c r="CM52" s="27" t="n"/>
      <c r="CN52" s="27" t="n"/>
      <c r="CO52" s="27" t="n"/>
      <c r="CP52" s="27" t="n"/>
      <c r="CQ52" s="27" t="n"/>
      <c r="CR52" s="27" t="n"/>
      <c r="CS52" s="27" t="n"/>
      <c r="CT52" s="27" t="n"/>
      <c r="CU52" s="27" t="n"/>
      <c r="CV52" s="27" t="n"/>
      <c r="CW52" s="27" t="n"/>
      <c r="CX52" s="27" t="n"/>
      <c r="CY52" s="27" t="n"/>
      <c r="CZ52" s="27" t="n"/>
      <c r="DA52" s="27" t="n"/>
      <c r="DB52" s="27" t="n"/>
      <c r="DC52" s="27" t="n"/>
      <c r="DD52" s="27" t="n"/>
      <c r="DE52" s="27" t="n"/>
      <c r="DF52" s="27" t="n"/>
      <c r="DG52" s="27" t="n"/>
    </row>
    <row r="53">
      <c r="P53" s="26">
        <f>'클럭 정리'!A54</f>
        <v/>
      </c>
      <c r="Q53" s="25">
        <f>'클럭 정리'!O54</f>
        <v/>
      </c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  <c r="AL53" s="27" t="n"/>
      <c r="AM53" s="27" t="n"/>
      <c r="AN53" s="27" t="n"/>
      <c r="AO53" s="27" t="n"/>
      <c r="AP53" s="27" t="n"/>
      <c r="AQ53" s="27" t="n"/>
      <c r="AR53" s="27" t="n"/>
      <c r="AS53" s="27" t="n"/>
      <c r="AT53" s="27" t="n"/>
      <c r="AU53" s="27" t="n"/>
      <c r="AV53" s="27" t="n"/>
      <c r="AW53" s="27" t="n"/>
      <c r="AX53" s="27" t="n"/>
      <c r="AY53" s="27" t="n"/>
      <c r="AZ53" s="27" t="n"/>
      <c r="BA53" s="27" t="n"/>
      <c r="BB53" s="27" t="n"/>
      <c r="BC53" s="27" t="n"/>
      <c r="BD53" s="27" t="n"/>
      <c r="BE53" s="27" t="n"/>
      <c r="BF53" s="27" t="n"/>
      <c r="BG53" s="27" t="n"/>
      <c r="BH53" s="27" t="n"/>
      <c r="BI53" s="27" t="n"/>
      <c r="BJ53" s="27" t="n"/>
      <c r="BK53" s="27" t="n"/>
      <c r="BL53" s="27" t="n"/>
      <c r="BM53" s="27" t="n"/>
      <c r="BN53" s="27" t="n"/>
      <c r="BO53" s="27" t="n"/>
      <c r="BP53" s="27" t="n"/>
      <c r="BQ53" s="27" t="n"/>
      <c r="BR53" s="27" t="n"/>
      <c r="BS53" s="27" t="n"/>
      <c r="BT53" s="27" t="n"/>
      <c r="BU53" s="27" t="n"/>
      <c r="BV53" s="27" t="n"/>
      <c r="BW53" s="27" t="n"/>
      <c r="BX53" s="27" t="n"/>
      <c r="BY53" s="27" t="n"/>
      <c r="BZ53" s="27" t="n"/>
      <c r="CA53" s="27" t="n"/>
      <c r="CB53" s="27" t="n"/>
      <c r="CC53" s="27" t="n"/>
      <c r="CD53" s="27" t="n"/>
      <c r="CE53" s="27" t="n"/>
      <c r="CF53" s="27" t="n"/>
      <c r="CG53" s="27" t="n"/>
      <c r="CH53" s="27" t="n"/>
      <c r="CI53" s="27" t="n"/>
      <c r="CJ53" s="27" t="n"/>
      <c r="CK53" s="27" t="n"/>
      <c r="CL53" s="27" t="n"/>
      <c r="CM53" s="27" t="n"/>
      <c r="CN53" s="27" t="n"/>
      <c r="CO53" s="27" t="n"/>
      <c r="CP53" s="27" t="n"/>
      <c r="CQ53" s="27" t="n"/>
      <c r="CR53" s="27" t="n"/>
      <c r="CS53" s="27" t="n"/>
      <c r="CT53" s="27" t="n"/>
      <c r="CU53" s="27" t="n"/>
      <c r="CV53" s="27" t="n"/>
      <c r="CW53" s="27" t="n"/>
      <c r="CX53" s="27" t="n"/>
      <c r="CY53" s="27" t="n"/>
      <c r="CZ53" s="27" t="n"/>
      <c r="DA53" s="27" t="n"/>
      <c r="DB53" s="27" t="n"/>
      <c r="DC53" s="27" t="n"/>
      <c r="DD53" s="27" t="n"/>
      <c r="DE53" s="27" t="n"/>
      <c r="DF53" s="27" t="n"/>
      <c r="DG53" s="27" t="n"/>
    </row>
    <row r="54">
      <c r="P54" s="26">
        <f>'클럭 정리'!A55</f>
        <v/>
      </c>
      <c r="Q54" s="25">
        <f>'클럭 정리'!O55</f>
        <v/>
      </c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  <c r="AL54" s="27" t="n"/>
      <c r="AM54" s="27" t="n"/>
      <c r="AN54" s="27" t="n"/>
      <c r="AO54" s="27" t="n"/>
      <c r="AP54" s="27" t="n"/>
      <c r="AQ54" s="27" t="n"/>
      <c r="AR54" s="27" t="n"/>
      <c r="AS54" s="27" t="n"/>
      <c r="AT54" s="27" t="n"/>
      <c r="AU54" s="27" t="n"/>
      <c r="AV54" s="27" t="n"/>
      <c r="AW54" s="27" t="n"/>
      <c r="AX54" s="27" t="n"/>
      <c r="AY54" s="27" t="n"/>
      <c r="AZ54" s="27" t="n"/>
      <c r="BA54" s="27" t="n"/>
      <c r="BB54" s="27" t="n"/>
      <c r="BC54" s="27" t="n"/>
      <c r="BD54" s="27" t="n"/>
      <c r="BE54" s="27" t="n"/>
      <c r="BF54" s="27" t="n"/>
      <c r="BG54" s="27" t="n"/>
      <c r="BH54" s="27" t="n"/>
      <c r="BI54" s="27" t="n"/>
      <c r="BJ54" s="27" t="n"/>
      <c r="BK54" s="27" t="n"/>
      <c r="BL54" s="27" t="n"/>
      <c r="BM54" s="27" t="n"/>
      <c r="BN54" s="27" t="n"/>
      <c r="BO54" s="27" t="n"/>
      <c r="BP54" s="27" t="n"/>
      <c r="BQ54" s="27" t="n"/>
      <c r="BR54" s="27" t="n"/>
      <c r="BS54" s="27" t="n"/>
      <c r="BT54" s="27" t="n"/>
      <c r="BU54" s="27" t="n"/>
      <c r="BV54" s="27" t="n"/>
      <c r="BW54" s="27" t="n"/>
      <c r="BX54" s="27" t="n"/>
      <c r="BY54" s="27" t="n"/>
      <c r="BZ54" s="27" t="n"/>
      <c r="CA54" s="27" t="n"/>
      <c r="CB54" s="27" t="n"/>
      <c r="CC54" s="27" t="n"/>
      <c r="CD54" s="27" t="n"/>
      <c r="CE54" s="27" t="n"/>
      <c r="CF54" s="27" t="n"/>
      <c r="CG54" s="27" t="n"/>
      <c r="CH54" s="27" t="n"/>
      <c r="CI54" s="27" t="n"/>
      <c r="CJ54" s="27" t="n"/>
      <c r="CK54" s="27" t="n"/>
      <c r="CL54" s="27" t="n"/>
      <c r="CM54" s="27" t="n"/>
      <c r="CN54" s="27" t="n"/>
      <c r="CO54" s="27" t="n"/>
      <c r="CP54" s="27" t="n"/>
      <c r="CQ54" s="27" t="n"/>
      <c r="CR54" s="27" t="n"/>
      <c r="CS54" s="27" t="n"/>
      <c r="CT54" s="27" t="n"/>
      <c r="CU54" s="27" t="n"/>
      <c r="CV54" s="27" t="n"/>
      <c r="CW54" s="27" t="n"/>
      <c r="CX54" s="27" t="n"/>
      <c r="CY54" s="27" t="n"/>
      <c r="CZ54" s="27" t="n"/>
      <c r="DA54" s="27" t="n"/>
      <c r="DB54" s="27" t="n"/>
      <c r="DC54" s="27" t="n"/>
      <c r="DD54" s="27" t="n"/>
      <c r="DE54" s="27" t="n"/>
      <c r="DF54" s="27" t="n"/>
      <c r="DG54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2026-08-04T08:44:48Z</dcterms:created>
  <dcterms:modified xmlns:dcterms="http://purl.org/dc/terms/" xmlns:xsi="http://www.w3.org/2001/XMLSchema-instance" xsi:type="dcterms:W3CDTF">2026-08-04T08:44:48Z</dcterms:modified>
</cp:coreProperties>
</file>