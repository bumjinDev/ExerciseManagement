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클럭 정리" sheetId="1" state="visible" r:id="rId1"/>
    <sheet xmlns:r="http://schemas.openxmlformats.org/officeDocument/2006/relationships" name="구간과 스레드 매핑" sheetId="2" state="visible" r:id="rId2"/>
    <sheet xmlns:r="http://schemas.openxmlformats.org/officeDocument/2006/relationships" name="스레드별 클럭" sheetId="3" state="visible" r:id="rId3"/>
    <sheet xmlns:r="http://schemas.openxmlformats.org/officeDocument/2006/relationships" name="회차별 측정값" sheetId="4" state="visible" r:id="rId4"/>
    <sheet xmlns:r="http://schemas.openxmlformats.org/officeDocument/2006/relationships" name="차트" sheetId="5" state="visible" r:id="rId5"/>
    <sheet xmlns:r="http://schemas.openxmlformats.org/officeDocument/2006/relationships" name="차트 데이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hh:mm:ss.000"/>
    <numFmt numFmtId="166" formatCode="0.0"/>
    <numFmt numFmtId="167" formatCode="hh:mm:ss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9"/>
    </font>
    <font>
      <name val="Arial"/>
      <color rgb="00000000"/>
      <sz val="10"/>
    </font>
    <font>
      <name val="Arial"/>
      <color rgb="00008000"/>
      <sz val="10"/>
    </font>
    <font>
      <name val="Arial"/>
      <b val="1"/>
      <color rgb="00000000"/>
      <sz val="9"/>
    </font>
    <font>
      <name val="Arial"/>
      <color rgb="00008000"/>
      <sz val="9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2" fillId="3" borderId="1" pivotButton="0" quotePrefix="0" xfId="0"/>
    <xf numFmtId="165" fontId="5" fillId="0" borderId="0" pivotButton="0" quotePrefix="0" xfId="0"/>
    <xf numFmtId="166" fontId="5" fillId="0" borderId="0" pivotButton="0" quotePrefix="0" xfId="0"/>
    <xf numFmtId="2" fontId="5" fillId="0" borderId="0" pivotButton="0" quotePrefix="0" xfId="0"/>
    <xf numFmtId="0" fontId="2" fillId="0" borderId="1" pivotButton="0" quotePrefix="0" xfId="0"/>
    <xf numFmtId="165" fontId="5" fillId="0" borderId="1" pivotButton="0" quotePrefix="0" xfId="0"/>
    <xf numFmtId="2" fontId="5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166" fontId="5" fillId="0" borderId="1" pivotButton="0" quotePrefix="0" xfId="0"/>
    <xf numFmtId="2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5" fillId="0" borderId="0" pivotButton="0" quotePrefix="0" xfId="0"/>
    <xf numFmtId="0" fontId="2" fillId="3" borderId="0" pivotButton="0" quotePrefix="0" xfId="0"/>
    <xf numFmtId="2" fontId="6" fillId="0" borderId="0" pivotButton="0" quotePrefix="0" xfId="0"/>
    <xf numFmtId="0" fontId="7" fillId="3" borderId="1" pivotButton="0" quotePrefix="0" xfId="0"/>
    <xf numFmtId="165" fontId="8" fillId="0" borderId="1" pivotButton="0" quotePrefix="0" xfId="0"/>
    <xf numFmtId="2" fontId="8" fillId="0" borderId="1" pivotButton="0" quotePrefix="0" xfId="0"/>
    <xf numFmtId="0" fontId="0" fillId="0" borderId="1" pivotButton="0" quotePrefix="0" xfId="0"/>
    <xf numFmtId="167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전체 평균 클럭 추이 (전체 평균 + 스레드별)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데이터'!$P$5:$P$86</f>
            </numRef>
          </val>
        </ser>
        <ser>
          <idx val="1"/>
          <order val="1"/>
          <tx>
            <strRef>
              <f>'차트 데이터'!Q4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데이터'!$Q$5:$Q$86</f>
            </numRef>
          </val>
        </ser>
        <ser>
          <idx val="2"/>
          <order val="2"/>
          <tx>
            <strRef>
              <f>'차트 데이터'!R4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데이터'!$R$5:$R$86</f>
            </numRef>
          </val>
        </ser>
        <ser>
          <idx val="3"/>
          <order val="3"/>
          <tx>
            <strRef>
              <f>'차트 데이터'!S4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데이터'!$S$5:$S$86</f>
            </numRef>
          </val>
        </ser>
        <ser>
          <idx val="4"/>
          <order val="4"/>
          <tx>
            <strRef>
              <f>'차트 데이터'!T4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데이터'!$T$5:$T$86</f>
            </numRef>
          </val>
        </ser>
        <ser>
          <idx val="5"/>
          <order val="5"/>
          <tx>
            <strRef>
              <f>'차트 데이터'!U4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데이터'!$U$5:$U$86</f>
            </numRef>
          </val>
        </ser>
        <ser>
          <idx val="6"/>
          <order val="6"/>
          <tx>
            <strRef>
              <f>'차트 데이터'!V4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데이터'!$V$5:$V$86</f>
            </numRef>
          </val>
        </ser>
        <ser>
          <idx val="7"/>
          <order val="7"/>
          <tx>
            <strRef>
              <f>'차트 데이터'!W4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데이터'!$W$5:$W$86</f>
            </numRef>
          </val>
        </ser>
        <ser>
          <idx val="8"/>
          <order val="8"/>
          <tx>
            <strRef>
              <f>'차트 데이터'!X4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데이터'!$X$5:$X$86</f>
            </numRef>
          </val>
        </ser>
        <ser>
          <idx val="9"/>
          <order val="9"/>
          <tx>
            <strRef>
              <f>'차트 데이터'!Y4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데이터'!$Y$5:$Y$86</f>
            </numRef>
          </val>
        </ser>
        <ser>
          <idx val="10"/>
          <order val="10"/>
          <tx>
            <strRef>
              <f>'차트 데이터'!Z4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데이터'!$Z$5:$Z$86</f>
            </numRef>
          </val>
        </ser>
        <ser>
          <idx val="11"/>
          <order val="11"/>
          <tx>
            <strRef>
              <f>'차트 데이터'!AA4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데이터'!$AA$5:$AA$86</f>
            </numRef>
          </val>
        </ser>
        <ser>
          <idx val="12"/>
          <order val="12"/>
          <tx>
            <strRef>
              <f>'차트 데이터'!AB4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데이터'!$AB$5:$AB$86</f>
            </numRef>
          </val>
        </ser>
        <ser>
          <idx val="13"/>
          <order val="13"/>
          <tx>
            <strRef>
              <f>'차트 데이터'!AC4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데이터'!$AC$5:$AC$86</f>
            </numRef>
          </val>
        </ser>
        <ser>
          <idx val="14"/>
          <order val="14"/>
          <tx>
            <strRef>
              <f>'차트 데이터'!AD4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데이터'!$AD$5:$AD$86</f>
            </numRef>
          </val>
        </ser>
        <ser>
          <idx val="15"/>
          <order val="15"/>
          <tx>
            <strRef>
              <f>'차트 데이터'!AE4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데이터'!$AE$5:$AE$86</f>
            </numRef>
          </val>
        </ser>
        <ser>
          <idx val="16"/>
          <order val="16"/>
          <tx>
            <strRef>
              <f>'차트 데이터'!AF4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데이터'!$AF$5:$AF$86</f>
            </numRef>
          </val>
        </ser>
        <ser>
          <idx val="17"/>
          <order val="17"/>
          <tx>
            <strRef>
              <f>'차트 데이터'!AG4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데이터'!$AG$5:$AG$86</f>
            </numRef>
          </val>
        </ser>
        <ser>
          <idx val="18"/>
          <order val="18"/>
          <tx>
            <strRef>
              <f>'차트 데이터'!AH4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데이터'!$AH$5:$AH$86</f>
            </numRef>
          </val>
        </ser>
        <ser>
          <idx val="19"/>
          <order val="19"/>
          <tx>
            <strRef>
              <f>'차트 데이터'!AI4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데이터'!$AI$5:$AI$86</f>
            </numRef>
          </val>
        </ser>
        <ser>
          <idx val="20"/>
          <order val="20"/>
          <tx>
            <strRef>
              <f>'차트 데이터'!AJ4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데이터'!$AJ$5:$AJ$86</f>
            </numRef>
          </val>
        </ser>
        <ser>
          <idx val="21"/>
          <order val="21"/>
          <tx>
            <strRef>
              <f>'차트 데이터'!AK4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데이터'!$AK$5:$AK$86</f>
            </numRef>
          </val>
        </ser>
        <ser>
          <idx val="22"/>
          <order val="22"/>
          <tx>
            <strRef>
              <f>'차트 데이터'!AL4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데이터'!$AL$5:$AL$86</f>
            </numRef>
          </val>
        </ser>
        <ser>
          <idx val="23"/>
          <order val="23"/>
          <tx>
            <strRef>
              <f>'차트 데이터'!AM4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데이터'!$AM$5:$AM$86</f>
            </numRef>
          </val>
        </ser>
        <ser>
          <idx val="24"/>
          <order val="24"/>
          <tx>
            <strRef>
              <f>'차트 데이터'!AN4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데이터'!$AN$5:$AN$86</f>
            </numRef>
          </val>
        </ser>
        <ser>
          <idx val="25"/>
          <order val="25"/>
          <tx>
            <strRef>
              <f>'차트 데이터'!AO4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데이터'!$AO$5:$AO$86</f>
            </numRef>
          </val>
        </ser>
        <ser>
          <idx val="26"/>
          <order val="26"/>
          <tx>
            <strRef>
              <f>'차트 데이터'!AP4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데이터'!$AP$5:$AP$86</f>
            </numRef>
          </val>
        </ser>
        <ser>
          <idx val="27"/>
          <order val="27"/>
          <tx>
            <strRef>
              <f>'차트 데이터'!AQ4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데이터'!$AQ$5:$AQ$86</f>
            </numRef>
          </val>
        </ser>
        <ser>
          <idx val="28"/>
          <order val="28"/>
          <tx>
            <strRef>
              <f>'차트 데이터'!AR4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데이터'!$AR$5:$AR$86</f>
            </numRef>
          </val>
        </ser>
        <ser>
          <idx val="29"/>
          <order val="29"/>
          <tx>
            <strRef>
              <f>'차트 데이터'!AS4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데이터'!$AS$5:$AS$86</f>
            </numRef>
          </val>
        </ser>
        <ser>
          <idx val="30"/>
          <order val="30"/>
          <tx>
            <strRef>
              <f>'차트 데이터'!AT4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데이터'!$AT$5:$AT$86</f>
            </numRef>
          </val>
        </ser>
        <ser>
          <idx val="31"/>
          <order val="31"/>
          <tx>
            <strRef>
              <f>'차트 데이터'!AU4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데이터'!$AU$5:$AU$86</f>
            </numRef>
          </val>
        </ser>
        <ser>
          <idx val="32"/>
          <order val="32"/>
          <tx>
            <strRef>
              <f>'차트 데이터'!AV4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데이터'!$AV$5:$AV$86</f>
            </numRef>
          </val>
        </ser>
        <ser>
          <idx val="33"/>
          <order val="33"/>
          <tx>
            <strRef>
              <f>'차트 데이터'!AW4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데이터'!$AW$5:$AW$86</f>
            </numRef>
          </val>
        </ser>
        <ser>
          <idx val="34"/>
          <order val="34"/>
          <tx>
            <strRef>
              <f>'차트 데이터'!AX4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데이터'!$AX$5:$AX$86</f>
            </numRef>
          </val>
        </ser>
        <ser>
          <idx val="35"/>
          <order val="35"/>
          <tx>
            <strRef>
              <f>'차트 데이터'!AY4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데이터'!$AY$5:$AY$86</f>
            </numRef>
          </val>
        </ser>
        <ser>
          <idx val="36"/>
          <order val="36"/>
          <tx>
            <strRef>
              <f>'차트 데이터'!AZ4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데이터'!$AZ$5:$AZ$86</f>
            </numRef>
          </val>
        </ser>
        <ser>
          <idx val="37"/>
          <order val="37"/>
          <tx>
            <strRef>
              <f>'차트 데이터'!BA4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데이터'!$BA$5:$BA$86</f>
            </numRef>
          </val>
        </ser>
        <ser>
          <idx val="38"/>
          <order val="38"/>
          <tx>
            <strRef>
              <f>'차트 데이터'!BB4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데이터'!$BB$5:$BB$86</f>
            </numRef>
          </val>
        </ser>
        <ser>
          <idx val="39"/>
          <order val="39"/>
          <tx>
            <strRef>
              <f>'차트 데이터'!BC4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데이터'!$BC$5:$BC$86</f>
            </numRef>
          </val>
        </ser>
        <ser>
          <idx val="40"/>
          <order val="40"/>
          <tx>
            <strRef>
              <f>'차트 데이터'!BD4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데이터'!$BD$5:$BD$86</f>
            </numRef>
          </val>
        </ser>
        <ser>
          <idx val="41"/>
          <order val="41"/>
          <tx>
            <strRef>
              <f>'차트 데이터'!BE4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데이터'!$BE$5:$BE$86</f>
            </numRef>
          </val>
        </ser>
        <ser>
          <idx val="42"/>
          <order val="42"/>
          <tx>
            <strRef>
              <f>'차트 데이터'!BF4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데이터'!$BF$5:$BF$86</f>
            </numRef>
          </val>
        </ser>
        <ser>
          <idx val="43"/>
          <order val="43"/>
          <tx>
            <strRef>
              <f>'차트 데이터'!BG4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데이터'!$BG$5:$BG$86</f>
            </numRef>
          </val>
        </ser>
        <ser>
          <idx val="44"/>
          <order val="44"/>
          <tx>
            <strRef>
              <f>'차트 데이터'!BH4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데이터'!$BH$5:$BH$86</f>
            </numRef>
          </val>
        </ser>
        <ser>
          <idx val="45"/>
          <order val="45"/>
          <tx>
            <strRef>
              <f>'차트 데이터'!BI4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데이터'!$BI$5:$BI$86</f>
            </numRef>
          </val>
        </ser>
        <ser>
          <idx val="46"/>
          <order val="46"/>
          <tx>
            <strRef>
              <f>'차트 데이터'!BJ4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데이터'!$BJ$5:$BJ$86</f>
            </numRef>
          </val>
        </ser>
        <ser>
          <idx val="47"/>
          <order val="47"/>
          <tx>
            <strRef>
              <f>'차트 데이터'!BK4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데이터'!$BK$5:$BK$86</f>
            </numRef>
          </val>
        </ser>
        <ser>
          <idx val="48"/>
          <order val="48"/>
          <tx>
            <strRef>
              <f>'차트 데이터'!BL4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데이터'!$BL$5:$BL$86</f>
            </numRef>
          </val>
        </ser>
        <ser>
          <idx val="49"/>
          <order val="49"/>
          <tx>
            <strRef>
              <f>'차트 데이터'!BM4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데이터'!$BM$5:$BM$86</f>
            </numRef>
          </val>
        </ser>
        <ser>
          <idx val="50"/>
          <order val="50"/>
          <tx>
            <strRef>
              <f>'차트 데이터'!BN4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데이터'!$BN$5:$BN$86</f>
            </numRef>
          </val>
        </ser>
        <ser>
          <idx val="51"/>
          <order val="51"/>
          <tx>
            <strRef>
              <f>'차트 데이터'!BO4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데이터'!$BO$5:$BO$86</f>
            </numRef>
          </val>
        </ser>
        <ser>
          <idx val="52"/>
          <order val="52"/>
          <tx>
            <strRef>
              <f>'차트 데이터'!BP4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데이터'!$BP$5:$BP$86</f>
            </numRef>
          </val>
        </ser>
        <ser>
          <idx val="53"/>
          <order val="53"/>
          <tx>
            <strRef>
              <f>'차트 데이터'!BQ4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데이터'!$BQ$5:$BQ$86</f>
            </numRef>
          </val>
        </ser>
        <ser>
          <idx val="54"/>
          <order val="54"/>
          <tx>
            <strRef>
              <f>'차트 데이터'!BR4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데이터'!$BR$5:$BR$86</f>
            </numRef>
          </val>
        </ser>
        <ser>
          <idx val="55"/>
          <order val="55"/>
          <tx>
            <strRef>
              <f>'차트 데이터'!BS4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데이터'!$BS$5:$BS$86</f>
            </numRef>
          </val>
        </ser>
        <ser>
          <idx val="56"/>
          <order val="56"/>
          <tx>
            <strRef>
              <f>'차트 데이터'!BT4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데이터'!$BT$5:$BT$86</f>
            </numRef>
          </val>
        </ser>
        <ser>
          <idx val="57"/>
          <order val="57"/>
          <tx>
            <strRef>
              <f>'차트 데이터'!BU4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데이터'!$BU$5:$BU$86</f>
            </numRef>
          </val>
        </ser>
        <ser>
          <idx val="58"/>
          <order val="58"/>
          <tx>
            <strRef>
              <f>'차트 데이터'!BV4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데이터'!$BV$5:$BV$86</f>
            </numRef>
          </val>
        </ser>
        <ser>
          <idx val="59"/>
          <order val="59"/>
          <tx>
            <strRef>
              <f>'차트 데이터'!BW4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데이터'!$BW$5:$BW$86</f>
            </numRef>
          </val>
        </ser>
        <ser>
          <idx val="60"/>
          <order val="60"/>
          <tx>
            <strRef>
              <f>'차트 데이터'!BX4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데이터'!$BX$5:$BX$86</f>
            </numRef>
          </val>
        </ser>
        <ser>
          <idx val="61"/>
          <order val="61"/>
          <tx>
            <strRef>
              <f>'차트 데이터'!BY4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데이터'!$BY$5:$BY$86</f>
            </numRef>
          </val>
        </ser>
        <ser>
          <idx val="62"/>
          <order val="62"/>
          <tx>
            <strRef>
              <f>'차트 데이터'!BZ4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데이터'!$BZ$5:$BZ$86</f>
            </numRef>
          </val>
        </ser>
        <ser>
          <idx val="63"/>
          <order val="63"/>
          <tx>
            <strRef>
              <f>'차트 데이터'!CA4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데이터'!$CA$5:$CA$86</f>
            </numRef>
          </val>
        </ser>
        <ser>
          <idx val="64"/>
          <order val="64"/>
          <tx>
            <strRef>
              <f>'차트 데이터'!CB4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데이터'!$CB$5:$CB$86</f>
            </numRef>
          </val>
        </ser>
        <ser>
          <idx val="65"/>
          <order val="65"/>
          <tx>
            <strRef>
              <f>'차트 데이터'!CC4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데이터'!$CC$5:$CC$86</f>
            </numRef>
          </val>
        </ser>
        <ser>
          <idx val="66"/>
          <order val="66"/>
          <tx>
            <strRef>
              <f>'차트 데이터'!CD4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데이터'!$CD$5:$CD$86</f>
            </numRef>
          </val>
        </ser>
        <ser>
          <idx val="67"/>
          <order val="67"/>
          <tx>
            <strRef>
              <f>'차트 데이터'!CE4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데이터'!$CE$5:$CE$86</f>
            </numRef>
          </val>
        </ser>
        <ser>
          <idx val="68"/>
          <order val="68"/>
          <tx>
            <strRef>
              <f>'차트 데이터'!CF4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데이터'!$CF$5:$CF$86</f>
            </numRef>
          </val>
        </ser>
        <ser>
          <idx val="69"/>
          <order val="69"/>
          <tx>
            <strRef>
              <f>'차트 데이터'!CG4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데이터'!$O$5:$O$86</f>
            </numRef>
          </cat>
          <val>
            <numRef>
              <f>'차트 데이터'!$CG$5:$CG$86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  <tickLblSkip val="10"/>
        <tickMarkSkip val="1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구간별 평균 클럭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'차트'!B3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'차트'!$A$4:$A$11</f>
            </numRef>
          </cat>
          <val>
            <numRef>
              <f>'차트'!$B$4:$B$11</f>
            </numRef>
          </val>
        </ser>
        <ser>
          <idx val="1"/>
          <order val="1"/>
          <tx>
            <strRef>
              <f>'차트'!C3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'차트'!$A$4:$A$11</f>
            </numRef>
          </cat>
          <val>
            <numRef>
              <f>'차트'!$C$4:$C$11</f>
            </numRef>
          </val>
        </ser>
        <ser>
          <idx val="2"/>
          <order val="2"/>
          <tx>
            <strRef>
              <f>'차트'!D3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'차트'!$A$4:$A$11</f>
            </numRef>
          </cat>
          <val>
            <numRef>
              <f>'차트'!$D$4:$D$11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구간 종류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3 측정 1회차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데이터'!$B$5:$B$6</f>
            </numRef>
          </val>
        </ser>
        <ser>
          <idx val="1"/>
          <order val="1"/>
          <tx>
            <strRef>
              <f>'차트 데이터'!C4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데이터'!$C$5:$C$6</f>
            </numRef>
          </val>
        </ser>
        <ser>
          <idx val="2"/>
          <order val="2"/>
          <tx>
            <strRef>
              <f>'차트 데이터'!D4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데이터'!$D$5:$D$6</f>
            </numRef>
          </val>
        </ser>
        <ser>
          <idx val="3"/>
          <order val="3"/>
          <tx>
            <strRef>
              <f>'차트 데이터'!E4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데이터'!$E$5:$E$6</f>
            </numRef>
          </val>
        </ser>
        <ser>
          <idx val="4"/>
          <order val="4"/>
          <tx>
            <strRef>
              <f>'차트 데이터'!F4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데이터'!$F$5:$F$6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3 측정 2회차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데이터'!$A$10:$A$12</f>
            </numRef>
          </cat>
          <val>
            <numRef>
              <f>'차트 데이터'!$B$10:$B$12</f>
            </numRef>
          </val>
        </ser>
        <ser>
          <idx val="1"/>
          <order val="1"/>
          <tx>
            <strRef>
              <f>'차트 데이터'!C9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데이터'!$A$10:$A$12</f>
            </numRef>
          </cat>
          <val>
            <numRef>
              <f>'차트 데이터'!$C$10:$C$12</f>
            </numRef>
          </val>
        </ser>
        <ser>
          <idx val="2"/>
          <order val="2"/>
          <tx>
            <strRef>
              <f>'차트 데이터'!D9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데이터'!$A$10:$A$12</f>
            </numRef>
          </cat>
          <val>
            <numRef>
              <f>'차트 데이터'!$D$10:$D$12</f>
            </numRef>
          </val>
        </ser>
        <ser>
          <idx val="3"/>
          <order val="3"/>
          <tx>
            <strRef>
              <f>'차트 데이터'!E9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데이터'!$A$10:$A$12</f>
            </numRef>
          </cat>
          <val>
            <numRef>
              <f>'차트 데이터'!$E$10:$E$12</f>
            </numRef>
          </val>
        </ser>
        <ser>
          <idx val="4"/>
          <order val="4"/>
          <tx>
            <strRef>
              <f>'차트 데이터'!F9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데이터'!$A$10:$A$12</f>
            </numRef>
          </cat>
          <val>
            <numRef>
              <f>'차트 데이터'!$F$10:$F$12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3 측정 3회차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데이터'!$A$16:$A$18</f>
            </numRef>
          </cat>
          <val>
            <numRef>
              <f>'차트 데이터'!$B$16:$B$18</f>
            </numRef>
          </val>
        </ser>
        <ser>
          <idx val="1"/>
          <order val="1"/>
          <tx>
            <strRef>
              <f>'차트 데이터'!C15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데이터'!$A$16:$A$18</f>
            </numRef>
          </cat>
          <val>
            <numRef>
              <f>'차트 데이터'!$C$16:$C$18</f>
            </numRef>
          </val>
        </ser>
        <ser>
          <idx val="2"/>
          <order val="2"/>
          <tx>
            <strRef>
              <f>'차트 데이터'!D15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데이터'!$A$16:$A$18</f>
            </numRef>
          </cat>
          <val>
            <numRef>
              <f>'차트 데이터'!$D$16:$D$18</f>
            </numRef>
          </val>
        </ser>
        <ser>
          <idx val="3"/>
          <order val="3"/>
          <tx>
            <strRef>
              <f>'차트 데이터'!E15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데이터'!$A$16:$A$18</f>
            </numRef>
          </cat>
          <val>
            <numRef>
              <f>'차트 데이터'!$E$16:$E$18</f>
            </numRef>
          </val>
        </ser>
        <ser>
          <idx val="4"/>
          <order val="4"/>
          <tx>
            <strRef>
              <f>'차트 데이터'!F15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데이터'!$A$16:$A$18</f>
            </numRef>
          </cat>
          <val>
            <numRef>
              <f>'차트 데이터'!$F$16:$F$18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3 측정 4회차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데이터'!B21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데이터'!$A$22:$A$23</f>
            </numRef>
          </cat>
          <val>
            <numRef>
              <f>'차트 데이터'!$B$22:$B$23</f>
            </numRef>
          </val>
        </ser>
        <ser>
          <idx val="1"/>
          <order val="1"/>
          <tx>
            <strRef>
              <f>'차트 데이터'!C21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데이터'!$A$22:$A$23</f>
            </numRef>
          </cat>
          <val>
            <numRef>
              <f>'차트 데이터'!$C$22:$C$23</f>
            </numRef>
          </val>
        </ser>
        <ser>
          <idx val="2"/>
          <order val="2"/>
          <tx>
            <strRef>
              <f>'차트 데이터'!D21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데이터'!$A$22:$A$23</f>
            </numRef>
          </cat>
          <val>
            <numRef>
              <f>'차트 데이터'!$D$22:$D$23</f>
            </numRef>
          </val>
        </ser>
        <ser>
          <idx val="3"/>
          <order val="3"/>
          <tx>
            <strRef>
              <f>'차트 데이터'!E21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데이터'!$A$22:$A$23</f>
            </numRef>
          </cat>
          <val>
            <numRef>
              <f>'차트 데이터'!$E$22:$E$23</f>
            </numRef>
          </val>
        </ser>
        <ser>
          <idx val="4"/>
          <order val="4"/>
          <tx>
            <strRef>
              <f>'차트 데이터'!F21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데이터'!$A$22:$A$23</f>
            </numRef>
          </cat>
          <val>
            <numRef>
              <f>'차트 데이터'!$F$22:$F$23</f>
            </numRef>
          </val>
        </ser>
        <ser>
          <idx val="5"/>
          <order val="5"/>
          <tx>
            <strRef>
              <f>'차트 데이터'!G21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데이터'!$A$22:$A$23</f>
            </numRef>
          </cat>
          <val>
            <numRef>
              <f>'차트 데이터'!$G$22:$G$23</f>
            </numRef>
          </val>
        </ser>
        <ser>
          <idx val="6"/>
          <order val="6"/>
          <tx>
            <strRef>
              <f>'차트 데이터'!H21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데이터'!$A$22:$A$23</f>
            </numRef>
          </cat>
          <val>
            <numRef>
              <f>'차트 데이터'!$H$22:$H$23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3 측정 5회차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데이터'!B26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데이터'!$A$27:$A$28</f>
            </numRef>
          </cat>
          <val>
            <numRef>
              <f>'차트 데이터'!$B$27:$B$28</f>
            </numRef>
          </val>
        </ser>
        <ser>
          <idx val="1"/>
          <order val="1"/>
          <tx>
            <strRef>
              <f>'차트 데이터'!C26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데이터'!$A$27:$A$28</f>
            </numRef>
          </cat>
          <val>
            <numRef>
              <f>'차트 데이터'!$C$27:$C$28</f>
            </numRef>
          </val>
        </ser>
        <ser>
          <idx val="2"/>
          <order val="2"/>
          <tx>
            <strRef>
              <f>'차트 데이터'!D26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데이터'!$A$27:$A$28</f>
            </numRef>
          </cat>
          <val>
            <numRef>
              <f>'차트 데이터'!$D$27:$D$28</f>
            </numRef>
          </val>
        </ser>
        <ser>
          <idx val="3"/>
          <order val="3"/>
          <tx>
            <strRef>
              <f>'차트 데이터'!E26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데이터'!$A$27:$A$28</f>
            </numRef>
          </cat>
          <val>
            <numRef>
              <f>'차트 데이터'!$E$27:$E$28</f>
            </numRef>
          </val>
        </ser>
        <ser>
          <idx val="4"/>
          <order val="4"/>
          <tx>
            <strRef>
              <f>'차트 데이터'!F26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데이터'!$A$27:$A$28</f>
            </numRef>
          </cat>
          <val>
            <numRef>
              <f>'차트 데이터'!$F$27:$F$28</f>
            </numRef>
          </val>
        </ser>
        <ser>
          <idx val="5"/>
          <order val="5"/>
          <tx>
            <strRef>
              <f>'차트 데이터'!G26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데이터'!$A$27:$A$28</f>
            </numRef>
          </cat>
          <val>
            <numRef>
              <f>'차트 데이터'!$G$27:$G$28</f>
            </numRef>
          </val>
        </ser>
        <ser>
          <idx val="6"/>
          <order val="6"/>
          <tx>
            <strRef>
              <f>'차트 데이터'!H26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데이터'!$A$27:$A$28</f>
            </numRef>
          </cat>
          <val>
            <numRef>
              <f>'차트 데이터'!$H$27:$H$28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3 측정 1회차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데이터'!$A$32:$A$33</f>
            </numRef>
          </cat>
          <val>
            <numRef>
              <f>'차트 데이터'!$B$32:$B$33</f>
            </numRef>
          </val>
        </ser>
        <ser>
          <idx val="1"/>
          <order val="1"/>
          <tx>
            <strRef>
              <f>'차트 데이터'!C31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데이터'!$A$32:$A$33</f>
            </numRef>
          </cat>
          <val>
            <numRef>
              <f>'차트 데이터'!$C$32:$C$33</f>
            </numRef>
          </val>
        </ser>
        <ser>
          <idx val="2"/>
          <order val="2"/>
          <tx>
            <strRef>
              <f>'차트 데이터'!D31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데이터'!$A$32:$A$33</f>
            </numRef>
          </cat>
          <val>
            <numRef>
              <f>'차트 데이터'!$D$32:$D$33</f>
            </numRef>
          </val>
        </ser>
        <ser>
          <idx val="3"/>
          <order val="3"/>
          <tx>
            <strRef>
              <f>'차트 데이터'!E31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데이터'!$A$32:$A$33</f>
            </numRef>
          </cat>
          <val>
            <numRef>
              <f>'차트 데이터'!$E$32:$E$33</f>
            </numRef>
          </val>
        </ser>
        <ser>
          <idx val="4"/>
          <order val="4"/>
          <tx>
            <strRef>
              <f>'차트 데이터'!F31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데이터'!$A$32:$A$33</f>
            </numRef>
          </cat>
          <val>
            <numRef>
              <f>'차트 데이터'!$F$32:$F$33</f>
            </numRef>
          </val>
        </ser>
        <ser>
          <idx val="5"/>
          <order val="5"/>
          <tx>
            <strRef>
              <f>'차트 데이터'!G31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데이터'!$A$32:$A$33</f>
            </numRef>
          </cat>
          <val>
            <numRef>
              <f>'차트 데이터'!$G$32:$G$33</f>
            </numRef>
          </val>
        </ser>
        <ser>
          <idx val="6"/>
          <order val="6"/>
          <tx>
            <strRef>
              <f>'차트 데이터'!H31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데이터'!$A$32:$A$33</f>
            </numRef>
          </cat>
          <val>
            <numRef>
              <f>'차트 데이터'!$H$32:$H$33</f>
            </numRef>
          </val>
        </ser>
        <ser>
          <idx val="7"/>
          <order val="7"/>
          <tx>
            <strRef>
              <f>'차트 데이터'!I31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데이터'!$A$32:$A$33</f>
            </numRef>
          </cat>
          <val>
            <numRef>
              <f>'차트 데이터'!$I$32:$I$33</f>
            </numRef>
          </val>
        </ser>
        <ser>
          <idx val="8"/>
          <order val="8"/>
          <tx>
            <strRef>
              <f>'차트 데이터'!J31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데이터'!$A$32:$A$33</f>
            </numRef>
          </cat>
          <val>
            <numRef>
              <f>'차트 데이터'!$J$32:$J$33</f>
            </numRef>
          </val>
        </ser>
        <ser>
          <idx val="9"/>
          <order val="9"/>
          <tx>
            <strRef>
              <f>'차트 데이터'!K31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데이터'!$A$32:$A$33</f>
            </numRef>
          </cat>
          <val>
            <numRef>
              <f>'차트 데이터'!$K$32:$K$33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3 측정 2회차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데이터'!B36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데이터'!$A$37:$A$39</f>
            </numRef>
          </cat>
          <val>
            <numRef>
              <f>'차트 데이터'!$B$37:$B$39</f>
            </numRef>
          </val>
        </ser>
        <ser>
          <idx val="1"/>
          <order val="1"/>
          <tx>
            <strRef>
              <f>'차트 데이터'!C36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데이터'!$A$37:$A$39</f>
            </numRef>
          </cat>
          <val>
            <numRef>
              <f>'차트 데이터'!$C$37:$C$39</f>
            </numRef>
          </val>
        </ser>
        <ser>
          <idx val="2"/>
          <order val="2"/>
          <tx>
            <strRef>
              <f>'차트 데이터'!D36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데이터'!$A$37:$A$39</f>
            </numRef>
          </cat>
          <val>
            <numRef>
              <f>'차트 데이터'!$D$37:$D$39</f>
            </numRef>
          </val>
        </ser>
        <ser>
          <idx val="3"/>
          <order val="3"/>
          <tx>
            <strRef>
              <f>'차트 데이터'!E36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데이터'!$A$37:$A$39</f>
            </numRef>
          </cat>
          <val>
            <numRef>
              <f>'차트 데이터'!$E$37:$E$39</f>
            </numRef>
          </val>
        </ser>
        <ser>
          <idx val="4"/>
          <order val="4"/>
          <tx>
            <strRef>
              <f>'차트 데이터'!F36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데이터'!$A$37:$A$39</f>
            </numRef>
          </cat>
          <val>
            <numRef>
              <f>'차트 데이터'!$F$37:$F$39</f>
            </numRef>
          </val>
        </ser>
        <ser>
          <idx val="5"/>
          <order val="5"/>
          <tx>
            <strRef>
              <f>'차트 데이터'!G36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데이터'!$A$37:$A$39</f>
            </numRef>
          </cat>
          <val>
            <numRef>
              <f>'차트 데이터'!$G$37:$G$39</f>
            </numRef>
          </val>
        </ser>
        <ser>
          <idx val="6"/>
          <order val="6"/>
          <tx>
            <strRef>
              <f>'차트 데이터'!H36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데이터'!$A$37:$A$39</f>
            </numRef>
          </cat>
          <val>
            <numRef>
              <f>'차트 데이터'!$H$37:$H$39</f>
            </numRef>
          </val>
        </ser>
        <ser>
          <idx val="7"/>
          <order val="7"/>
          <tx>
            <strRef>
              <f>'차트 데이터'!I36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데이터'!$A$37:$A$39</f>
            </numRef>
          </cat>
          <val>
            <numRef>
              <f>'차트 데이터'!$I$37:$I$39</f>
            </numRef>
          </val>
        </ser>
        <ser>
          <idx val="8"/>
          <order val="8"/>
          <tx>
            <strRef>
              <f>'차트 데이터'!J36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데이터'!$A$37:$A$39</f>
            </numRef>
          </cat>
          <val>
            <numRef>
              <f>'차트 데이터'!$J$37:$J$39</f>
            </numRef>
          </val>
        </ser>
        <ser>
          <idx val="9"/>
          <order val="9"/>
          <tx>
            <strRef>
              <f>'차트 데이터'!K36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데이터'!$A$37:$A$39</f>
            </numRef>
          </cat>
          <val>
            <numRef>
              <f>'차트 데이터'!$K$37:$K$39</f>
            </numRef>
          </val>
        </ser>
        <ser>
          <idx val="10"/>
          <order val="10"/>
          <tx>
            <strRef>
              <f>'차트 데이터'!L36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데이터'!$A$37:$A$39</f>
            </numRef>
          </cat>
          <val>
            <numRef>
              <f>'차트 데이터'!$L$37:$L$39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3 측정 3회차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데이터'!$A$43:$A$44</f>
            </numRef>
          </cat>
          <val>
            <numRef>
              <f>'차트 데이터'!$B$43:$B$44</f>
            </numRef>
          </val>
        </ser>
        <ser>
          <idx val="1"/>
          <order val="1"/>
          <tx>
            <strRef>
              <f>'차트 데이터'!C42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데이터'!$A$43:$A$44</f>
            </numRef>
          </cat>
          <val>
            <numRef>
              <f>'차트 데이터'!$C$43:$C$44</f>
            </numRef>
          </val>
        </ser>
        <ser>
          <idx val="2"/>
          <order val="2"/>
          <tx>
            <strRef>
              <f>'차트 데이터'!D42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데이터'!$A$43:$A$44</f>
            </numRef>
          </cat>
          <val>
            <numRef>
              <f>'차트 데이터'!$D$43:$D$44</f>
            </numRef>
          </val>
        </ser>
        <ser>
          <idx val="3"/>
          <order val="3"/>
          <tx>
            <strRef>
              <f>'차트 데이터'!E42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데이터'!$A$43:$A$44</f>
            </numRef>
          </cat>
          <val>
            <numRef>
              <f>'차트 데이터'!$E$43:$E$44</f>
            </numRef>
          </val>
        </ser>
        <ser>
          <idx val="4"/>
          <order val="4"/>
          <tx>
            <strRef>
              <f>'차트 데이터'!F42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데이터'!$A$43:$A$44</f>
            </numRef>
          </cat>
          <val>
            <numRef>
              <f>'차트 데이터'!$F$43:$F$44</f>
            </numRef>
          </val>
        </ser>
        <ser>
          <idx val="5"/>
          <order val="5"/>
          <tx>
            <strRef>
              <f>'차트 데이터'!G42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데이터'!$A$43:$A$44</f>
            </numRef>
          </cat>
          <val>
            <numRef>
              <f>'차트 데이터'!$G$43:$G$44</f>
            </numRef>
          </val>
        </ser>
        <ser>
          <idx val="6"/>
          <order val="6"/>
          <tx>
            <strRef>
              <f>'차트 데이터'!H42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데이터'!$A$43:$A$44</f>
            </numRef>
          </cat>
          <val>
            <numRef>
              <f>'차트 데이터'!$H$43:$H$44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3 측정 4회차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데이터'!$A$48:$A$49</f>
            </numRef>
          </cat>
          <val>
            <numRef>
              <f>'차트 데이터'!$B$48:$B$49</f>
            </numRef>
          </val>
        </ser>
        <ser>
          <idx val="1"/>
          <order val="1"/>
          <tx>
            <strRef>
              <f>'차트 데이터'!C47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데이터'!$A$48:$A$49</f>
            </numRef>
          </cat>
          <val>
            <numRef>
              <f>'차트 데이터'!$C$48:$C$49</f>
            </numRef>
          </val>
        </ser>
        <ser>
          <idx val="2"/>
          <order val="2"/>
          <tx>
            <strRef>
              <f>'차트 데이터'!D47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데이터'!$A$48:$A$49</f>
            </numRef>
          </cat>
          <val>
            <numRef>
              <f>'차트 데이터'!$D$48:$D$49</f>
            </numRef>
          </val>
        </ser>
        <ser>
          <idx val="3"/>
          <order val="3"/>
          <tx>
            <strRef>
              <f>'차트 데이터'!E47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데이터'!$A$48:$A$49</f>
            </numRef>
          </cat>
          <val>
            <numRef>
              <f>'차트 데이터'!$E$48:$E$49</f>
            </numRef>
          </val>
        </ser>
        <ser>
          <idx val="4"/>
          <order val="4"/>
          <tx>
            <strRef>
              <f>'차트 데이터'!F47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데이터'!$A$48:$A$49</f>
            </numRef>
          </cat>
          <val>
            <numRef>
              <f>'차트 데이터'!$F$48:$F$49</f>
            </numRef>
          </val>
        </ser>
        <ser>
          <idx val="5"/>
          <order val="5"/>
          <tx>
            <strRef>
              <f>'차트 데이터'!G47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데이터'!$A$48:$A$49</f>
            </numRef>
          </cat>
          <val>
            <numRef>
              <f>'차트 데이터'!$G$48:$G$49</f>
            </numRef>
          </val>
        </ser>
        <ser>
          <idx val="6"/>
          <order val="6"/>
          <tx>
            <strRef>
              <f>'차트 데이터'!H47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데이터'!$A$48:$A$49</f>
            </numRef>
          </cat>
          <val>
            <numRef>
              <f>'차트 데이터'!$H$48:$H$49</f>
            </numRef>
          </val>
        </ser>
        <ser>
          <idx val="7"/>
          <order val="7"/>
          <tx>
            <strRef>
              <f>'차트 데이터'!I47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데이터'!$A$48:$A$49</f>
            </numRef>
          </cat>
          <val>
            <numRef>
              <f>'차트 데이터'!$I$48:$I$49</f>
            </numRef>
          </val>
        </ser>
        <ser>
          <idx val="8"/>
          <order val="8"/>
          <tx>
            <strRef>
              <f>'차트 데이터'!J47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데이터'!$A$48:$A$49</f>
            </numRef>
          </cat>
          <val>
            <numRef>
              <f>'차트 데이터'!$J$48:$J$49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3 측정 5회차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데이터'!$A$53:$A$55</f>
            </numRef>
          </cat>
          <val>
            <numRef>
              <f>'차트 데이터'!$B$53:$B$55</f>
            </numRef>
          </val>
        </ser>
        <ser>
          <idx val="1"/>
          <order val="1"/>
          <tx>
            <strRef>
              <f>'차트 데이터'!C52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데이터'!$A$53:$A$55</f>
            </numRef>
          </cat>
          <val>
            <numRef>
              <f>'차트 데이터'!$C$53:$C$55</f>
            </numRef>
          </val>
        </ser>
        <ser>
          <idx val="2"/>
          <order val="2"/>
          <tx>
            <strRef>
              <f>'차트 데이터'!D52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데이터'!$A$53:$A$55</f>
            </numRef>
          </cat>
          <val>
            <numRef>
              <f>'차트 데이터'!$D$53:$D$55</f>
            </numRef>
          </val>
        </ser>
        <ser>
          <idx val="3"/>
          <order val="3"/>
          <tx>
            <strRef>
              <f>'차트 데이터'!E52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데이터'!$A$53:$A$55</f>
            </numRef>
          </cat>
          <val>
            <numRef>
              <f>'차트 데이터'!$E$53:$E$55</f>
            </numRef>
          </val>
        </ser>
        <ser>
          <idx val="4"/>
          <order val="4"/>
          <tx>
            <strRef>
              <f>'차트 데이터'!F52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데이터'!$A$53:$A$55</f>
            </numRef>
          </cat>
          <val>
            <numRef>
              <f>'차트 데이터'!$F$53:$F$55</f>
            </numRef>
          </val>
        </ser>
        <ser>
          <idx val="5"/>
          <order val="5"/>
          <tx>
            <strRef>
              <f>'차트 데이터'!G52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데이터'!$A$53:$A$55</f>
            </numRef>
          </cat>
          <val>
            <numRef>
              <f>'차트 데이터'!$G$53:$G$55</f>
            </numRef>
          </val>
        </ser>
        <ser>
          <idx val="6"/>
          <order val="6"/>
          <tx>
            <strRef>
              <f>'차트 데이터'!H52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데이터'!$A$53:$A$55</f>
            </numRef>
          </cat>
          <val>
            <numRef>
              <f>'차트 데이터'!$H$53:$H$55</f>
            </numRef>
          </val>
        </ser>
        <ser>
          <idx val="7"/>
          <order val="7"/>
          <tx>
            <strRef>
              <f>'차트 데이터'!I52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데이터'!$A$53:$A$55</f>
            </numRef>
          </cat>
          <val>
            <numRef>
              <f>'차트 데이터'!$I$53:$I$55</f>
            </numRef>
          </val>
        </ser>
        <ser>
          <idx val="8"/>
          <order val="8"/>
          <tx>
            <strRef>
              <f>'차트 데이터'!J52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데이터'!$A$53:$A$55</f>
            </numRef>
          </cat>
          <val>
            <numRef>
              <f>'차트 데이터'!$J$53:$J$55</f>
            </numRef>
          </val>
        </ser>
        <ser>
          <idx val="9"/>
          <order val="9"/>
          <tx>
            <strRef>
              <f>'차트 데이터'!K52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데이터'!$A$53:$A$55</f>
            </numRef>
          </cat>
          <val>
            <numRef>
              <f>'차트 데이터'!$K$53:$K$55</f>
            </numRef>
          </val>
        </ser>
        <ser>
          <idx val="10"/>
          <order val="10"/>
          <tx>
            <strRef>
              <f>'차트 데이터'!L52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데이터'!$A$53:$A$55</f>
            </numRef>
          </cat>
          <val>
            <numRef>
              <f>'차트 데이터'!$L$53:$L$55</f>
            </numRef>
          </val>
        </ser>
        <ser>
          <idx val="11"/>
          <order val="11"/>
          <tx>
            <strRef>
              <f>'차트 데이터'!M52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데이터'!$A$53:$A$55</f>
            </numRef>
          </cat>
          <val>
            <numRef>
              <f>'차트 데이터'!$M$53:$M$55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30</row>
      <rowOff>0</rowOff>
    </from>
    <ext cx="72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47</row>
      <rowOff>0</rowOff>
    </from>
    <ext cx="57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62</row>
      <rowOff>0</rowOff>
    </from>
    <ext cx="57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77</row>
      <rowOff>0</rowOff>
    </from>
    <ext cx="576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92</row>
      <rowOff>0</rowOff>
    </from>
    <ext cx="576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107</row>
      <rowOff>0</rowOff>
    </from>
    <ext cx="5760000" cy="25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0</col>
      <colOff>0</colOff>
      <row>122</row>
      <rowOff>0</rowOff>
    </from>
    <ext cx="5760000" cy="252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137</row>
      <rowOff>0</rowOff>
    </from>
    <ext cx="5760000" cy="252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152</row>
      <rowOff>0</rowOff>
    </from>
    <ext cx="5760000" cy="252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167</row>
      <rowOff>0</rowOff>
    </from>
    <ext cx="5760000" cy="252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0</col>
      <colOff>0</colOff>
      <row>182</row>
      <rowOff>0</rowOff>
    </from>
    <ext cx="5760000" cy="252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7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논리 프로세서별 CPU 클럭, 표본 간격은 기록 도구 설정 (typeperf % Processor Performance)</t>
        </is>
      </c>
    </row>
    <row r="2">
      <c r="A2" s="2" t="inlineStr">
        <is>
          <t>기본 클럭(GHz)</t>
        </is>
      </c>
      <c r="B2" s="3" t="n">
        <v>2.69</v>
      </c>
      <c r="C2" s="4" t="inlineStr">
        <is>
          <t>출처: 작업 관리자 성능 탭의 기본 속도. GHz = 백분율 × 기본 클럭 ÷ 100</t>
        </is>
      </c>
    </row>
    <row r="3">
      <c r="A3" s="4" t="inlineStr">
        <is>
          <t>각 표본은 그 시각까지의 직전 표본 간격 구간의 평균이다. 백분율은 기본 클럭 대비 값이라 터보 구간에서 100을 넘는다.</t>
        </is>
      </c>
    </row>
    <row r="5">
      <c r="A5" s="5" t="inlineStr">
        <is>
          <t>시각</t>
        </is>
      </c>
      <c r="B5" s="5" t="inlineStr">
        <is>
          <t>논리 0(%)</t>
        </is>
      </c>
      <c r="C5" s="5" t="inlineStr">
        <is>
          <t>논리 1(%)</t>
        </is>
      </c>
      <c r="D5" s="5" t="inlineStr">
        <is>
          <t>논리 2(%)</t>
        </is>
      </c>
      <c r="E5" s="5" t="inlineStr">
        <is>
          <t>논리 3(%)</t>
        </is>
      </c>
      <c r="F5" s="5" t="inlineStr">
        <is>
          <t>논리 4(%)</t>
        </is>
      </c>
      <c r="G5" s="5" t="inlineStr">
        <is>
          <t>논리 5(%)</t>
        </is>
      </c>
      <c r="H5" s="5" t="inlineStr">
        <is>
          <t>논리 6(%)</t>
        </is>
      </c>
      <c r="I5" s="5" t="inlineStr">
        <is>
          <t>논리 7(%)</t>
        </is>
      </c>
      <c r="J5" s="5" t="inlineStr">
        <is>
          <t>논리 8(%)</t>
        </is>
      </c>
      <c r="K5" s="5" t="inlineStr">
        <is>
          <t>논리 9(%)</t>
        </is>
      </c>
      <c r="L5" s="5" t="inlineStr">
        <is>
          <t>논리 10(%)</t>
        </is>
      </c>
      <c r="M5" s="5" t="inlineStr">
        <is>
          <t>논리 11(%)</t>
        </is>
      </c>
      <c r="N5" s="5" t="inlineStr">
        <is>
          <t>전체 평균(%)</t>
        </is>
      </c>
      <c r="O5" s="5" t="inlineStr">
        <is>
          <t>전체 평균(GHz)</t>
        </is>
      </c>
    </row>
    <row r="6">
      <c r="A6" s="6" t="n">
        <v>46238.47819296296</v>
      </c>
      <c r="B6" s="7" t="n">
        <v>148.9979560791044</v>
      </c>
      <c r="C6" s="7" t="n">
        <v>160.9208680054634</v>
      </c>
      <c r="D6" s="7" t="n">
        <v>156.4416379677756</v>
      </c>
      <c r="E6" s="7" t="n">
        <v>151.3762696476196</v>
      </c>
      <c r="F6" s="7" t="n">
        <v>147.3477291538728</v>
      </c>
      <c r="G6" s="7" t="n">
        <v>146.1289303920242</v>
      </c>
      <c r="H6" s="7" t="n">
        <v>146.2429905567947</v>
      </c>
      <c r="I6" s="7" t="n">
        <v>149.6404105039412</v>
      </c>
      <c r="J6" s="7" t="n">
        <v>148.0858631201965</v>
      </c>
      <c r="K6" s="7" t="n">
        <v>154.9736706711599</v>
      </c>
      <c r="L6" s="7" t="n">
        <v>149.309206713121</v>
      </c>
      <c r="M6" s="7" t="n">
        <v>148.9417060326803</v>
      </c>
      <c r="N6" s="7" t="n">
        <v>151.7512762619805</v>
      </c>
      <c r="O6" s="8">
        <f>N6*$B$2/100</f>
        <v/>
      </c>
    </row>
    <row r="7">
      <c r="A7" s="6" t="n">
        <v>46238.47820460648</v>
      </c>
      <c r="B7" s="7" t="n">
        <v>150.682409980667</v>
      </c>
      <c r="C7" s="7" t="n">
        <v>151.4783981778627</v>
      </c>
      <c r="D7" s="7" t="n">
        <v>152.1548835186965</v>
      </c>
      <c r="E7" s="7" t="n">
        <v>151.6873835655812</v>
      </c>
      <c r="F7" s="7" t="n">
        <v>151.5230592841978</v>
      </c>
      <c r="G7" s="7" t="n">
        <v>150.8437594961187</v>
      </c>
      <c r="H7" s="7" t="n">
        <v>152.1202594820401</v>
      </c>
      <c r="I7" s="7" t="n">
        <v>151.6086225033053</v>
      </c>
      <c r="J7" s="7" t="n">
        <v>151.2511417178388</v>
      </c>
      <c r="K7" s="7" t="n">
        <v>151.4205049417131</v>
      </c>
      <c r="L7" s="7" t="n">
        <v>150.7098983382621</v>
      </c>
      <c r="M7" s="7" t="n">
        <v>151.2457261303639</v>
      </c>
      <c r="N7" s="7" t="n">
        <v>151.4492627452269</v>
      </c>
      <c r="O7" s="8">
        <f>N7*$B$2/100</f>
        <v/>
      </c>
    </row>
    <row r="8">
      <c r="A8" s="6" t="n">
        <v>46238.47821636574</v>
      </c>
      <c r="B8" s="7" t="n">
        <v>150.0611254427004</v>
      </c>
      <c r="C8" s="7" t="n">
        <v>152.3234536822009</v>
      </c>
      <c r="D8" s="7" t="n">
        <v>150.6798523847718</v>
      </c>
      <c r="E8" s="7" t="n">
        <v>150.6138121654249</v>
      </c>
      <c r="F8" s="7" t="n">
        <v>150.8979471221112</v>
      </c>
      <c r="G8" s="7" t="n">
        <v>149.7506715599107</v>
      </c>
      <c r="H8" s="7" t="n">
        <v>151.1786688239669</v>
      </c>
      <c r="I8" s="7" t="n">
        <v>154.4892312062599</v>
      </c>
      <c r="J8" s="7" t="n">
        <v>155.9792692122301</v>
      </c>
      <c r="K8" s="7" t="n">
        <v>152.6078118637166</v>
      </c>
      <c r="L8" s="7" t="n">
        <v>149.0341991135681</v>
      </c>
      <c r="M8" s="7" t="n">
        <v>150.1989383984676</v>
      </c>
      <c r="N8" s="7" t="n">
        <v>152.0818756908026</v>
      </c>
      <c r="O8" s="8">
        <f>N8*$B$2/100</f>
        <v/>
      </c>
    </row>
    <row r="9">
      <c r="A9" s="6" t="n">
        <v>46238.47822798611</v>
      </c>
      <c r="B9" s="7" t="n">
        <v>150.8801819490347</v>
      </c>
      <c r="C9" s="7" t="n">
        <v>153.7876438090899</v>
      </c>
      <c r="D9" s="7" t="n">
        <v>151.6587025928189</v>
      </c>
      <c r="E9" s="7" t="n">
        <v>153.2618790208483</v>
      </c>
      <c r="F9" s="7" t="n">
        <v>153.6574378663709</v>
      </c>
      <c r="G9" s="7" t="n">
        <v>154.6147278309392</v>
      </c>
      <c r="H9" s="7" t="n">
        <v>151.1781746167501</v>
      </c>
      <c r="I9" s="7" t="n">
        <v>152.8112505394819</v>
      </c>
      <c r="J9" s="7" t="n">
        <v>151.3257330456564</v>
      </c>
      <c r="K9" s="7" t="n">
        <v>150.0356108214111</v>
      </c>
      <c r="L9" s="7" t="n">
        <v>152.0844639563549</v>
      </c>
      <c r="M9" s="7" t="n">
        <v>151.163003831066</v>
      </c>
      <c r="N9" s="7" t="n">
        <v>152.4697402079591</v>
      </c>
      <c r="O9" s="8">
        <f>N9*$B$2/100</f>
        <v/>
      </c>
    </row>
    <row r="10">
      <c r="A10" s="6" t="n">
        <v>46238.47823960648</v>
      </c>
      <c r="B10" s="7" t="n">
        <v>152.5416612828795</v>
      </c>
      <c r="C10" s="7" t="n">
        <v>153.339738533677</v>
      </c>
      <c r="D10" s="7" t="n">
        <v>150.8365782466202</v>
      </c>
      <c r="E10" s="7" t="n">
        <v>153.1520304436895</v>
      </c>
      <c r="F10" s="7" t="n">
        <v>152.0023753958993</v>
      </c>
      <c r="G10" s="7" t="n">
        <v>153.2217675324449</v>
      </c>
      <c r="H10" s="7" t="n">
        <v>152.5581203877437</v>
      </c>
      <c r="I10" s="7" t="n">
        <v>149.9685177823308</v>
      </c>
      <c r="J10" s="7" t="n">
        <v>153.9775678946637</v>
      </c>
      <c r="K10" s="7" t="n">
        <v>151.6086656580938</v>
      </c>
      <c r="L10" s="7" t="n">
        <v>156.2051280141421</v>
      </c>
      <c r="M10" s="7" t="n">
        <v>155.3651725200247</v>
      </c>
      <c r="N10" s="7" t="n">
        <v>153.4284686841457</v>
      </c>
      <c r="O10" s="8">
        <f>N10*$B$2/100</f>
        <v/>
      </c>
    </row>
    <row r="11">
      <c r="A11" s="6" t="n">
        <v>46238.47825123843</v>
      </c>
      <c r="B11" s="7" t="n">
        <v>154.1395734263089</v>
      </c>
      <c r="C11" s="7" t="n">
        <v>155.7696506871487</v>
      </c>
      <c r="D11" s="7" t="n">
        <v>152.5670909177403</v>
      </c>
      <c r="E11" s="7" t="n">
        <v>153.0786797808299</v>
      </c>
      <c r="F11" s="7" t="n">
        <v>150.2485879690852</v>
      </c>
      <c r="G11" s="7" t="n">
        <v>155.489502017495</v>
      </c>
      <c r="H11" s="7" t="n">
        <v>151.9711079497595</v>
      </c>
      <c r="I11" s="7" t="n">
        <v>150.6708479265012</v>
      </c>
      <c r="J11" s="7" t="n">
        <v>154.5321044515889</v>
      </c>
      <c r="K11" s="7" t="n">
        <v>152.779680395792</v>
      </c>
      <c r="L11" s="7" t="n">
        <v>155.4973488934441</v>
      </c>
      <c r="M11" s="7" t="n">
        <v>154.419972858315</v>
      </c>
      <c r="N11" s="7" t="n">
        <v>153.741538795026</v>
      </c>
      <c r="O11" s="8">
        <f>N11*$B$2/100</f>
        <v/>
      </c>
    </row>
    <row r="12">
      <c r="A12" s="6" t="n">
        <v>46238.47826289352</v>
      </c>
      <c r="B12" s="7" t="n">
        <v>152.4882128301558</v>
      </c>
      <c r="C12" s="7" t="n">
        <v>151.7234645406817</v>
      </c>
      <c r="D12" s="7" t="n">
        <v>152.028379601219</v>
      </c>
      <c r="E12" s="7" t="n">
        <v>152.4932641455563</v>
      </c>
      <c r="F12" s="7" t="n">
        <v>151.455284973388</v>
      </c>
      <c r="G12" s="7" t="n">
        <v>151.1728246133114</v>
      </c>
      <c r="H12" s="7" t="n">
        <v>151.8699217420891</v>
      </c>
      <c r="I12" s="7" t="n">
        <v>151.6753349211075</v>
      </c>
      <c r="J12" s="7" t="n">
        <v>152.58336289543</v>
      </c>
      <c r="K12" s="7" t="n">
        <v>151.2900535163598</v>
      </c>
      <c r="L12" s="7" t="n">
        <v>152.8152883398544</v>
      </c>
      <c r="M12" s="7" t="n">
        <v>152.4317314645116</v>
      </c>
      <c r="N12" s="7" t="n">
        <v>152.0554982352731</v>
      </c>
      <c r="O12" s="8">
        <f>N12*$B$2/100</f>
        <v/>
      </c>
    </row>
    <row r="13">
      <c r="A13" s="6" t="n">
        <v>46238.47827451389</v>
      </c>
      <c r="B13" s="7" t="n">
        <v>159.5959610096076</v>
      </c>
      <c r="C13" s="7" t="n">
        <v>162.4526421480764</v>
      </c>
      <c r="D13" s="7" t="n">
        <v>157.5307373664214</v>
      </c>
      <c r="E13" s="7" t="n">
        <v>151.7537202380952</v>
      </c>
      <c r="F13" s="7" t="n">
        <v>156.3303992856232</v>
      </c>
      <c r="G13" s="7" t="n">
        <v>155.0407110190698</v>
      </c>
      <c r="H13" s="7" t="n">
        <v>152.2839387752306</v>
      </c>
      <c r="I13" s="7" t="n">
        <v>142.7628485337181</v>
      </c>
      <c r="J13" s="7" t="n">
        <v>156.1327554084749</v>
      </c>
      <c r="K13" s="7" t="n">
        <v>156.8406412648532</v>
      </c>
      <c r="L13" s="7" t="n">
        <v>160.1890259036619</v>
      </c>
      <c r="M13" s="7" t="n">
        <v>156.4477382011801</v>
      </c>
      <c r="N13" s="7" t="n">
        <v>157.9061657574905</v>
      </c>
      <c r="O13" s="8">
        <f>N13*$B$2/100</f>
        <v/>
      </c>
    </row>
    <row r="14">
      <c r="A14" s="6" t="n">
        <v>46238.47828611111</v>
      </c>
      <c r="B14" s="7" t="n">
        <v>158.3095731133381</v>
      </c>
      <c r="C14" s="7" t="n">
        <v>161.5391833656539</v>
      </c>
      <c r="D14" s="7" t="n">
        <v>156.3299754230873</v>
      </c>
      <c r="E14" s="7" t="n">
        <v>154.0836555813354</v>
      </c>
      <c r="F14" s="7" t="n">
        <v>157.6713705419808</v>
      </c>
      <c r="G14" s="7" t="n">
        <v>161.8473503512998</v>
      </c>
      <c r="H14" s="7" t="n">
        <v>155.212419248211</v>
      </c>
      <c r="I14" s="7" t="n">
        <v>146.3755524359174</v>
      </c>
      <c r="J14" s="7" t="n">
        <v>158.4893531956405</v>
      </c>
      <c r="K14" s="7" t="n">
        <v>151.8062759475926</v>
      </c>
      <c r="L14" s="7" t="n">
        <v>160.567505664811</v>
      </c>
      <c r="M14" s="7" t="n">
        <v>156.4996239100356</v>
      </c>
      <c r="N14" s="7" t="n">
        <v>158.5377185474997</v>
      </c>
      <c r="O14" s="8">
        <f>N14*$B$2/100</f>
        <v/>
      </c>
    </row>
    <row r="15">
      <c r="A15" s="6" t="n">
        <v>46238.47829782408</v>
      </c>
      <c r="B15" s="7" t="n">
        <v>160.6190503414097</v>
      </c>
      <c r="C15" s="7" t="n">
        <v>160.2333220596939</v>
      </c>
      <c r="D15" s="7" t="n">
        <v>160.5836292233293</v>
      </c>
      <c r="E15" s="7" t="n">
        <v>160.0992679188884</v>
      </c>
      <c r="F15" s="7" t="n">
        <v>141.5331287920574</v>
      </c>
      <c r="G15" s="7" t="n">
        <v>148.2510670898544</v>
      </c>
      <c r="H15" s="7" t="n">
        <v>154.6529866673362</v>
      </c>
      <c r="I15" s="7" t="n">
        <v>151.3319745537644</v>
      </c>
      <c r="J15" s="7" t="n">
        <v>148.7370851950399</v>
      </c>
      <c r="K15" s="7" t="n">
        <v>146.9403524534929</v>
      </c>
      <c r="L15" s="7" t="n">
        <v>159.0360581726277</v>
      </c>
      <c r="M15" s="7" t="n">
        <v>159.2945570008479</v>
      </c>
      <c r="N15" s="7" t="n">
        <v>157.6539145501801</v>
      </c>
      <c r="O15" s="8">
        <f>N15*$B$2/100</f>
        <v/>
      </c>
    </row>
    <row r="16">
      <c r="A16" s="6" t="n">
        <v>46238.47830957176</v>
      </c>
      <c r="B16" s="7" t="n">
        <v>157.9174588572013</v>
      </c>
      <c r="C16" s="7" t="n">
        <v>162.4175770865271</v>
      </c>
      <c r="D16" s="7" t="n">
        <v>159.5583415020752</v>
      </c>
      <c r="E16" s="7" t="n">
        <v>158.5951387662947</v>
      </c>
      <c r="F16" s="7" t="n">
        <v>140.1756650246305</v>
      </c>
      <c r="G16" s="7" t="n">
        <v>136.2897405379672</v>
      </c>
      <c r="H16" s="7" t="n">
        <v>152.9429800121139</v>
      </c>
      <c r="I16" s="7" t="n">
        <v>119.1697212040431</v>
      </c>
      <c r="J16" s="7" t="n">
        <v>156.989194767731</v>
      </c>
      <c r="K16" s="7" t="n">
        <v>155.1127710778216</v>
      </c>
      <c r="L16" s="7" t="n">
        <v>159.1059736565638</v>
      </c>
      <c r="M16" s="7" t="n">
        <v>155.4937823474244</v>
      </c>
      <c r="N16" s="7" t="n">
        <v>157.2758417420854</v>
      </c>
      <c r="O16" s="8">
        <f>N16*$B$2/100</f>
        <v/>
      </c>
    </row>
    <row r="17">
      <c r="A17" s="6" t="n">
        <v>46238.47832116898</v>
      </c>
      <c r="B17" s="7" t="n">
        <v>158.4628130583331</v>
      </c>
      <c r="C17" s="7" t="n">
        <v>158.204152439696</v>
      </c>
      <c r="D17" s="7" t="n">
        <v>157.4814519704286</v>
      </c>
      <c r="E17" s="7" t="n">
        <v>155.5535560925922</v>
      </c>
      <c r="F17" s="7" t="n">
        <v>153.4460791022307</v>
      </c>
      <c r="G17" s="7" t="n">
        <v>144.9372880695327</v>
      </c>
      <c r="H17" s="7" t="n">
        <v>153.4366139925251</v>
      </c>
      <c r="I17" s="7" t="n">
        <v>122.6998288926913</v>
      </c>
      <c r="J17" s="7" t="n">
        <v>157.5795181531441</v>
      </c>
      <c r="K17" s="7" t="n">
        <v>147.4689145436112</v>
      </c>
      <c r="L17" s="7" t="n">
        <v>160.5713689942244</v>
      </c>
      <c r="M17" s="7" t="n">
        <v>155.942046807597</v>
      </c>
      <c r="N17" s="7" t="n">
        <v>157.3042810219985</v>
      </c>
      <c r="O17" s="8">
        <f>N17*$B$2/100</f>
        <v/>
      </c>
    </row>
    <row r="18">
      <c r="A18" s="6" t="n">
        <v>46238.47833277778</v>
      </c>
      <c r="B18" s="7" t="n">
        <v>154.7954302922216</v>
      </c>
      <c r="C18" s="7" t="n">
        <v>161.0804379163534</v>
      </c>
      <c r="D18" s="7" t="n">
        <v>158.2353625861993</v>
      </c>
      <c r="E18" s="7" t="n">
        <v>158.6529241938366</v>
      </c>
      <c r="F18" s="7" t="n">
        <v>141.17317493923</v>
      </c>
      <c r="G18" s="7" t="n">
        <v>134.2342909615637</v>
      </c>
      <c r="H18" s="7" t="n">
        <v>154.6145063920455</v>
      </c>
      <c r="I18" s="7" t="n">
        <v>140.2133808879597</v>
      </c>
      <c r="J18" s="7" t="n">
        <v>156.7191555669399</v>
      </c>
      <c r="K18" s="7" t="n">
        <v>157.2254783888666</v>
      </c>
      <c r="L18" s="7" t="n">
        <v>160.2859584156533</v>
      </c>
      <c r="M18" s="7" t="n">
        <v>157.3559954777775</v>
      </c>
      <c r="N18" s="7" t="n">
        <v>157.9360043770818</v>
      </c>
      <c r="O18" s="8">
        <f>N18*$B$2/100</f>
        <v/>
      </c>
    </row>
    <row r="19">
      <c r="A19" s="6" t="n">
        <v>46238.478344375</v>
      </c>
      <c r="B19" s="7" t="n">
        <v>158.1561768834815</v>
      </c>
      <c r="C19" s="7" t="n">
        <v>162.0615267440994</v>
      </c>
      <c r="D19" s="7" t="n">
        <v>156.8269313621964</v>
      </c>
      <c r="E19" s="7" t="n">
        <v>155.5376090076167</v>
      </c>
      <c r="F19" s="7" t="n">
        <v>149.9895476526295</v>
      </c>
      <c r="G19" s="7" t="n">
        <v>144.58536678359</v>
      </c>
      <c r="H19" s="7" t="n">
        <v>154.3378312601406</v>
      </c>
      <c r="I19" s="7" t="n">
        <v>132.8360727784126</v>
      </c>
      <c r="J19" s="7" t="n">
        <v>159.815623113381</v>
      </c>
      <c r="K19" s="7" t="n">
        <v>144.7223983213536</v>
      </c>
      <c r="L19" s="7" t="n">
        <v>159.7855432645866</v>
      </c>
      <c r="M19" s="7" t="n">
        <v>158.5396303567487</v>
      </c>
      <c r="N19" s="7" t="n">
        <v>158.0186719854669</v>
      </c>
      <c r="O19" s="8">
        <f>N19*$B$2/100</f>
        <v/>
      </c>
    </row>
    <row r="20">
      <c r="A20" s="6" t="n">
        <v>46238.47835612269</v>
      </c>
      <c r="B20" s="7" t="n">
        <v>157.6052379746992</v>
      </c>
      <c r="C20" s="7" t="n">
        <v>159.6912480495587</v>
      </c>
      <c r="D20" s="7" t="n">
        <v>150.4954712685397</v>
      </c>
      <c r="E20" s="7" t="n">
        <v>157.2695892840027</v>
      </c>
      <c r="F20" s="7" t="n">
        <v>145.7038092099068</v>
      </c>
      <c r="G20" s="7" t="n">
        <v>127.7259633231866</v>
      </c>
      <c r="H20" s="7" t="n">
        <v>155.8900101535465</v>
      </c>
      <c r="I20" s="7" t="n">
        <v>151.116025700717</v>
      </c>
      <c r="J20" s="7" t="n">
        <v>157.7646108705159</v>
      </c>
      <c r="K20" s="7" t="n">
        <v>153.3376262455094</v>
      </c>
      <c r="L20" s="7" t="n">
        <v>160.0489915349562</v>
      </c>
      <c r="M20" s="7" t="n">
        <v>156.3228860691547</v>
      </c>
      <c r="N20" s="7" t="n">
        <v>157.0617940433324</v>
      </c>
      <c r="O20" s="8">
        <f>N20*$B$2/100</f>
        <v/>
      </c>
    </row>
    <row r="21">
      <c r="A21" s="6" t="n">
        <v>46238.47836784722</v>
      </c>
      <c r="B21" s="7" t="n">
        <v>156.2223545941326</v>
      </c>
      <c r="C21" s="7" t="n">
        <v>160.7008650687539</v>
      </c>
      <c r="D21" s="7" t="n">
        <v>156.4870885674544</v>
      </c>
      <c r="E21" s="7" t="n">
        <v>155.2590379258291</v>
      </c>
      <c r="F21" s="7" t="n">
        <v>150.1847580420446</v>
      </c>
      <c r="G21" s="7" t="n">
        <v>144.8682148852826</v>
      </c>
      <c r="H21" s="7" t="n">
        <v>156.227661897374</v>
      </c>
      <c r="I21" s="7" t="n">
        <v>160.1118147684606</v>
      </c>
      <c r="J21" s="7" t="n">
        <v>156.8904576344572</v>
      </c>
      <c r="K21" s="7" t="n">
        <v>156.5272462588055</v>
      </c>
      <c r="L21" s="7" t="n">
        <v>157.8268489812011</v>
      </c>
      <c r="M21" s="7" t="n">
        <v>159.2014866282638</v>
      </c>
      <c r="N21" s="7" t="n">
        <v>157.0893767117603</v>
      </c>
      <c r="O21" s="8">
        <f>N21*$B$2/100</f>
        <v/>
      </c>
    </row>
    <row r="22">
      <c r="A22" s="6" t="n">
        <v>46238.47837950232</v>
      </c>
      <c r="B22" s="7" t="n">
        <v>162.6863453682417</v>
      </c>
      <c r="C22" s="7" t="n">
        <v>161.1774800988731</v>
      </c>
      <c r="D22" s="7" t="n">
        <v>157.6015607261081</v>
      </c>
      <c r="E22" s="7" t="n">
        <v>146.6733042176954</v>
      </c>
      <c r="F22" s="7" t="n">
        <v>136.3316540150458</v>
      </c>
      <c r="G22" s="7" t="n">
        <v>136.8794033491252</v>
      </c>
      <c r="H22" s="7" t="n">
        <v>148.285758272808</v>
      </c>
      <c r="I22" s="7" t="n">
        <v>153.9662648883817</v>
      </c>
      <c r="J22" s="7" t="n">
        <v>148.1374376761327</v>
      </c>
      <c r="K22" s="7" t="n">
        <v>147.5011766920832</v>
      </c>
      <c r="L22" s="7" t="n">
        <v>158.9147490579457</v>
      </c>
      <c r="M22" s="7" t="n">
        <v>158.2292453073543</v>
      </c>
      <c r="N22" s="7" t="n">
        <v>156.9613119869106</v>
      </c>
      <c r="O22" s="8">
        <f>N22*$B$2/100</f>
        <v/>
      </c>
    </row>
    <row r="23">
      <c r="A23" s="6" t="n">
        <v>46238.47839122685</v>
      </c>
      <c r="B23" s="7" t="n">
        <v>160.2741965492862</v>
      </c>
      <c r="C23" s="7" t="n">
        <v>161.0530179588261</v>
      </c>
      <c r="D23" s="7" t="n">
        <v>157.2863317188478</v>
      </c>
      <c r="E23" s="7" t="n">
        <v>160.6136309542289</v>
      </c>
      <c r="F23" s="7" t="n">
        <v>127.7999555456768</v>
      </c>
      <c r="G23" s="7" t="n">
        <v>126.6276933468423</v>
      </c>
      <c r="H23" s="7" t="n">
        <v>146.9673375123722</v>
      </c>
      <c r="I23" s="7" t="n">
        <v>117.4389486754967</v>
      </c>
      <c r="J23" s="7" t="n">
        <v>144.1407415730337</v>
      </c>
      <c r="K23" s="7" t="n">
        <v>137.5592553497745</v>
      </c>
      <c r="L23" s="7" t="n">
        <v>162.7659741563263</v>
      </c>
      <c r="M23" s="7" t="n">
        <v>159.1286981408502</v>
      </c>
      <c r="N23" s="7" t="n">
        <v>157.1635769251466</v>
      </c>
      <c r="O23" s="8">
        <f>N23*$B$2/100</f>
        <v/>
      </c>
    </row>
    <row r="24">
      <c r="A24" s="6" t="n">
        <v>46238.47840290509</v>
      </c>
      <c r="B24" s="7" t="n">
        <v>156.069226666074</v>
      </c>
      <c r="C24" s="7" t="n">
        <v>156.4406134837625</v>
      </c>
      <c r="D24" s="7" t="n">
        <v>152.0267864813319</v>
      </c>
      <c r="E24" s="7" t="n">
        <v>156.5864188546157</v>
      </c>
      <c r="F24" s="7" t="n">
        <v>144.9972520395019</v>
      </c>
      <c r="G24" s="7" t="n">
        <v>145.7878761955276</v>
      </c>
      <c r="H24" s="7" t="n">
        <v>148.6573029636965</v>
      </c>
      <c r="I24" s="7" t="n">
        <v>144.895476666377</v>
      </c>
      <c r="J24" s="7" t="n">
        <v>147.1055079970266</v>
      </c>
      <c r="K24" s="7" t="n">
        <v>150.2965152684539</v>
      </c>
      <c r="L24" s="7" t="n">
        <v>159.5280493136604</v>
      </c>
      <c r="M24" s="7" t="n">
        <v>157.5489501793334</v>
      </c>
      <c r="N24" s="7" t="n">
        <v>154.046025674804</v>
      </c>
      <c r="O24" s="8">
        <f>N24*$B$2/100</f>
        <v/>
      </c>
    </row>
    <row r="25">
      <c r="A25" s="6" t="n">
        <v>46238.47841453704</v>
      </c>
      <c r="B25" s="7" t="n">
        <v>160.5674009758444</v>
      </c>
      <c r="C25" s="7" t="n">
        <v>163.1387806716141</v>
      </c>
      <c r="D25" s="7" t="n">
        <v>137.0832865731463</v>
      </c>
      <c r="E25" s="7" t="n">
        <v>149.1391929242675</v>
      </c>
      <c r="F25" s="7" t="n">
        <v>145.5729698516898</v>
      </c>
      <c r="G25" s="7" t="n">
        <v>144.5121492445267</v>
      </c>
      <c r="H25" s="7" t="n">
        <v>152.6005851320438</v>
      </c>
      <c r="I25" s="7" t="n">
        <v>143.4629854623151</v>
      </c>
      <c r="J25" s="7" t="n">
        <v>158.5744960869872</v>
      </c>
      <c r="K25" s="7" t="n">
        <v>158.4286683933196</v>
      </c>
      <c r="L25" s="7" t="n">
        <v>160.5110503511653</v>
      </c>
      <c r="M25" s="7" t="n">
        <v>159.4171990094481</v>
      </c>
      <c r="N25" s="7" t="n">
        <v>157.6114454302421</v>
      </c>
      <c r="O25" s="8">
        <f>N25*$B$2/100</f>
        <v/>
      </c>
    </row>
    <row r="26">
      <c r="A26" s="6" t="n">
        <v>46238.47842626157</v>
      </c>
      <c r="B26" s="7" t="n">
        <v>160.9523112342566</v>
      </c>
      <c r="C26" s="7" t="n">
        <v>154.7601376815235</v>
      </c>
      <c r="D26" s="7" t="n">
        <v>157.7301420961363</v>
      </c>
      <c r="E26" s="7" t="n">
        <v>156.1061370402202</v>
      </c>
      <c r="F26" s="7" t="n">
        <v>128.5402006597031</v>
      </c>
      <c r="G26" s="7" t="n">
        <v>132.8961738484398</v>
      </c>
      <c r="H26" s="7" t="n">
        <v>153.5420040603925</v>
      </c>
      <c r="I26" s="7" t="n">
        <v>146.7031663326653</v>
      </c>
      <c r="J26" s="7" t="n">
        <v>154.8492067703083</v>
      </c>
      <c r="K26" s="7" t="n">
        <v>160.4934827790974</v>
      </c>
      <c r="L26" s="7" t="n">
        <v>160.4056696338435</v>
      </c>
      <c r="M26" s="7" t="n">
        <v>160.3108018969185</v>
      </c>
      <c r="N26" s="7" t="n">
        <v>158.1065629877064</v>
      </c>
      <c r="O26" s="8">
        <f>N26*$B$2/100</f>
        <v/>
      </c>
    </row>
    <row r="27">
      <c r="A27" s="6" t="n">
        <v>46238.47843785879</v>
      </c>
      <c r="B27" s="7" t="n">
        <v>156.8297700532473</v>
      </c>
      <c r="C27" s="7" t="n">
        <v>159.0429788142947</v>
      </c>
      <c r="D27" s="7" t="n">
        <v>142.929782117193</v>
      </c>
      <c r="E27" s="7" t="n">
        <v>158.4196427791607</v>
      </c>
      <c r="F27" s="7" t="n">
        <v>148.4630788875393</v>
      </c>
      <c r="G27" s="7" t="n">
        <v>156.3727307419724</v>
      </c>
      <c r="H27" s="7" t="n">
        <v>151.6202846383874</v>
      </c>
      <c r="I27" s="7" t="n">
        <v>158.3019177256695</v>
      </c>
      <c r="J27" s="7" t="n">
        <v>147.6122579681062</v>
      </c>
      <c r="K27" s="7" t="n">
        <v>151.0898882286731</v>
      </c>
      <c r="L27" s="7" t="n">
        <v>154.0344105045194</v>
      </c>
      <c r="M27" s="7" t="n">
        <v>151.9645705092333</v>
      </c>
      <c r="N27" s="7" t="n">
        <v>154.147334182765</v>
      </c>
      <c r="O27" s="8">
        <f>N27*$B$2/100</f>
        <v/>
      </c>
    </row>
    <row r="28">
      <c r="A28" s="6" t="n">
        <v>46238.47844961806</v>
      </c>
      <c r="B28" s="7" t="n">
        <v>155.0989112933323</v>
      </c>
      <c r="C28" s="7" t="n">
        <v>158.1553957602359</v>
      </c>
      <c r="D28" s="7" t="n">
        <v>147.1566142339537</v>
      </c>
      <c r="E28" s="7" t="n">
        <v>139.6084579615433</v>
      </c>
      <c r="F28" s="7" t="n">
        <v>145.9561353719536</v>
      </c>
      <c r="G28" s="7" t="n">
        <v>144.6661555973703</v>
      </c>
      <c r="H28" s="7" t="n">
        <v>149.6225013931626</v>
      </c>
      <c r="I28" s="7" t="n">
        <v>133.3825187969925</v>
      </c>
      <c r="J28" s="7" t="n">
        <v>142.7452169961372</v>
      </c>
      <c r="K28" s="7" t="n">
        <v>141.4318555909141</v>
      </c>
      <c r="L28" s="7" t="n">
        <v>159.7194840120574</v>
      </c>
      <c r="M28" s="7" t="n">
        <v>158.9245098147555</v>
      </c>
      <c r="N28" s="7" t="n">
        <v>154.6259377926751</v>
      </c>
      <c r="O28" s="8">
        <f>N28*$B$2/100</f>
        <v/>
      </c>
    </row>
    <row r="29">
      <c r="A29" s="6" t="n">
        <v>46238.47846135416</v>
      </c>
      <c r="B29" s="7" t="n">
        <v>159.8595234009067</v>
      </c>
      <c r="C29" s="7" t="n">
        <v>158.2582809439446</v>
      </c>
      <c r="D29" s="7" t="n">
        <v>148.1552943104694</v>
      </c>
      <c r="E29" s="7" t="n">
        <v>150.2024744631359</v>
      </c>
      <c r="F29" s="7" t="n">
        <v>149.1707737377219</v>
      </c>
      <c r="G29" s="7" t="n">
        <v>150.0519882765188</v>
      </c>
      <c r="H29" s="7" t="n">
        <v>152.361376176566</v>
      </c>
      <c r="I29" s="7" t="n">
        <v>148.7330048597627</v>
      </c>
      <c r="J29" s="7" t="n">
        <v>155.2939697590058</v>
      </c>
      <c r="K29" s="7" t="n">
        <v>151.2297091250293</v>
      </c>
      <c r="L29" s="7" t="n">
        <v>155.2831119939627</v>
      </c>
      <c r="M29" s="7" t="n">
        <v>153.4061491662356</v>
      </c>
      <c r="N29" s="7" t="n">
        <v>154.7658472199307</v>
      </c>
      <c r="O29" s="8">
        <f>N29*$B$2/100</f>
        <v/>
      </c>
    </row>
    <row r="30">
      <c r="A30" s="6" t="n">
        <v>46238.47847310185</v>
      </c>
      <c r="B30" s="7" t="n">
        <v>161.6808857684875</v>
      </c>
      <c r="C30" s="7" t="n">
        <v>161.0977952711259</v>
      </c>
      <c r="D30" s="7" t="n">
        <v>143.3257618846669</v>
      </c>
      <c r="E30" s="7" t="n">
        <v>141.9788671135445</v>
      </c>
      <c r="F30" s="7" t="n">
        <v>142.3230937575062</v>
      </c>
      <c r="G30" s="7" t="n">
        <v>144.915786259542</v>
      </c>
      <c r="H30" s="7" t="n">
        <v>152.7005799310282</v>
      </c>
      <c r="I30" s="7" t="n">
        <v>134.6919555629989</v>
      </c>
      <c r="J30" s="7" t="n">
        <v>160.9237396311428</v>
      </c>
      <c r="K30" s="7" t="n">
        <v>163.6978838628628</v>
      </c>
      <c r="L30" s="7" t="n">
        <v>147.153038771289</v>
      </c>
      <c r="M30" s="7" t="n">
        <v>160.3881288863765</v>
      </c>
      <c r="N30" s="7" t="n">
        <v>158.4845543861446</v>
      </c>
      <c r="O30" s="8">
        <f>N30*$B$2/100</f>
        <v/>
      </c>
    </row>
    <row r="31">
      <c r="A31" s="6" t="n">
        <v>46238.47848479167</v>
      </c>
      <c r="B31" s="7" t="n">
        <v>163.1404244376881</v>
      </c>
      <c r="C31" s="7" t="n">
        <v>163.6971423360675</v>
      </c>
      <c r="D31" s="7" t="n">
        <v>161.7686746272987</v>
      </c>
      <c r="E31" s="7" t="n">
        <v>150.2393644580047</v>
      </c>
      <c r="F31" s="7" t="n">
        <v>140.2047158403869</v>
      </c>
      <c r="G31" s="7" t="n">
        <v>137.8427635997314</v>
      </c>
      <c r="H31" s="7" t="n">
        <v>150.5083732656571</v>
      </c>
      <c r="I31" s="7" t="n">
        <v>126.8989697802198</v>
      </c>
      <c r="J31" s="7" t="n">
        <v>156.2907667238985</v>
      </c>
      <c r="K31" s="7" t="n">
        <v>160.4202000851426</v>
      </c>
      <c r="L31" s="7" t="n">
        <v>129.4783419809946</v>
      </c>
      <c r="M31" s="7" t="n">
        <v>137.617637775393</v>
      </c>
      <c r="N31" s="7" t="n">
        <v>159.222420685549</v>
      </c>
      <c r="O31" s="8">
        <f>N31*$B$2/100</f>
        <v/>
      </c>
    </row>
    <row r="32">
      <c r="A32" s="6" t="n">
        <v>46238.47849642361</v>
      </c>
      <c r="B32" s="7" t="n">
        <v>152.0675835335661</v>
      </c>
      <c r="C32" s="7" t="n">
        <v>156.1784038059479</v>
      </c>
      <c r="D32" s="7" t="n">
        <v>156.9064747002608</v>
      </c>
      <c r="E32" s="7" t="n">
        <v>146.519554597309</v>
      </c>
      <c r="F32" s="7" t="n">
        <v>146.431195233088</v>
      </c>
      <c r="G32" s="7" t="n">
        <v>144.8025939866673</v>
      </c>
      <c r="H32" s="7" t="n">
        <v>154.2420039497877</v>
      </c>
      <c r="I32" s="7" t="n">
        <v>159.570654643319</v>
      </c>
      <c r="J32" s="7" t="n">
        <v>155.0029930829709</v>
      </c>
      <c r="K32" s="7" t="n">
        <v>156.6511266511266</v>
      </c>
      <c r="L32" s="7" t="n">
        <v>150.5162355961924</v>
      </c>
      <c r="M32" s="7" t="n">
        <v>152.5629003378067</v>
      </c>
      <c r="N32" s="7" t="n">
        <v>154.7871936409803</v>
      </c>
      <c r="O32" s="8">
        <f>N32*$B$2/100</f>
        <v/>
      </c>
    </row>
    <row r="33">
      <c r="A33" s="6" t="n">
        <v>46238.47850800926</v>
      </c>
      <c r="B33" s="7" t="n">
        <v>150.9897710329246</v>
      </c>
      <c r="C33" s="7" t="n">
        <v>151.7886458093504</v>
      </c>
      <c r="D33" s="7" t="n">
        <v>151.2424621543851</v>
      </c>
      <c r="E33" s="7" t="n">
        <v>151.3127239384962</v>
      </c>
      <c r="F33" s="7" t="n">
        <v>151.3984490943448</v>
      </c>
      <c r="G33" s="7" t="n">
        <v>152.4702233097802</v>
      </c>
      <c r="H33" s="7" t="n">
        <v>151.2094668153858</v>
      </c>
      <c r="I33" s="7" t="n">
        <v>151.2331629301297</v>
      </c>
      <c r="J33" s="7" t="n">
        <v>153.8464239891119</v>
      </c>
      <c r="K33" s="7" t="n">
        <v>152.9620248208903</v>
      </c>
      <c r="L33" s="7" t="n">
        <v>151.2566205920696</v>
      </c>
      <c r="M33" s="7" t="n">
        <v>151.3195935204849</v>
      </c>
      <c r="N33" s="7" t="n">
        <v>151.8388052277448</v>
      </c>
      <c r="O33" s="8">
        <f>N33*$B$2/100</f>
        <v/>
      </c>
    </row>
    <row r="34">
      <c r="A34" s="6" t="n">
        <v>46238.47851965278</v>
      </c>
      <c r="B34" s="7" t="n">
        <v>159.9293621202925</v>
      </c>
      <c r="C34" s="7" t="n">
        <v>160.4523935031134</v>
      </c>
      <c r="D34" s="7" t="n">
        <v>152.6214706275927</v>
      </c>
      <c r="E34" s="7" t="n">
        <v>151.6155579639091</v>
      </c>
      <c r="F34" s="7" t="n">
        <v>154.6877012349887</v>
      </c>
      <c r="G34" s="7" t="n">
        <v>154.3718008306221</v>
      </c>
      <c r="H34" s="7" t="n">
        <v>151.8425164370891</v>
      </c>
      <c r="I34" s="7" t="n">
        <v>143.2772785223421</v>
      </c>
      <c r="J34" s="7" t="n">
        <v>156.1240069822949</v>
      </c>
      <c r="K34" s="7" t="n">
        <v>155.5321559796136</v>
      </c>
      <c r="L34" s="7" t="n">
        <v>159.0239609395265</v>
      </c>
      <c r="M34" s="7" t="n">
        <v>158.215800043504</v>
      </c>
      <c r="N34" s="7" t="n">
        <v>156.9200003320522</v>
      </c>
      <c r="O34" s="8">
        <f>N34*$B$2/100</f>
        <v/>
      </c>
    </row>
    <row r="35">
      <c r="A35" s="6" t="n">
        <v>46238.47853140046</v>
      </c>
      <c r="B35" s="7" t="n">
        <v>157.291419429423</v>
      </c>
      <c r="C35" s="7" t="n">
        <v>162.2351951616528</v>
      </c>
      <c r="D35" s="7" t="n">
        <v>152.3757487747322</v>
      </c>
      <c r="E35" s="7" t="n">
        <v>153.823160091975</v>
      </c>
      <c r="F35" s="7" t="n">
        <v>143.5375123395854</v>
      </c>
      <c r="G35" s="7" t="n">
        <v>141.6986867045762</v>
      </c>
      <c r="H35" s="7" t="n">
        <v>160.6118278357134</v>
      </c>
      <c r="I35" s="7" t="n">
        <v>157.825902238984</v>
      </c>
      <c r="J35" s="7" t="n">
        <v>158.8797732283465</v>
      </c>
      <c r="K35" s="7" t="n">
        <v>148.1620775722039</v>
      </c>
      <c r="L35" s="7" t="n">
        <v>159.1449901768173</v>
      </c>
      <c r="M35" s="7" t="n">
        <v>157.5593527620516</v>
      </c>
      <c r="N35" s="7" t="n">
        <v>157.474516636213</v>
      </c>
      <c r="O35" s="8">
        <f>N35*$B$2/100</f>
        <v/>
      </c>
    </row>
    <row r="36">
      <c r="A36" s="6" t="n">
        <v>46238.47854300926</v>
      </c>
      <c r="B36" s="7" t="n">
        <v>152.5963917641512</v>
      </c>
      <c r="C36" s="7" t="n">
        <v>162.4923778274631</v>
      </c>
      <c r="D36" s="7" t="n">
        <v>157.9062740349835</v>
      </c>
      <c r="E36" s="7" t="n">
        <v>155.0777321481173</v>
      </c>
      <c r="F36" s="7" t="n">
        <v>159.4658703071672</v>
      </c>
      <c r="G36" s="7" t="n">
        <v>153.0238534744442</v>
      </c>
      <c r="H36" s="7" t="n">
        <v>153.3075535846268</v>
      </c>
      <c r="I36" s="7" t="n">
        <v>157.727141015246</v>
      </c>
      <c r="J36" s="7" t="n">
        <v>159.8924500112564</v>
      </c>
      <c r="K36" s="7" t="n">
        <v>160.3469176956665</v>
      </c>
      <c r="L36" s="7" t="n">
        <v>159.2660623335358</v>
      </c>
      <c r="M36" s="7" t="n">
        <v>156.5838136734293</v>
      </c>
      <c r="N36" s="7" t="n">
        <v>158.0667562684136</v>
      </c>
      <c r="O36" s="8">
        <f>N36*$B$2/100</f>
        <v/>
      </c>
    </row>
    <row r="37">
      <c r="A37" s="6" t="n">
        <v>46238.47855474537</v>
      </c>
      <c r="B37" s="7" t="n">
        <v>158.9061093881649</v>
      </c>
      <c r="C37" s="7" t="n">
        <v>162.0975860089121</v>
      </c>
      <c r="D37" s="7" t="n">
        <v>152.9104499729772</v>
      </c>
      <c r="E37" s="7" t="n">
        <v>147.9205508731874</v>
      </c>
      <c r="F37" s="7" t="n">
        <v>142.9348186099467</v>
      </c>
      <c r="G37" s="7" t="n">
        <v>145.1511687824987</v>
      </c>
      <c r="H37" s="7" t="n">
        <v>152.8915885052884</v>
      </c>
      <c r="I37" s="7" t="n">
        <v>155.5556510756625</v>
      </c>
      <c r="J37" s="7" t="n">
        <v>156.2686709762919</v>
      </c>
      <c r="K37" s="7" t="n">
        <v>158.8893057961926</v>
      </c>
      <c r="L37" s="7" t="n">
        <v>157.9521298304665</v>
      </c>
      <c r="M37" s="7" t="n">
        <v>158.8990309961777</v>
      </c>
      <c r="N37" s="7" t="n">
        <v>156.7188973491017</v>
      </c>
      <c r="O37" s="8">
        <f>N37*$B$2/100</f>
        <v/>
      </c>
    </row>
    <row r="38">
      <c r="A38" s="6" t="n">
        <v>46238.47856648148</v>
      </c>
      <c r="B38" s="7" t="n">
        <v>154.2505852492546</v>
      </c>
      <c r="C38" s="7" t="n">
        <v>155.8345956220856</v>
      </c>
      <c r="D38" s="7" t="n">
        <v>155.6285681169499</v>
      </c>
      <c r="E38" s="7" t="n">
        <v>152.6185633978763</v>
      </c>
      <c r="F38" s="7" t="n">
        <v>156.4311281095605</v>
      </c>
      <c r="G38" s="7" t="n">
        <v>153.2467290972141</v>
      </c>
      <c r="H38" s="7" t="n">
        <v>154.215097765314</v>
      </c>
      <c r="I38" s="7" t="n">
        <v>153.4295867699626</v>
      </c>
      <c r="J38" s="7" t="n">
        <v>154.369897812274</v>
      </c>
      <c r="K38" s="7" t="n">
        <v>151.7136066001135</v>
      </c>
      <c r="L38" s="7" t="n">
        <v>156.323538485869</v>
      </c>
      <c r="M38" s="7" t="n">
        <v>155.4303947012876</v>
      </c>
      <c r="N38" s="7" t="n">
        <v>155.0436149037958</v>
      </c>
      <c r="O38" s="8">
        <f>N38*$B$2/100</f>
        <v/>
      </c>
    </row>
    <row r="39">
      <c r="A39" s="6" t="n">
        <v>46238.47857820602</v>
      </c>
      <c r="B39" s="7" t="n">
        <v>156.1494780663386</v>
      </c>
      <c r="C39" s="7" t="n">
        <v>157.7091615510878</v>
      </c>
      <c r="D39" s="7" t="n">
        <v>156.5679162909206</v>
      </c>
      <c r="E39" s="7" t="n">
        <v>153.7001421205711</v>
      </c>
      <c r="F39" s="7" t="n">
        <v>157.7270756983715</v>
      </c>
      <c r="G39" s="7" t="n">
        <v>156.6631089327605</v>
      </c>
      <c r="H39" s="7" t="n">
        <v>155.9992645925535</v>
      </c>
      <c r="I39" s="7" t="n">
        <v>153.6288580696541</v>
      </c>
      <c r="J39" s="7" t="n">
        <v>152.4737403961538</v>
      </c>
      <c r="K39" s="7" t="n">
        <v>149.4463674224896</v>
      </c>
      <c r="L39" s="7" t="n">
        <v>157.2001270601098</v>
      </c>
      <c r="M39" s="7" t="n">
        <v>156.0540576157719</v>
      </c>
      <c r="N39" s="7" t="n">
        <v>156.3246652822426</v>
      </c>
      <c r="O39" s="8">
        <f>N39*$B$2/100</f>
        <v/>
      </c>
    </row>
    <row r="40">
      <c r="A40" s="6" t="n">
        <v>46238.47858993056</v>
      </c>
      <c r="B40" s="7" t="n">
        <v>157.1606746560142</v>
      </c>
      <c r="C40" s="7" t="n">
        <v>156.7309198865651</v>
      </c>
      <c r="D40" s="7" t="n">
        <v>155.0250341398057</v>
      </c>
      <c r="E40" s="7" t="n">
        <v>156.9273945699594</v>
      </c>
      <c r="F40" s="7" t="n">
        <v>156.5882435390859</v>
      </c>
      <c r="G40" s="7" t="n">
        <v>158.0552585852973</v>
      </c>
      <c r="H40" s="7" t="n">
        <v>157.7125666463773</v>
      </c>
      <c r="I40" s="7" t="n">
        <v>156.4816815406294</v>
      </c>
      <c r="J40" s="7" t="n">
        <v>155.2915896583518</v>
      </c>
      <c r="K40" s="7" t="n">
        <v>151.8378907342168</v>
      </c>
      <c r="L40" s="7" t="n">
        <v>153.7825170621309</v>
      </c>
      <c r="M40" s="7" t="n">
        <v>154.3790587143337</v>
      </c>
      <c r="N40" s="7" t="n">
        <v>156.4941069267885</v>
      </c>
      <c r="O40" s="8">
        <f>N40*$B$2/100</f>
        <v/>
      </c>
    </row>
    <row r="41">
      <c r="A41" s="6" t="n">
        <v>46238.47860152778</v>
      </c>
      <c r="B41" s="7" t="n">
        <v>153.7259438883951</v>
      </c>
      <c r="C41" s="7" t="n">
        <v>154.4177449552735</v>
      </c>
      <c r="D41" s="7" t="n">
        <v>154.1429940086503</v>
      </c>
      <c r="E41" s="7" t="n">
        <v>156.0050179320637</v>
      </c>
      <c r="F41" s="7" t="n">
        <v>157.1480962689418</v>
      </c>
      <c r="G41" s="7" t="n">
        <v>156.6057716837715</v>
      </c>
      <c r="H41" s="7" t="n">
        <v>156.8436679612929</v>
      </c>
      <c r="I41" s="7" t="n">
        <v>154.9918097645693</v>
      </c>
      <c r="J41" s="7" t="n">
        <v>155.116753993815</v>
      </c>
      <c r="K41" s="7" t="n">
        <v>150.7532003426753</v>
      </c>
      <c r="L41" s="7" t="n">
        <v>154.2980399551631</v>
      </c>
      <c r="M41" s="7" t="n">
        <v>156.9431224333295</v>
      </c>
      <c r="N41" s="7" t="n">
        <v>155.8232987163132</v>
      </c>
      <c r="O41" s="8">
        <f>N41*$B$2/100</f>
        <v/>
      </c>
    </row>
    <row r="42">
      <c r="A42" s="6" t="n">
        <v>46238.47861310186</v>
      </c>
      <c r="B42" s="7" t="n">
        <v>153.827158938172</v>
      </c>
      <c r="C42" s="7" t="n">
        <v>154.9011417805187</v>
      </c>
      <c r="D42" s="7" t="n">
        <v>154.8352368167918</v>
      </c>
      <c r="E42" s="7" t="n">
        <v>157.6122044526028</v>
      </c>
      <c r="F42" s="7" t="n">
        <v>155.155656968076</v>
      </c>
      <c r="G42" s="7" t="n">
        <v>157.5852646222521</v>
      </c>
      <c r="H42" s="7" t="n">
        <v>155.9214995490672</v>
      </c>
      <c r="I42" s="7" t="n">
        <v>156.3344333293019</v>
      </c>
      <c r="J42" s="7" t="n">
        <v>154.78329075344</v>
      </c>
      <c r="K42" s="7" t="n">
        <v>158.0950347216384</v>
      </c>
      <c r="L42" s="7" t="n">
        <v>153.5357762949198</v>
      </c>
      <c r="M42" s="7" t="n">
        <v>157.5537374454795</v>
      </c>
      <c r="N42" s="7" t="n">
        <v>155.5956495517596</v>
      </c>
      <c r="O42" s="8">
        <f>N42*$B$2/100</f>
        <v/>
      </c>
    </row>
    <row r="43">
      <c r="A43" s="6" t="n">
        <v>46238.47862483796</v>
      </c>
      <c r="B43" s="7" t="n">
        <v>155.3908572977571</v>
      </c>
      <c r="C43" s="7" t="n">
        <v>155.7766896401427</v>
      </c>
      <c r="D43" s="7" t="n">
        <v>155.9562784944336</v>
      </c>
      <c r="E43" s="7" t="n">
        <v>157.6070295502462</v>
      </c>
      <c r="F43" s="7" t="n">
        <v>156.9142769532391</v>
      </c>
      <c r="G43" s="7" t="n">
        <v>157.8489423272875</v>
      </c>
      <c r="H43" s="7" t="n">
        <v>157.6274980174029</v>
      </c>
      <c r="I43" s="7" t="n">
        <v>156.410297658364</v>
      </c>
      <c r="J43" s="7" t="n">
        <v>154.5244629979263</v>
      </c>
      <c r="K43" s="7" t="n">
        <v>150.0266156601009</v>
      </c>
      <c r="L43" s="7" t="n">
        <v>152.0935488171879</v>
      </c>
      <c r="M43" s="7" t="n">
        <v>151.944840560429</v>
      </c>
      <c r="N43" s="7" t="n">
        <v>156.1738190236934</v>
      </c>
      <c r="O43" s="8">
        <f>N43*$B$2/100</f>
        <v/>
      </c>
    </row>
    <row r="44">
      <c r="A44" s="6" t="n">
        <v>46238.47863641204</v>
      </c>
      <c r="B44" s="7" t="n">
        <v>155.3142967131874</v>
      </c>
      <c r="C44" s="7" t="n">
        <v>155.9578720055634</v>
      </c>
      <c r="D44" s="7" t="n">
        <v>155.3834205486269</v>
      </c>
      <c r="E44" s="7" t="n">
        <v>157.7841378420237</v>
      </c>
      <c r="F44" s="7" t="n">
        <v>158.265922280835</v>
      </c>
      <c r="G44" s="7" t="n">
        <v>156.4950033363426</v>
      </c>
      <c r="H44" s="7" t="n">
        <v>158.2004865641933</v>
      </c>
      <c r="I44" s="7" t="n">
        <v>158.0073970548132</v>
      </c>
      <c r="J44" s="7" t="n">
        <v>156.8199396927201</v>
      </c>
      <c r="K44" s="7" t="n">
        <v>155.9526167521128</v>
      </c>
      <c r="L44" s="7" t="n">
        <v>156.1290692497605</v>
      </c>
      <c r="M44" s="7" t="n">
        <v>154.867621580241</v>
      </c>
      <c r="N44" s="7" t="n">
        <v>157.0364673166954</v>
      </c>
      <c r="O44" s="8">
        <f>N44*$B$2/100</f>
        <v/>
      </c>
    </row>
    <row r="45">
      <c r="A45" s="6" t="n">
        <v>46238.47864811343</v>
      </c>
      <c r="B45" s="7" t="n">
        <v>158.3409703018457</v>
      </c>
      <c r="C45" s="7" t="n">
        <v>155.2089898606517</v>
      </c>
      <c r="D45" s="7" t="n">
        <v>153.3798116042957</v>
      </c>
      <c r="E45" s="7" t="n">
        <v>154.7032321963475</v>
      </c>
      <c r="F45" s="7" t="n">
        <v>153.7539509098019</v>
      </c>
      <c r="G45" s="7" t="n">
        <v>157.474814365272</v>
      </c>
      <c r="H45" s="7" t="n">
        <v>157.5983145967705</v>
      </c>
      <c r="I45" s="7" t="n">
        <v>156.3213000937837</v>
      </c>
      <c r="J45" s="7" t="n">
        <v>156.6115105225049</v>
      </c>
      <c r="K45" s="7" t="n">
        <v>158.3825257209023</v>
      </c>
      <c r="L45" s="7" t="n">
        <v>155.2322275948387</v>
      </c>
      <c r="M45" s="7" t="n">
        <v>151.5480541852635</v>
      </c>
      <c r="N45" s="7" t="n">
        <v>156.7475132264648</v>
      </c>
      <c r="O45" s="8">
        <f>N45*$B$2/100</f>
        <v/>
      </c>
    </row>
    <row r="46">
      <c r="A46" s="6" t="n">
        <v>46238.47865978009</v>
      </c>
      <c r="B46" s="7" t="n">
        <v>157.2566674492051</v>
      </c>
      <c r="C46" s="7" t="n">
        <v>156.6374292230707</v>
      </c>
      <c r="D46" s="7" t="n">
        <v>155.3919037445182</v>
      </c>
      <c r="E46" s="7" t="n">
        <v>153.4073351541163</v>
      </c>
      <c r="F46" s="7" t="n">
        <v>155.7036618809485</v>
      </c>
      <c r="G46" s="7" t="n">
        <v>157.1218439237647</v>
      </c>
      <c r="H46" s="7" t="n">
        <v>156.6182997003364</v>
      </c>
      <c r="I46" s="7" t="n">
        <v>154.4500943566942</v>
      </c>
      <c r="J46" s="7" t="n">
        <v>155.8962561521871</v>
      </c>
      <c r="K46" s="7" t="n">
        <v>157.6010224298503</v>
      </c>
      <c r="L46" s="7" t="n">
        <v>153.0365529934344</v>
      </c>
      <c r="M46" s="7" t="n">
        <v>150.3710256271529</v>
      </c>
      <c r="N46" s="7" t="n">
        <v>156.3240328851572</v>
      </c>
      <c r="O46" s="8">
        <f>N46*$B$2/100</f>
        <v/>
      </c>
    </row>
    <row r="47">
      <c r="A47" s="6" t="n">
        <v>46238.47867140047</v>
      </c>
      <c r="B47" s="7" t="n">
        <v>153.8722693235968</v>
      </c>
      <c r="C47" s="7" t="n">
        <v>156.8866576703322</v>
      </c>
      <c r="D47" s="7" t="n">
        <v>154.8648727433557</v>
      </c>
      <c r="E47" s="7" t="n">
        <v>157.9323729905818</v>
      </c>
      <c r="F47" s="7" t="n">
        <v>156.9455867925167</v>
      </c>
      <c r="G47" s="7" t="n">
        <v>153.8798372346328</v>
      </c>
      <c r="H47" s="7" t="n">
        <v>157.9362046415717</v>
      </c>
      <c r="I47" s="7" t="n">
        <v>157.6202372474675</v>
      </c>
      <c r="J47" s="7" t="n">
        <v>157.3629962471603</v>
      </c>
      <c r="K47" s="7" t="n">
        <v>158.098722656048</v>
      </c>
      <c r="L47" s="7" t="n">
        <v>156.5525209957194</v>
      </c>
      <c r="M47" s="7" t="n">
        <v>150.9914321073842</v>
      </c>
      <c r="N47" s="7" t="n">
        <v>157.0283044244966</v>
      </c>
      <c r="O47" s="8">
        <f>N47*$B$2/100</f>
        <v/>
      </c>
    </row>
    <row r="48">
      <c r="A48" s="6" t="n">
        <v>46238.47868298611</v>
      </c>
      <c r="B48" s="7" t="n">
        <v>155.9996344959842</v>
      </c>
      <c r="C48" s="7" t="n">
        <v>153.3883607103503</v>
      </c>
      <c r="D48" s="7" t="n">
        <v>155.9701295207788</v>
      </c>
      <c r="E48" s="7" t="n">
        <v>158.1839230582613</v>
      </c>
      <c r="F48" s="7" t="n">
        <v>157.4948271156725</v>
      </c>
      <c r="G48" s="7" t="n">
        <v>155.3538660126501</v>
      </c>
      <c r="H48" s="7" t="n">
        <v>158.0488571705859</v>
      </c>
      <c r="I48" s="7" t="n">
        <v>157.3519271048902</v>
      </c>
      <c r="J48" s="7" t="n">
        <v>156.6515992574607</v>
      </c>
      <c r="K48" s="7" t="n">
        <v>154.9608538598584</v>
      </c>
      <c r="L48" s="7" t="n">
        <v>154.2397318454873</v>
      </c>
      <c r="M48" s="7" t="n">
        <v>153.5355903299026</v>
      </c>
      <c r="N48" s="7" t="n">
        <v>156.7581970275966</v>
      </c>
      <c r="O48" s="8">
        <f>N48*$B$2/100</f>
        <v/>
      </c>
    </row>
    <row r="49">
      <c r="A49" s="6" t="n">
        <v>46238.4786946875</v>
      </c>
      <c r="B49" s="7" t="n">
        <v>157.1089577819633</v>
      </c>
      <c r="C49" s="7" t="n">
        <v>158.7396874684439</v>
      </c>
      <c r="D49" s="7" t="n">
        <v>157.1859028976325</v>
      </c>
      <c r="E49" s="7" t="n">
        <v>155.5932788944723</v>
      </c>
      <c r="F49" s="7" t="n">
        <v>156.902410386633</v>
      </c>
      <c r="G49" s="7" t="n">
        <v>158.2962436608973</v>
      </c>
      <c r="H49" s="7" t="n">
        <v>157.5103838389887</v>
      </c>
      <c r="I49" s="7" t="n">
        <v>158.5757124579658</v>
      </c>
      <c r="J49" s="7" t="n">
        <v>155.8371925160756</v>
      </c>
      <c r="K49" s="7" t="n">
        <v>156.223463792599</v>
      </c>
      <c r="L49" s="7" t="n">
        <v>153.2435840603631</v>
      </c>
      <c r="M49" s="7" t="n">
        <v>153.2582205439348</v>
      </c>
      <c r="N49" s="7" t="n">
        <v>156.9387259415579</v>
      </c>
      <c r="O49" s="8">
        <f>N49*$B$2/100</f>
        <v/>
      </c>
    </row>
    <row r="50">
      <c r="A50" s="6" t="n">
        <v>46238.47870638889</v>
      </c>
      <c r="B50" s="7" t="n">
        <v>158.2107778801795</v>
      </c>
      <c r="C50" s="7" t="n">
        <v>158.5107464471648</v>
      </c>
      <c r="D50" s="7" t="n">
        <v>157.9259424774467</v>
      </c>
      <c r="E50" s="7" t="n">
        <v>157.1721221333095</v>
      </c>
      <c r="F50" s="7" t="n">
        <v>155.0765227731238</v>
      </c>
      <c r="G50" s="7" t="n">
        <v>157.2790901569035</v>
      </c>
      <c r="H50" s="7" t="n">
        <v>156.9130742245806</v>
      </c>
      <c r="I50" s="7" t="n">
        <v>156.0670741282054</v>
      </c>
      <c r="J50" s="7" t="n">
        <v>153.4353396350286</v>
      </c>
      <c r="K50" s="7" t="n">
        <v>152.2619971411068</v>
      </c>
      <c r="L50" s="7" t="n">
        <v>155.1447793727236</v>
      </c>
      <c r="M50" s="7" t="n">
        <v>151.6059810985798</v>
      </c>
      <c r="N50" s="7" t="n">
        <v>156.6451253811182</v>
      </c>
      <c r="O50" s="8">
        <f>N50*$B$2/100</f>
        <v/>
      </c>
    </row>
    <row r="51">
      <c r="A51" s="6" t="n">
        <v>46238.47871805556</v>
      </c>
      <c r="B51" s="7" t="n">
        <v>157.3193945797218</v>
      </c>
      <c r="C51" s="7" t="n">
        <v>158.2593022728304</v>
      </c>
      <c r="D51" s="7" t="n">
        <v>156.5163565744389</v>
      </c>
      <c r="E51" s="7" t="n">
        <v>155.642491152485</v>
      </c>
      <c r="F51" s="7" t="n">
        <v>157.1509762263749</v>
      </c>
      <c r="G51" s="7" t="n">
        <v>155.5979955037932</v>
      </c>
      <c r="H51" s="7" t="n">
        <v>156.8975194807256</v>
      </c>
      <c r="I51" s="7" t="n">
        <v>155.7414764922652</v>
      </c>
      <c r="J51" s="7" t="n">
        <v>156.6511556907171</v>
      </c>
      <c r="K51" s="7" t="n">
        <v>154.0278580946874</v>
      </c>
      <c r="L51" s="7" t="n">
        <v>156.0091824673485</v>
      </c>
      <c r="M51" s="7" t="n">
        <v>155.5908203363355</v>
      </c>
      <c r="N51" s="7" t="n">
        <v>156.6141571625517</v>
      </c>
      <c r="O51" s="8">
        <f>N51*$B$2/100</f>
        <v/>
      </c>
    </row>
    <row r="52">
      <c r="A52" s="6" t="n">
        <v>46238.47872981481</v>
      </c>
      <c r="B52" s="7" t="n">
        <v>153.9659185610864</v>
      </c>
      <c r="C52" s="7" t="n">
        <v>157.6136376488975</v>
      </c>
      <c r="D52" s="7" t="n">
        <v>154.13683106497</v>
      </c>
      <c r="E52" s="7" t="n">
        <v>157.1099639091732</v>
      </c>
      <c r="F52" s="7" t="n">
        <v>157.0419765929779</v>
      </c>
      <c r="G52" s="7" t="n">
        <v>157.5324324324324</v>
      </c>
      <c r="H52" s="7" t="n">
        <v>156.1912691743459</v>
      </c>
      <c r="I52" s="7" t="n">
        <v>154.5519498026912</v>
      </c>
      <c r="J52" s="7" t="n">
        <v>154.3263245858774</v>
      </c>
      <c r="K52" s="7" t="n">
        <v>151.630548858318</v>
      </c>
      <c r="L52" s="7" t="n">
        <v>151.4075171029082</v>
      </c>
      <c r="M52" s="7" t="n">
        <v>152.3585069032595</v>
      </c>
      <c r="N52" s="7" t="n">
        <v>155.9048579365041</v>
      </c>
      <c r="O52" s="8">
        <f>N52*$B$2/100</f>
        <v/>
      </c>
    </row>
    <row r="53">
      <c r="A53" s="6" t="n">
        <v>46238.47874141204</v>
      </c>
      <c r="B53" s="7" t="n">
        <v>154.3695224289079</v>
      </c>
      <c r="C53" s="7" t="n">
        <v>158.0644596426802</v>
      </c>
      <c r="D53" s="7" t="n">
        <v>153.6628970349571</v>
      </c>
      <c r="E53" s="7" t="n">
        <v>156.552480720111</v>
      </c>
      <c r="F53" s="7" t="n">
        <v>155.7050939128988</v>
      </c>
      <c r="G53" s="7" t="n">
        <v>154.8096212225522</v>
      </c>
      <c r="H53" s="7" t="n">
        <v>155.6117781629358</v>
      </c>
      <c r="I53" s="7" t="n">
        <v>154.3695542774982</v>
      </c>
      <c r="J53" s="7" t="n">
        <v>151.8512223124527</v>
      </c>
      <c r="K53" s="7" t="n">
        <v>149.1428244288256</v>
      </c>
      <c r="L53" s="7" t="n">
        <v>150.8785107084945</v>
      </c>
      <c r="M53" s="7" t="n">
        <v>150.270960990874</v>
      </c>
      <c r="N53" s="7" t="n">
        <v>154.9894728347128</v>
      </c>
      <c r="O53" s="8">
        <f>N53*$B$2/100</f>
        <v/>
      </c>
    </row>
    <row r="54">
      <c r="A54" s="6" t="n">
        <v>46238.47875303241</v>
      </c>
      <c r="B54" s="7" t="n">
        <v>153.9856866005527</v>
      </c>
      <c r="C54" s="7" t="n">
        <v>153.6761741952308</v>
      </c>
      <c r="D54" s="7" t="n">
        <v>155.165047784705</v>
      </c>
      <c r="E54" s="7" t="n">
        <v>153.4075606282439</v>
      </c>
      <c r="F54" s="7" t="n">
        <v>151.6381259150805</v>
      </c>
      <c r="G54" s="7" t="n">
        <v>153.1479968950631</v>
      </c>
      <c r="H54" s="7" t="n">
        <v>153.5983068826966</v>
      </c>
      <c r="I54" s="7" t="n">
        <v>152.3915176978874</v>
      </c>
      <c r="J54" s="7" t="n">
        <v>152.2531588056224</v>
      </c>
      <c r="K54" s="7" t="n">
        <v>152.5328607237976</v>
      </c>
      <c r="L54" s="7" t="n">
        <v>152.1116829386608</v>
      </c>
      <c r="M54" s="7" t="n">
        <v>155.2983155825445</v>
      </c>
      <c r="N54" s="7" t="n">
        <v>153.598722582682</v>
      </c>
      <c r="O54" s="8">
        <f>N54*$B$2/100</f>
        <v/>
      </c>
    </row>
    <row r="55">
      <c r="A55" s="6" t="n">
        <v>46238.47876460648</v>
      </c>
      <c r="B55" s="7" t="n">
        <v>153.0525407235348</v>
      </c>
      <c r="C55" s="7" t="n">
        <v>156.337568142226</v>
      </c>
      <c r="D55" s="7" t="n">
        <v>152.9299548455253</v>
      </c>
      <c r="E55" s="7" t="n">
        <v>152.5949684377551</v>
      </c>
      <c r="F55" s="7" t="n">
        <v>155.8305321613769</v>
      </c>
      <c r="G55" s="7" t="n">
        <v>155.8513838965205</v>
      </c>
      <c r="H55" s="7" t="n">
        <v>153.2975940456305</v>
      </c>
      <c r="I55" s="7" t="n">
        <v>153.8024474465378</v>
      </c>
      <c r="J55" s="7" t="n">
        <v>154.0489169801621</v>
      </c>
      <c r="K55" s="7" t="n">
        <v>147.8358850567111</v>
      </c>
      <c r="L55" s="7" t="n">
        <v>153.8795547817436</v>
      </c>
      <c r="M55" s="7" t="n">
        <v>155.9202823923805</v>
      </c>
      <c r="N55" s="7" t="n">
        <v>154.4973811600423</v>
      </c>
      <c r="O55" s="8">
        <f>N55*$B$2/100</f>
        <v/>
      </c>
    </row>
    <row r="56">
      <c r="A56" s="6" t="n">
        <v>46238.4787762037</v>
      </c>
      <c r="B56" s="7" t="n">
        <v>153.9647756951673</v>
      </c>
      <c r="C56" s="7" t="n">
        <v>156.5868713723262</v>
      </c>
      <c r="D56" s="7" t="n">
        <v>155.950292828336</v>
      </c>
      <c r="E56" s="7" t="n">
        <v>156.1677486668212</v>
      </c>
      <c r="F56" s="7" t="n">
        <v>157.3167660972711</v>
      </c>
      <c r="G56" s="7" t="n">
        <v>157.7602312432501</v>
      </c>
      <c r="H56" s="7" t="n">
        <v>156.9127940642599</v>
      </c>
      <c r="I56" s="7" t="n">
        <v>156.0109092780322</v>
      </c>
      <c r="J56" s="7" t="n">
        <v>157.0523460808245</v>
      </c>
      <c r="K56" s="7" t="n">
        <v>156.1017914571726</v>
      </c>
      <c r="L56" s="7" t="n">
        <v>157.3140132843846</v>
      </c>
      <c r="M56" s="7" t="n">
        <v>156.0111418956681</v>
      </c>
      <c r="N56" s="7" t="n">
        <v>156.5980863299053</v>
      </c>
      <c r="O56" s="8">
        <f>N56*$B$2/100</f>
        <v/>
      </c>
    </row>
    <row r="57">
      <c r="A57" s="6" t="n">
        <v>46238.47878792824</v>
      </c>
      <c r="B57" s="7" t="n">
        <v>155.7987078629194</v>
      </c>
      <c r="C57" s="7" t="n">
        <v>157.0245049179821</v>
      </c>
      <c r="D57" s="7" t="n">
        <v>156.5108247308575</v>
      </c>
      <c r="E57" s="7" t="n">
        <v>154.2278330068262</v>
      </c>
      <c r="F57" s="7" t="n">
        <v>156.884475781942</v>
      </c>
      <c r="G57" s="7" t="n">
        <v>158.3554156906474</v>
      </c>
      <c r="H57" s="7" t="n">
        <v>158.1044970345501</v>
      </c>
      <c r="I57" s="7" t="n">
        <v>157.4837105885946</v>
      </c>
      <c r="J57" s="7" t="n">
        <v>154.5005472188005</v>
      </c>
      <c r="K57" s="7" t="n">
        <v>156.2433201281187</v>
      </c>
      <c r="L57" s="7" t="n">
        <v>151.0676652134502</v>
      </c>
      <c r="M57" s="7" t="n">
        <v>154.1386671364171</v>
      </c>
      <c r="N57" s="7" t="n">
        <v>156.4454232907787</v>
      </c>
      <c r="O57" s="8">
        <f>N57*$B$2/100</f>
        <v/>
      </c>
    </row>
    <row r="58">
      <c r="A58" s="6" t="n">
        <v>46238.47879951389</v>
      </c>
      <c r="B58" s="7" t="n">
        <v>153.1728110448172</v>
      </c>
      <c r="C58" s="7" t="n">
        <v>156.7363863708994</v>
      </c>
      <c r="D58" s="7" t="n">
        <v>154.5411083930987</v>
      </c>
      <c r="E58" s="7" t="n">
        <v>150.4016897081413</v>
      </c>
      <c r="F58" s="7" t="n">
        <v>157.165641952049</v>
      </c>
      <c r="G58" s="7" t="n">
        <v>156.7286633604543</v>
      </c>
      <c r="H58" s="7" t="n">
        <v>156.6867390628009</v>
      </c>
      <c r="I58" s="7" t="n">
        <v>155.6829552701102</v>
      </c>
      <c r="J58" s="7" t="n">
        <v>157.1552394835126</v>
      </c>
      <c r="K58" s="7" t="n">
        <v>156.1798748959568</v>
      </c>
      <c r="L58" s="7" t="n">
        <v>154.1021721559397</v>
      </c>
      <c r="M58" s="7" t="n">
        <v>154.127566710516</v>
      </c>
      <c r="N58" s="7" t="n">
        <v>155.9384385026738</v>
      </c>
      <c r="O58" s="8">
        <f>N58*$B$2/100</f>
        <v/>
      </c>
    </row>
    <row r="59">
      <c r="A59" s="6" t="n">
        <v>46238.47881108796</v>
      </c>
      <c r="B59" s="7" t="n">
        <v>149.3682311736259</v>
      </c>
      <c r="C59" s="7" t="n">
        <v>154.2871859783425</v>
      </c>
      <c r="D59" s="7" t="n">
        <v>154.0944249471341</v>
      </c>
      <c r="E59" s="7" t="n">
        <v>151.2328828181165</v>
      </c>
      <c r="F59" s="7" t="n">
        <v>154.4614489900095</v>
      </c>
      <c r="G59" s="7" t="n">
        <v>155.5689763087026</v>
      </c>
      <c r="H59" s="7" t="n">
        <v>155.1222299022443</v>
      </c>
      <c r="I59" s="7" t="n">
        <v>154.5101606805293</v>
      </c>
      <c r="J59" s="7" t="n">
        <v>153.1268173263141</v>
      </c>
      <c r="K59" s="7" t="n">
        <v>154.1196246465935</v>
      </c>
      <c r="L59" s="7" t="n">
        <v>153.4947730139628</v>
      </c>
      <c r="M59" s="7" t="n">
        <v>151.6758511435805</v>
      </c>
      <c r="N59" s="7" t="n">
        <v>153.8920308012258</v>
      </c>
      <c r="O59" s="8">
        <f>N59*$B$2/100</f>
        <v/>
      </c>
    </row>
    <row r="60">
      <c r="A60" s="6" t="n">
        <v>46238.47882268519</v>
      </c>
      <c r="B60" s="7" t="n">
        <v>147.5967371386374</v>
      </c>
      <c r="C60" s="7" t="n">
        <v>151.5543545310468</v>
      </c>
      <c r="D60" s="7" t="n">
        <v>151.667617274758</v>
      </c>
      <c r="E60" s="7" t="n">
        <v>150.8967329501798</v>
      </c>
      <c r="F60" s="7" t="n">
        <v>153.5515435224628</v>
      </c>
      <c r="G60" s="7" t="n">
        <v>153.7768095381262</v>
      </c>
      <c r="H60" s="7" t="n">
        <v>154.8032703461031</v>
      </c>
      <c r="I60" s="7" t="n">
        <v>152.9479637050655</v>
      </c>
      <c r="J60" s="7" t="n">
        <v>153.925532011682</v>
      </c>
      <c r="K60" s="7" t="n">
        <v>152.8428674471509</v>
      </c>
      <c r="L60" s="7" t="n">
        <v>151.5697211656082</v>
      </c>
      <c r="M60" s="7" t="n">
        <v>150.1997504604599</v>
      </c>
      <c r="N60" s="7" t="n">
        <v>152.7850978639041</v>
      </c>
      <c r="O60" s="8">
        <f>N60*$B$2/100</f>
        <v/>
      </c>
    </row>
    <row r="61">
      <c r="A61" s="6" t="n">
        <v>46238.47883435185</v>
      </c>
      <c r="B61" s="7" t="n">
        <v>151.9991635184709</v>
      </c>
      <c r="C61" s="7" t="n">
        <v>153.4661689757629</v>
      </c>
      <c r="D61" s="7" t="n">
        <v>155.4936123898227</v>
      </c>
      <c r="E61" s="7" t="n">
        <v>150.9779381417512</v>
      </c>
      <c r="F61" s="7" t="n">
        <v>157.0555993181245</v>
      </c>
      <c r="G61" s="7" t="n">
        <v>155.6461544610383</v>
      </c>
      <c r="H61" s="7" t="n">
        <v>154.7104257661056</v>
      </c>
      <c r="I61" s="7" t="n">
        <v>155.5936233597067</v>
      </c>
      <c r="J61" s="7" t="n">
        <v>155.9029216831711</v>
      </c>
      <c r="K61" s="7" t="n">
        <v>155.9226703094375</v>
      </c>
      <c r="L61" s="7" t="n">
        <v>154.6261706680219</v>
      </c>
      <c r="M61" s="7" t="n">
        <v>151.2737846577957</v>
      </c>
      <c r="N61" s="7" t="n">
        <v>154.8607781335888</v>
      </c>
      <c r="O61" s="8">
        <f>N61*$B$2/100</f>
        <v/>
      </c>
    </row>
    <row r="62">
      <c r="A62" s="6" t="n">
        <v>46238.47884601852</v>
      </c>
      <c r="B62" s="7" t="n">
        <v>153.8372071470937</v>
      </c>
      <c r="C62" s="7" t="n">
        <v>155.2138205753389</v>
      </c>
      <c r="D62" s="7" t="n">
        <v>155.9558702722919</v>
      </c>
      <c r="E62" s="7" t="n">
        <v>154.3125416794333</v>
      </c>
      <c r="F62" s="7" t="n">
        <v>156.5928441661787</v>
      </c>
      <c r="G62" s="7" t="n">
        <v>155.0697067753845</v>
      </c>
      <c r="H62" s="7" t="n">
        <v>154.5514349723556</v>
      </c>
      <c r="I62" s="7" t="n">
        <v>153.7194934120266</v>
      </c>
      <c r="J62" s="7" t="n">
        <v>148.541558529267</v>
      </c>
      <c r="K62" s="7" t="n">
        <v>155.2479954031394</v>
      </c>
      <c r="L62" s="7" t="n">
        <v>154.141163022114</v>
      </c>
      <c r="M62" s="7" t="n">
        <v>154.4994977220634</v>
      </c>
      <c r="N62" s="7" t="n">
        <v>154.6837386823461</v>
      </c>
      <c r="O62" s="8">
        <f>N62*$B$2/100</f>
        <v/>
      </c>
    </row>
    <row r="63">
      <c r="A63" s="6" t="n">
        <v>46238.47885766203</v>
      </c>
      <c r="B63" s="7" t="n">
        <v>151.3111288226631</v>
      </c>
      <c r="C63" s="7" t="n">
        <v>151.5759009800476</v>
      </c>
      <c r="D63" s="7" t="n">
        <v>152.6238321805883</v>
      </c>
      <c r="E63" s="7" t="n">
        <v>152.7539989299791</v>
      </c>
      <c r="F63" s="7" t="n">
        <v>152.3716925284779</v>
      </c>
      <c r="G63" s="7" t="n">
        <v>152.2729497825883</v>
      </c>
      <c r="H63" s="7" t="n">
        <v>153.0993792435556</v>
      </c>
      <c r="I63" s="7" t="n">
        <v>153.5921075120935</v>
      </c>
      <c r="J63" s="7" t="n">
        <v>150.2392598717202</v>
      </c>
      <c r="K63" s="7" t="n">
        <v>153.104993540915</v>
      </c>
      <c r="L63" s="7" t="n">
        <v>151.8129325320109</v>
      </c>
      <c r="M63" s="7" t="n">
        <v>152.9478381289429</v>
      </c>
      <c r="N63" s="7" t="n">
        <v>152.3736279860282</v>
      </c>
      <c r="O63" s="8">
        <f>N63*$B$2/100</f>
        <v/>
      </c>
    </row>
    <row r="64">
      <c r="A64" s="6" t="n">
        <v>46238.47886928241</v>
      </c>
      <c r="B64" s="7" t="n">
        <v>151.5779076616375</v>
      </c>
      <c r="C64" s="7" t="n">
        <v>154.1760852767631</v>
      </c>
      <c r="D64" s="7" t="n">
        <v>154.2881524276184</v>
      </c>
      <c r="E64" s="7" t="n">
        <v>152.9926041074047</v>
      </c>
      <c r="F64" s="7" t="n">
        <v>153.5800570495317</v>
      </c>
      <c r="G64" s="7" t="n">
        <v>152.4057508269799</v>
      </c>
      <c r="H64" s="7" t="n">
        <v>153.6606813051508</v>
      </c>
      <c r="I64" s="7" t="n">
        <v>154.1884825533461</v>
      </c>
      <c r="J64" s="7" t="n">
        <v>153.8652671411278</v>
      </c>
      <c r="K64" s="7" t="n">
        <v>152.8719530068356</v>
      </c>
      <c r="L64" s="7" t="n">
        <v>150.9346703928983</v>
      </c>
      <c r="M64" s="7" t="n">
        <v>154.5709590483769</v>
      </c>
      <c r="N64" s="7" t="n">
        <v>153.5069327383534</v>
      </c>
      <c r="O64" s="8">
        <f>N64*$B$2/100</f>
        <v/>
      </c>
    </row>
    <row r="65">
      <c r="A65" s="6" t="n">
        <v>46238.47888106482</v>
      </c>
      <c r="B65" s="7" t="n">
        <v>151.7233137368384</v>
      </c>
      <c r="C65" s="7" t="n">
        <v>149.6434160305344</v>
      </c>
      <c r="D65" s="7" t="n">
        <v>153.1810031384758</v>
      </c>
      <c r="E65" s="7" t="n">
        <v>149.4437464163738</v>
      </c>
      <c r="F65" s="7" t="n">
        <v>154.4087124422272</v>
      </c>
      <c r="G65" s="7" t="n">
        <v>152.9745517866067</v>
      </c>
      <c r="H65" s="7" t="n">
        <v>155.1584042998569</v>
      </c>
      <c r="I65" s="7" t="n">
        <v>154.8155019497259</v>
      </c>
      <c r="J65" s="7" t="n">
        <v>154.090874229293</v>
      </c>
      <c r="K65" s="7" t="n">
        <v>155.5899475298378</v>
      </c>
      <c r="L65" s="7" t="n">
        <v>154.5771891752157</v>
      </c>
      <c r="M65" s="7" t="n">
        <v>153.7822799275442</v>
      </c>
      <c r="N65" s="7" t="n">
        <v>153.9336100734639</v>
      </c>
      <c r="O65" s="8">
        <f>N65*$B$2/100</f>
        <v/>
      </c>
    </row>
    <row r="66">
      <c r="A66" s="6" t="n">
        <v>46238.47889278935</v>
      </c>
      <c r="B66" s="7" t="n">
        <v>155.4552517037474</v>
      </c>
      <c r="C66" s="7" t="n">
        <v>154.0739773566753</v>
      </c>
      <c r="D66" s="7" t="n">
        <v>154.9802285983758</v>
      </c>
      <c r="E66" s="7" t="n">
        <v>150.1527777777778</v>
      </c>
      <c r="F66" s="7" t="n">
        <v>155.3992418170536</v>
      </c>
      <c r="G66" s="7" t="n">
        <v>156.5098570095268</v>
      </c>
      <c r="H66" s="7" t="n">
        <v>156.6856292494456</v>
      </c>
      <c r="I66" s="7" t="n">
        <v>155.6605967558908</v>
      </c>
      <c r="J66" s="7" t="n">
        <v>155.2628204912488</v>
      </c>
      <c r="K66" s="7" t="n">
        <v>155.8789560828307</v>
      </c>
      <c r="L66" s="7" t="n">
        <v>153.5332474805454</v>
      </c>
      <c r="M66" s="7" t="n">
        <v>154.4160199875653</v>
      </c>
      <c r="N66" s="7" t="n">
        <v>155.3944110279304</v>
      </c>
      <c r="O66" s="8">
        <f>N66*$B$2/100</f>
        <v/>
      </c>
    </row>
    <row r="67">
      <c r="A67" s="6" t="n">
        <v>46238.47890451389</v>
      </c>
      <c r="B67" s="7" t="n">
        <v>152.7098839891481</v>
      </c>
      <c r="C67" s="7" t="n">
        <v>151.0904381124001</v>
      </c>
      <c r="D67" s="7" t="n">
        <v>155.3960917134828</v>
      </c>
      <c r="E67" s="7" t="n">
        <v>153.2739894875536</v>
      </c>
      <c r="F67" s="7" t="n">
        <v>154.9035769555431</v>
      </c>
      <c r="G67" s="7" t="n">
        <v>154.7669699444729</v>
      </c>
      <c r="H67" s="7" t="n">
        <v>155.3684062052258</v>
      </c>
      <c r="I67" s="7" t="n">
        <v>155.7165164616714</v>
      </c>
      <c r="J67" s="7" t="n">
        <v>154.1482234737867</v>
      </c>
      <c r="K67" s="7" t="n">
        <v>153.9619744308471</v>
      </c>
      <c r="L67" s="7" t="n">
        <v>152.8732645631586</v>
      </c>
      <c r="M67" s="7" t="n">
        <v>152.4166687783493</v>
      </c>
      <c r="N67" s="7" t="n">
        <v>154.3390841330564</v>
      </c>
      <c r="O67" s="8">
        <f>N67*$B$2/100</f>
        <v/>
      </c>
    </row>
    <row r="68">
      <c r="A68" s="6" t="n">
        <v>46238.47891627315</v>
      </c>
      <c r="B68" s="7" t="n">
        <v>155.13350176857</v>
      </c>
      <c r="C68" s="7" t="n">
        <v>153.7187734723634</v>
      </c>
      <c r="D68" s="7" t="n">
        <v>153.3324274579077</v>
      </c>
      <c r="E68" s="7" t="n">
        <v>156.3420771114588</v>
      </c>
      <c r="F68" s="7" t="n">
        <v>155.6957427917192</v>
      </c>
      <c r="G68" s="7" t="n">
        <v>153.5712425980968</v>
      </c>
      <c r="H68" s="7" t="n">
        <v>153.4191829762007</v>
      </c>
      <c r="I68" s="7" t="n">
        <v>153.9164811545252</v>
      </c>
      <c r="J68" s="7" t="n">
        <v>152.9507359567438</v>
      </c>
      <c r="K68" s="7" t="n">
        <v>157.0184827461312</v>
      </c>
      <c r="L68" s="7" t="n">
        <v>154.5050768912896</v>
      </c>
      <c r="M68" s="7" t="n">
        <v>156.9564189539034</v>
      </c>
      <c r="N68" s="7" t="n">
        <v>155.5741332689522</v>
      </c>
      <c r="O68" s="8">
        <f>N68*$B$2/100</f>
        <v/>
      </c>
    </row>
    <row r="69">
      <c r="A69" s="6" t="n">
        <v>46238.4789278588</v>
      </c>
      <c r="B69" s="7" t="n">
        <v>154.9966588027806</v>
      </c>
      <c r="C69" s="7" t="n">
        <v>155.1496443983945</v>
      </c>
      <c r="D69" s="7" t="n">
        <v>151.6109372411929</v>
      </c>
      <c r="E69" s="7" t="n">
        <v>156.4981739809375</v>
      </c>
      <c r="F69" s="7" t="n">
        <v>155.3377118288487</v>
      </c>
      <c r="G69" s="7" t="n">
        <v>153.6380850915409</v>
      </c>
      <c r="H69" s="7" t="n">
        <v>152.6356833999542</v>
      </c>
      <c r="I69" s="7" t="n">
        <v>149.7667999484071</v>
      </c>
      <c r="J69" s="7" t="n">
        <v>153.4886904559036</v>
      </c>
      <c r="K69" s="7" t="n">
        <v>157.2158608045129</v>
      </c>
      <c r="L69" s="7" t="n">
        <v>155.3127575363262</v>
      </c>
      <c r="M69" s="7" t="n">
        <v>157.6081596680715</v>
      </c>
      <c r="N69" s="7" t="n">
        <v>155.4003534681031</v>
      </c>
      <c r="O69" s="8">
        <f>N69*$B$2/100</f>
        <v/>
      </c>
    </row>
    <row r="70">
      <c r="A70" s="6" t="n">
        <v>46238.47893957176</v>
      </c>
      <c r="B70" s="7" t="n">
        <v>157.5420032245706</v>
      </c>
      <c r="C70" s="7" t="n">
        <v>157.1426829311905</v>
      </c>
      <c r="D70" s="7" t="n">
        <v>158.1795851449883</v>
      </c>
      <c r="E70" s="7" t="n">
        <v>156.7510254766049</v>
      </c>
      <c r="F70" s="7" t="n">
        <v>156.4676586722993</v>
      </c>
      <c r="G70" s="7" t="n">
        <v>158.4605564535691</v>
      </c>
      <c r="H70" s="7" t="n">
        <v>153.6007065045785</v>
      </c>
      <c r="I70" s="7" t="n">
        <v>151.7245472289047</v>
      </c>
      <c r="J70" s="7" t="n">
        <v>156.9707984551115</v>
      </c>
      <c r="K70" s="7" t="n">
        <v>157.5565494011976</v>
      </c>
      <c r="L70" s="7" t="n">
        <v>154.0246003996004</v>
      </c>
      <c r="M70" s="7" t="n">
        <v>151.5172896489104</v>
      </c>
      <c r="N70" s="7" t="n">
        <v>156.9601496485825</v>
      </c>
      <c r="O70" s="8">
        <f>N70*$B$2/100</f>
        <v/>
      </c>
    </row>
    <row r="71">
      <c r="A71" s="6" t="n">
        <v>46238.47895119213</v>
      </c>
      <c r="B71" s="7" t="n">
        <v>157.5694830294468</v>
      </c>
      <c r="C71" s="7" t="n">
        <v>157.9831530413194</v>
      </c>
      <c r="D71" s="7" t="n">
        <v>158.8887773035401</v>
      </c>
      <c r="E71" s="7" t="n">
        <v>158.1580989903965</v>
      </c>
      <c r="F71" s="7" t="n">
        <v>157.2318517795505</v>
      </c>
      <c r="G71" s="7" t="n">
        <v>158.7662017047829</v>
      </c>
      <c r="H71" s="7" t="n">
        <v>157.578515672643</v>
      </c>
      <c r="I71" s="7" t="n">
        <v>157.4148401620891</v>
      </c>
      <c r="J71" s="7" t="n">
        <v>153.9368210502212</v>
      </c>
      <c r="K71" s="7" t="n">
        <v>153.6190665737884</v>
      </c>
      <c r="L71" s="7" t="n">
        <v>151.8310546615241</v>
      </c>
      <c r="M71" s="7" t="n">
        <v>153.2446275925485</v>
      </c>
      <c r="N71" s="7" t="n">
        <v>157.4787984814995</v>
      </c>
      <c r="O71" s="8">
        <f>N71*$B$2/100</f>
        <v/>
      </c>
    </row>
    <row r="72">
      <c r="A72" s="6" t="n">
        <v>46238.47896290509</v>
      </c>
      <c r="B72" s="7" t="n">
        <v>155.2288576433779</v>
      </c>
      <c r="C72" s="7" t="n">
        <v>154.9181896786573</v>
      </c>
      <c r="D72" s="7" t="n">
        <v>156.1677556649035</v>
      </c>
      <c r="E72" s="7" t="n">
        <v>153.2676718525118</v>
      </c>
      <c r="F72" s="7" t="n">
        <v>156.380882554006</v>
      </c>
      <c r="G72" s="7" t="n">
        <v>156.7666529487204</v>
      </c>
      <c r="H72" s="7" t="n">
        <v>157.6746817097742</v>
      </c>
      <c r="I72" s="7" t="n">
        <v>156.4446876457713</v>
      </c>
      <c r="J72" s="7" t="n">
        <v>156.3346806240737</v>
      </c>
      <c r="K72" s="7" t="n">
        <v>155.8727397698427</v>
      </c>
      <c r="L72" s="7" t="n">
        <v>156.4834394926738</v>
      </c>
      <c r="M72" s="7" t="n">
        <v>153.9644643781266</v>
      </c>
      <c r="N72" s="7" t="n">
        <v>156.287893859431</v>
      </c>
      <c r="O72" s="8">
        <f>N72*$B$2/100</f>
        <v/>
      </c>
    </row>
    <row r="73">
      <c r="A73" s="6" t="n">
        <v>46238.47897459491</v>
      </c>
      <c r="B73" s="7" t="n">
        <v>146.6108144807758</v>
      </c>
      <c r="C73" s="7" t="n">
        <v>149.7840306205388</v>
      </c>
      <c r="D73" s="7" t="n">
        <v>157.2098660459152</v>
      </c>
      <c r="E73" s="7" t="n">
        <v>156.3857080877293</v>
      </c>
      <c r="F73" s="7" t="n">
        <v>157.1211154268638</v>
      </c>
      <c r="G73" s="7" t="n">
        <v>157.1701163977946</v>
      </c>
      <c r="H73" s="7" t="n">
        <v>157.4231180825938</v>
      </c>
      <c r="I73" s="7" t="n">
        <v>157.5559611880137</v>
      </c>
      <c r="J73" s="7" t="n">
        <v>152.7445603443955</v>
      </c>
      <c r="K73" s="7" t="n">
        <v>151.7537752057148</v>
      </c>
      <c r="L73" s="7" t="n">
        <v>150.7218962364564</v>
      </c>
      <c r="M73" s="7" t="n">
        <v>151.1149507701369</v>
      </c>
      <c r="N73" s="7" t="n">
        <v>155.3831023783845</v>
      </c>
      <c r="O73" s="8">
        <f>N73*$B$2/100</f>
        <v/>
      </c>
    </row>
    <row r="74">
      <c r="A74" s="6" t="n">
        <v>46238.47898619213</v>
      </c>
      <c r="B74" s="7" t="n">
        <v>131.9387328074522</v>
      </c>
      <c r="C74" s="7" t="n">
        <v>142.1494625217896</v>
      </c>
      <c r="D74" s="7" t="n">
        <v>148.6819551232494</v>
      </c>
      <c r="E74" s="7" t="n">
        <v>143.3488329796908</v>
      </c>
      <c r="F74" s="7" t="n">
        <v>146.9100920177621</v>
      </c>
      <c r="G74" s="7" t="n">
        <v>147.6114159071603</v>
      </c>
      <c r="H74" s="7" t="n">
        <v>151.9538675070772</v>
      </c>
      <c r="I74" s="7" t="n">
        <v>143.3798114689709</v>
      </c>
      <c r="J74" s="7" t="n">
        <v>144.2562617306323</v>
      </c>
      <c r="K74" s="7" t="n">
        <v>135.74966971265</v>
      </c>
      <c r="L74" s="7" t="n">
        <v>139.1446956808079</v>
      </c>
      <c r="M74" s="7" t="n">
        <v>132.3949257527279</v>
      </c>
      <c r="N74" s="7" t="n">
        <v>144.5792432184395</v>
      </c>
      <c r="O74" s="8">
        <f>N74*$B$2/100</f>
        <v/>
      </c>
    </row>
    <row r="75">
      <c r="A75" s="6" t="n">
        <v>46238.47899784723</v>
      </c>
      <c r="B75" s="7" t="n">
        <v>150.7597768389124</v>
      </c>
      <c r="C75" s="7" t="n">
        <v>151.4956657895555</v>
      </c>
      <c r="D75" s="7" t="n">
        <v>150.9413050423239</v>
      </c>
      <c r="E75" s="7" t="n">
        <v>151.5205599369502</v>
      </c>
      <c r="F75" s="7" t="n">
        <v>151.1920487373864</v>
      </c>
      <c r="G75" s="7" t="n">
        <v>150.9836999025836</v>
      </c>
      <c r="H75" s="7" t="n">
        <v>151.3390802128007</v>
      </c>
      <c r="I75" s="7" t="n">
        <v>151.191928308942</v>
      </c>
      <c r="J75" s="7" t="n">
        <v>151.7647676438337</v>
      </c>
      <c r="K75" s="7" t="n">
        <v>151.6360968804189</v>
      </c>
      <c r="L75" s="7" t="n">
        <v>151.5301654322555</v>
      </c>
      <c r="M75" s="7" t="n">
        <v>151.7590728277337</v>
      </c>
      <c r="N75" s="7" t="n">
        <v>151.3488700845697</v>
      </c>
      <c r="O75" s="8">
        <f>N75*$B$2/100</f>
        <v/>
      </c>
    </row>
    <row r="76">
      <c r="A76" s="6" t="n">
        <v>46238.47900954861</v>
      </c>
      <c r="B76" s="7" t="n">
        <v>154.4923614544971</v>
      </c>
      <c r="C76" s="7" t="n">
        <v>152.6300340367597</v>
      </c>
      <c r="D76" s="7" t="n">
        <v>148.9559667013966</v>
      </c>
      <c r="E76" s="7" t="n">
        <v>158.9484741237846</v>
      </c>
      <c r="F76" s="7" t="n">
        <v>150.9350601431629</v>
      </c>
      <c r="G76" s="7" t="n">
        <v>147.2772549715909</v>
      </c>
      <c r="H76" s="7" t="n">
        <v>146.85252664995</v>
      </c>
      <c r="I76" s="7" t="n">
        <v>126.3660158866877</v>
      </c>
      <c r="J76" s="7" t="n">
        <v>147.3987553459809</v>
      </c>
      <c r="K76" s="7" t="n">
        <v>138.0197408716137</v>
      </c>
      <c r="L76" s="7" t="n">
        <v>138.9001877163137</v>
      </c>
      <c r="M76" s="7" t="n">
        <v>145.6954504161654</v>
      </c>
      <c r="N76" s="7" t="n">
        <v>150.3553253946275</v>
      </c>
      <c r="O76" s="8">
        <f>N76*$B$2/100</f>
        <v/>
      </c>
    </row>
    <row r="77">
      <c r="A77" s="6" t="n">
        <v>46238.47902125</v>
      </c>
      <c r="B77" s="7" t="n">
        <v>146.0527387563977</v>
      </c>
      <c r="C77" s="7" t="n">
        <v>161.9213529907505</v>
      </c>
      <c r="D77" s="7" t="n">
        <v>157.4757181995681</v>
      </c>
      <c r="E77" s="7" t="n">
        <v>148.774129667365</v>
      </c>
      <c r="F77" s="7" t="n">
        <v>153.9973160849804</v>
      </c>
      <c r="G77" s="7" t="n">
        <v>147.3535394432118</v>
      </c>
      <c r="H77" s="7" t="n">
        <v>152.9084362139918</v>
      </c>
      <c r="I77" s="7" t="n">
        <v>125.9331799820467</v>
      </c>
      <c r="J77" s="7" t="n">
        <v>143.697856501091</v>
      </c>
      <c r="K77" s="7" t="n">
        <v>132.4963035376062</v>
      </c>
      <c r="L77" s="7" t="n">
        <v>136.7252231378317</v>
      </c>
      <c r="M77" s="7" t="n">
        <v>150.9938230498978</v>
      </c>
      <c r="N77" s="7" t="n">
        <v>152.280033851324</v>
      </c>
      <c r="O77" s="8">
        <f>N77*$B$2/100</f>
        <v/>
      </c>
    </row>
    <row r="78">
      <c r="A78" s="6" t="n">
        <v>46238.47903298611</v>
      </c>
      <c r="B78" s="7" t="n">
        <v>139.4897471183595</v>
      </c>
      <c r="C78" s="7" t="n">
        <v>156.859022556391</v>
      </c>
      <c r="D78" s="7" t="n">
        <v>124.363322856644</v>
      </c>
      <c r="E78" s="7" t="n">
        <v>132.2834680916543</v>
      </c>
      <c r="F78" s="7" t="n">
        <v>130.3356197942185</v>
      </c>
      <c r="G78" s="7" t="n">
        <v>139.2645830075289</v>
      </c>
      <c r="H78" s="7" t="n">
        <v>149.3455298508289</v>
      </c>
      <c r="I78" s="7" t="n">
        <v>97.4268035976271</v>
      </c>
      <c r="J78" s="7" t="n">
        <v>157.2731686817749</v>
      </c>
      <c r="K78" s="7" t="n">
        <v>139.1555709983785</v>
      </c>
      <c r="L78" s="7" t="n">
        <v>149.1488303486717</v>
      </c>
      <c r="M78" s="7" t="n">
        <v>141.9199354518371</v>
      </c>
      <c r="N78" s="7" t="n">
        <v>145.624604281805</v>
      </c>
      <c r="O78" s="8">
        <f>N78*$B$2/100</f>
        <v/>
      </c>
    </row>
    <row r="79">
      <c r="A79" s="6" t="n">
        <v>46238.4790445949</v>
      </c>
      <c r="B79" s="7" t="n">
        <v>150.6745079262108</v>
      </c>
      <c r="C79" s="7" t="n">
        <v>138.1247841497773</v>
      </c>
      <c r="D79" s="7" t="n">
        <v>110.9027898188285</v>
      </c>
      <c r="E79" s="7" t="n">
        <v>156.9791496479558</v>
      </c>
      <c r="F79" s="7" t="n">
        <v>104.2746861051347</v>
      </c>
      <c r="G79" s="7" t="n">
        <v>126.1287983860799</v>
      </c>
      <c r="H79" s="7" t="n">
        <v>140.2833739246229</v>
      </c>
      <c r="I79" s="7" t="n">
        <v>86.85783718104496</v>
      </c>
      <c r="J79" s="7" t="n">
        <v>105.3654082049884</v>
      </c>
      <c r="K79" s="7" t="n">
        <v>86.43147949741892</v>
      </c>
      <c r="L79" s="7" t="n">
        <v>125.9567371327005</v>
      </c>
      <c r="M79" s="7" t="n">
        <v>133.7887583304104</v>
      </c>
      <c r="N79" s="7" t="n">
        <v>138.0429994485041</v>
      </c>
      <c r="O79" s="8">
        <f>N79*$B$2/100</f>
        <v/>
      </c>
    </row>
    <row r="80">
      <c r="A80" s="6" t="n">
        <v>46238.47905625</v>
      </c>
      <c r="B80" s="7" t="n">
        <v>153.9043011626962</v>
      </c>
      <c r="C80" s="7" t="n">
        <v>140.6333023903458</v>
      </c>
      <c r="D80" s="7" t="n">
        <v>119.3401477304073</v>
      </c>
      <c r="E80" s="7" t="n">
        <v>102.1650008871015</v>
      </c>
      <c r="F80" s="7" t="n">
        <v>157.4408851125519</v>
      </c>
      <c r="G80" s="7" t="n">
        <v>106.584701946472</v>
      </c>
      <c r="H80" s="7" t="n">
        <v>146.5652234394018</v>
      </c>
      <c r="I80" s="7" t="n">
        <v>103.0954342301288</v>
      </c>
      <c r="J80" s="7" t="n">
        <v>138.9495779543198</v>
      </c>
      <c r="K80" s="7" t="n">
        <v>90.42679401784592</v>
      </c>
      <c r="L80" s="7" t="n">
        <v>139.2229645093946</v>
      </c>
      <c r="M80" s="7" t="n">
        <v>114.2228213602366</v>
      </c>
      <c r="N80" s="7" t="n">
        <v>142.5318872821654</v>
      </c>
      <c r="O80" s="8">
        <f>N80*$B$2/100</f>
        <v/>
      </c>
    </row>
    <row r="81">
      <c r="A81" s="6" t="n">
        <v>46238.47906790509</v>
      </c>
      <c r="B81" s="7" t="n">
        <v>115.0529952567781</v>
      </c>
      <c r="C81" s="7" t="n">
        <v>161.2060023352025</v>
      </c>
      <c r="D81" s="7" t="n">
        <v>108.1116083660608</v>
      </c>
      <c r="E81" s="7" t="n">
        <v>102.3036508234705</v>
      </c>
      <c r="F81" s="7" t="n">
        <v>131.8487849470557</v>
      </c>
      <c r="G81" s="7" t="n">
        <v>133.5883957203225</v>
      </c>
      <c r="H81" s="7" t="n">
        <v>152.0387263723026</v>
      </c>
      <c r="I81" s="7" t="n">
        <v>88.20145002589332</v>
      </c>
      <c r="J81" s="7" t="n">
        <v>160.6095043685101</v>
      </c>
      <c r="K81" s="7" t="n">
        <v>103.0674553520646</v>
      </c>
      <c r="L81" s="7" t="n">
        <v>129.3162619086954</v>
      </c>
      <c r="M81" s="7" t="n">
        <v>125.1749614007424</v>
      </c>
      <c r="N81" s="7" t="n">
        <v>145.2736743927608</v>
      </c>
      <c r="O81" s="8">
        <f>N81*$B$2/100</f>
        <v/>
      </c>
    </row>
    <row r="82">
      <c r="A82" s="6" t="n">
        <v>46238.47907953704</v>
      </c>
      <c r="B82" s="7" t="n">
        <v>130.0413683373111</v>
      </c>
      <c r="C82" s="7" t="n">
        <v>155.390923692962</v>
      </c>
      <c r="D82" s="7" t="n">
        <v>154.0910167444284</v>
      </c>
      <c r="E82" s="7" t="n">
        <v>125.48598820059</v>
      </c>
      <c r="F82" s="7" t="n">
        <v>125.3847377436985</v>
      </c>
      <c r="G82" s="7" t="n">
        <v>136.7471397351845</v>
      </c>
      <c r="H82" s="7" t="n">
        <v>149.8810897028398</v>
      </c>
      <c r="I82" s="7" t="n">
        <v>106.9669296275012</v>
      </c>
      <c r="J82" s="7" t="n">
        <v>140.7295977760403</v>
      </c>
      <c r="K82" s="7" t="n">
        <v>159.1480785296575</v>
      </c>
      <c r="L82" s="7" t="n">
        <v>135.7543677820551</v>
      </c>
      <c r="M82" s="7" t="n">
        <v>116.4095918573692</v>
      </c>
      <c r="N82" s="7" t="n">
        <v>143.9888139116662</v>
      </c>
      <c r="O82" s="8">
        <f>N82*$B$2/100</f>
        <v/>
      </c>
    </row>
    <row r="83">
      <c r="A83" s="6" t="n">
        <v>46238.47909111111</v>
      </c>
      <c r="B83" s="7" t="n">
        <v>151.7042127113651</v>
      </c>
      <c r="C83" s="7" t="n">
        <v>144.0607809922882</v>
      </c>
      <c r="D83" s="7" t="n">
        <v>126.9508094402184</v>
      </c>
      <c r="E83" s="7" t="n">
        <v>159.9452306610978</v>
      </c>
      <c r="F83" s="7" t="n">
        <v>130.4570869908891</v>
      </c>
      <c r="G83" s="7" t="n">
        <v>119.866965510484</v>
      </c>
      <c r="H83" s="7" t="n">
        <v>148.6493306647088</v>
      </c>
      <c r="I83" s="7" t="n">
        <v>125.2377468507619</v>
      </c>
      <c r="J83" s="7" t="n">
        <v>129.4708704866248</v>
      </c>
      <c r="K83" s="7" t="n">
        <v>115.905288971368</v>
      </c>
      <c r="L83" s="7" t="n">
        <v>122.3186555947071</v>
      </c>
      <c r="M83" s="7" t="n">
        <v>106.791008197414</v>
      </c>
      <c r="N83" s="7" t="n">
        <v>141.9539797075876</v>
      </c>
      <c r="O83" s="8">
        <f>N83*$B$2/100</f>
        <v/>
      </c>
    </row>
    <row r="84">
      <c r="A84" s="6" t="n">
        <v>46238.47910275463</v>
      </c>
      <c r="B84" s="7" t="n">
        <v>127.3706579061122</v>
      </c>
      <c r="C84" s="7" t="n">
        <v>158.9121904070036</v>
      </c>
      <c r="D84" s="7" t="n">
        <v>117.866269165247</v>
      </c>
      <c r="E84" s="7" t="n">
        <v>146.5823210500571</v>
      </c>
      <c r="F84" s="7" t="n">
        <v>134.5620343207248</v>
      </c>
      <c r="G84" s="7" t="n">
        <v>138.1687554894939</v>
      </c>
      <c r="H84" s="7" t="n">
        <v>152.7650319257905</v>
      </c>
      <c r="I84" s="7" t="n">
        <v>120.2400679838538</v>
      </c>
      <c r="J84" s="7" t="n">
        <v>158.1895529385808</v>
      </c>
      <c r="K84" s="7" t="n">
        <v>133.0035705591171</v>
      </c>
      <c r="L84" s="7" t="n">
        <v>129.5660259998756</v>
      </c>
      <c r="M84" s="7" t="n">
        <v>122.8170436938333</v>
      </c>
      <c r="N84" s="7" t="n">
        <v>146.107422201297</v>
      </c>
      <c r="O84" s="8">
        <f>N84*$B$2/100</f>
        <v/>
      </c>
    </row>
    <row r="85">
      <c r="A85" s="6" t="n">
        <v>46238.47911436343</v>
      </c>
      <c r="B85" s="7" t="n">
        <v>144.2774831934217</v>
      </c>
      <c r="C85" s="7" t="n">
        <v>158.977608137779</v>
      </c>
      <c r="D85" s="7" t="n">
        <v>159.053170877746</v>
      </c>
      <c r="E85" s="7" t="n">
        <v>153.0328872289656</v>
      </c>
      <c r="F85" s="7" t="n">
        <v>158.5681909713323</v>
      </c>
      <c r="G85" s="7" t="n">
        <v>132.0069523234762</v>
      </c>
      <c r="H85" s="7" t="n">
        <v>151.4397709003215</v>
      </c>
      <c r="I85" s="7" t="n">
        <v>127.2228250339082</v>
      </c>
      <c r="J85" s="7" t="n">
        <v>146.5413710086163</v>
      </c>
      <c r="K85" s="7" t="n">
        <v>145.8733798928049</v>
      </c>
      <c r="L85" s="7" t="n">
        <v>147.6058933730589</v>
      </c>
      <c r="M85" s="7" t="n">
        <v>138.4046607326565</v>
      </c>
      <c r="N85" s="7" t="n">
        <v>151.8752716585992</v>
      </c>
      <c r="O85" s="8">
        <f>N85*$B$2/100</f>
        <v/>
      </c>
    </row>
    <row r="86">
      <c r="A86" s="6" t="n">
        <v>46238.47912615741</v>
      </c>
      <c r="B86" s="7" t="n">
        <v>140.4582936129647</v>
      </c>
      <c r="C86" s="7" t="n">
        <v>158.9926429904724</v>
      </c>
      <c r="D86" s="7" t="n">
        <v>159.0592434072409</v>
      </c>
      <c r="E86" s="7" t="n">
        <v>121.2906885758998</v>
      </c>
      <c r="F86" s="7" t="n">
        <v>126.0742675092704</v>
      </c>
      <c r="G86" s="7" t="n">
        <v>91.30372442734743</v>
      </c>
      <c r="H86" s="7" t="n">
        <v>154.7315600627377</v>
      </c>
      <c r="I86" s="7" t="n">
        <v>100.0092458826929</v>
      </c>
      <c r="J86" s="7" t="n">
        <v>121.3336603098583</v>
      </c>
      <c r="K86" s="7" t="n">
        <v>126.6335193443695</v>
      </c>
      <c r="L86" s="7" t="n">
        <v>101.285779329185</v>
      </c>
      <c r="M86" s="7" t="n">
        <v>80.47921390778534</v>
      </c>
      <c r="N86" s="7" t="n">
        <v>145.4393049041278</v>
      </c>
      <c r="O86" s="8">
        <f>N86*$B$2/100</f>
        <v/>
      </c>
    </row>
    <row r="87">
      <c r="A87" s="6" t="n">
        <v>46238.47913777778</v>
      </c>
      <c r="B87" s="7" t="n">
        <v>129.8798190580106</v>
      </c>
      <c r="C87" s="7" t="n">
        <v>160.8553196678002</v>
      </c>
      <c r="D87" s="7" t="n">
        <v>141.1431639995704</v>
      </c>
      <c r="E87" s="7" t="n">
        <v>141.3963758462746</v>
      </c>
      <c r="F87" s="7" t="n">
        <v>115.1736204576043</v>
      </c>
      <c r="G87" s="7" t="n">
        <v>107.4558255734726</v>
      </c>
      <c r="H87" s="7" t="n">
        <v>152.1388878316142</v>
      </c>
      <c r="I87" s="7" t="n">
        <v>124.4865546218487</v>
      </c>
      <c r="J87" s="7" t="n">
        <v>159.1226947373079</v>
      </c>
      <c r="K87" s="7" t="n">
        <v>138.4124236492701</v>
      </c>
      <c r="L87" s="7" t="n">
        <v>147.5703164323345</v>
      </c>
      <c r="M87" s="7" t="n">
        <v>149.9982762979477</v>
      </c>
      <c r="N87" s="7" t="n">
        <v>149.222763141148</v>
      </c>
      <c r="O87" s="8">
        <f>N87*$B$2/100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9" customWidth="1" min="4" max="4"/>
    <col width="56" customWidth="1" min="5" max="5"/>
    <col width="11" customWidth="1" min="6" max="6"/>
    <col width="12" customWidth="1" min="7" max="7"/>
    <col width="13" customWidth="1" min="8" max="8"/>
  </cols>
  <sheetData>
    <row r="1">
      <c r="A1" s="1" t="inlineStr">
        <is>
          <t>테스트 구간별 시각 경계와 실행 스레드, 그 구간의 평균 클럭</t>
        </is>
      </c>
    </row>
    <row r="2">
      <c r="A2" s="4" t="inlineStr">
        <is>
          <t>시각 경계 출처: 전체·워밍업·워커 읽기는 프로브의 [구간 시각] 출력, 측정 회차는 IMPLOG의 시작시각ms(첫 스캔 시작)와 마지막 스캔 시작+바퀴 시간이다.</t>
        </is>
      </c>
    </row>
    <row r="3">
      <c r="A3" s="4" t="inlineStr">
        <is>
          <t>클럭은 논리 프로세서별 값이고 스레드가 어느 프로세서에서 돌았는지는 기록되지 않으므로, 스레드별 대응은 구간 단위까지다. 각 표본이 직전 간격의 평균이라 경계 표본에는 이웃 구간의 몫이 섞일 수 있다.</t>
        </is>
      </c>
    </row>
    <row r="5">
      <c r="A5" s="5" t="inlineStr">
        <is>
          <t>구간</t>
        </is>
      </c>
      <c r="B5" s="5" t="inlineStr">
        <is>
          <t>시작 시각</t>
        </is>
      </c>
      <c r="C5" s="5" t="inlineStr">
        <is>
          <t>끝 시각</t>
        </is>
      </c>
      <c r="D5" s="5" t="inlineStr">
        <is>
          <t>길이(초)</t>
        </is>
      </c>
      <c r="E5" s="5" t="inlineStr">
        <is>
          <t>실행 스레드</t>
        </is>
      </c>
      <c r="F5" s="5" t="inlineStr">
        <is>
          <t>표본 수(개)</t>
        </is>
      </c>
      <c r="G5" s="5" t="inlineStr">
        <is>
          <t>평균 클럭(%)</t>
        </is>
      </c>
      <c r="H5" s="5" t="inlineStr">
        <is>
          <t>평균 클럭(GHz)</t>
        </is>
      </c>
    </row>
    <row r="6">
      <c r="A6" s="9" t="inlineStr">
        <is>
          <t>순차 전체</t>
        </is>
      </c>
      <c r="B6" s="10" t="n">
        <v>46238.47823181936</v>
      </c>
      <c r="C6" s="10" t="n">
        <v>46238.47855503014</v>
      </c>
      <c r="D6" s="11">
        <f>(C6-B6)*86400</f>
        <v/>
      </c>
      <c r="E6" s="12" t="inlineStr">
        <is>
          <t>main (improveSequential, 워밍업+측정)</t>
        </is>
      </c>
      <c r="F6" s="13">
        <f>COUNTIFS('클럭 정리'!$A$6:$A$87,"&gt;="&amp;B6,'클럭 정리'!$A$6:$A$87,"&lt;="&amp;C6)</f>
        <v/>
      </c>
      <c r="G6" s="14">
        <f>AVERAGEIFS('클럭 정리'!$N$6:$N$87,'클럭 정리'!$A$6:$A$87,"&gt;="&amp;B6,'클럭 정리'!$A$6:$A$87,"&lt;="&amp;C6)</f>
        <v/>
      </c>
      <c r="H6" s="15">
        <f>G6*'클럭 정리'!$B$2/100</f>
        <v/>
      </c>
    </row>
    <row r="7">
      <c r="A7" s="9" t="inlineStr">
        <is>
          <t>병렬도 6 분할 3 전체</t>
        </is>
      </c>
      <c r="B7" s="10" t="n">
        <v>46238.47855503014</v>
      </c>
      <c r="C7" s="10" t="n">
        <v>46238.47876619492</v>
      </c>
      <c r="D7" s="11">
        <f>(C7-B7)*86400</f>
        <v/>
      </c>
      <c r="E7" s="12" t="inlineStr">
        <is>
          <t>워커(호출마다 새 풀)+main</t>
        </is>
      </c>
      <c r="F7" s="13">
        <f>COUNTIFS('클럭 정리'!$A$6:$A$87,"&gt;="&amp;B7,'클럭 정리'!$A$6:$A$87,"&lt;="&amp;C7)</f>
        <v/>
      </c>
      <c r="G7" s="14">
        <f>AVERAGEIFS('클럭 정리'!$N$6:$N$87,'클럭 정리'!$A$6:$A$87,"&gt;="&amp;B7,'클럭 정리'!$A$6:$A$87,"&lt;="&amp;C7)</f>
        <v/>
      </c>
      <c r="H7" s="15">
        <f>G7*'클럭 정리'!$B$2/100</f>
        <v/>
      </c>
    </row>
    <row r="8">
      <c r="A8" s="13" t="inlineStr">
        <is>
          <t>병렬도 6 분할 3 워밍업</t>
        </is>
      </c>
      <c r="B8" s="10" t="n">
        <v>46238.47855503014</v>
      </c>
      <c r="C8" s="10" t="n">
        <v>46238.47860769676</v>
      </c>
      <c r="D8" s="11">
        <f>(C8-B8)*86400</f>
        <v/>
      </c>
      <c r="E8" s="12" t="inlineStr">
        <is>
          <t>워커 (IMPLOG 기록 없음)</t>
        </is>
      </c>
      <c r="F8" s="13">
        <f>COUNTIFS('클럭 정리'!$A$6:$A$87,"&gt;="&amp;B8,'클럭 정리'!$A$6:$A$87,"&lt;="&amp;C8)</f>
        <v/>
      </c>
      <c r="G8" s="14">
        <f>AVERAGEIFS('클럭 정리'!$N$6:$N$87,'클럭 정리'!$A$6:$A$87,"&gt;="&amp;B8,'클럭 정리'!$A$6:$A$87,"&lt;="&amp;C8)</f>
        <v/>
      </c>
      <c r="H8" s="15">
        <f>G8*'클럭 정리'!$B$2/100</f>
        <v/>
      </c>
    </row>
    <row r="9">
      <c r="A9" s="13" t="inlineStr">
        <is>
          <t>병렬도 6 분할 3 측정 1회차</t>
        </is>
      </c>
      <c r="B9" s="10" t="n">
        <v>46238.47860769676</v>
      </c>
      <c r="C9" s="10" t="n">
        <v>46238.47863370464</v>
      </c>
      <c r="D9" s="11">
        <f>(C9-B9)*86400</f>
        <v/>
      </c>
      <c r="E9" s="12" t="inlineStr">
        <is>
          <t>ForkJoinPool-3-worker-1, ForkJoinPool-3-worker-2, ForkJoinPool-3-worker-3, ForkJoinPool-3-worker-6 + main(스캔 사이 순차 구간)</t>
        </is>
      </c>
      <c r="F9" s="13">
        <f>COUNTIFS('클럭 정리'!$A$6:$A$87,"&gt;="&amp;B9,'클럭 정리'!$A$6:$A$87,"&lt;="&amp;C9)</f>
        <v/>
      </c>
      <c r="G9" s="14">
        <f>AVERAGEIFS('클럭 정리'!$N$6:$N$87,'클럭 정리'!$A$6:$A$87,"&gt;="&amp;B9,'클럭 정리'!$A$6:$A$87,"&lt;="&amp;C9)</f>
        <v/>
      </c>
      <c r="H9" s="15">
        <f>G9*'클럭 정리'!$B$2/100</f>
        <v/>
      </c>
    </row>
    <row r="10">
      <c r="A10" s="13" t="inlineStr">
        <is>
          <t>병렬도 6 분할 3 측정 2회차</t>
        </is>
      </c>
      <c r="B10" s="10" t="n">
        <v>46238.47863380787</v>
      </c>
      <c r="C10" s="10" t="n">
        <v>46238.47865987605</v>
      </c>
      <c r="D10" s="11">
        <f>(C10-B10)*86400</f>
        <v/>
      </c>
      <c r="E10" s="12" t="inlineStr">
        <is>
          <t>ForkJoinPool-4-worker-1, ForkJoinPool-4-worker-2, ForkJoinPool-4-worker-3, ForkJoinPool-4-worker-5 + main(스캔 사이 순차 구간)</t>
        </is>
      </c>
      <c r="F10" s="13">
        <f>COUNTIFS('클럭 정리'!$A$6:$A$87,"&gt;="&amp;B10,'클럭 정리'!$A$6:$A$87,"&lt;="&amp;C10)</f>
        <v/>
      </c>
      <c r="G10" s="14">
        <f>AVERAGEIFS('클럭 정리'!$N$6:$N$87,'클럭 정리'!$A$6:$A$87,"&gt;="&amp;B10,'클럭 정리'!$A$6:$A$87,"&lt;="&amp;C10)</f>
        <v/>
      </c>
      <c r="H10" s="15">
        <f>G10*'클럭 정리'!$B$2/100</f>
        <v/>
      </c>
    </row>
    <row r="11">
      <c r="A11" s="13" t="inlineStr">
        <is>
          <t>병렬도 6 분할 3 측정 3회차</t>
        </is>
      </c>
      <c r="B11" s="10" t="n">
        <v>46238.47865978009</v>
      </c>
      <c r="C11" s="10" t="n">
        <v>46238.47868538778</v>
      </c>
      <c r="D11" s="11">
        <f>(C11-B11)*86400</f>
        <v/>
      </c>
      <c r="E11" s="12" t="inlineStr">
        <is>
          <t>ForkJoinPool-5-worker-1, ForkJoinPool-5-worker-2, ForkJoinPool-5-worker-3, ForkJoinPool-5-worker-6 + main(스캔 사이 순차 구간)</t>
        </is>
      </c>
      <c r="F11" s="13">
        <f>COUNTIFS('클럭 정리'!$A$6:$A$87,"&gt;="&amp;B11,'클럭 정리'!$A$6:$A$87,"&lt;="&amp;C11)</f>
        <v/>
      </c>
      <c r="G11" s="14">
        <f>AVERAGEIFS('클럭 정리'!$N$6:$N$87,'클럭 정리'!$A$6:$A$87,"&gt;="&amp;B11,'클럭 정리'!$A$6:$A$87,"&lt;="&amp;C11)</f>
        <v/>
      </c>
      <c r="H11" s="15">
        <f>G11*'클럭 정리'!$B$2/100</f>
        <v/>
      </c>
    </row>
    <row r="12">
      <c r="A12" s="13" t="inlineStr">
        <is>
          <t>병렬도 6 분할 3 측정 4회차</t>
        </is>
      </c>
      <c r="B12" s="10" t="n">
        <v>46238.47868543981</v>
      </c>
      <c r="C12" s="10" t="n">
        <v>46238.47871169826</v>
      </c>
      <c r="D12" s="11">
        <f>(C12-B12)*86400</f>
        <v/>
      </c>
      <c r="E12" s="12" t="inlineStr">
        <is>
          <t>ForkJoinPool-6-worker-1, ForkJoinPool-6-worker-2, ForkJoinPool-6-worker-3, ForkJoinPool-6-worker-4, ForkJoinPool-6-worker-5, ForkJoinPool-6-worker-6 + main(스캔 사이 순차 구간)</t>
        </is>
      </c>
      <c r="F12" s="13">
        <f>COUNTIFS('클럭 정리'!$A$6:$A$87,"&gt;="&amp;B12,'클럭 정리'!$A$6:$A$87,"&lt;="&amp;C12)</f>
        <v/>
      </c>
      <c r="G12" s="14">
        <f>AVERAGEIFS('클럭 정리'!$N$6:$N$87,'클럭 정리'!$A$6:$A$87,"&gt;="&amp;B12,'클럭 정리'!$A$6:$A$87,"&lt;="&amp;C12)</f>
        <v/>
      </c>
      <c r="H12" s="15">
        <f>G12*'클럭 정리'!$B$2/100</f>
        <v/>
      </c>
    </row>
    <row r="13">
      <c r="A13" s="13" t="inlineStr">
        <is>
          <t>병렬도 6 분할 3 측정 5회차</t>
        </is>
      </c>
      <c r="B13" s="10" t="n">
        <v>46238.47871168982</v>
      </c>
      <c r="C13" s="10" t="n">
        <v>46238.47873835294</v>
      </c>
      <c r="D13" s="11">
        <f>(C13-B13)*86400</f>
        <v/>
      </c>
      <c r="E13" s="12" t="inlineStr">
        <is>
          <t>ForkJoinPool-7-worker-1, ForkJoinPool-7-worker-2, ForkJoinPool-7-worker-3, ForkJoinPool-7-worker-4, ForkJoinPool-7-worker-5, ForkJoinPool-7-worker-6 + main(스캔 사이 순차 구간)</t>
        </is>
      </c>
      <c r="F13" s="13">
        <f>COUNTIFS('클럭 정리'!$A$6:$A$87,"&gt;="&amp;B13,'클럭 정리'!$A$6:$A$87,"&lt;="&amp;C13)</f>
        <v/>
      </c>
      <c r="G13" s="14">
        <f>AVERAGEIFS('클럭 정리'!$N$6:$N$87,'클럭 정리'!$A$6:$A$87,"&gt;="&amp;B13,'클럭 정리'!$A$6:$A$87,"&lt;="&amp;C13)</f>
        <v/>
      </c>
      <c r="H13" s="15">
        <f>G13*'클럭 정리'!$B$2/100</f>
        <v/>
      </c>
    </row>
    <row r="14">
      <c r="A14" s="13" t="inlineStr">
        <is>
          <t>병렬도 6 분할 3 워커별 CPU 읽기 실행</t>
        </is>
      </c>
      <c r="B14" s="10" t="n">
        <v>46238.47873835294</v>
      </c>
      <c r="C14" s="10" t="n">
        <v>46238.47876619492</v>
      </c>
      <c r="D14" s="11">
        <f>(C14-B14)*86400</f>
        <v/>
      </c>
      <c r="E14" s="12" t="inlineStr">
        <is>
          <t>ForkJoinPool-8-worker-1, ForkJoinPool-8-worker-4, ForkJoinPool-8-worker-5, ForkJoinPool-8-worker-3, ForkJoinPool-8-worker-2, ForkJoinPool-8-worker-6 + main</t>
        </is>
      </c>
      <c r="F14" s="13">
        <f>COUNTIFS('클럭 정리'!$A$6:$A$87,"&gt;="&amp;B14,'클럭 정리'!$A$6:$A$87,"&lt;="&amp;C14)</f>
        <v/>
      </c>
      <c r="G14" s="14">
        <f>AVERAGEIFS('클럭 정리'!$N$6:$N$87,'클럭 정리'!$A$6:$A$87,"&gt;="&amp;B14,'클럭 정리'!$A$6:$A$87,"&lt;="&amp;C14)</f>
        <v/>
      </c>
      <c r="H14" s="15">
        <f>G14*'클럭 정리'!$B$2/100</f>
        <v/>
      </c>
    </row>
    <row r="15">
      <c r="A15" s="9" t="inlineStr">
        <is>
          <t>병렬도 12 분할 3 전체</t>
        </is>
      </c>
      <c r="B15" s="10" t="n">
        <v>46238.47876619492</v>
      </c>
      <c r="C15" s="10" t="n">
        <v>46238.47897858139</v>
      </c>
      <c r="D15" s="11">
        <f>(C15-B15)*86400</f>
        <v/>
      </c>
      <c r="E15" s="12" t="inlineStr">
        <is>
          <t>워커(호출마다 새 풀)+main</t>
        </is>
      </c>
      <c r="F15" s="13">
        <f>COUNTIFS('클럭 정리'!$A$6:$A$87,"&gt;="&amp;B15,'클럭 정리'!$A$6:$A$87,"&lt;="&amp;C15)</f>
        <v/>
      </c>
      <c r="G15" s="14">
        <f>AVERAGEIFS('클럭 정리'!$N$6:$N$87,'클럭 정리'!$A$6:$A$87,"&gt;="&amp;B15,'클럭 정리'!$A$6:$A$87,"&lt;="&amp;C15)</f>
        <v/>
      </c>
      <c r="H15" s="15">
        <f>G15*'클럭 정리'!$B$2/100</f>
        <v/>
      </c>
    </row>
    <row r="16">
      <c r="A16" s="13" t="inlineStr">
        <is>
          <t>병렬도 12 분할 3 워밍업</t>
        </is>
      </c>
      <c r="B16" s="10" t="n">
        <v>46238.47876619492</v>
      </c>
      <c r="C16" s="10" t="n">
        <v>46238.47881875</v>
      </c>
      <c r="D16" s="11">
        <f>(C16-B16)*86400</f>
        <v/>
      </c>
      <c r="E16" s="12" t="inlineStr">
        <is>
          <t>워커 (IMPLOG 기록 없음)</t>
        </is>
      </c>
      <c r="F16" s="13">
        <f>COUNTIFS('클럭 정리'!$A$6:$A$87,"&gt;="&amp;B16,'클럭 정리'!$A$6:$A$87,"&lt;="&amp;C16)</f>
        <v/>
      </c>
      <c r="G16" s="14">
        <f>AVERAGEIFS('클럭 정리'!$N$6:$N$87,'클럭 정리'!$A$6:$A$87,"&gt;="&amp;B16,'클럭 정리'!$A$6:$A$87,"&lt;="&amp;C16)</f>
        <v/>
      </c>
      <c r="H16" s="15">
        <f>G16*'클럭 정리'!$B$2/100</f>
        <v/>
      </c>
    </row>
    <row r="17">
      <c r="A17" s="13" t="inlineStr">
        <is>
          <t>병렬도 12 분할 3 측정 1회차</t>
        </is>
      </c>
      <c r="B17" s="10" t="n">
        <v>46238.47881875</v>
      </c>
      <c r="C17" s="10" t="n">
        <v>46238.4788453567</v>
      </c>
      <c r="D17" s="11">
        <f>(C17-B17)*86400</f>
        <v/>
      </c>
      <c r="E17" s="12" t="inlineStr">
        <is>
          <t>ForkJoinPool-11-worker-1, ForkJoinPool-11-worker-10, ForkJoinPool-11-worker-12, ForkJoinPool-11-worker-2, ForkJoinPool-11-worker-3, ForkJoinPool-11-worker-5, ForkJoinPool-11-worker-7, ForkJoinPool-11-worker-8, ForkJoinPool-11-worker-9 + main(스캔 사이 순차 구간)</t>
        </is>
      </c>
      <c r="F17" s="13">
        <f>COUNTIFS('클럭 정리'!$A$6:$A$87,"&gt;="&amp;B17,'클럭 정리'!$A$6:$A$87,"&lt;="&amp;C17)</f>
        <v/>
      </c>
      <c r="G17" s="14">
        <f>AVERAGEIFS('클럭 정리'!$N$6:$N$87,'클럭 정리'!$A$6:$A$87,"&gt;="&amp;B17,'클럭 정리'!$A$6:$A$87,"&lt;="&amp;C17)</f>
        <v/>
      </c>
      <c r="H17" s="15">
        <f>G17*'클럭 정리'!$B$2/100</f>
        <v/>
      </c>
    </row>
    <row r="18">
      <c r="A18" s="13" t="inlineStr">
        <is>
          <t>병렬도 12 분할 3 측정 2회차</t>
        </is>
      </c>
      <c r="B18" s="10" t="n">
        <v>46238.47884541667</v>
      </c>
      <c r="C18" s="10" t="n">
        <v>46238.47887352558</v>
      </c>
      <c r="D18" s="11">
        <f>(C18-B18)*86400</f>
        <v/>
      </c>
      <c r="E18" s="12" t="inlineStr">
        <is>
          <t>ForkJoinPool-12-worker-1, ForkJoinPool-12-worker-10, ForkJoinPool-12-worker-11, ForkJoinPool-12-worker-12, ForkJoinPool-12-worker-2, ForkJoinPool-12-worker-3, ForkJoinPool-12-worker-6, ForkJoinPool-12-worker-7, ForkJoinPool-12-worker-8, ForkJoinPool-12-worker-9 + main(스캔 사이 순차 구간)</t>
        </is>
      </c>
      <c r="F18" s="13">
        <f>COUNTIFS('클럭 정리'!$A$6:$A$87,"&gt;="&amp;B18,'클럭 정리'!$A$6:$A$87,"&lt;="&amp;C18)</f>
        <v/>
      </c>
      <c r="G18" s="14">
        <f>AVERAGEIFS('클럭 정리'!$N$6:$N$87,'클럭 정리'!$A$6:$A$87,"&gt;="&amp;B18,'클럭 정리'!$A$6:$A$87,"&lt;="&amp;C18)</f>
        <v/>
      </c>
      <c r="H18" s="15">
        <f>G18*'클럭 정리'!$B$2/100</f>
        <v/>
      </c>
    </row>
    <row r="19">
      <c r="A19" s="13" t="inlineStr">
        <is>
          <t>병렬도 12 분할 3 측정 3회차</t>
        </is>
      </c>
      <c r="B19" s="10" t="n">
        <v>46238.47887353009</v>
      </c>
      <c r="C19" s="10" t="n">
        <v>46238.4788994272</v>
      </c>
      <c r="D19" s="11">
        <f>(C19-B19)*86400</f>
        <v/>
      </c>
      <c r="E19" s="12" t="inlineStr">
        <is>
          <t>ForkJoinPool-13-worker-1, ForkJoinPool-13-worker-10, ForkJoinPool-13-worker-12, ForkJoinPool-13-worker-2, ForkJoinPool-13-worker-3, ForkJoinPool-13-worker-7 + main(스캔 사이 순차 구간)</t>
        </is>
      </c>
      <c r="F19" s="13">
        <f>COUNTIFS('클럭 정리'!$A$6:$A$87,"&gt;="&amp;B19,'클럭 정리'!$A$6:$A$87,"&lt;="&amp;C19)</f>
        <v/>
      </c>
      <c r="G19" s="14">
        <f>AVERAGEIFS('클럭 정리'!$N$6:$N$87,'클럭 정리'!$A$6:$A$87,"&gt;="&amp;B19,'클럭 정리'!$A$6:$A$87,"&lt;="&amp;C19)</f>
        <v/>
      </c>
      <c r="H19" s="15">
        <f>G19*'클럭 정리'!$B$2/100</f>
        <v/>
      </c>
    </row>
    <row r="20">
      <c r="A20" s="13" t="inlineStr">
        <is>
          <t>병렬도 12 분할 3 측정 4회차</t>
        </is>
      </c>
      <c r="B20" s="10" t="n">
        <v>46238.47889958334</v>
      </c>
      <c r="C20" s="10" t="n">
        <v>46238.47892586638</v>
      </c>
      <c r="D20" s="11">
        <f>(C20-B20)*86400</f>
        <v/>
      </c>
      <c r="E20" s="12" t="inlineStr">
        <is>
          <t>ForkJoinPool-14-worker-1, ForkJoinPool-14-worker-10, ForkJoinPool-14-worker-2, ForkJoinPool-14-worker-3, ForkJoinPool-14-worker-5, ForkJoinPool-14-worker-6, ForkJoinPool-14-worker-8, ForkJoinPool-14-worker-9 + main(스캔 사이 순차 구간)</t>
        </is>
      </c>
      <c r="F20" s="13">
        <f>COUNTIFS('클럭 정리'!$A$6:$A$87,"&gt;="&amp;B20,'클럭 정리'!$A$6:$A$87,"&lt;="&amp;C20)</f>
        <v/>
      </c>
      <c r="G20" s="14">
        <f>AVERAGEIFS('클럭 정리'!$N$6:$N$87,'클럭 정리'!$A$6:$A$87,"&gt;="&amp;B20,'클럭 정리'!$A$6:$A$87,"&lt;="&amp;C20)</f>
        <v/>
      </c>
      <c r="H20" s="15">
        <f>G20*'클럭 정리'!$B$2/100</f>
        <v/>
      </c>
    </row>
    <row r="21">
      <c r="A21" s="13" t="inlineStr">
        <is>
          <t>병렬도 12 분할 3 측정 5회차</t>
        </is>
      </c>
      <c r="B21" s="10" t="n">
        <v>46238.47892584491</v>
      </c>
      <c r="C21" s="10" t="n">
        <v>46238.47895255021</v>
      </c>
      <c r="D21" s="11">
        <f>(C21-B21)*86400</f>
        <v/>
      </c>
      <c r="E21" s="12" t="inlineStr">
        <is>
          <t>ForkJoinPool-15-worker-1, ForkJoinPool-15-worker-11, ForkJoinPool-15-worker-12, ForkJoinPool-15-worker-2, ForkJoinPool-15-worker-3, ForkJoinPool-15-worker-4, ForkJoinPool-15-worker-5, ForkJoinPool-15-worker-6, ForkJoinPool-15-worker-7, ForkJoinPool-15-worker-8, ForkJoinPool-15-worker-9 + main(스캔 사이 순차 구간)</t>
        </is>
      </c>
      <c r="F21" s="13">
        <f>COUNTIFS('클럭 정리'!$A$6:$A$87,"&gt;="&amp;B21,'클럭 정리'!$A$6:$A$87,"&lt;="&amp;C21)</f>
        <v/>
      </c>
      <c r="G21" s="14">
        <f>AVERAGEIFS('클럭 정리'!$N$6:$N$87,'클럭 정리'!$A$6:$A$87,"&gt;="&amp;B21,'클럭 정리'!$A$6:$A$87,"&lt;="&amp;C21)</f>
        <v/>
      </c>
      <c r="H21" s="15">
        <f>G21*'클럭 정리'!$B$2/100</f>
        <v/>
      </c>
    </row>
    <row r="22">
      <c r="A22" s="13" t="inlineStr">
        <is>
          <t>병렬도 12 분할 3 워커별 CPU 읽기 실행</t>
        </is>
      </c>
      <c r="B22" s="10" t="n">
        <v>46238.47895255021</v>
      </c>
      <c r="C22" s="10" t="n">
        <v>46238.47897858139</v>
      </c>
      <c r="D22" s="11">
        <f>(C22-B22)*86400</f>
        <v/>
      </c>
      <c r="E22" s="12" t="inlineStr">
        <is>
          <t>ForkJoinPool-16-worker-1, ForkJoinPool-16-worker-7, ForkJoinPool-16-worker-12, ForkJoinPool-16-worker-8, ForkJoinPool-16-worker-2, ForkJoinPool-16-worker-3, ForkJoinPool-16-worker-6, ForkJoinPool-16-worker-11, ForkJoinPool-16-worker-5, ForkJoinPool-16-worker-4, ForkJoinPool-16-worker-9, ForkJoinPool-16-worker-10 + main</t>
        </is>
      </c>
      <c r="F22" s="13">
        <f>COUNTIFS('클럭 정리'!$A$6:$A$87,"&gt;="&amp;B22,'클럭 정리'!$A$6:$A$87,"&lt;="&amp;C22)</f>
        <v/>
      </c>
      <c r="G22" s="14">
        <f>AVERAGEIFS('클럭 정리'!$N$6:$N$87,'클럭 정리'!$A$6:$A$87,"&gt;="&amp;B22,'클럭 정리'!$A$6:$A$87,"&lt;="&amp;C22)</f>
        <v/>
      </c>
      <c r="H22" s="15">
        <f>G22*'클럭 정리'!$B$2/100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26" customWidth="1" min="3" max="3"/>
    <col width="40" customWidth="1" min="4" max="4"/>
    <col width="14" customWidth="1" min="5" max="5"/>
    <col width="14" customWidth="1" min="6" max="6"/>
    <col width="17" customWidth="1" min="7" max="7"/>
    <col width="15" customWidth="1" min="8" max="8"/>
    <col width="11" customWidth="1" min="9" max="9"/>
    <col width="12" customWidth="1" min="10" max="10"/>
    <col width="13" customWidth="1" min="11" max="11"/>
  </cols>
  <sheetData>
    <row r="1">
      <c r="A1" s="1" t="inlineStr">
        <is>
          <t>측정 회차 구간 안의 스레드별 활동 창과 클럭, 그리고 풀별 클럭 표본 매핑</t>
        </is>
      </c>
    </row>
    <row r="2">
      <c r="A2" s="4" t="inlineStr">
        <is>
          <t>활동 창의 출처: 워커는 IMPLOG leaf(첫 말단 시작 ~ 마지막 말단 시작+4중 루프), main은 IMPLOG scan이다. 활동 시간 합은 워커가 4중 루프 경과 시간 합이고, main은 그 회차의 mainCPU(IMPLOG run 레코드, CPU 시간)다. 말단이 2개 이상 겹치면 경과 시간 뺄셈으로는 main 몫이 나오지 않아 실측 CPU 시간으로 바꿨다(2026-08-04). run 레코드가 없는 옛 로그는 main의 이 칸이 빈 칸이고, mainCPU는 Windows 해상도(15.625ms) 계단이라 0으로 찍힐 수 있다.</t>
        </is>
      </c>
    </row>
    <row r="3">
      <c r="A3" s="4" t="inlineStr">
        <is>
          <t>클럭 값은 그 창에 걸린 표본의 전체 프로세서 평균이다. 스레드가 어느 논리 프로세서에서 돌았는지는 기록되지 않으므로 특정 코어의 클럭이 아니다. 워커별 CPU 읽기 실행의 풀은 IMPLOG가 꺼져 있어 이 시트에 없다.</t>
        </is>
      </c>
    </row>
    <row r="5">
      <c r="A5" s="5" t="inlineStr">
        <is>
          <t>구간</t>
        </is>
      </c>
      <c r="B5" s="5" t="inlineStr">
        <is>
          <t>회차</t>
        </is>
      </c>
      <c r="C5" s="5" t="inlineStr">
        <is>
          <t>스레드</t>
        </is>
      </c>
      <c r="D5" s="5" t="inlineStr">
        <is>
          <t>역할</t>
        </is>
      </c>
      <c r="E5" s="5" t="inlineStr">
        <is>
          <t>활동 시작</t>
        </is>
      </c>
      <c r="F5" s="5" t="inlineStr">
        <is>
          <t>활동 끝</t>
        </is>
      </c>
      <c r="G5" s="5" t="inlineStr">
        <is>
          <t>처리 수(말단/스캔)</t>
        </is>
      </c>
      <c r="H5" s="5" t="inlineStr">
        <is>
          <t>활동 시간 합(ms)</t>
        </is>
      </c>
      <c r="I5" s="5" t="inlineStr">
        <is>
          <t>표본 수(개)</t>
        </is>
      </c>
      <c r="J5" s="5" t="inlineStr">
        <is>
          <t>평균 클럭(%)</t>
        </is>
      </c>
      <c r="K5" s="5" t="inlineStr">
        <is>
          <t>평균 클럭(GHz)</t>
        </is>
      </c>
    </row>
    <row r="6">
      <c r="A6" s="13" t="inlineStr">
        <is>
          <t>병렬도 6 분할 3</t>
        </is>
      </c>
      <c r="B6" s="13" t="n">
        <v>1</v>
      </c>
      <c r="C6" s="13" t="inlineStr">
        <is>
          <t>ForkJoinPool-3-worker-1</t>
        </is>
      </c>
      <c r="D6" s="12" t="inlineStr">
        <is>
          <t>워커</t>
        </is>
      </c>
      <c r="E6" s="10" t="n">
        <v>46238.47860769676</v>
      </c>
      <c r="F6" s="10" t="n">
        <v>46238.47863367695</v>
      </c>
      <c r="G6" s="13" t="n">
        <v>45</v>
      </c>
      <c r="H6" s="14" t="n">
        <v>2183.2071</v>
      </c>
      <c r="I6" s="13">
        <f>COUNTIFS('클럭 정리'!$A$6:$A$87,"&gt;="&amp;E6,'클럭 정리'!$A$6:$A$87,"&lt;="&amp;F6)</f>
        <v/>
      </c>
      <c r="J6" s="14">
        <f>AVERAGEIFS('클럭 정리'!$N$6:$N$87,'클럭 정리'!$A$6:$A$87,"&gt;="&amp;E6,'클럭 정리'!$A$6:$A$87,"&lt;="&amp;F6)</f>
        <v/>
      </c>
      <c r="K6" s="15">
        <f>J6*'클럭 정리'!$B$2/100</f>
        <v/>
      </c>
    </row>
    <row r="7">
      <c r="A7" s="13" t="inlineStr">
        <is>
          <t>병렬도 6 분할 3</t>
        </is>
      </c>
      <c r="B7" s="13" t="n">
        <v>1</v>
      </c>
      <c r="C7" s="13" t="inlineStr">
        <is>
          <t>ForkJoinPool-3-worker-2</t>
        </is>
      </c>
      <c r="D7" s="12" t="inlineStr">
        <is>
          <t>워커</t>
        </is>
      </c>
      <c r="E7" s="10" t="n">
        <v>46238.47860776621</v>
      </c>
      <c r="F7" s="10" t="n">
        <v>46238.47863370099</v>
      </c>
      <c r="G7" s="13" t="n">
        <v>45</v>
      </c>
      <c r="H7" s="14" t="n">
        <v>2135.1377</v>
      </c>
      <c r="I7" s="13">
        <f>COUNTIFS('클럭 정리'!$A$6:$A$87,"&gt;="&amp;E7,'클럭 정리'!$A$6:$A$87,"&lt;="&amp;F7)</f>
        <v/>
      </c>
      <c r="J7" s="14">
        <f>AVERAGEIFS('클럭 정리'!$N$6:$N$87,'클럭 정리'!$A$6:$A$87,"&gt;="&amp;E7,'클럭 정리'!$A$6:$A$87,"&lt;="&amp;F7)</f>
        <v/>
      </c>
      <c r="K7" s="15">
        <f>J7*'클럭 정리'!$B$2/100</f>
        <v/>
      </c>
    </row>
    <row r="8">
      <c r="A8" s="13" t="inlineStr">
        <is>
          <t>병렬도 6 분할 3</t>
        </is>
      </c>
      <c r="B8" s="13" t="n">
        <v>1</v>
      </c>
      <c r="C8" s="13" t="inlineStr">
        <is>
          <t>ForkJoinPool-3-worker-3</t>
        </is>
      </c>
      <c r="D8" s="12" t="inlineStr">
        <is>
          <t>워커</t>
        </is>
      </c>
      <c r="E8" s="10" t="n">
        <v>46238.47860776621</v>
      </c>
      <c r="F8" s="10" t="n">
        <v>46238.47861018294</v>
      </c>
      <c r="G8" s="13" t="n">
        <v>4</v>
      </c>
      <c r="H8" s="14" t="n">
        <v>200.86</v>
      </c>
      <c r="I8" s="13">
        <f>COUNTIFS('클럭 정리'!$A$6:$A$87,"&gt;="&amp;E8,'클럭 정리'!$A$6:$A$87,"&lt;="&amp;F8)</f>
        <v/>
      </c>
      <c r="J8" s="14">
        <f>AVERAGEIFS('클럭 정리'!$N$6:$N$87,'클럭 정리'!$A$6:$A$87,"&gt;="&amp;E8,'클럭 정리'!$A$6:$A$87,"&lt;="&amp;F8)</f>
        <v/>
      </c>
      <c r="K8" s="15">
        <f>J8*'클럭 정리'!$B$2/100</f>
        <v/>
      </c>
    </row>
    <row r="9">
      <c r="A9" s="13" t="inlineStr">
        <is>
          <t>병렬도 6 분할 3</t>
        </is>
      </c>
      <c r="B9" s="13" t="n">
        <v>1</v>
      </c>
      <c r="C9" s="13" t="inlineStr">
        <is>
          <t>ForkJoinPool-3-worker-6</t>
        </is>
      </c>
      <c r="D9" s="12" t="inlineStr">
        <is>
          <t>워커</t>
        </is>
      </c>
      <c r="E9" s="10" t="n">
        <v>46238.47861016203</v>
      </c>
      <c r="F9" s="10" t="n">
        <v>46238.47863365853</v>
      </c>
      <c r="G9" s="13" t="n">
        <v>41</v>
      </c>
      <c r="H9" s="14" t="n">
        <v>1913.1024</v>
      </c>
      <c r="I9" s="13">
        <f>COUNTIFS('클럭 정리'!$A$6:$A$87,"&gt;="&amp;E9,'클럭 정리'!$A$6:$A$87,"&lt;="&amp;F9)</f>
        <v/>
      </c>
      <c r="J9" s="14">
        <f>AVERAGEIFS('클럭 정리'!$N$6:$N$87,'클럭 정리'!$A$6:$A$87,"&gt;="&amp;E9,'클럭 정리'!$A$6:$A$87,"&lt;="&amp;F9)</f>
        <v/>
      </c>
      <c r="K9" s="15">
        <f>J9*'클럭 정리'!$B$2/100</f>
        <v/>
      </c>
    </row>
    <row r="10">
      <c r="A10" s="13" t="inlineStr">
        <is>
          <t>병렬도 6 분할 3</t>
        </is>
      </c>
      <c r="B10" s="13" t="n">
        <v>1</v>
      </c>
      <c r="C10" s="13" t="inlineStr">
        <is>
          <t>main</t>
        </is>
      </c>
      <c r="D10" s="12" t="inlineStr">
        <is>
          <t>main (활동 시간 합 = 그 회차 mainCPU, 창은 워커와 겹침)</t>
        </is>
      </c>
      <c r="E10" s="10" t="n">
        <v>46238.47860769676</v>
      </c>
      <c r="F10" s="10" t="n">
        <v>46238.47863370464</v>
      </c>
      <c r="G10" s="13" t="n">
        <v>45</v>
      </c>
      <c r="H10" s="14" t="n">
        <v>62.5</v>
      </c>
      <c r="I10" s="13">
        <f>COUNTIFS('클럭 정리'!$A$6:$A$87,"&gt;="&amp;E10,'클럭 정리'!$A$6:$A$87,"&lt;="&amp;F10)</f>
        <v/>
      </c>
      <c r="J10" s="14">
        <f>AVERAGEIFS('클럭 정리'!$N$6:$N$87,'클럭 정리'!$A$6:$A$87,"&gt;="&amp;E10,'클럭 정리'!$A$6:$A$87,"&lt;="&amp;F10)</f>
        <v/>
      </c>
      <c r="K10" s="15">
        <f>J10*'클럭 정리'!$B$2/100</f>
        <v/>
      </c>
    </row>
    <row r="11">
      <c r="A11" s="13" t="inlineStr">
        <is>
          <t>병렬도 6 분할 3</t>
        </is>
      </c>
      <c r="B11" s="13" t="n">
        <v>2</v>
      </c>
      <c r="C11" s="13" t="inlineStr">
        <is>
          <t>ForkJoinPool-4-worker-1</t>
        </is>
      </c>
      <c r="D11" s="12" t="inlineStr">
        <is>
          <t>워커</t>
        </is>
      </c>
      <c r="E11" s="10" t="n">
        <v>46238.47863380787</v>
      </c>
      <c r="F11" s="10" t="n">
        <v>46238.4786598739</v>
      </c>
      <c r="G11" s="13" t="n">
        <v>45</v>
      </c>
      <c r="H11" s="14" t="n">
        <v>2221.6037</v>
      </c>
      <c r="I11" s="13">
        <f>COUNTIFS('클럭 정리'!$A$6:$A$87,"&gt;="&amp;E11,'클럭 정리'!$A$6:$A$87,"&lt;="&amp;F11)</f>
        <v/>
      </c>
      <c r="J11" s="14">
        <f>AVERAGEIFS('클럭 정리'!$N$6:$N$87,'클럭 정리'!$A$6:$A$87,"&gt;="&amp;E11,'클럭 정리'!$A$6:$A$87,"&lt;="&amp;F11)</f>
        <v/>
      </c>
      <c r="K11" s="15">
        <f>J11*'클럭 정리'!$B$2/100</f>
        <v/>
      </c>
    </row>
    <row r="12">
      <c r="A12" s="13" t="inlineStr">
        <is>
          <t>병렬도 6 분할 3</t>
        </is>
      </c>
      <c r="B12" s="13" t="n">
        <v>2</v>
      </c>
      <c r="C12" s="13" t="inlineStr">
        <is>
          <t>ForkJoinPool-4-worker-2</t>
        </is>
      </c>
      <c r="D12" s="12" t="inlineStr">
        <is>
          <t>워커</t>
        </is>
      </c>
      <c r="E12" s="10" t="n">
        <v>46238.47863380787</v>
      </c>
      <c r="F12" s="10" t="n">
        <v>46238.4786371044</v>
      </c>
      <c r="G12" s="13" t="n">
        <v>6</v>
      </c>
      <c r="H12" s="14" t="n">
        <v>278.0048</v>
      </c>
      <c r="I12" s="13">
        <f>COUNTIFS('클럭 정리'!$A$6:$A$87,"&gt;="&amp;E12,'클럭 정리'!$A$6:$A$87,"&lt;="&amp;F12)</f>
        <v/>
      </c>
      <c r="J12" s="14">
        <f>AVERAGEIFS('클럭 정리'!$N$6:$N$87,'클럭 정리'!$A$6:$A$87,"&gt;="&amp;E12,'클럭 정리'!$A$6:$A$87,"&lt;="&amp;F12)</f>
        <v/>
      </c>
      <c r="K12" s="15">
        <f>J12*'클럭 정리'!$B$2/100</f>
        <v/>
      </c>
    </row>
    <row r="13">
      <c r="A13" s="13" t="inlineStr">
        <is>
          <t>병렬도 6 분할 3</t>
        </is>
      </c>
      <c r="B13" s="13" t="n">
        <v>2</v>
      </c>
      <c r="C13" s="13" t="inlineStr">
        <is>
          <t>ForkJoinPool-4-worker-3</t>
        </is>
      </c>
      <c r="D13" s="12" t="inlineStr">
        <is>
          <t>워커</t>
        </is>
      </c>
      <c r="E13" s="10" t="n">
        <v>46238.47863383102</v>
      </c>
      <c r="F13" s="10" t="n">
        <v>46238.47865986816</v>
      </c>
      <c r="G13" s="13" t="n">
        <v>45</v>
      </c>
      <c r="H13" s="14" t="n">
        <v>2117.946</v>
      </c>
      <c r="I13" s="13">
        <f>COUNTIFS('클럭 정리'!$A$6:$A$87,"&gt;="&amp;E13,'클럭 정리'!$A$6:$A$87,"&lt;="&amp;F13)</f>
        <v/>
      </c>
      <c r="J13" s="14">
        <f>AVERAGEIFS('클럭 정리'!$N$6:$N$87,'클럭 정리'!$A$6:$A$87,"&gt;="&amp;E13,'클럭 정리'!$A$6:$A$87,"&lt;="&amp;F13)</f>
        <v/>
      </c>
      <c r="K13" s="15">
        <f>J13*'클럭 정리'!$B$2/100</f>
        <v/>
      </c>
    </row>
    <row r="14">
      <c r="A14" s="13" t="inlineStr">
        <is>
          <t>병렬도 6 분할 3</t>
        </is>
      </c>
      <c r="B14" s="13" t="n">
        <v>2</v>
      </c>
      <c r="C14" s="13" t="inlineStr">
        <is>
          <t>ForkJoinPool-4-worker-5</t>
        </is>
      </c>
      <c r="D14" s="12" t="inlineStr">
        <is>
          <t>워커</t>
        </is>
      </c>
      <c r="E14" s="10" t="n">
        <v>46238.47863717593</v>
      </c>
      <c r="F14" s="10" t="n">
        <v>46238.47865985952</v>
      </c>
      <c r="G14" s="13" t="n">
        <v>39</v>
      </c>
      <c r="H14" s="14" t="n">
        <v>1846.4315</v>
      </c>
      <c r="I14" s="13">
        <f>COUNTIFS('클럭 정리'!$A$6:$A$87,"&gt;="&amp;E14,'클럭 정리'!$A$6:$A$87,"&lt;="&amp;F14)</f>
        <v/>
      </c>
      <c r="J14" s="14">
        <f>AVERAGEIFS('클럭 정리'!$N$6:$N$87,'클럭 정리'!$A$6:$A$87,"&gt;="&amp;E14,'클럭 정리'!$A$6:$A$87,"&lt;="&amp;F14)</f>
        <v/>
      </c>
      <c r="K14" s="15">
        <f>J14*'클럭 정리'!$B$2/100</f>
        <v/>
      </c>
    </row>
    <row r="15">
      <c r="A15" s="13" t="inlineStr">
        <is>
          <t>병렬도 6 분할 3</t>
        </is>
      </c>
      <c r="B15" s="13" t="n">
        <v>2</v>
      </c>
      <c r="C15" s="13" t="inlineStr">
        <is>
          <t>main</t>
        </is>
      </c>
      <c r="D15" s="12" t="inlineStr">
        <is>
          <t>main (활동 시간 합 = 그 회차 mainCPU, 창은 워커와 겹침)</t>
        </is>
      </c>
      <c r="E15" s="10" t="n">
        <v>46238.47863380787</v>
      </c>
      <c r="F15" s="10" t="n">
        <v>46238.47865987605</v>
      </c>
      <c r="G15" s="13" t="n">
        <v>45</v>
      </c>
      <c r="H15" s="14" t="n">
        <v>15.625</v>
      </c>
      <c r="I15" s="13">
        <f>COUNTIFS('클럭 정리'!$A$6:$A$87,"&gt;="&amp;E15,'클럭 정리'!$A$6:$A$87,"&lt;="&amp;F15)</f>
        <v/>
      </c>
      <c r="J15" s="14">
        <f>AVERAGEIFS('클럭 정리'!$N$6:$N$87,'클럭 정리'!$A$6:$A$87,"&gt;="&amp;E15,'클럭 정리'!$A$6:$A$87,"&lt;="&amp;F15)</f>
        <v/>
      </c>
      <c r="K15" s="15">
        <f>J15*'클럭 정리'!$B$2/100</f>
        <v/>
      </c>
    </row>
    <row r="16">
      <c r="A16" s="13" t="inlineStr">
        <is>
          <t>병렬도 6 분할 3</t>
        </is>
      </c>
      <c r="B16" s="13" t="n">
        <v>3</v>
      </c>
      <c r="C16" s="13" t="inlineStr">
        <is>
          <t>ForkJoinPool-5-worker-1</t>
        </is>
      </c>
      <c r="D16" s="12" t="inlineStr">
        <is>
          <t>워커</t>
        </is>
      </c>
      <c r="E16" s="10" t="n">
        <v>46238.47865978009</v>
      </c>
      <c r="F16" s="10" t="n">
        <v>46238.47868538638</v>
      </c>
      <c r="G16" s="13" t="n">
        <v>45</v>
      </c>
      <c r="H16" s="14" t="n">
        <v>2164.359</v>
      </c>
      <c r="I16" s="13">
        <f>COUNTIFS('클럭 정리'!$A$6:$A$87,"&gt;="&amp;E16,'클럭 정리'!$A$6:$A$87,"&lt;="&amp;F16)</f>
        <v/>
      </c>
      <c r="J16" s="14">
        <f>AVERAGEIFS('클럭 정리'!$N$6:$N$87,'클럭 정리'!$A$6:$A$87,"&gt;="&amp;E16,'클럭 정리'!$A$6:$A$87,"&lt;="&amp;F16)</f>
        <v/>
      </c>
      <c r="K16" s="15">
        <f>J16*'클럭 정리'!$B$2/100</f>
        <v/>
      </c>
    </row>
    <row r="17">
      <c r="A17" s="13" t="inlineStr">
        <is>
          <t>병렬도 6 분할 3</t>
        </is>
      </c>
      <c r="B17" s="13" t="n">
        <v>3</v>
      </c>
      <c r="C17" s="13" t="inlineStr">
        <is>
          <t>ForkJoinPool-5-worker-2</t>
        </is>
      </c>
      <c r="D17" s="12" t="inlineStr">
        <is>
          <t>워커</t>
        </is>
      </c>
      <c r="E17" s="10" t="n">
        <v>46238.47865978009</v>
      </c>
      <c r="F17" s="10" t="n">
        <v>46238.47868537565</v>
      </c>
      <c r="G17" s="13" t="n">
        <v>45</v>
      </c>
      <c r="H17" s="14" t="n">
        <v>2095.6592</v>
      </c>
      <c r="I17" s="13">
        <f>COUNTIFS('클럭 정리'!$A$6:$A$87,"&gt;="&amp;E17,'클럭 정리'!$A$6:$A$87,"&lt;="&amp;F17)</f>
        <v/>
      </c>
      <c r="J17" s="14">
        <f>AVERAGEIFS('클럭 정리'!$N$6:$N$87,'클럭 정리'!$A$6:$A$87,"&gt;="&amp;E17,'클럭 정리'!$A$6:$A$87,"&lt;="&amp;F17)</f>
        <v/>
      </c>
      <c r="K17" s="15">
        <f>J17*'클럭 정리'!$B$2/100</f>
        <v/>
      </c>
    </row>
    <row r="18">
      <c r="A18" s="13" t="inlineStr">
        <is>
          <t>병렬도 6 분할 3</t>
        </is>
      </c>
      <c r="B18" s="13" t="n">
        <v>3</v>
      </c>
      <c r="C18" s="13" t="inlineStr">
        <is>
          <t>ForkJoinPool-5-worker-3</t>
        </is>
      </c>
      <c r="D18" s="12" t="inlineStr">
        <is>
          <t>워커</t>
        </is>
      </c>
      <c r="E18" s="10" t="n">
        <v>46238.47865978009</v>
      </c>
      <c r="F18" s="10" t="n">
        <v>46238.47866266162</v>
      </c>
      <c r="G18" s="13" t="n">
        <v>5</v>
      </c>
      <c r="H18" s="14" t="n">
        <v>240.3535</v>
      </c>
      <c r="I18" s="13">
        <f>COUNTIFS('클럭 정리'!$A$6:$A$87,"&gt;="&amp;E18,'클럭 정리'!$A$6:$A$87,"&lt;="&amp;F18)</f>
        <v/>
      </c>
      <c r="J18" s="14">
        <f>AVERAGEIFS('클럭 정리'!$N$6:$N$87,'클럭 정리'!$A$6:$A$87,"&gt;="&amp;E18,'클럭 정리'!$A$6:$A$87,"&lt;="&amp;F18)</f>
        <v/>
      </c>
      <c r="K18" s="15">
        <f>J18*'클럭 정리'!$B$2/100</f>
        <v/>
      </c>
    </row>
    <row r="19">
      <c r="A19" s="13" t="inlineStr">
        <is>
          <t>병렬도 6 분할 3</t>
        </is>
      </c>
      <c r="B19" s="13" t="n">
        <v>3</v>
      </c>
      <c r="C19" s="13" t="inlineStr">
        <is>
          <t>ForkJoinPool-5-worker-6</t>
        </is>
      </c>
      <c r="D19" s="12" t="inlineStr">
        <is>
          <t>워커</t>
        </is>
      </c>
      <c r="E19" s="10" t="n">
        <v>46238.4786627662</v>
      </c>
      <c r="F19" s="10" t="n">
        <v>46238.47868536425</v>
      </c>
      <c r="G19" s="13" t="n">
        <v>40</v>
      </c>
      <c r="H19" s="14" t="n">
        <v>1855.7685</v>
      </c>
      <c r="I19" s="13">
        <f>COUNTIFS('클럭 정리'!$A$6:$A$87,"&gt;="&amp;E19,'클럭 정리'!$A$6:$A$87,"&lt;="&amp;F19)</f>
        <v/>
      </c>
      <c r="J19" s="14">
        <f>AVERAGEIFS('클럭 정리'!$N$6:$N$87,'클럭 정리'!$A$6:$A$87,"&gt;="&amp;E19,'클럭 정리'!$A$6:$A$87,"&lt;="&amp;F19)</f>
        <v/>
      </c>
      <c r="K19" s="15">
        <f>J19*'클럭 정리'!$B$2/100</f>
        <v/>
      </c>
    </row>
    <row r="20">
      <c r="A20" s="13" t="inlineStr">
        <is>
          <t>병렬도 6 분할 3</t>
        </is>
      </c>
      <c r="B20" s="13" t="n">
        <v>3</v>
      </c>
      <c r="C20" s="13" t="inlineStr">
        <is>
          <t>main</t>
        </is>
      </c>
      <c r="D20" s="12" t="inlineStr">
        <is>
          <t>main (활동 시간 합 = 그 회차 mainCPU, 창은 워커와 겹침)</t>
        </is>
      </c>
      <c r="E20" s="10" t="n">
        <v>46238.47865978009</v>
      </c>
      <c r="F20" s="10" t="n">
        <v>46238.47868538778</v>
      </c>
      <c r="G20" s="13" t="n">
        <v>45</v>
      </c>
      <c r="H20" s="14" t="n">
        <v>0</v>
      </c>
      <c r="I20" s="13">
        <f>COUNTIFS('클럭 정리'!$A$6:$A$87,"&gt;="&amp;E20,'클럭 정리'!$A$6:$A$87,"&lt;="&amp;F20)</f>
        <v/>
      </c>
      <c r="J20" s="14">
        <f>AVERAGEIFS('클럭 정리'!$N$6:$N$87,'클럭 정리'!$A$6:$A$87,"&gt;="&amp;E20,'클럭 정리'!$A$6:$A$87,"&lt;="&amp;F20)</f>
        <v/>
      </c>
      <c r="K20" s="15">
        <f>J20*'클럭 정리'!$B$2/100</f>
        <v/>
      </c>
    </row>
    <row r="21">
      <c r="A21" s="13" t="inlineStr">
        <is>
          <t>병렬도 6 분할 3</t>
        </is>
      </c>
      <c r="B21" s="13" t="n">
        <v>4</v>
      </c>
      <c r="C21" s="13" t="inlineStr">
        <is>
          <t>ForkJoinPool-6-worker-1</t>
        </is>
      </c>
      <c r="D21" s="12" t="inlineStr">
        <is>
          <t>워커</t>
        </is>
      </c>
      <c r="E21" s="10" t="n">
        <v>46238.47868543981</v>
      </c>
      <c r="F21" s="10" t="n">
        <v>46238.47871168235</v>
      </c>
      <c r="G21" s="13" t="n">
        <v>45</v>
      </c>
      <c r="H21" s="14" t="n">
        <v>2208.2104</v>
      </c>
      <c r="I21" s="13">
        <f>COUNTIFS('클럭 정리'!$A$6:$A$87,"&gt;="&amp;E21,'클럭 정리'!$A$6:$A$87,"&lt;="&amp;F21)</f>
        <v/>
      </c>
      <c r="J21" s="14">
        <f>AVERAGEIFS('클럭 정리'!$N$6:$N$87,'클럭 정리'!$A$6:$A$87,"&gt;="&amp;E21,'클럭 정리'!$A$6:$A$87,"&lt;="&amp;F21)</f>
        <v/>
      </c>
      <c r="K21" s="15">
        <f>J21*'클럭 정리'!$B$2/100</f>
        <v/>
      </c>
    </row>
    <row r="22">
      <c r="A22" s="13" t="inlineStr">
        <is>
          <t>병렬도 6 분할 3</t>
        </is>
      </c>
      <c r="B22" s="13" t="n">
        <v>4</v>
      </c>
      <c r="C22" s="13" t="inlineStr">
        <is>
          <t>ForkJoinPool-6-worker-2</t>
        </is>
      </c>
      <c r="D22" s="12" t="inlineStr">
        <is>
          <t>워커</t>
        </is>
      </c>
      <c r="E22" s="10" t="n">
        <v>46238.47868546296</v>
      </c>
      <c r="F22" s="10" t="n">
        <v>46238.47868660725</v>
      </c>
      <c r="G22" s="13" t="n">
        <v>2</v>
      </c>
      <c r="H22" s="14" t="n">
        <v>98.73739999999999</v>
      </c>
      <c r="I22" s="13">
        <f>COUNTIFS('클럭 정리'!$A$6:$A$87,"&gt;="&amp;E22,'클럭 정리'!$A$6:$A$87,"&lt;="&amp;F22)</f>
        <v/>
      </c>
      <c r="J22" s="14">
        <f>AVERAGEIFS('클럭 정리'!$N$6:$N$87,'클럭 정리'!$A$6:$A$87,"&gt;="&amp;E22,'클럭 정리'!$A$6:$A$87,"&lt;="&amp;F22)</f>
        <v/>
      </c>
      <c r="K22" s="15">
        <f>J22*'클럭 정리'!$B$2/100</f>
        <v/>
      </c>
    </row>
    <row r="23">
      <c r="A23" s="13" t="inlineStr">
        <is>
          <t>병렬도 6 분할 3</t>
        </is>
      </c>
      <c r="B23" s="13" t="n">
        <v>4</v>
      </c>
      <c r="C23" s="13" t="inlineStr">
        <is>
          <t>ForkJoinPool-6-worker-3</t>
        </is>
      </c>
      <c r="D23" s="12" t="inlineStr">
        <is>
          <t>워커</t>
        </is>
      </c>
      <c r="E23" s="10" t="n">
        <v>46238.47868546296</v>
      </c>
      <c r="F23" s="10" t="n">
        <v>46238.47868695204</v>
      </c>
      <c r="G23" s="13" t="n">
        <v>3</v>
      </c>
      <c r="H23" s="14" t="n">
        <v>137.7864</v>
      </c>
      <c r="I23" s="13">
        <f>COUNTIFS('클럭 정리'!$A$6:$A$87,"&gt;="&amp;E23,'클럭 정리'!$A$6:$A$87,"&lt;="&amp;F23)</f>
        <v/>
      </c>
      <c r="J23" s="14">
        <f>AVERAGEIFS('클럭 정리'!$N$6:$N$87,'클럭 정리'!$A$6:$A$87,"&gt;="&amp;E23,'클럭 정리'!$A$6:$A$87,"&lt;="&amp;F23)</f>
        <v/>
      </c>
      <c r="K23" s="15">
        <f>J23*'클럭 정리'!$B$2/100</f>
        <v/>
      </c>
    </row>
    <row r="24">
      <c r="A24" s="13" t="inlineStr">
        <is>
          <t>병렬도 6 분할 3</t>
        </is>
      </c>
      <c r="B24" s="13" t="n">
        <v>4</v>
      </c>
      <c r="C24" s="13" t="inlineStr">
        <is>
          <t>ForkJoinPool-6-worker-4</t>
        </is>
      </c>
      <c r="D24" s="12" t="inlineStr">
        <is>
          <t>워커</t>
        </is>
      </c>
      <c r="E24" s="10" t="n">
        <v>46238.47868646991</v>
      </c>
      <c r="F24" s="10" t="n">
        <v>46238.47868754061</v>
      </c>
      <c r="G24" s="13" t="n">
        <v>2</v>
      </c>
      <c r="H24" s="14" t="n">
        <v>88.9592</v>
      </c>
      <c r="I24" s="13">
        <f>COUNTIFS('클럭 정리'!$A$6:$A$87,"&gt;="&amp;E24,'클럭 정리'!$A$6:$A$87,"&lt;="&amp;F24)</f>
        <v/>
      </c>
      <c r="J24" s="14">
        <f>AVERAGEIFS('클럭 정리'!$N$6:$N$87,'클럭 정리'!$A$6:$A$87,"&gt;="&amp;E24,'클럭 정리'!$A$6:$A$87,"&lt;="&amp;F24)</f>
        <v/>
      </c>
      <c r="K24" s="15">
        <f>J24*'클럭 정리'!$B$2/100</f>
        <v/>
      </c>
    </row>
    <row r="25">
      <c r="A25" s="13" t="inlineStr">
        <is>
          <t>병렬도 6 분할 3</t>
        </is>
      </c>
      <c r="B25" s="13" t="n">
        <v>4</v>
      </c>
      <c r="C25" s="13" t="inlineStr">
        <is>
          <t>ForkJoinPool-6-worker-5</t>
        </is>
      </c>
      <c r="D25" s="12" t="inlineStr">
        <is>
          <t>워커</t>
        </is>
      </c>
      <c r="E25" s="10" t="n">
        <v>46238.47868703704</v>
      </c>
      <c r="F25" s="10" t="n">
        <v>46238.47871168685</v>
      </c>
      <c r="G25" s="13" t="n">
        <v>42</v>
      </c>
      <c r="H25" s="14" t="n">
        <v>2001.234</v>
      </c>
      <c r="I25" s="13">
        <f>COUNTIFS('클럭 정리'!$A$6:$A$87,"&gt;="&amp;E25,'클럭 정리'!$A$6:$A$87,"&lt;="&amp;F25)</f>
        <v/>
      </c>
      <c r="J25" s="14">
        <f>AVERAGEIFS('클럭 정리'!$N$6:$N$87,'클럭 정리'!$A$6:$A$87,"&gt;="&amp;E25,'클럭 정리'!$A$6:$A$87,"&lt;="&amp;F25)</f>
        <v/>
      </c>
      <c r="K25" s="15">
        <f>J25*'클럭 정리'!$B$2/100</f>
        <v/>
      </c>
    </row>
    <row r="26">
      <c r="A26" s="13" t="inlineStr">
        <is>
          <t>병렬도 6 분할 3</t>
        </is>
      </c>
      <c r="B26" s="13" t="n">
        <v>4</v>
      </c>
      <c r="C26" s="13" t="inlineStr">
        <is>
          <t>ForkJoinPool-6-worker-6</t>
        </is>
      </c>
      <c r="D26" s="12" t="inlineStr">
        <is>
          <t>워커</t>
        </is>
      </c>
      <c r="E26" s="10" t="n">
        <v>46238.47868758102</v>
      </c>
      <c r="F26" s="10" t="n">
        <v>46238.47871169605</v>
      </c>
      <c r="G26" s="13" t="n">
        <v>41</v>
      </c>
      <c r="H26" s="14" t="n">
        <v>1982.576</v>
      </c>
      <c r="I26" s="13">
        <f>COUNTIFS('클럭 정리'!$A$6:$A$87,"&gt;="&amp;E26,'클럭 정리'!$A$6:$A$87,"&lt;="&amp;F26)</f>
        <v/>
      </c>
      <c r="J26" s="14">
        <f>AVERAGEIFS('클럭 정리'!$N$6:$N$87,'클럭 정리'!$A$6:$A$87,"&gt;="&amp;E26,'클럭 정리'!$A$6:$A$87,"&lt;="&amp;F26)</f>
        <v/>
      </c>
      <c r="K26" s="15">
        <f>J26*'클럭 정리'!$B$2/100</f>
        <v/>
      </c>
    </row>
    <row r="27">
      <c r="A27" s="13" t="inlineStr">
        <is>
          <t>병렬도 6 분할 3</t>
        </is>
      </c>
      <c r="B27" s="13" t="n">
        <v>4</v>
      </c>
      <c r="C27" s="13" t="inlineStr">
        <is>
          <t>main</t>
        </is>
      </c>
      <c r="D27" s="12" t="inlineStr">
        <is>
          <t>main (활동 시간 합 = 그 회차 mainCPU, 창은 워커와 겹침)</t>
        </is>
      </c>
      <c r="E27" s="10" t="n">
        <v>46238.47868543981</v>
      </c>
      <c r="F27" s="10" t="n">
        <v>46238.47871169826</v>
      </c>
      <c r="G27" s="13" t="n">
        <v>45</v>
      </c>
      <c r="H27" s="14" t="n">
        <v>15.625</v>
      </c>
      <c r="I27" s="13">
        <f>COUNTIFS('클럭 정리'!$A$6:$A$87,"&gt;="&amp;E27,'클럭 정리'!$A$6:$A$87,"&lt;="&amp;F27)</f>
        <v/>
      </c>
      <c r="J27" s="14">
        <f>AVERAGEIFS('클럭 정리'!$N$6:$N$87,'클럭 정리'!$A$6:$A$87,"&gt;="&amp;E27,'클럭 정리'!$A$6:$A$87,"&lt;="&amp;F27)</f>
        <v/>
      </c>
      <c r="K27" s="15">
        <f>J27*'클럭 정리'!$B$2/100</f>
        <v/>
      </c>
    </row>
    <row r="28">
      <c r="A28" s="13" t="inlineStr">
        <is>
          <t>병렬도 6 분할 3</t>
        </is>
      </c>
      <c r="B28" s="13" t="n">
        <v>5</v>
      </c>
      <c r="C28" s="13" t="inlineStr">
        <is>
          <t>ForkJoinPool-7-worker-1</t>
        </is>
      </c>
      <c r="D28" s="12" t="inlineStr">
        <is>
          <t>워커</t>
        </is>
      </c>
      <c r="E28" s="10" t="n">
        <v>46238.47871168982</v>
      </c>
      <c r="F28" s="10" t="n">
        <v>46238.47873833554</v>
      </c>
      <c r="G28" s="13" t="n">
        <v>45</v>
      </c>
      <c r="H28" s="14" t="n">
        <v>2278.5322</v>
      </c>
      <c r="I28" s="13">
        <f>COUNTIFS('클럭 정리'!$A$6:$A$87,"&gt;="&amp;E28,'클럭 정리'!$A$6:$A$87,"&lt;="&amp;F28)</f>
        <v/>
      </c>
      <c r="J28" s="14">
        <f>AVERAGEIFS('클럭 정리'!$N$6:$N$87,'클럭 정리'!$A$6:$A$87,"&gt;="&amp;E28,'클럭 정리'!$A$6:$A$87,"&lt;="&amp;F28)</f>
        <v/>
      </c>
      <c r="K28" s="15">
        <f>J28*'클럭 정리'!$B$2/100</f>
        <v/>
      </c>
    </row>
    <row r="29">
      <c r="A29" s="13" t="inlineStr">
        <is>
          <t>병렬도 6 분할 3</t>
        </is>
      </c>
      <c r="B29" s="13" t="n">
        <v>5</v>
      </c>
      <c r="C29" s="13" t="inlineStr">
        <is>
          <t>ForkJoinPool-7-worker-2</t>
        </is>
      </c>
      <c r="D29" s="12" t="inlineStr">
        <is>
          <t>워커</t>
        </is>
      </c>
      <c r="E29" s="10" t="n">
        <v>46238.47871168982</v>
      </c>
      <c r="F29" s="10" t="n">
        <v>46238.47871227111</v>
      </c>
      <c r="G29" s="13" t="n">
        <v>1</v>
      </c>
      <c r="H29" s="14" t="n">
        <v>50.2235</v>
      </c>
      <c r="I29" s="13">
        <f>COUNTIFS('클럭 정리'!$A$6:$A$87,"&gt;="&amp;E29,'클럭 정리'!$A$6:$A$87,"&lt;="&amp;F29)</f>
        <v/>
      </c>
      <c r="J29" s="14">
        <f>AVERAGEIFS('클럭 정리'!$N$6:$N$87,'클럭 정리'!$A$6:$A$87,"&gt;="&amp;E29,'클럭 정리'!$A$6:$A$87,"&lt;="&amp;F29)</f>
        <v/>
      </c>
      <c r="K29" s="15">
        <f>J29*'클럭 정리'!$B$2/100</f>
        <v/>
      </c>
    </row>
    <row r="30">
      <c r="A30" s="13" t="inlineStr">
        <is>
          <t>병렬도 6 분할 3</t>
        </is>
      </c>
      <c r="B30" s="13" t="n">
        <v>5</v>
      </c>
      <c r="C30" s="13" t="inlineStr">
        <is>
          <t>ForkJoinPool-7-worker-3</t>
        </is>
      </c>
      <c r="D30" s="12" t="inlineStr">
        <is>
          <t>워커</t>
        </is>
      </c>
      <c r="E30" s="10" t="n">
        <v>46238.47871168982</v>
      </c>
      <c r="F30" s="10" t="n">
        <v>46238.47871631551</v>
      </c>
      <c r="G30" s="13" t="n">
        <v>8</v>
      </c>
      <c r="H30" s="14" t="n">
        <v>377.1053</v>
      </c>
      <c r="I30" s="13">
        <f>COUNTIFS('클럭 정리'!$A$6:$A$87,"&gt;="&amp;E30,'클럭 정리'!$A$6:$A$87,"&lt;="&amp;F30)</f>
        <v/>
      </c>
      <c r="J30" s="14">
        <f>AVERAGEIFS('클럭 정리'!$N$6:$N$87,'클럭 정리'!$A$6:$A$87,"&gt;="&amp;E30,'클럭 정리'!$A$6:$A$87,"&lt;="&amp;F30)</f>
        <v/>
      </c>
      <c r="K30" s="15">
        <f>J30*'클럭 정리'!$B$2/100</f>
        <v/>
      </c>
    </row>
    <row r="31">
      <c r="A31" s="13" t="inlineStr">
        <is>
          <t>병렬도 6 분할 3</t>
        </is>
      </c>
      <c r="B31" s="13" t="n">
        <v>5</v>
      </c>
      <c r="C31" s="13" t="inlineStr">
        <is>
          <t>ForkJoinPool-7-worker-4</t>
        </is>
      </c>
      <c r="D31" s="12" t="inlineStr">
        <is>
          <t>워커</t>
        </is>
      </c>
      <c r="E31" s="10" t="n">
        <v>46238.47871219907</v>
      </c>
      <c r="F31" s="10" t="n">
        <v>46238.47871685095</v>
      </c>
      <c r="G31" s="13" t="n">
        <v>8</v>
      </c>
      <c r="H31" s="14" t="n">
        <v>374.3719</v>
      </c>
      <c r="I31" s="13">
        <f>COUNTIFS('클럭 정리'!$A$6:$A$87,"&gt;="&amp;E31,'클럭 정리'!$A$6:$A$87,"&lt;="&amp;F31)</f>
        <v/>
      </c>
      <c r="J31" s="14">
        <f>AVERAGEIFS('클럭 정리'!$N$6:$N$87,'클럭 정리'!$A$6:$A$87,"&gt;="&amp;E31,'클럭 정리'!$A$6:$A$87,"&lt;="&amp;F31)</f>
        <v/>
      </c>
      <c r="K31" s="15">
        <f>J31*'클럭 정리'!$B$2/100</f>
        <v/>
      </c>
    </row>
    <row r="32">
      <c r="A32" s="13" t="inlineStr">
        <is>
          <t>병렬도 6 분할 3</t>
        </is>
      </c>
      <c r="B32" s="13" t="n">
        <v>5</v>
      </c>
      <c r="C32" s="13" t="inlineStr">
        <is>
          <t>ForkJoinPool-7-worker-5</t>
        </is>
      </c>
      <c r="D32" s="12" t="inlineStr">
        <is>
          <t>워커</t>
        </is>
      </c>
      <c r="E32" s="10" t="n">
        <v>46238.47871633102</v>
      </c>
      <c r="F32" s="10" t="n">
        <v>46238.47873835007</v>
      </c>
      <c r="G32" s="13" t="n">
        <v>37</v>
      </c>
      <c r="H32" s="14" t="n">
        <v>1819.6903</v>
      </c>
      <c r="I32" s="13">
        <f>COUNTIFS('클럭 정리'!$A$6:$A$87,"&gt;="&amp;E32,'클럭 정리'!$A$6:$A$87,"&lt;="&amp;F32)</f>
        <v/>
      </c>
      <c r="J32" s="14">
        <f>AVERAGEIFS('클럭 정리'!$N$6:$N$87,'클럭 정리'!$A$6:$A$87,"&gt;="&amp;E32,'클럭 정리'!$A$6:$A$87,"&lt;="&amp;F32)</f>
        <v/>
      </c>
      <c r="K32" s="15">
        <f>J32*'클럭 정리'!$B$2/100</f>
        <v/>
      </c>
    </row>
    <row r="33">
      <c r="A33" s="13" t="inlineStr">
        <is>
          <t>병렬도 6 분할 3</t>
        </is>
      </c>
      <c r="B33" s="13" t="n">
        <v>5</v>
      </c>
      <c r="C33" s="13" t="inlineStr">
        <is>
          <t>ForkJoinPool-7-worker-6</t>
        </is>
      </c>
      <c r="D33" s="12" t="inlineStr">
        <is>
          <t>워커</t>
        </is>
      </c>
      <c r="E33" s="10" t="n">
        <v>46238.47871693287</v>
      </c>
      <c r="F33" s="10" t="n">
        <v>46238.47873832059</v>
      </c>
      <c r="G33" s="13" t="n">
        <v>36</v>
      </c>
      <c r="H33" s="14" t="n">
        <v>1763.7488</v>
      </c>
      <c r="I33" s="13">
        <f>COUNTIFS('클럭 정리'!$A$6:$A$87,"&gt;="&amp;E33,'클럭 정리'!$A$6:$A$87,"&lt;="&amp;F33)</f>
        <v/>
      </c>
      <c r="J33" s="14">
        <f>AVERAGEIFS('클럭 정리'!$N$6:$N$87,'클럭 정리'!$A$6:$A$87,"&gt;="&amp;E33,'클럭 정리'!$A$6:$A$87,"&lt;="&amp;F33)</f>
        <v/>
      </c>
      <c r="K33" s="15">
        <f>J33*'클럭 정리'!$B$2/100</f>
        <v/>
      </c>
    </row>
    <row r="34">
      <c r="A34" s="13" t="inlineStr">
        <is>
          <t>병렬도 6 분할 3</t>
        </is>
      </c>
      <c r="B34" s="13" t="n">
        <v>5</v>
      </c>
      <c r="C34" s="13" t="inlineStr">
        <is>
          <t>main</t>
        </is>
      </c>
      <c r="D34" s="12" t="inlineStr">
        <is>
          <t>main (활동 시간 합 = 그 회차 mainCPU, 창은 워커와 겹침)</t>
        </is>
      </c>
      <c r="E34" s="10" t="n">
        <v>46238.47871168982</v>
      </c>
      <c r="F34" s="10" t="n">
        <v>46238.47873835294</v>
      </c>
      <c r="G34" s="13" t="n">
        <v>45</v>
      </c>
      <c r="H34" s="14" t="n">
        <v>0</v>
      </c>
      <c r="I34" s="13">
        <f>COUNTIFS('클럭 정리'!$A$6:$A$87,"&gt;="&amp;E34,'클럭 정리'!$A$6:$A$87,"&lt;="&amp;F34)</f>
        <v/>
      </c>
      <c r="J34" s="14">
        <f>AVERAGEIFS('클럭 정리'!$N$6:$N$87,'클럭 정리'!$A$6:$A$87,"&gt;="&amp;E34,'클럭 정리'!$A$6:$A$87,"&lt;="&amp;F34)</f>
        <v/>
      </c>
      <c r="K34" s="15">
        <f>J34*'클럭 정리'!$B$2/100</f>
        <v/>
      </c>
    </row>
    <row r="35">
      <c r="A35" s="13" t="inlineStr">
        <is>
          <t>병렬도 12 분할 3</t>
        </is>
      </c>
      <c r="B35" s="13" t="n">
        <v>1</v>
      </c>
      <c r="C35" s="13" t="inlineStr">
        <is>
          <t>ForkJoinPool-11-worker-1</t>
        </is>
      </c>
      <c r="D35" s="12" t="inlineStr">
        <is>
          <t>워커</t>
        </is>
      </c>
      <c r="E35" s="10" t="n">
        <v>46238.47881875</v>
      </c>
      <c r="F35" s="10" t="n">
        <v>46238.47884535349</v>
      </c>
      <c r="G35" s="13" t="n">
        <v>45</v>
      </c>
      <c r="H35" s="14" t="n">
        <v>2245.951</v>
      </c>
      <c r="I35" s="13">
        <f>COUNTIFS('클럭 정리'!$A$6:$A$87,"&gt;="&amp;E35,'클럭 정리'!$A$6:$A$87,"&lt;="&amp;F35)</f>
        <v/>
      </c>
      <c r="J35" s="14">
        <f>AVERAGEIFS('클럭 정리'!$N$6:$N$87,'클럭 정리'!$A$6:$A$87,"&gt;="&amp;E35,'클럭 정리'!$A$6:$A$87,"&lt;="&amp;F35)</f>
        <v/>
      </c>
      <c r="K35" s="15">
        <f>J35*'클럭 정리'!$B$2/100</f>
        <v/>
      </c>
    </row>
    <row r="36">
      <c r="A36" s="13" t="inlineStr">
        <is>
          <t>병렬도 12 분할 3</t>
        </is>
      </c>
      <c r="B36" s="13" t="n">
        <v>1</v>
      </c>
      <c r="C36" s="13" t="inlineStr">
        <is>
          <t>ForkJoinPool-11-worker-10</t>
        </is>
      </c>
      <c r="D36" s="12" t="inlineStr">
        <is>
          <t>워커</t>
        </is>
      </c>
      <c r="E36" s="10" t="n">
        <v>46238.47883053241</v>
      </c>
      <c r="F36" s="10" t="n">
        <v>46238.47883114551</v>
      </c>
      <c r="G36" s="13" t="n">
        <v>1</v>
      </c>
      <c r="H36" s="14" t="n">
        <v>52.9725</v>
      </c>
      <c r="I36" s="13">
        <f>COUNTIFS('클럭 정리'!$A$6:$A$87,"&gt;="&amp;E36,'클럭 정리'!$A$6:$A$87,"&lt;="&amp;F36)</f>
        <v/>
      </c>
      <c r="J36" s="14">
        <f>AVERAGEIFS('클럭 정리'!$N$6:$N$87,'클럭 정리'!$A$6:$A$87,"&gt;="&amp;E36,'클럭 정리'!$A$6:$A$87,"&lt;="&amp;F36)</f>
        <v/>
      </c>
      <c r="K36" s="15">
        <f>J36*'클럭 정리'!$B$2/100</f>
        <v/>
      </c>
    </row>
    <row r="37">
      <c r="A37" s="13" t="inlineStr">
        <is>
          <t>병렬도 12 분할 3</t>
        </is>
      </c>
      <c r="B37" s="13" t="n">
        <v>1</v>
      </c>
      <c r="C37" s="13" t="inlineStr">
        <is>
          <t>ForkJoinPool-11-worker-12</t>
        </is>
      </c>
      <c r="D37" s="12" t="inlineStr">
        <is>
          <t>워커</t>
        </is>
      </c>
      <c r="E37" s="10" t="n">
        <v>46238.47883118055</v>
      </c>
      <c r="F37" s="10" t="n">
        <v>46238.47884533567</v>
      </c>
      <c r="G37" s="13" t="n">
        <v>24</v>
      </c>
      <c r="H37" s="14" t="n">
        <v>1170.5769</v>
      </c>
      <c r="I37" s="13">
        <f>COUNTIFS('클럭 정리'!$A$6:$A$87,"&gt;="&amp;E37,'클럭 정리'!$A$6:$A$87,"&lt;="&amp;F37)</f>
        <v/>
      </c>
      <c r="J37" s="14">
        <f>AVERAGEIFS('클럭 정리'!$N$6:$N$87,'클럭 정리'!$A$6:$A$87,"&gt;="&amp;E37,'클럭 정리'!$A$6:$A$87,"&lt;="&amp;F37)</f>
        <v/>
      </c>
      <c r="K37" s="15">
        <f>J37*'클럭 정리'!$B$2/100</f>
        <v/>
      </c>
    </row>
    <row r="38">
      <c r="A38" s="13" t="inlineStr">
        <is>
          <t>병렬도 12 분할 3</t>
        </is>
      </c>
      <c r="B38" s="13" t="n">
        <v>1</v>
      </c>
      <c r="C38" s="13" t="inlineStr">
        <is>
          <t>ForkJoinPool-11-worker-2</t>
        </is>
      </c>
      <c r="D38" s="12" t="inlineStr">
        <is>
          <t>워커</t>
        </is>
      </c>
      <c r="E38" s="10" t="n">
        <v>46238.47881875</v>
      </c>
      <c r="F38" s="10" t="n">
        <v>46238.47882275501</v>
      </c>
      <c r="G38" s="13" t="n">
        <v>7</v>
      </c>
      <c r="H38" s="14" t="n">
        <v>329.1548</v>
      </c>
      <c r="I38" s="13">
        <f>COUNTIFS('클럭 정리'!$A$6:$A$87,"&gt;="&amp;E38,'클럭 정리'!$A$6:$A$87,"&lt;="&amp;F38)</f>
        <v/>
      </c>
      <c r="J38" s="14">
        <f>AVERAGEIFS('클럭 정리'!$N$6:$N$87,'클럭 정리'!$A$6:$A$87,"&gt;="&amp;E38,'클럭 정리'!$A$6:$A$87,"&lt;="&amp;F38)</f>
        <v/>
      </c>
      <c r="K38" s="15">
        <f>J38*'클럭 정리'!$B$2/100</f>
        <v/>
      </c>
    </row>
    <row r="39">
      <c r="A39" s="13" t="inlineStr">
        <is>
          <t>병렬도 12 분할 3</t>
        </is>
      </c>
      <c r="B39" s="13" t="n">
        <v>1</v>
      </c>
      <c r="C39" s="13" t="inlineStr">
        <is>
          <t>ForkJoinPool-11-worker-3</t>
        </is>
      </c>
      <c r="D39" s="12" t="inlineStr">
        <is>
          <t>워커</t>
        </is>
      </c>
      <c r="E39" s="10" t="n">
        <v>46238.47881875</v>
      </c>
      <c r="F39" s="10" t="n">
        <v>46238.47882809976</v>
      </c>
      <c r="G39" s="13" t="n">
        <v>16</v>
      </c>
      <c r="H39" s="14" t="n">
        <v>776.4552</v>
      </c>
      <c r="I39" s="13">
        <f>COUNTIFS('클럭 정리'!$A$6:$A$87,"&gt;="&amp;E39,'클럭 정리'!$A$6:$A$87,"&lt;="&amp;F39)</f>
        <v/>
      </c>
      <c r="J39" s="14">
        <f>AVERAGEIFS('클럭 정리'!$N$6:$N$87,'클럭 정리'!$A$6:$A$87,"&gt;="&amp;E39,'클럭 정리'!$A$6:$A$87,"&lt;="&amp;F39)</f>
        <v/>
      </c>
      <c r="K39" s="15">
        <f>J39*'클럭 정리'!$B$2/100</f>
        <v/>
      </c>
    </row>
    <row r="40">
      <c r="A40" s="13" t="inlineStr">
        <is>
          <t>병렬도 12 분할 3</t>
        </is>
      </c>
      <c r="B40" s="13" t="n">
        <v>1</v>
      </c>
      <c r="C40" s="13" t="inlineStr">
        <is>
          <t>ForkJoinPool-11-worker-5</t>
        </is>
      </c>
      <c r="D40" s="12" t="inlineStr">
        <is>
          <t>워커</t>
        </is>
      </c>
      <c r="E40" s="10" t="n">
        <v>46238.47882280093</v>
      </c>
      <c r="F40" s="10" t="n">
        <v>46238.47882763712</v>
      </c>
      <c r="G40" s="13" t="n">
        <v>8</v>
      </c>
      <c r="H40" s="14" t="n">
        <v>394.7917</v>
      </c>
      <c r="I40" s="13">
        <f>COUNTIFS('클럭 정리'!$A$6:$A$87,"&gt;="&amp;E40,'클럭 정리'!$A$6:$A$87,"&lt;="&amp;F40)</f>
        <v/>
      </c>
      <c r="J40" s="14">
        <f>AVERAGEIFS('클럭 정리'!$N$6:$N$87,'클럭 정리'!$A$6:$A$87,"&gt;="&amp;E40,'클럭 정리'!$A$6:$A$87,"&lt;="&amp;F40)</f>
        <v/>
      </c>
      <c r="K40" s="15">
        <f>J40*'클럭 정리'!$B$2/100</f>
        <v/>
      </c>
    </row>
    <row r="41">
      <c r="A41" s="13" t="inlineStr">
        <is>
          <t>병렬도 12 분할 3</t>
        </is>
      </c>
      <c r="B41" s="13" t="n">
        <v>1</v>
      </c>
      <c r="C41" s="13" t="inlineStr">
        <is>
          <t>ForkJoinPool-11-worker-7</t>
        </is>
      </c>
      <c r="D41" s="12" t="inlineStr">
        <is>
          <t>워커</t>
        </is>
      </c>
      <c r="E41" s="10" t="n">
        <v>46238.47882765046</v>
      </c>
      <c r="F41" s="10" t="n">
        <v>46238.47883054145</v>
      </c>
      <c r="G41" s="13" t="n">
        <v>5</v>
      </c>
      <c r="H41" s="14" t="n">
        <v>248.6079</v>
      </c>
      <c r="I41" s="13">
        <f>COUNTIFS('클럭 정리'!$A$6:$A$87,"&gt;="&amp;E41,'클럭 정리'!$A$6:$A$87,"&lt;="&amp;F41)</f>
        <v/>
      </c>
      <c r="J41" s="14">
        <f>AVERAGEIFS('클럭 정리'!$N$6:$N$87,'클럭 정리'!$A$6:$A$87,"&gt;="&amp;E41,'클럭 정리'!$A$6:$A$87,"&lt;="&amp;F41)</f>
        <v/>
      </c>
      <c r="K41" s="15">
        <f>J41*'클럭 정리'!$B$2/100</f>
        <v/>
      </c>
    </row>
    <row r="42">
      <c r="A42" s="13" t="inlineStr">
        <is>
          <t>병렬도 12 분할 3</t>
        </is>
      </c>
      <c r="B42" s="13" t="n">
        <v>1</v>
      </c>
      <c r="C42" s="13" t="inlineStr">
        <is>
          <t>ForkJoinPool-11-worker-8</t>
        </is>
      </c>
      <c r="D42" s="12" t="inlineStr">
        <is>
          <t>워커</t>
        </is>
      </c>
      <c r="E42" s="10" t="n">
        <v>46238.47882819444</v>
      </c>
      <c r="F42" s="10" t="n">
        <v>46238.4788286911</v>
      </c>
      <c r="G42" s="13" t="n">
        <v>1</v>
      </c>
      <c r="H42" s="14" t="n">
        <v>42.9106</v>
      </c>
      <c r="I42" s="13">
        <f>COUNTIFS('클럭 정리'!$A$6:$A$87,"&gt;="&amp;E42,'클럭 정리'!$A$6:$A$87,"&lt;="&amp;F42)</f>
        <v/>
      </c>
      <c r="J42" s="14">
        <f>AVERAGEIFS('클럭 정리'!$N$6:$N$87,'클럭 정리'!$A$6:$A$87,"&gt;="&amp;E42,'클럭 정리'!$A$6:$A$87,"&lt;="&amp;F42)</f>
        <v/>
      </c>
      <c r="K42" s="15">
        <f>J42*'클럭 정리'!$B$2/100</f>
        <v/>
      </c>
    </row>
    <row r="43">
      <c r="A43" s="13" t="inlineStr">
        <is>
          <t>병렬도 12 분할 3</t>
        </is>
      </c>
      <c r="B43" s="13" t="n">
        <v>1</v>
      </c>
      <c r="C43" s="13" t="inlineStr">
        <is>
          <t>ForkJoinPool-11-worker-9</t>
        </is>
      </c>
      <c r="D43" s="12" t="inlineStr">
        <is>
          <t>워커</t>
        </is>
      </c>
      <c r="E43" s="10" t="n">
        <v>46238.47882877315</v>
      </c>
      <c r="F43" s="10" t="n">
        <v>46238.47884534693</v>
      </c>
      <c r="G43" s="13" t="n">
        <v>28</v>
      </c>
      <c r="H43" s="14" t="n">
        <v>1382.4646</v>
      </c>
      <c r="I43" s="13">
        <f>COUNTIFS('클럭 정리'!$A$6:$A$87,"&gt;="&amp;E43,'클럭 정리'!$A$6:$A$87,"&lt;="&amp;F43)</f>
        <v/>
      </c>
      <c r="J43" s="14">
        <f>AVERAGEIFS('클럭 정리'!$N$6:$N$87,'클럭 정리'!$A$6:$A$87,"&gt;="&amp;E43,'클럭 정리'!$A$6:$A$87,"&lt;="&amp;F43)</f>
        <v/>
      </c>
      <c r="K43" s="15">
        <f>J43*'클럭 정리'!$B$2/100</f>
        <v/>
      </c>
    </row>
    <row r="44">
      <c r="A44" s="13" t="inlineStr">
        <is>
          <t>병렬도 12 분할 3</t>
        </is>
      </c>
      <c r="B44" s="13" t="n">
        <v>1</v>
      </c>
      <c r="C44" s="13" t="inlineStr">
        <is>
          <t>main</t>
        </is>
      </c>
      <c r="D44" s="12" t="inlineStr">
        <is>
          <t>main (활동 시간 합 = 그 회차 mainCPU, 창은 워커와 겹침)</t>
        </is>
      </c>
      <c r="E44" s="10" t="n">
        <v>46238.47881875</v>
      </c>
      <c r="F44" s="10" t="n">
        <v>46238.4788453567</v>
      </c>
      <c r="G44" s="13" t="n">
        <v>45</v>
      </c>
      <c r="H44" s="14" t="n">
        <v>0</v>
      </c>
      <c r="I44" s="13">
        <f>COUNTIFS('클럭 정리'!$A$6:$A$87,"&gt;="&amp;E44,'클럭 정리'!$A$6:$A$87,"&lt;="&amp;F44)</f>
        <v/>
      </c>
      <c r="J44" s="14">
        <f>AVERAGEIFS('클럭 정리'!$N$6:$N$87,'클럭 정리'!$A$6:$A$87,"&gt;="&amp;E44,'클럭 정리'!$A$6:$A$87,"&lt;="&amp;F44)</f>
        <v/>
      </c>
      <c r="K44" s="15">
        <f>J44*'클럭 정리'!$B$2/100</f>
        <v/>
      </c>
    </row>
    <row r="45">
      <c r="A45" s="13" t="inlineStr">
        <is>
          <t>병렬도 12 분할 3</t>
        </is>
      </c>
      <c r="B45" s="13" t="n">
        <v>2</v>
      </c>
      <c r="C45" s="13" t="inlineStr">
        <is>
          <t>ForkJoinPool-12-worker-1</t>
        </is>
      </c>
      <c r="D45" s="12" t="inlineStr">
        <is>
          <t>워커</t>
        </is>
      </c>
      <c r="E45" s="10" t="n">
        <v>46238.47884541667</v>
      </c>
      <c r="F45" s="10" t="n">
        <v>46238.4788735688</v>
      </c>
      <c r="G45" s="13" t="n">
        <v>45</v>
      </c>
      <c r="H45" s="14" t="n">
        <v>2390.2782</v>
      </c>
      <c r="I45" s="13">
        <f>COUNTIFS('클럭 정리'!$A$6:$A$87,"&gt;="&amp;E45,'클럭 정리'!$A$6:$A$87,"&lt;="&amp;F45)</f>
        <v/>
      </c>
      <c r="J45" s="14">
        <f>AVERAGEIFS('클럭 정리'!$N$6:$N$87,'클럭 정리'!$A$6:$A$87,"&gt;="&amp;E45,'클럭 정리'!$A$6:$A$87,"&lt;="&amp;F45)</f>
        <v/>
      </c>
      <c r="K45" s="15">
        <f>J45*'클럭 정리'!$B$2/100</f>
        <v/>
      </c>
    </row>
    <row r="46">
      <c r="A46" s="13" t="inlineStr">
        <is>
          <t>병렬도 12 분할 3</t>
        </is>
      </c>
      <c r="B46" s="13" t="n">
        <v>2</v>
      </c>
      <c r="C46" s="13" t="inlineStr">
        <is>
          <t>ForkJoinPool-12-worker-10</t>
        </is>
      </c>
      <c r="D46" s="12" t="inlineStr">
        <is>
          <t>워커</t>
        </is>
      </c>
      <c r="E46" s="10" t="n">
        <v>46238.47885125</v>
      </c>
      <c r="F46" s="10" t="n">
        <v>46238.47887355908</v>
      </c>
      <c r="G46" s="13" t="n">
        <v>36</v>
      </c>
      <c r="H46" s="14" t="n">
        <v>1813.1988</v>
      </c>
      <c r="I46" s="13">
        <f>COUNTIFS('클럭 정리'!$A$6:$A$87,"&gt;="&amp;E46,'클럭 정리'!$A$6:$A$87,"&lt;="&amp;F46)</f>
        <v/>
      </c>
      <c r="J46" s="14">
        <f>AVERAGEIFS('클럭 정리'!$N$6:$N$87,'클럭 정리'!$A$6:$A$87,"&gt;="&amp;E46,'클럭 정리'!$A$6:$A$87,"&lt;="&amp;F46)</f>
        <v/>
      </c>
      <c r="K46" s="15">
        <f>J46*'클럭 정리'!$B$2/100</f>
        <v/>
      </c>
    </row>
    <row r="47">
      <c r="A47" s="13" t="inlineStr">
        <is>
          <t>병렬도 12 분할 3</t>
        </is>
      </c>
      <c r="B47" s="13" t="n">
        <v>2</v>
      </c>
      <c r="C47" s="13" t="inlineStr">
        <is>
          <t>ForkJoinPool-12-worker-11</t>
        </is>
      </c>
      <c r="D47" s="12" t="inlineStr">
        <is>
          <t>워커</t>
        </is>
      </c>
      <c r="E47" s="10" t="n">
        <v>46238.47885174768</v>
      </c>
      <c r="F47" s="10" t="n">
        <v>46238.4788530931</v>
      </c>
      <c r="G47" s="13" t="n">
        <v>2</v>
      </c>
      <c r="H47" s="14" t="n">
        <v>103.4447</v>
      </c>
      <c r="I47" s="13">
        <f>COUNTIFS('클럭 정리'!$A$6:$A$87,"&gt;="&amp;E47,'클럭 정리'!$A$6:$A$87,"&lt;="&amp;F47)</f>
        <v/>
      </c>
      <c r="J47" s="14">
        <f>AVERAGEIFS('클럭 정리'!$N$6:$N$87,'클럭 정리'!$A$6:$A$87,"&gt;="&amp;E47,'클럭 정리'!$A$6:$A$87,"&lt;="&amp;F47)</f>
        <v/>
      </c>
      <c r="K47" s="15">
        <f>J47*'클럭 정리'!$B$2/100</f>
        <v/>
      </c>
    </row>
    <row r="48">
      <c r="A48" s="13" t="inlineStr">
        <is>
          <t>병렬도 12 분할 3</t>
        </is>
      </c>
      <c r="B48" s="13" t="n">
        <v>2</v>
      </c>
      <c r="C48" s="13" t="inlineStr">
        <is>
          <t>ForkJoinPool-12-worker-12</t>
        </is>
      </c>
      <c r="D48" s="12" t="inlineStr">
        <is>
          <t>워커</t>
        </is>
      </c>
      <c r="E48" s="10" t="n">
        <v>46238.47885302083</v>
      </c>
      <c r="F48" s="10" t="n">
        <v>46238.47887354049</v>
      </c>
      <c r="G48" s="13" t="n">
        <v>33</v>
      </c>
      <c r="H48" s="14" t="n">
        <v>1653.2243</v>
      </c>
      <c r="I48" s="13">
        <f>COUNTIFS('클럭 정리'!$A$6:$A$87,"&gt;="&amp;E48,'클럭 정리'!$A$6:$A$87,"&lt;="&amp;F48)</f>
        <v/>
      </c>
      <c r="J48" s="14">
        <f>AVERAGEIFS('클럭 정리'!$N$6:$N$87,'클럭 정리'!$A$6:$A$87,"&gt;="&amp;E48,'클럭 정리'!$A$6:$A$87,"&lt;="&amp;F48)</f>
        <v/>
      </c>
      <c r="K48" s="15">
        <f>J48*'클럭 정리'!$B$2/100</f>
        <v/>
      </c>
    </row>
    <row r="49">
      <c r="A49" s="13" t="inlineStr">
        <is>
          <t>병렬도 12 분할 3</t>
        </is>
      </c>
      <c r="B49" s="13" t="n">
        <v>2</v>
      </c>
      <c r="C49" s="13" t="inlineStr">
        <is>
          <t>ForkJoinPool-12-worker-2</t>
        </is>
      </c>
      <c r="D49" s="12" t="inlineStr">
        <is>
          <t>워커</t>
        </is>
      </c>
      <c r="E49" s="10" t="n">
        <v>46238.47884541667</v>
      </c>
      <c r="F49" s="10" t="n">
        <v>46238.4788467763</v>
      </c>
      <c r="G49" s="13" t="n">
        <v>2</v>
      </c>
      <c r="H49" s="14" t="n">
        <v>111.6693</v>
      </c>
      <c r="I49" s="13">
        <f>COUNTIFS('클럭 정리'!$A$6:$A$87,"&gt;="&amp;E49,'클럭 정리'!$A$6:$A$87,"&lt;="&amp;F49)</f>
        <v/>
      </c>
      <c r="J49" s="14">
        <f>AVERAGEIFS('클럭 정리'!$N$6:$N$87,'클럭 정리'!$A$6:$A$87,"&gt;="&amp;E49,'클럭 정리'!$A$6:$A$87,"&lt;="&amp;F49)</f>
        <v/>
      </c>
      <c r="K49" s="15">
        <f>J49*'클럭 정리'!$B$2/100</f>
        <v/>
      </c>
    </row>
    <row r="50">
      <c r="A50" s="13" t="inlineStr">
        <is>
          <t>병렬도 12 분할 3</t>
        </is>
      </c>
      <c r="B50" s="13" t="n">
        <v>2</v>
      </c>
      <c r="C50" s="13" t="inlineStr">
        <is>
          <t>ForkJoinPool-12-worker-3</t>
        </is>
      </c>
      <c r="D50" s="12" t="inlineStr">
        <is>
          <t>워커</t>
        </is>
      </c>
      <c r="E50" s="10" t="n">
        <v>46238.47884541667</v>
      </c>
      <c r="F50" s="10" t="n">
        <v>46238.47884921513</v>
      </c>
      <c r="G50" s="13" t="n">
        <v>6</v>
      </c>
      <c r="H50" s="14" t="n">
        <v>331.7902</v>
      </c>
      <c r="I50" s="13">
        <f>COUNTIFS('클럭 정리'!$A$6:$A$87,"&gt;="&amp;E50,'클럭 정리'!$A$6:$A$87,"&lt;="&amp;F50)</f>
        <v/>
      </c>
      <c r="J50" s="14">
        <f>AVERAGEIFS('클럭 정리'!$N$6:$N$87,'클럭 정리'!$A$6:$A$87,"&gt;="&amp;E50,'클럭 정리'!$A$6:$A$87,"&lt;="&amp;F50)</f>
        <v/>
      </c>
      <c r="K50" s="15">
        <f>J50*'클럭 정리'!$B$2/100</f>
        <v/>
      </c>
    </row>
    <row r="51">
      <c r="A51" s="13" t="inlineStr">
        <is>
          <t>병렬도 12 분할 3</t>
        </is>
      </c>
      <c r="B51" s="13" t="n">
        <v>2</v>
      </c>
      <c r="C51" s="13" t="inlineStr">
        <is>
          <t>ForkJoinPool-12-worker-6</t>
        </is>
      </c>
      <c r="D51" s="12" t="inlineStr">
        <is>
          <t>워커</t>
        </is>
      </c>
      <c r="E51" s="10" t="n">
        <v>46238.47884675926</v>
      </c>
      <c r="F51" s="10" t="n">
        <v>46238.47884796528</v>
      </c>
      <c r="G51" s="13" t="n">
        <v>2</v>
      </c>
      <c r="H51" s="14" t="n">
        <v>111.4612</v>
      </c>
      <c r="I51" s="13">
        <f>COUNTIFS('클럭 정리'!$A$6:$A$87,"&gt;="&amp;E51,'클럭 정리'!$A$6:$A$87,"&lt;="&amp;F51)</f>
        <v/>
      </c>
      <c r="J51" s="14">
        <f>AVERAGEIFS('클럭 정리'!$N$6:$N$87,'클럭 정리'!$A$6:$A$87,"&gt;="&amp;E51,'클럭 정리'!$A$6:$A$87,"&lt;="&amp;F51)</f>
        <v/>
      </c>
      <c r="K51" s="15">
        <f>J51*'클럭 정리'!$B$2/100</f>
        <v/>
      </c>
    </row>
    <row r="52">
      <c r="A52" s="13" t="inlineStr">
        <is>
          <t>병렬도 12 분할 3</t>
        </is>
      </c>
      <c r="B52" s="13" t="n">
        <v>2</v>
      </c>
      <c r="C52" s="13" t="inlineStr">
        <is>
          <t>ForkJoinPool-12-worker-7</t>
        </is>
      </c>
      <c r="D52" s="12" t="inlineStr">
        <is>
          <t>워커</t>
        </is>
      </c>
      <c r="E52" s="10" t="n">
        <v>46238.47884813658</v>
      </c>
      <c r="F52" s="10" t="n">
        <v>46238.47884867082</v>
      </c>
      <c r="G52" s="13" t="n">
        <v>1</v>
      </c>
      <c r="H52" s="14" t="n">
        <v>46.1588</v>
      </c>
      <c r="I52" s="13">
        <f>COUNTIFS('클럭 정리'!$A$6:$A$87,"&gt;="&amp;E52,'클럭 정리'!$A$6:$A$87,"&lt;="&amp;F52)</f>
        <v/>
      </c>
      <c r="J52" s="14">
        <f>AVERAGEIFS('클럭 정리'!$N$6:$N$87,'클럭 정리'!$A$6:$A$87,"&gt;="&amp;E52,'클럭 정리'!$A$6:$A$87,"&lt;="&amp;F52)</f>
        <v/>
      </c>
      <c r="K52" s="15">
        <f>J52*'클럭 정리'!$B$2/100</f>
        <v/>
      </c>
    </row>
    <row r="53">
      <c r="A53" s="13" t="inlineStr">
        <is>
          <t>병렬도 12 분할 3</t>
        </is>
      </c>
      <c r="B53" s="13" t="n">
        <v>2</v>
      </c>
      <c r="C53" s="13" t="inlineStr">
        <is>
          <t>ForkJoinPool-12-worker-8</t>
        </is>
      </c>
      <c r="D53" s="12" t="inlineStr">
        <is>
          <t>워커</t>
        </is>
      </c>
      <c r="E53" s="10" t="n">
        <v>46238.47884863426</v>
      </c>
      <c r="F53" s="10" t="n">
        <v>46238.47885109741</v>
      </c>
      <c r="G53" s="13" t="n">
        <v>4</v>
      </c>
      <c r="H53" s="14" t="n">
        <v>197.509</v>
      </c>
      <c r="I53" s="13">
        <f>COUNTIFS('클럭 정리'!$A$6:$A$87,"&gt;="&amp;E53,'클럭 정리'!$A$6:$A$87,"&lt;="&amp;F53)</f>
        <v/>
      </c>
      <c r="J53" s="14">
        <f>AVERAGEIFS('클럭 정리'!$N$6:$N$87,'클럭 정리'!$A$6:$A$87,"&gt;="&amp;E53,'클럭 정리'!$A$6:$A$87,"&lt;="&amp;F53)</f>
        <v/>
      </c>
      <c r="K53" s="15">
        <f>J53*'클럭 정리'!$B$2/100</f>
        <v/>
      </c>
    </row>
    <row r="54">
      <c r="A54" s="13" t="inlineStr">
        <is>
          <t>병렬도 12 분할 3</t>
        </is>
      </c>
      <c r="B54" s="13" t="n">
        <v>2</v>
      </c>
      <c r="C54" s="13" t="inlineStr">
        <is>
          <t>ForkJoinPool-12-worker-9</t>
        </is>
      </c>
      <c r="D54" s="12" t="inlineStr">
        <is>
          <t>워커</t>
        </is>
      </c>
      <c r="E54" s="10" t="n">
        <v>46238.478849375</v>
      </c>
      <c r="F54" s="10" t="n">
        <v>46238.47885183575</v>
      </c>
      <c r="G54" s="13" t="n">
        <v>4</v>
      </c>
      <c r="H54" s="14" t="n">
        <v>202.5106</v>
      </c>
      <c r="I54" s="13">
        <f>COUNTIFS('클럭 정리'!$A$6:$A$87,"&gt;="&amp;E54,'클럭 정리'!$A$6:$A$87,"&lt;="&amp;F54)</f>
        <v/>
      </c>
      <c r="J54" s="14">
        <f>AVERAGEIFS('클럭 정리'!$N$6:$N$87,'클럭 정리'!$A$6:$A$87,"&gt;="&amp;E54,'클럭 정리'!$A$6:$A$87,"&lt;="&amp;F54)</f>
        <v/>
      </c>
      <c r="K54" s="15">
        <f>J54*'클럭 정리'!$B$2/100</f>
        <v/>
      </c>
    </row>
    <row r="55">
      <c r="A55" s="13" t="inlineStr">
        <is>
          <t>병렬도 12 분할 3</t>
        </is>
      </c>
      <c r="B55" s="13" t="n">
        <v>2</v>
      </c>
      <c r="C55" s="13" t="inlineStr">
        <is>
          <t>main</t>
        </is>
      </c>
      <c r="D55" s="12" t="inlineStr">
        <is>
          <t>main (활동 시간 합 = 그 회차 mainCPU, 창은 워커와 겹침)</t>
        </is>
      </c>
      <c r="E55" s="10" t="n">
        <v>46238.47884541667</v>
      </c>
      <c r="F55" s="10" t="n">
        <v>46238.47887352558</v>
      </c>
      <c r="G55" s="13" t="n">
        <v>45</v>
      </c>
      <c r="H55" s="14" t="n">
        <v>0</v>
      </c>
      <c r="I55" s="13">
        <f>COUNTIFS('클럭 정리'!$A$6:$A$87,"&gt;="&amp;E55,'클럭 정리'!$A$6:$A$87,"&lt;="&amp;F55)</f>
        <v/>
      </c>
      <c r="J55" s="14">
        <f>AVERAGEIFS('클럭 정리'!$N$6:$N$87,'클럭 정리'!$A$6:$A$87,"&gt;="&amp;E55,'클럭 정리'!$A$6:$A$87,"&lt;="&amp;F55)</f>
        <v/>
      </c>
      <c r="K55" s="15">
        <f>J55*'클럭 정리'!$B$2/100</f>
        <v/>
      </c>
    </row>
    <row r="56">
      <c r="A56" s="13" t="inlineStr">
        <is>
          <t>병렬도 12 분할 3</t>
        </is>
      </c>
      <c r="B56" s="13" t="n">
        <v>3</v>
      </c>
      <c r="C56" s="13" t="inlineStr">
        <is>
          <t>ForkJoinPool-13-worker-1</t>
        </is>
      </c>
      <c r="D56" s="12" t="inlineStr">
        <is>
          <t>워커</t>
        </is>
      </c>
      <c r="E56" s="10" t="n">
        <v>46238.47887353009</v>
      </c>
      <c r="F56" s="10" t="n">
        <v>46238.47889942637</v>
      </c>
      <c r="G56" s="13" t="n">
        <v>45</v>
      </c>
      <c r="H56" s="14" t="n">
        <v>2212.0985</v>
      </c>
      <c r="I56" s="13">
        <f>COUNTIFS('클럭 정리'!$A$6:$A$87,"&gt;="&amp;E56,'클럭 정리'!$A$6:$A$87,"&lt;="&amp;F56)</f>
        <v/>
      </c>
      <c r="J56" s="14">
        <f>AVERAGEIFS('클럭 정리'!$N$6:$N$87,'클럭 정리'!$A$6:$A$87,"&gt;="&amp;E56,'클럭 정리'!$A$6:$A$87,"&lt;="&amp;F56)</f>
        <v/>
      </c>
      <c r="K56" s="15">
        <f>J56*'클럭 정리'!$B$2/100</f>
        <v/>
      </c>
    </row>
    <row r="57">
      <c r="A57" s="13" t="inlineStr">
        <is>
          <t>병렬도 12 분할 3</t>
        </is>
      </c>
      <c r="B57" s="13" t="n">
        <v>3</v>
      </c>
      <c r="C57" s="13" t="inlineStr">
        <is>
          <t>ForkJoinPool-13-worker-10</t>
        </is>
      </c>
      <c r="D57" s="12" t="inlineStr">
        <is>
          <t>워커</t>
        </is>
      </c>
      <c r="E57" s="10" t="n">
        <v>46238.47888618056</v>
      </c>
      <c r="F57" s="10" t="n">
        <v>46238.47888779108</v>
      </c>
      <c r="G57" s="13" t="n">
        <v>3</v>
      </c>
      <c r="H57" s="14" t="n">
        <v>135.4407</v>
      </c>
      <c r="I57" s="13">
        <f>COUNTIFS('클럭 정리'!$A$6:$A$87,"&gt;="&amp;E57,'클럭 정리'!$A$6:$A$87,"&lt;="&amp;F57)</f>
        <v/>
      </c>
      <c r="J57" s="14">
        <f>AVERAGEIFS('클럭 정리'!$N$6:$N$87,'클럭 정리'!$A$6:$A$87,"&gt;="&amp;E57,'클럭 정리'!$A$6:$A$87,"&lt;="&amp;F57)</f>
        <v/>
      </c>
      <c r="K57" s="15">
        <f>J57*'클럭 정리'!$B$2/100</f>
        <v/>
      </c>
    </row>
    <row r="58">
      <c r="A58" s="13" t="inlineStr">
        <is>
          <t>병렬도 12 분할 3</t>
        </is>
      </c>
      <c r="B58" s="13" t="n">
        <v>3</v>
      </c>
      <c r="C58" s="13" t="inlineStr">
        <is>
          <t>ForkJoinPool-13-worker-12</t>
        </is>
      </c>
      <c r="D58" s="12" t="inlineStr">
        <is>
          <t>워커</t>
        </is>
      </c>
      <c r="E58" s="10" t="n">
        <v>46238.47888784722</v>
      </c>
      <c r="F58" s="10" t="n">
        <v>46238.47889939343</v>
      </c>
      <c r="G58" s="13" t="n">
        <v>20</v>
      </c>
      <c r="H58" s="14" t="n">
        <v>934.9123</v>
      </c>
      <c r="I58" s="13">
        <f>COUNTIFS('클럭 정리'!$A$6:$A$87,"&gt;="&amp;E58,'클럭 정리'!$A$6:$A$87,"&lt;="&amp;F58)</f>
        <v/>
      </c>
      <c r="J58" s="14">
        <f>AVERAGEIFS('클럭 정리'!$N$6:$N$87,'클럭 정리'!$A$6:$A$87,"&gt;="&amp;E58,'클럭 정리'!$A$6:$A$87,"&lt;="&amp;F58)</f>
        <v/>
      </c>
      <c r="K58" s="15">
        <f>J58*'클럭 정리'!$B$2/100</f>
        <v/>
      </c>
    </row>
    <row r="59">
      <c r="A59" s="13" t="inlineStr">
        <is>
          <t>병렬도 12 분할 3</t>
        </is>
      </c>
      <c r="B59" s="13" t="n">
        <v>3</v>
      </c>
      <c r="C59" s="13" t="inlineStr">
        <is>
          <t>ForkJoinPool-13-worker-2</t>
        </is>
      </c>
      <c r="D59" s="12" t="inlineStr">
        <is>
          <t>워커</t>
        </is>
      </c>
      <c r="E59" s="10" t="n">
        <v>46238.47887353009</v>
      </c>
      <c r="F59" s="10" t="n">
        <v>46238.47888106564</v>
      </c>
      <c r="G59" s="13" t="n">
        <v>13</v>
      </c>
      <c r="H59" s="14" t="n">
        <v>627.3624</v>
      </c>
      <c r="I59" s="13">
        <f>COUNTIFS('클럭 정리'!$A$6:$A$87,"&gt;="&amp;E59,'클럭 정리'!$A$6:$A$87,"&lt;="&amp;F59)</f>
        <v/>
      </c>
      <c r="J59" s="14">
        <f>AVERAGEIFS('클럭 정리'!$N$6:$N$87,'클럭 정리'!$A$6:$A$87,"&gt;="&amp;E59,'클럭 정리'!$A$6:$A$87,"&lt;="&amp;F59)</f>
        <v/>
      </c>
      <c r="K59" s="15">
        <f>J59*'클럭 정리'!$B$2/100</f>
        <v/>
      </c>
    </row>
    <row r="60">
      <c r="A60" s="13" t="inlineStr">
        <is>
          <t>병렬도 12 분할 3</t>
        </is>
      </c>
      <c r="B60" s="13" t="n">
        <v>3</v>
      </c>
      <c r="C60" s="13" t="inlineStr">
        <is>
          <t>ForkJoinPool-13-worker-3</t>
        </is>
      </c>
      <c r="D60" s="12" t="inlineStr">
        <is>
          <t>워커</t>
        </is>
      </c>
      <c r="E60" s="10" t="n">
        <v>46238.47887353009</v>
      </c>
      <c r="F60" s="10" t="n">
        <v>46238.47888616788</v>
      </c>
      <c r="G60" s="13" t="n">
        <v>22</v>
      </c>
      <c r="H60" s="14" t="n">
        <v>1027.1804</v>
      </c>
      <c r="I60" s="13">
        <f>COUNTIFS('클럭 정리'!$A$6:$A$87,"&gt;="&amp;E60,'클럭 정리'!$A$6:$A$87,"&lt;="&amp;F60)</f>
        <v/>
      </c>
      <c r="J60" s="14">
        <f>AVERAGEIFS('클럭 정리'!$N$6:$N$87,'클럭 정리'!$A$6:$A$87,"&gt;="&amp;E60,'클럭 정리'!$A$6:$A$87,"&lt;="&amp;F60)</f>
        <v/>
      </c>
      <c r="K60" s="15">
        <f>J60*'클럭 정리'!$B$2/100</f>
        <v/>
      </c>
    </row>
    <row r="61">
      <c r="A61" s="13" t="inlineStr">
        <is>
          <t>병렬도 12 분할 3</t>
        </is>
      </c>
      <c r="B61" s="13" t="n">
        <v>3</v>
      </c>
      <c r="C61" s="13" t="inlineStr">
        <is>
          <t>ForkJoinPool-13-worker-7</t>
        </is>
      </c>
      <c r="D61" s="12" t="inlineStr">
        <is>
          <t>워커</t>
        </is>
      </c>
      <c r="E61" s="10" t="n">
        <v>46238.47888116898</v>
      </c>
      <c r="F61" s="10" t="n">
        <v>46238.47889940387</v>
      </c>
      <c r="G61" s="13" t="n">
        <v>32</v>
      </c>
      <c r="H61" s="14" t="n">
        <v>1518.8959</v>
      </c>
      <c r="I61" s="13">
        <f>COUNTIFS('클럭 정리'!$A$6:$A$87,"&gt;="&amp;E61,'클럭 정리'!$A$6:$A$87,"&lt;="&amp;F61)</f>
        <v/>
      </c>
      <c r="J61" s="14">
        <f>AVERAGEIFS('클럭 정리'!$N$6:$N$87,'클럭 정리'!$A$6:$A$87,"&gt;="&amp;E61,'클럭 정리'!$A$6:$A$87,"&lt;="&amp;F61)</f>
        <v/>
      </c>
      <c r="K61" s="15">
        <f>J61*'클럭 정리'!$B$2/100</f>
        <v/>
      </c>
    </row>
    <row r="62">
      <c r="A62" s="13" t="inlineStr">
        <is>
          <t>병렬도 12 분할 3</t>
        </is>
      </c>
      <c r="B62" s="13" t="n">
        <v>3</v>
      </c>
      <c r="C62" s="13" t="inlineStr">
        <is>
          <t>main</t>
        </is>
      </c>
      <c r="D62" s="12" t="inlineStr">
        <is>
          <t>main (활동 시간 합 = 그 회차 mainCPU, 창은 워커와 겹침)</t>
        </is>
      </c>
      <c r="E62" s="10" t="n">
        <v>46238.47887353009</v>
      </c>
      <c r="F62" s="10" t="n">
        <v>46238.4788994272</v>
      </c>
      <c r="G62" s="13" t="n">
        <v>45</v>
      </c>
      <c r="H62" s="14" t="n">
        <v>0</v>
      </c>
      <c r="I62" s="13">
        <f>COUNTIFS('클럭 정리'!$A$6:$A$87,"&gt;="&amp;E62,'클럭 정리'!$A$6:$A$87,"&lt;="&amp;F62)</f>
        <v/>
      </c>
      <c r="J62" s="14">
        <f>AVERAGEIFS('클럭 정리'!$N$6:$N$87,'클럭 정리'!$A$6:$A$87,"&gt;="&amp;E62,'클럭 정리'!$A$6:$A$87,"&lt;="&amp;F62)</f>
        <v/>
      </c>
      <c r="K62" s="15">
        <f>J62*'클럭 정리'!$B$2/100</f>
        <v/>
      </c>
    </row>
    <row r="63">
      <c r="A63" s="13" t="inlineStr">
        <is>
          <t>병렬도 12 분할 3</t>
        </is>
      </c>
      <c r="B63" s="13" t="n">
        <v>4</v>
      </c>
      <c r="C63" s="13" t="inlineStr">
        <is>
          <t>ForkJoinPool-14-worker-1</t>
        </is>
      </c>
      <c r="D63" s="12" t="inlineStr">
        <is>
          <t>워커</t>
        </is>
      </c>
      <c r="E63" s="10" t="n">
        <v>46238.47889960648</v>
      </c>
      <c r="F63" s="10" t="n">
        <v>46238.47890358846</v>
      </c>
      <c r="G63" s="13" t="n">
        <v>7</v>
      </c>
      <c r="H63" s="14" t="n">
        <v>343.1005</v>
      </c>
      <c r="I63" s="13">
        <f>COUNTIFS('클럭 정리'!$A$6:$A$87,"&gt;="&amp;E63,'클럭 정리'!$A$6:$A$87,"&lt;="&amp;F63)</f>
        <v/>
      </c>
      <c r="J63" s="14">
        <f>AVERAGEIFS('클럭 정리'!$N$6:$N$87,'클럭 정리'!$A$6:$A$87,"&gt;="&amp;E63,'클럭 정리'!$A$6:$A$87,"&lt;="&amp;F63)</f>
        <v/>
      </c>
      <c r="K63" s="15">
        <f>J63*'클럭 정리'!$B$2/100</f>
        <v/>
      </c>
    </row>
    <row r="64">
      <c r="A64" s="13" t="inlineStr">
        <is>
          <t>병렬도 12 분할 3</t>
        </is>
      </c>
      <c r="B64" s="13" t="n">
        <v>4</v>
      </c>
      <c r="C64" s="13" t="inlineStr">
        <is>
          <t>ForkJoinPool-14-worker-10</t>
        </is>
      </c>
      <c r="D64" s="12" t="inlineStr">
        <is>
          <t>워커</t>
        </is>
      </c>
      <c r="E64" s="10" t="n">
        <v>46238.47890607639</v>
      </c>
      <c r="F64" s="10" t="n">
        <v>46238.4789258415</v>
      </c>
      <c r="G64" s="13" t="n">
        <v>34</v>
      </c>
      <c r="H64" s="14" t="n">
        <v>1646.3221</v>
      </c>
      <c r="I64" s="13">
        <f>COUNTIFS('클럭 정리'!$A$6:$A$87,"&gt;="&amp;E64,'클럭 정리'!$A$6:$A$87,"&lt;="&amp;F64)</f>
        <v/>
      </c>
      <c r="J64" s="14">
        <f>AVERAGEIFS('클럭 정리'!$N$6:$N$87,'클럭 정리'!$A$6:$A$87,"&gt;="&amp;E64,'클럭 정리'!$A$6:$A$87,"&lt;="&amp;F64)</f>
        <v/>
      </c>
      <c r="K64" s="15">
        <f>J64*'클럭 정리'!$B$2/100</f>
        <v/>
      </c>
    </row>
    <row r="65">
      <c r="A65" s="13" t="inlineStr">
        <is>
          <t>병렬도 12 분할 3</t>
        </is>
      </c>
      <c r="B65" s="13" t="n">
        <v>4</v>
      </c>
      <c r="C65" s="13" t="inlineStr">
        <is>
          <t>ForkJoinPool-14-worker-2</t>
        </is>
      </c>
      <c r="D65" s="12" t="inlineStr">
        <is>
          <t>워커</t>
        </is>
      </c>
      <c r="E65" s="10" t="n">
        <v>46238.47889960648</v>
      </c>
      <c r="F65" s="10" t="n">
        <v>46238.47890070741</v>
      </c>
      <c r="G65" s="13" t="n">
        <v>2</v>
      </c>
      <c r="H65" s="14" t="n">
        <v>97.6174</v>
      </c>
      <c r="I65" s="13">
        <f>COUNTIFS('클럭 정리'!$A$6:$A$87,"&gt;="&amp;E65,'클럭 정리'!$A$6:$A$87,"&lt;="&amp;F65)</f>
        <v/>
      </c>
      <c r="J65" s="14">
        <f>AVERAGEIFS('클럭 정리'!$N$6:$N$87,'클럭 정리'!$A$6:$A$87,"&gt;="&amp;E65,'클럭 정리'!$A$6:$A$87,"&lt;="&amp;F65)</f>
        <v/>
      </c>
      <c r="K65" s="15">
        <f>J65*'클럭 정리'!$B$2/100</f>
        <v/>
      </c>
    </row>
    <row r="66">
      <c r="A66" s="13" t="inlineStr">
        <is>
          <t>병렬도 12 분할 3</t>
        </is>
      </c>
      <c r="B66" s="13" t="n">
        <v>4</v>
      </c>
      <c r="C66" s="13" t="inlineStr">
        <is>
          <t>ForkJoinPool-14-worker-3</t>
        </is>
      </c>
      <c r="D66" s="12" t="inlineStr">
        <is>
          <t>워커</t>
        </is>
      </c>
      <c r="E66" s="10" t="n">
        <v>46238.47889960648</v>
      </c>
      <c r="F66" s="10" t="n">
        <v>46238.47890304182</v>
      </c>
      <c r="G66" s="13" t="n">
        <v>6</v>
      </c>
      <c r="H66" s="14" t="n">
        <v>292.8966</v>
      </c>
      <c r="I66" s="13">
        <f>COUNTIFS('클럭 정리'!$A$6:$A$87,"&gt;="&amp;E66,'클럭 정리'!$A$6:$A$87,"&lt;="&amp;F66)</f>
        <v/>
      </c>
      <c r="J66" s="14">
        <f>AVERAGEIFS('클럭 정리'!$N$6:$N$87,'클럭 정리'!$A$6:$A$87,"&gt;="&amp;E66,'클럭 정리'!$A$6:$A$87,"&lt;="&amp;F66)</f>
        <v/>
      </c>
      <c r="K66" s="15">
        <f>J66*'클럭 정리'!$B$2/100</f>
        <v/>
      </c>
    </row>
    <row r="67">
      <c r="A67" s="13" t="inlineStr">
        <is>
          <t>병렬도 12 분할 3</t>
        </is>
      </c>
      <c r="B67" s="13" t="n">
        <v>4</v>
      </c>
      <c r="C67" s="13" t="inlineStr">
        <is>
          <t>ForkJoinPool-14-worker-5</t>
        </is>
      </c>
      <c r="D67" s="12" t="inlineStr">
        <is>
          <t>워커</t>
        </is>
      </c>
      <c r="E67" s="10" t="n">
        <v>46238.47890075231</v>
      </c>
      <c r="F67" s="10" t="n">
        <v>46238.47890253868</v>
      </c>
      <c r="G67" s="13" t="n">
        <v>3</v>
      </c>
      <c r="H67" s="14" t="n">
        <v>148.2667</v>
      </c>
      <c r="I67" s="13">
        <f>COUNTIFS('클럭 정리'!$A$6:$A$87,"&gt;="&amp;E67,'클럭 정리'!$A$6:$A$87,"&lt;="&amp;F67)</f>
        <v/>
      </c>
      <c r="J67" s="14">
        <f>AVERAGEIFS('클럭 정리'!$N$6:$N$87,'클럭 정리'!$A$6:$A$87,"&gt;="&amp;E67,'클럭 정리'!$A$6:$A$87,"&lt;="&amp;F67)</f>
        <v/>
      </c>
      <c r="K67" s="15">
        <f>J67*'클럭 정리'!$B$2/100</f>
        <v/>
      </c>
    </row>
    <row r="68">
      <c r="A68" s="13" t="inlineStr">
        <is>
          <t>병렬도 12 분할 3</t>
        </is>
      </c>
      <c r="B68" s="13" t="n">
        <v>4</v>
      </c>
      <c r="C68" s="13" t="inlineStr">
        <is>
          <t>ForkJoinPool-14-worker-6</t>
        </is>
      </c>
      <c r="D68" s="12" t="inlineStr">
        <is>
          <t>워커</t>
        </is>
      </c>
      <c r="E68" s="10" t="n">
        <v>46238.4789025</v>
      </c>
      <c r="F68" s="10" t="n">
        <v>46238.47892586522</v>
      </c>
      <c r="G68" s="13" t="n">
        <v>40</v>
      </c>
      <c r="H68" s="14" t="n">
        <v>1984.5478</v>
      </c>
      <c r="I68" s="13">
        <f>COUNTIFS('클럭 정리'!$A$6:$A$87,"&gt;="&amp;E68,'클럭 정리'!$A$6:$A$87,"&lt;="&amp;F68)</f>
        <v/>
      </c>
      <c r="J68" s="14">
        <f>AVERAGEIFS('클럭 정리'!$N$6:$N$87,'클럭 정리'!$A$6:$A$87,"&gt;="&amp;E68,'클럭 정리'!$A$6:$A$87,"&lt;="&amp;F68)</f>
        <v/>
      </c>
      <c r="K68" s="15">
        <f>J68*'클럭 정리'!$B$2/100</f>
        <v/>
      </c>
    </row>
    <row r="69">
      <c r="A69" s="13" t="inlineStr">
        <is>
          <t>병렬도 12 분할 3</t>
        </is>
      </c>
      <c r="B69" s="13" t="n">
        <v>4</v>
      </c>
      <c r="C69" s="13" t="inlineStr">
        <is>
          <t>ForkJoinPool-14-worker-8</t>
        </is>
      </c>
      <c r="D69" s="12" t="inlineStr">
        <is>
          <t>워커</t>
        </is>
      </c>
      <c r="E69" s="10" t="n">
        <v>46238.47890305555</v>
      </c>
      <c r="F69" s="10" t="n">
        <v>46238.47890603539</v>
      </c>
      <c r="G69" s="13" t="n">
        <v>5</v>
      </c>
      <c r="H69" s="14" t="n">
        <v>248.2968</v>
      </c>
      <c r="I69" s="13">
        <f>COUNTIFS('클럭 정리'!$A$6:$A$87,"&gt;="&amp;E69,'클럭 정리'!$A$6:$A$87,"&lt;="&amp;F69)</f>
        <v/>
      </c>
      <c r="J69" s="14">
        <f>AVERAGEIFS('클럭 정리'!$N$6:$N$87,'클럭 정리'!$A$6:$A$87,"&gt;="&amp;E69,'클럭 정리'!$A$6:$A$87,"&lt;="&amp;F69)</f>
        <v/>
      </c>
      <c r="K69" s="15">
        <f>J69*'클럭 정리'!$B$2/100</f>
        <v/>
      </c>
    </row>
    <row r="70">
      <c r="A70" s="13" t="inlineStr">
        <is>
          <t>병렬도 12 분할 3</t>
        </is>
      </c>
      <c r="B70" s="13" t="n">
        <v>4</v>
      </c>
      <c r="C70" s="13" t="inlineStr">
        <is>
          <t>ForkJoinPool-14-worker-9</t>
        </is>
      </c>
      <c r="D70" s="12" t="inlineStr">
        <is>
          <t>워커</t>
        </is>
      </c>
      <c r="E70" s="10" t="n">
        <v>46238.47890359953</v>
      </c>
      <c r="F70" s="10" t="n">
        <v>46238.47892586007</v>
      </c>
      <c r="G70" s="13" t="n">
        <v>38</v>
      </c>
      <c r="H70" s="14" t="n">
        <v>1829.9366</v>
      </c>
      <c r="I70" s="13">
        <f>COUNTIFS('클럭 정리'!$A$6:$A$87,"&gt;="&amp;E70,'클럭 정리'!$A$6:$A$87,"&lt;="&amp;F70)</f>
        <v/>
      </c>
      <c r="J70" s="14">
        <f>AVERAGEIFS('클럭 정리'!$N$6:$N$87,'클럭 정리'!$A$6:$A$87,"&gt;="&amp;E70,'클럭 정리'!$A$6:$A$87,"&lt;="&amp;F70)</f>
        <v/>
      </c>
      <c r="K70" s="15">
        <f>J70*'클럭 정리'!$B$2/100</f>
        <v/>
      </c>
    </row>
    <row r="71">
      <c r="A71" s="13" t="inlineStr">
        <is>
          <t>병렬도 12 분할 3</t>
        </is>
      </c>
      <c r="B71" s="13" t="n">
        <v>4</v>
      </c>
      <c r="C71" s="13" t="inlineStr">
        <is>
          <t>main</t>
        </is>
      </c>
      <c r="D71" s="12" t="inlineStr">
        <is>
          <t>main (활동 시간 합 = 그 회차 mainCPU, 창은 워커와 겹침)</t>
        </is>
      </c>
      <c r="E71" s="10" t="n">
        <v>46238.47889958334</v>
      </c>
      <c r="F71" s="10" t="n">
        <v>46238.47892586638</v>
      </c>
      <c r="G71" s="13" t="n">
        <v>45</v>
      </c>
      <c r="H71" s="14" t="n">
        <v>0</v>
      </c>
      <c r="I71" s="13">
        <f>COUNTIFS('클럭 정리'!$A$6:$A$87,"&gt;="&amp;E71,'클럭 정리'!$A$6:$A$87,"&lt;="&amp;F71)</f>
        <v/>
      </c>
      <c r="J71" s="14">
        <f>AVERAGEIFS('클럭 정리'!$N$6:$N$87,'클럭 정리'!$A$6:$A$87,"&gt;="&amp;E71,'클럭 정리'!$A$6:$A$87,"&lt;="&amp;F71)</f>
        <v/>
      </c>
      <c r="K71" s="15">
        <f>J71*'클럭 정리'!$B$2/100</f>
        <v/>
      </c>
    </row>
    <row r="72">
      <c r="A72" s="13" t="inlineStr">
        <is>
          <t>병렬도 12 분할 3</t>
        </is>
      </c>
      <c r="B72" s="13" t="n">
        <v>5</v>
      </c>
      <c r="C72" s="13" t="inlineStr">
        <is>
          <t>ForkJoinPool-15-worker-1</t>
        </is>
      </c>
      <c r="D72" s="12" t="inlineStr">
        <is>
          <t>워커</t>
        </is>
      </c>
      <c r="E72" s="10" t="n">
        <v>46238.47892584491</v>
      </c>
      <c r="F72" s="10" t="n">
        <v>46238.47892775731</v>
      </c>
      <c r="G72" s="13" t="n">
        <v>3</v>
      </c>
      <c r="H72" s="14" t="n">
        <v>152.6716</v>
      </c>
      <c r="I72" s="13">
        <f>COUNTIFS('클럭 정리'!$A$6:$A$87,"&gt;="&amp;E72,'클럭 정리'!$A$6:$A$87,"&lt;="&amp;F72)</f>
        <v/>
      </c>
      <c r="J72" s="14">
        <f>AVERAGEIFS('클럭 정리'!$N$6:$N$87,'클럭 정리'!$A$6:$A$87,"&gt;="&amp;E72,'클럭 정리'!$A$6:$A$87,"&lt;="&amp;F72)</f>
        <v/>
      </c>
      <c r="K72" s="15">
        <f>J72*'클럭 정리'!$B$2/100</f>
        <v/>
      </c>
    </row>
    <row r="73">
      <c r="A73" s="13" t="inlineStr">
        <is>
          <t>병렬도 12 분할 3</t>
        </is>
      </c>
      <c r="B73" s="13" t="n">
        <v>5</v>
      </c>
      <c r="C73" s="13" t="inlineStr">
        <is>
          <t>ForkJoinPool-15-worker-11</t>
        </is>
      </c>
      <c r="D73" s="12" t="inlineStr">
        <is>
          <t>워커</t>
        </is>
      </c>
      <c r="E73" s="10" t="n">
        <v>46238.47893024306</v>
      </c>
      <c r="F73" s="10" t="n">
        <v>46238.47895245517</v>
      </c>
      <c r="G73" s="13" t="n">
        <v>37</v>
      </c>
      <c r="H73" s="14" t="n">
        <v>1761.6842</v>
      </c>
      <c r="I73" s="13">
        <f>COUNTIFS('클럭 정리'!$A$6:$A$87,"&gt;="&amp;E73,'클럭 정리'!$A$6:$A$87,"&lt;="&amp;F73)</f>
        <v/>
      </c>
      <c r="J73" s="14">
        <f>AVERAGEIFS('클럭 정리'!$N$6:$N$87,'클럭 정리'!$A$6:$A$87,"&gt;="&amp;E73,'클럭 정리'!$A$6:$A$87,"&lt;="&amp;F73)</f>
        <v/>
      </c>
      <c r="K73" s="15">
        <f>J73*'클럭 정리'!$B$2/100</f>
        <v/>
      </c>
    </row>
    <row r="74">
      <c r="A74" s="13" t="inlineStr">
        <is>
          <t>병렬도 12 분할 3</t>
        </is>
      </c>
      <c r="B74" s="13" t="n">
        <v>5</v>
      </c>
      <c r="C74" s="13" t="inlineStr">
        <is>
          <t>ForkJoinPool-15-worker-12</t>
        </is>
      </c>
      <c r="D74" s="12" t="inlineStr">
        <is>
          <t>워커</t>
        </is>
      </c>
      <c r="E74" s="10" t="n">
        <v>46238.47893082176</v>
      </c>
      <c r="F74" s="10" t="n">
        <v>46238.47893136287</v>
      </c>
      <c r="G74" s="13" t="n">
        <v>1</v>
      </c>
      <c r="H74" s="14" t="n">
        <v>46.7524</v>
      </c>
      <c r="I74" s="13">
        <f>COUNTIFS('클럭 정리'!$A$6:$A$87,"&gt;="&amp;E74,'클럭 정리'!$A$6:$A$87,"&lt;="&amp;F74)</f>
        <v/>
      </c>
      <c r="J74" s="14">
        <f>AVERAGEIFS('클럭 정리'!$N$6:$N$87,'클럭 정리'!$A$6:$A$87,"&gt;="&amp;E74,'클럭 정리'!$A$6:$A$87,"&lt;="&amp;F74)</f>
        <v/>
      </c>
      <c r="K74" s="15">
        <f>J74*'클럭 정리'!$B$2/100</f>
        <v/>
      </c>
    </row>
    <row r="75">
      <c r="A75" s="13" t="inlineStr">
        <is>
          <t>병렬도 12 분할 3</t>
        </is>
      </c>
      <c r="B75" s="13" t="n">
        <v>5</v>
      </c>
      <c r="C75" s="13" t="inlineStr">
        <is>
          <t>ForkJoinPool-15-worker-2</t>
        </is>
      </c>
      <c r="D75" s="12" t="inlineStr">
        <is>
          <t>워커</t>
        </is>
      </c>
      <c r="E75" s="10" t="n">
        <v>46238.47892584491</v>
      </c>
      <c r="F75" s="10" t="n">
        <v>46238.47892646753</v>
      </c>
      <c r="G75" s="13" t="n">
        <v>1</v>
      </c>
      <c r="H75" s="14" t="n">
        <v>53.7952</v>
      </c>
      <c r="I75" s="13">
        <f>COUNTIFS('클럭 정리'!$A$6:$A$87,"&gt;="&amp;E75,'클럭 정리'!$A$6:$A$87,"&lt;="&amp;F75)</f>
        <v/>
      </c>
      <c r="J75" s="14">
        <f>AVERAGEIFS('클럭 정리'!$N$6:$N$87,'클럭 정리'!$A$6:$A$87,"&gt;="&amp;E75,'클럭 정리'!$A$6:$A$87,"&lt;="&amp;F75)</f>
        <v/>
      </c>
      <c r="K75" s="15">
        <f>J75*'클럭 정리'!$B$2/100</f>
        <v/>
      </c>
    </row>
    <row r="76">
      <c r="A76" s="13" t="inlineStr">
        <is>
          <t>병렬도 12 분할 3</t>
        </is>
      </c>
      <c r="B76" s="13" t="n">
        <v>5</v>
      </c>
      <c r="C76" s="13" t="inlineStr">
        <is>
          <t>ForkJoinPool-15-worker-3</t>
        </is>
      </c>
      <c r="D76" s="12" t="inlineStr">
        <is>
          <t>워커</t>
        </is>
      </c>
      <c r="E76" s="10" t="n">
        <v>46238.47892584491</v>
      </c>
      <c r="F76" s="10" t="n">
        <v>46238.47892714683</v>
      </c>
      <c r="G76" s="13" t="n">
        <v>2</v>
      </c>
      <c r="H76" s="14" t="n">
        <v>105.2435</v>
      </c>
      <c r="I76" s="13">
        <f>COUNTIFS('클럭 정리'!$A$6:$A$87,"&gt;="&amp;E76,'클럭 정리'!$A$6:$A$87,"&lt;="&amp;F76)</f>
        <v/>
      </c>
      <c r="J76" s="14">
        <f>AVERAGEIFS('클럭 정리'!$N$6:$N$87,'클럭 정리'!$A$6:$A$87,"&gt;="&amp;E76,'클럭 정리'!$A$6:$A$87,"&lt;="&amp;F76)</f>
        <v/>
      </c>
      <c r="K76" s="15">
        <f>J76*'클럭 정리'!$B$2/100</f>
        <v/>
      </c>
    </row>
    <row r="77">
      <c r="A77" s="13" t="inlineStr">
        <is>
          <t>병렬도 12 분할 3</t>
        </is>
      </c>
      <c r="B77" s="13" t="n">
        <v>5</v>
      </c>
      <c r="C77" s="13" t="inlineStr">
        <is>
          <t>ForkJoinPool-15-worker-4</t>
        </is>
      </c>
      <c r="D77" s="12" t="inlineStr">
        <is>
          <t>워커</t>
        </is>
      </c>
      <c r="E77" s="10" t="n">
        <v>46238.47892657408</v>
      </c>
      <c r="F77" s="10" t="n">
        <v>46238.47892823128</v>
      </c>
      <c r="G77" s="13" t="n">
        <v>3</v>
      </c>
      <c r="H77" s="14" t="n">
        <v>149.7222</v>
      </c>
      <c r="I77" s="13">
        <f>COUNTIFS('클럭 정리'!$A$6:$A$87,"&gt;="&amp;E77,'클럭 정리'!$A$6:$A$87,"&lt;="&amp;F77)</f>
        <v/>
      </c>
      <c r="J77" s="14">
        <f>AVERAGEIFS('클럭 정리'!$N$6:$N$87,'클럭 정리'!$A$6:$A$87,"&gt;="&amp;E77,'클럭 정리'!$A$6:$A$87,"&lt;="&amp;F77)</f>
        <v/>
      </c>
      <c r="K77" s="15">
        <f>J77*'클럭 정리'!$B$2/100</f>
        <v/>
      </c>
    </row>
    <row r="78">
      <c r="A78" s="13" t="inlineStr">
        <is>
          <t>병렬도 12 분할 3</t>
        </is>
      </c>
      <c r="B78" s="13" t="n">
        <v>5</v>
      </c>
      <c r="C78" s="13" t="inlineStr">
        <is>
          <t>ForkJoinPool-15-worker-5</t>
        </is>
      </c>
      <c r="D78" s="12" t="inlineStr">
        <is>
          <t>워커</t>
        </is>
      </c>
      <c r="E78" s="10" t="n">
        <v>46238.47892721065</v>
      </c>
      <c r="F78" s="10" t="n">
        <v>46238.47895253765</v>
      </c>
      <c r="G78" s="13" t="n">
        <v>43</v>
      </c>
      <c r="H78" s="14" t="n">
        <v>2115.6355</v>
      </c>
      <c r="I78" s="13">
        <f>COUNTIFS('클럭 정리'!$A$6:$A$87,"&gt;="&amp;E78,'클럭 정리'!$A$6:$A$87,"&lt;="&amp;F78)</f>
        <v/>
      </c>
      <c r="J78" s="14">
        <f>AVERAGEIFS('클럭 정리'!$N$6:$N$87,'클럭 정리'!$A$6:$A$87,"&gt;="&amp;E78,'클럭 정리'!$A$6:$A$87,"&lt;="&amp;F78)</f>
        <v/>
      </c>
      <c r="K78" s="15">
        <f>J78*'클럭 정리'!$B$2/100</f>
        <v/>
      </c>
    </row>
    <row r="79">
      <c r="A79" s="13" t="inlineStr">
        <is>
          <t>병렬도 12 분할 3</t>
        </is>
      </c>
      <c r="B79" s="13" t="n">
        <v>5</v>
      </c>
      <c r="C79" s="13" t="inlineStr">
        <is>
          <t>ForkJoinPool-15-worker-6</t>
        </is>
      </c>
      <c r="D79" s="12" t="inlineStr">
        <is>
          <t>워커</t>
        </is>
      </c>
      <c r="E79" s="10" t="n">
        <v>46238.47892767361</v>
      </c>
      <c r="F79" s="10" t="n">
        <v>46238.478929016</v>
      </c>
      <c r="G79" s="13" t="n">
        <v>2</v>
      </c>
      <c r="H79" s="14" t="n">
        <v>110.0298</v>
      </c>
      <c r="I79" s="13">
        <f>COUNTIFS('클럭 정리'!$A$6:$A$87,"&gt;="&amp;E79,'클럭 정리'!$A$6:$A$87,"&lt;="&amp;F79)</f>
        <v/>
      </c>
      <c r="J79" s="14">
        <f>AVERAGEIFS('클럭 정리'!$N$6:$N$87,'클럭 정리'!$A$6:$A$87,"&gt;="&amp;E79,'클럭 정리'!$A$6:$A$87,"&lt;="&amp;F79)</f>
        <v/>
      </c>
      <c r="K79" s="15">
        <f>J79*'클럭 정리'!$B$2/100</f>
        <v/>
      </c>
    </row>
    <row r="80">
      <c r="A80" s="13" t="inlineStr">
        <is>
          <t>병렬도 12 분할 3</t>
        </is>
      </c>
      <c r="B80" s="13" t="n">
        <v>5</v>
      </c>
      <c r="C80" s="13" t="inlineStr">
        <is>
          <t>ForkJoinPool-15-worker-7</t>
        </is>
      </c>
      <c r="D80" s="12" t="inlineStr">
        <is>
          <t>워커</t>
        </is>
      </c>
      <c r="E80" s="10" t="n">
        <v>46238.47892841436</v>
      </c>
      <c r="F80" s="10" t="n">
        <v>46238.47895254692</v>
      </c>
      <c r="G80" s="13" t="n">
        <v>41</v>
      </c>
      <c r="H80" s="14" t="n">
        <v>2016.1858</v>
      </c>
      <c r="I80" s="13">
        <f>COUNTIFS('클럭 정리'!$A$6:$A$87,"&gt;="&amp;E80,'클럭 정리'!$A$6:$A$87,"&lt;="&amp;F80)</f>
        <v/>
      </c>
      <c r="J80" s="14">
        <f>AVERAGEIFS('클럭 정리'!$N$6:$N$87,'클럭 정리'!$A$6:$A$87,"&gt;="&amp;E80,'클럭 정리'!$A$6:$A$87,"&lt;="&amp;F80)</f>
        <v/>
      </c>
      <c r="K80" s="15">
        <f>J80*'클럭 정리'!$B$2/100</f>
        <v/>
      </c>
    </row>
    <row r="81">
      <c r="A81" s="13" t="inlineStr">
        <is>
          <t>병렬도 12 분할 3</t>
        </is>
      </c>
      <c r="B81" s="13" t="n">
        <v>5</v>
      </c>
      <c r="C81" s="13" t="inlineStr">
        <is>
          <t>ForkJoinPool-15-worker-8</t>
        </is>
      </c>
      <c r="D81" s="12" t="inlineStr">
        <is>
          <t>워커</t>
        </is>
      </c>
      <c r="E81" s="10" t="n">
        <v>46238.47892907407</v>
      </c>
      <c r="F81" s="10" t="n">
        <v>46238.4789296231</v>
      </c>
      <c r="G81" s="13" t="n">
        <v>1</v>
      </c>
      <c r="H81" s="14" t="n">
        <v>47.4358</v>
      </c>
      <c r="I81" s="13">
        <f>COUNTIFS('클럭 정리'!$A$6:$A$87,"&gt;="&amp;E81,'클럭 정리'!$A$6:$A$87,"&lt;="&amp;F81)</f>
        <v/>
      </c>
      <c r="J81" s="14">
        <f>AVERAGEIFS('클럭 정리'!$N$6:$N$87,'클럭 정리'!$A$6:$A$87,"&gt;="&amp;E81,'클럭 정리'!$A$6:$A$87,"&lt;="&amp;F81)</f>
        <v/>
      </c>
      <c r="K81" s="15">
        <f>J81*'클럭 정리'!$B$2/100</f>
        <v/>
      </c>
    </row>
    <row r="82">
      <c r="A82" s="13" t="inlineStr">
        <is>
          <t>병렬도 12 분할 3</t>
        </is>
      </c>
      <c r="B82" s="13" t="n">
        <v>5</v>
      </c>
      <c r="C82" s="13" t="inlineStr">
        <is>
          <t>ForkJoinPool-15-worker-9</t>
        </is>
      </c>
      <c r="D82" s="12" t="inlineStr">
        <is>
          <t>워커</t>
        </is>
      </c>
      <c r="E82" s="10" t="n">
        <v>46238.47892967593</v>
      </c>
      <c r="F82" s="10" t="n">
        <v>46238.47893020421</v>
      </c>
      <c r="G82" s="13" t="n">
        <v>1</v>
      </c>
      <c r="H82" s="14" t="n">
        <v>45.6441</v>
      </c>
      <c r="I82" s="13">
        <f>COUNTIFS('클럭 정리'!$A$6:$A$87,"&gt;="&amp;E82,'클럭 정리'!$A$6:$A$87,"&lt;="&amp;F82)</f>
        <v/>
      </c>
      <c r="J82" s="14">
        <f>AVERAGEIFS('클럭 정리'!$N$6:$N$87,'클럭 정리'!$A$6:$A$87,"&gt;="&amp;E82,'클럭 정리'!$A$6:$A$87,"&lt;="&amp;F82)</f>
        <v/>
      </c>
      <c r="K82" s="15">
        <f>J82*'클럭 정리'!$B$2/100</f>
        <v/>
      </c>
    </row>
    <row r="83">
      <c r="A83" s="13" t="inlineStr">
        <is>
          <t>병렬도 12 분할 3</t>
        </is>
      </c>
      <c r="B83" s="13" t="n">
        <v>5</v>
      </c>
      <c r="C83" s="13" t="inlineStr">
        <is>
          <t>main</t>
        </is>
      </c>
      <c r="D83" s="12" t="inlineStr">
        <is>
          <t>main (활동 시간 합 = 그 회차 mainCPU, 창은 워커와 겹침)</t>
        </is>
      </c>
      <c r="E83" s="10" t="n">
        <v>46238.47892584491</v>
      </c>
      <c r="F83" s="10" t="n">
        <v>46238.47895255021</v>
      </c>
      <c r="G83" s="13" t="n">
        <v>45</v>
      </c>
      <c r="H83" s="14" t="n">
        <v>0</v>
      </c>
      <c r="I83" s="13">
        <f>COUNTIFS('클럭 정리'!$A$6:$A$87,"&gt;="&amp;E83,'클럭 정리'!$A$6:$A$87,"&lt;="&amp;F83)</f>
        <v/>
      </c>
      <c r="J83" s="14">
        <f>AVERAGEIFS('클럭 정리'!$N$6:$N$87,'클럭 정리'!$A$6:$A$87,"&gt;="&amp;E83,'클럭 정리'!$A$6:$A$87,"&lt;="&amp;F83)</f>
        <v/>
      </c>
      <c r="K83" s="15">
        <f>J83*'클럭 정리'!$B$2/100</f>
        <v/>
      </c>
    </row>
    <row r="86">
      <c r="A86" s="1" t="inlineStr">
        <is>
          <t>풀·main별 클럭 표본 매핑</t>
        </is>
      </c>
    </row>
    <row r="87">
      <c r="A87" s="4" t="inlineStr">
        <is>
          <t>행 하나가 (풀 또는 main, 그 활동 창에 걸린 클럭 표본 1개)다. 표본 값은 클럭 정리 시트의 해당 행을 참조한다. main의 창은 그 회차 스캔 전체라 같은 회차 풀과 같은 표본에 걸린다.</t>
        </is>
      </c>
    </row>
    <row r="88">
      <c r="A88" s="5" t="inlineStr">
        <is>
          <t>구간</t>
        </is>
      </c>
      <c r="B88" s="5" t="inlineStr">
        <is>
          <t>회차</t>
        </is>
      </c>
      <c r="C88" s="5" t="inlineStr">
        <is>
          <t>풀/스레드</t>
        </is>
      </c>
      <c r="D88" s="5" t="inlineStr">
        <is>
          <t>활동 시작</t>
        </is>
      </c>
      <c r="E88" s="5" t="inlineStr">
        <is>
          <t>활동 끝</t>
        </is>
      </c>
      <c r="F88" s="5" t="inlineStr">
        <is>
          <t>표본 시각</t>
        </is>
      </c>
      <c r="G88" s="5" t="inlineStr">
        <is>
          <t>표본 클럭(%)</t>
        </is>
      </c>
      <c r="H88" s="5" t="inlineStr">
        <is>
          <t>표본 클럭(GHz)</t>
        </is>
      </c>
    </row>
    <row r="89">
      <c r="A89" s="13" t="inlineStr">
        <is>
          <t>병렬도 6 분할 3</t>
        </is>
      </c>
      <c r="B89" s="13" t="n">
        <v>1</v>
      </c>
      <c r="C89" s="13" t="inlineStr">
        <is>
          <t>ForkJoinPool-3</t>
        </is>
      </c>
      <c r="D89" s="10" t="n">
        <v>46238.47860769676</v>
      </c>
      <c r="E89" s="10" t="n">
        <v>46238.47863370099</v>
      </c>
      <c r="F89" s="16">
        <f>'클럭 정리'!A42</f>
        <v/>
      </c>
      <c r="G89" s="17">
        <f>'클럭 정리'!N42</f>
        <v/>
      </c>
      <c r="H89" s="15">
        <f>'클럭 정리'!O42</f>
        <v/>
      </c>
    </row>
    <row r="90">
      <c r="A90" s="13" t="inlineStr">
        <is>
          <t>병렬도 6 분할 3</t>
        </is>
      </c>
      <c r="B90" s="13" t="n">
        <v>1</v>
      </c>
      <c r="C90" s="13" t="inlineStr">
        <is>
          <t>ForkJoinPool-3</t>
        </is>
      </c>
      <c r="D90" s="10" t="n">
        <v>46238.47860769676</v>
      </c>
      <c r="E90" s="10" t="n">
        <v>46238.47863370099</v>
      </c>
      <c r="F90" s="16">
        <f>'클럭 정리'!A43</f>
        <v/>
      </c>
      <c r="G90" s="17">
        <f>'클럭 정리'!N43</f>
        <v/>
      </c>
      <c r="H90" s="15">
        <f>'클럭 정리'!O43</f>
        <v/>
      </c>
    </row>
    <row r="91">
      <c r="A91" s="13" t="inlineStr">
        <is>
          <t>병렬도 6 분할 3</t>
        </is>
      </c>
      <c r="B91" s="13" t="n">
        <v>1</v>
      </c>
      <c r="C91" s="13" t="inlineStr">
        <is>
          <t>main</t>
        </is>
      </c>
      <c r="D91" s="10" t="n">
        <v>46238.47860769676</v>
      </c>
      <c r="E91" s="10" t="n">
        <v>46238.47863370464</v>
      </c>
      <c r="F91" s="16">
        <f>'클럭 정리'!A42</f>
        <v/>
      </c>
      <c r="G91" s="17">
        <f>'클럭 정리'!N42</f>
        <v/>
      </c>
      <c r="H91" s="15">
        <f>'클럭 정리'!O42</f>
        <v/>
      </c>
    </row>
    <row r="92">
      <c r="A92" s="13" t="inlineStr">
        <is>
          <t>병렬도 6 분할 3</t>
        </is>
      </c>
      <c r="B92" s="13" t="n">
        <v>1</v>
      </c>
      <c r="C92" s="13" t="inlineStr">
        <is>
          <t>main</t>
        </is>
      </c>
      <c r="D92" s="10" t="n">
        <v>46238.47860769676</v>
      </c>
      <c r="E92" s="10" t="n">
        <v>46238.47863370464</v>
      </c>
      <c r="F92" s="16">
        <f>'클럭 정리'!A43</f>
        <v/>
      </c>
      <c r="G92" s="17">
        <f>'클럭 정리'!N43</f>
        <v/>
      </c>
      <c r="H92" s="15">
        <f>'클럭 정리'!O43</f>
        <v/>
      </c>
    </row>
    <row r="93">
      <c r="A93" s="13" t="inlineStr">
        <is>
          <t>병렬도 6 분할 3</t>
        </is>
      </c>
      <c r="B93" s="13" t="n">
        <v>2</v>
      </c>
      <c r="C93" s="13" t="inlineStr">
        <is>
          <t>ForkJoinPool-4</t>
        </is>
      </c>
      <c r="D93" s="10" t="n">
        <v>46238.47863380787</v>
      </c>
      <c r="E93" s="10" t="n">
        <v>46238.4786598739</v>
      </c>
      <c r="F93" s="16">
        <f>'클럭 정리'!A44</f>
        <v/>
      </c>
      <c r="G93" s="17">
        <f>'클럭 정리'!N44</f>
        <v/>
      </c>
      <c r="H93" s="15">
        <f>'클럭 정리'!O44</f>
        <v/>
      </c>
    </row>
    <row r="94">
      <c r="A94" s="13" t="inlineStr">
        <is>
          <t>병렬도 6 분할 3</t>
        </is>
      </c>
      <c r="B94" s="13" t="n">
        <v>2</v>
      </c>
      <c r="C94" s="13" t="inlineStr">
        <is>
          <t>ForkJoinPool-4</t>
        </is>
      </c>
      <c r="D94" s="10" t="n">
        <v>46238.47863380787</v>
      </c>
      <c r="E94" s="10" t="n">
        <v>46238.4786598739</v>
      </c>
      <c r="F94" s="16">
        <f>'클럭 정리'!A45</f>
        <v/>
      </c>
      <c r="G94" s="17">
        <f>'클럭 정리'!N45</f>
        <v/>
      </c>
      <c r="H94" s="15">
        <f>'클럭 정리'!O45</f>
        <v/>
      </c>
    </row>
    <row r="95">
      <c r="A95" s="13" t="inlineStr">
        <is>
          <t>병렬도 6 분할 3</t>
        </is>
      </c>
      <c r="B95" s="13" t="n">
        <v>2</v>
      </c>
      <c r="C95" s="13" t="inlineStr">
        <is>
          <t>ForkJoinPool-4</t>
        </is>
      </c>
      <c r="D95" s="10" t="n">
        <v>46238.47863380787</v>
      </c>
      <c r="E95" s="10" t="n">
        <v>46238.4786598739</v>
      </c>
      <c r="F95" s="16">
        <f>'클럭 정리'!A46</f>
        <v/>
      </c>
      <c r="G95" s="17">
        <f>'클럭 정리'!N46</f>
        <v/>
      </c>
      <c r="H95" s="15">
        <f>'클럭 정리'!O46</f>
        <v/>
      </c>
    </row>
    <row r="96">
      <c r="A96" s="13" t="inlineStr">
        <is>
          <t>병렬도 6 분할 3</t>
        </is>
      </c>
      <c r="B96" s="13" t="n">
        <v>2</v>
      </c>
      <c r="C96" s="13" t="inlineStr">
        <is>
          <t>main</t>
        </is>
      </c>
      <c r="D96" s="10" t="n">
        <v>46238.47863380787</v>
      </c>
      <c r="E96" s="10" t="n">
        <v>46238.47865987605</v>
      </c>
      <c r="F96" s="16">
        <f>'클럭 정리'!A44</f>
        <v/>
      </c>
      <c r="G96" s="17">
        <f>'클럭 정리'!N44</f>
        <v/>
      </c>
      <c r="H96" s="15">
        <f>'클럭 정리'!O44</f>
        <v/>
      </c>
    </row>
    <row r="97">
      <c r="A97" s="13" t="inlineStr">
        <is>
          <t>병렬도 6 분할 3</t>
        </is>
      </c>
      <c r="B97" s="13" t="n">
        <v>2</v>
      </c>
      <c r="C97" s="13" t="inlineStr">
        <is>
          <t>main</t>
        </is>
      </c>
      <c r="D97" s="10" t="n">
        <v>46238.47863380787</v>
      </c>
      <c r="E97" s="10" t="n">
        <v>46238.47865987605</v>
      </c>
      <c r="F97" s="16">
        <f>'클럭 정리'!A45</f>
        <v/>
      </c>
      <c r="G97" s="17">
        <f>'클럭 정리'!N45</f>
        <v/>
      </c>
      <c r="H97" s="15">
        <f>'클럭 정리'!O45</f>
        <v/>
      </c>
    </row>
    <row r="98">
      <c r="A98" s="13" t="inlineStr">
        <is>
          <t>병렬도 6 분할 3</t>
        </is>
      </c>
      <c r="B98" s="13" t="n">
        <v>2</v>
      </c>
      <c r="C98" s="13" t="inlineStr">
        <is>
          <t>main</t>
        </is>
      </c>
      <c r="D98" s="10" t="n">
        <v>46238.47863380787</v>
      </c>
      <c r="E98" s="10" t="n">
        <v>46238.47865987605</v>
      </c>
      <c r="F98" s="16">
        <f>'클럭 정리'!A46</f>
        <v/>
      </c>
      <c r="G98" s="17">
        <f>'클럭 정리'!N46</f>
        <v/>
      </c>
      <c r="H98" s="15">
        <f>'클럭 정리'!O46</f>
        <v/>
      </c>
    </row>
    <row r="99">
      <c r="A99" s="13" t="inlineStr">
        <is>
          <t>병렬도 6 분할 3</t>
        </is>
      </c>
      <c r="B99" s="13" t="n">
        <v>3</v>
      </c>
      <c r="C99" s="13" t="inlineStr">
        <is>
          <t>ForkJoinPool-5</t>
        </is>
      </c>
      <c r="D99" s="10" t="n">
        <v>46238.47865978009</v>
      </c>
      <c r="E99" s="10" t="n">
        <v>46238.47868538638</v>
      </c>
      <c r="F99" s="16">
        <f>'클럭 정리'!A46</f>
        <v/>
      </c>
      <c r="G99" s="17">
        <f>'클럭 정리'!N46</f>
        <v/>
      </c>
      <c r="H99" s="15">
        <f>'클럭 정리'!O46</f>
        <v/>
      </c>
    </row>
    <row r="100">
      <c r="A100" s="13" t="inlineStr">
        <is>
          <t>병렬도 6 분할 3</t>
        </is>
      </c>
      <c r="B100" s="13" t="n">
        <v>3</v>
      </c>
      <c r="C100" s="13" t="inlineStr">
        <is>
          <t>ForkJoinPool-5</t>
        </is>
      </c>
      <c r="D100" s="10" t="n">
        <v>46238.47865978009</v>
      </c>
      <c r="E100" s="10" t="n">
        <v>46238.47868538638</v>
      </c>
      <c r="F100" s="16">
        <f>'클럭 정리'!A47</f>
        <v/>
      </c>
      <c r="G100" s="17">
        <f>'클럭 정리'!N47</f>
        <v/>
      </c>
      <c r="H100" s="15">
        <f>'클럭 정리'!O47</f>
        <v/>
      </c>
    </row>
    <row r="101">
      <c r="A101" s="13" t="inlineStr">
        <is>
          <t>병렬도 6 분할 3</t>
        </is>
      </c>
      <c r="B101" s="13" t="n">
        <v>3</v>
      </c>
      <c r="C101" s="13" t="inlineStr">
        <is>
          <t>ForkJoinPool-5</t>
        </is>
      </c>
      <c r="D101" s="10" t="n">
        <v>46238.47865978009</v>
      </c>
      <c r="E101" s="10" t="n">
        <v>46238.47868538638</v>
      </c>
      <c r="F101" s="16">
        <f>'클럭 정리'!A48</f>
        <v/>
      </c>
      <c r="G101" s="17">
        <f>'클럭 정리'!N48</f>
        <v/>
      </c>
      <c r="H101" s="15">
        <f>'클럭 정리'!O48</f>
        <v/>
      </c>
    </row>
    <row r="102">
      <c r="A102" s="13" t="inlineStr">
        <is>
          <t>병렬도 6 분할 3</t>
        </is>
      </c>
      <c r="B102" s="13" t="n">
        <v>3</v>
      </c>
      <c r="C102" s="13" t="inlineStr">
        <is>
          <t>main</t>
        </is>
      </c>
      <c r="D102" s="10" t="n">
        <v>46238.47865978009</v>
      </c>
      <c r="E102" s="10" t="n">
        <v>46238.47868538778</v>
      </c>
      <c r="F102" s="16">
        <f>'클럭 정리'!A46</f>
        <v/>
      </c>
      <c r="G102" s="17">
        <f>'클럭 정리'!N46</f>
        <v/>
      </c>
      <c r="H102" s="15">
        <f>'클럭 정리'!O46</f>
        <v/>
      </c>
    </row>
    <row r="103">
      <c r="A103" s="13" t="inlineStr">
        <is>
          <t>병렬도 6 분할 3</t>
        </is>
      </c>
      <c r="B103" s="13" t="n">
        <v>3</v>
      </c>
      <c r="C103" s="13" t="inlineStr">
        <is>
          <t>main</t>
        </is>
      </c>
      <c r="D103" s="10" t="n">
        <v>46238.47865978009</v>
      </c>
      <c r="E103" s="10" t="n">
        <v>46238.47868538778</v>
      </c>
      <c r="F103" s="16">
        <f>'클럭 정리'!A47</f>
        <v/>
      </c>
      <c r="G103" s="17">
        <f>'클럭 정리'!N47</f>
        <v/>
      </c>
      <c r="H103" s="15">
        <f>'클럭 정리'!O47</f>
        <v/>
      </c>
    </row>
    <row r="104">
      <c r="A104" s="13" t="inlineStr">
        <is>
          <t>병렬도 6 분할 3</t>
        </is>
      </c>
      <c r="B104" s="13" t="n">
        <v>3</v>
      </c>
      <c r="C104" s="13" t="inlineStr">
        <is>
          <t>main</t>
        </is>
      </c>
      <c r="D104" s="10" t="n">
        <v>46238.47865978009</v>
      </c>
      <c r="E104" s="10" t="n">
        <v>46238.47868538778</v>
      </c>
      <c r="F104" s="16">
        <f>'클럭 정리'!A48</f>
        <v/>
      </c>
      <c r="G104" s="17">
        <f>'클럭 정리'!N48</f>
        <v/>
      </c>
      <c r="H104" s="15">
        <f>'클럭 정리'!O48</f>
        <v/>
      </c>
    </row>
    <row r="105">
      <c r="A105" s="13" t="inlineStr">
        <is>
          <t>병렬도 6 분할 3</t>
        </is>
      </c>
      <c r="B105" s="13" t="n">
        <v>4</v>
      </c>
      <c r="C105" s="13" t="inlineStr">
        <is>
          <t>ForkJoinPool-6</t>
        </is>
      </c>
      <c r="D105" s="10" t="n">
        <v>46238.47868543981</v>
      </c>
      <c r="E105" s="10" t="n">
        <v>46238.47871169605</v>
      </c>
      <c r="F105" s="16">
        <f>'클럭 정리'!A49</f>
        <v/>
      </c>
      <c r="G105" s="17">
        <f>'클럭 정리'!N49</f>
        <v/>
      </c>
      <c r="H105" s="15">
        <f>'클럭 정리'!O49</f>
        <v/>
      </c>
    </row>
    <row r="106">
      <c r="A106" s="13" t="inlineStr">
        <is>
          <t>병렬도 6 분할 3</t>
        </is>
      </c>
      <c r="B106" s="13" t="n">
        <v>4</v>
      </c>
      <c r="C106" s="13" t="inlineStr">
        <is>
          <t>ForkJoinPool-6</t>
        </is>
      </c>
      <c r="D106" s="10" t="n">
        <v>46238.47868543981</v>
      </c>
      <c r="E106" s="10" t="n">
        <v>46238.47871169605</v>
      </c>
      <c r="F106" s="16">
        <f>'클럭 정리'!A50</f>
        <v/>
      </c>
      <c r="G106" s="17">
        <f>'클럭 정리'!N50</f>
        <v/>
      </c>
      <c r="H106" s="15">
        <f>'클럭 정리'!O50</f>
        <v/>
      </c>
    </row>
    <row r="107">
      <c r="A107" s="13" t="inlineStr">
        <is>
          <t>병렬도 6 분할 3</t>
        </is>
      </c>
      <c r="B107" s="13" t="n">
        <v>4</v>
      </c>
      <c r="C107" s="13" t="inlineStr">
        <is>
          <t>main</t>
        </is>
      </c>
      <c r="D107" s="10" t="n">
        <v>46238.47868543981</v>
      </c>
      <c r="E107" s="10" t="n">
        <v>46238.47871169826</v>
      </c>
      <c r="F107" s="16">
        <f>'클럭 정리'!A49</f>
        <v/>
      </c>
      <c r="G107" s="17">
        <f>'클럭 정리'!N49</f>
        <v/>
      </c>
      <c r="H107" s="15">
        <f>'클럭 정리'!O49</f>
        <v/>
      </c>
    </row>
    <row r="108">
      <c r="A108" s="13" t="inlineStr">
        <is>
          <t>병렬도 6 분할 3</t>
        </is>
      </c>
      <c r="B108" s="13" t="n">
        <v>4</v>
      </c>
      <c r="C108" s="13" t="inlineStr">
        <is>
          <t>main</t>
        </is>
      </c>
      <c r="D108" s="10" t="n">
        <v>46238.47868543981</v>
      </c>
      <c r="E108" s="10" t="n">
        <v>46238.47871169826</v>
      </c>
      <c r="F108" s="16">
        <f>'클럭 정리'!A50</f>
        <v/>
      </c>
      <c r="G108" s="17">
        <f>'클럭 정리'!N50</f>
        <v/>
      </c>
      <c r="H108" s="15">
        <f>'클럭 정리'!O50</f>
        <v/>
      </c>
    </row>
    <row r="109">
      <c r="A109" s="13" t="inlineStr">
        <is>
          <t>병렬도 6 분할 3</t>
        </is>
      </c>
      <c r="B109" s="13" t="n">
        <v>5</v>
      </c>
      <c r="C109" s="13" t="inlineStr">
        <is>
          <t>ForkJoinPool-7</t>
        </is>
      </c>
      <c r="D109" s="10" t="n">
        <v>46238.47871168982</v>
      </c>
      <c r="E109" s="10" t="n">
        <v>46238.47873835007</v>
      </c>
      <c r="F109" s="16">
        <f>'클럭 정리'!A51</f>
        <v/>
      </c>
      <c r="G109" s="17">
        <f>'클럭 정리'!N51</f>
        <v/>
      </c>
      <c r="H109" s="15">
        <f>'클럭 정리'!O51</f>
        <v/>
      </c>
    </row>
    <row r="110">
      <c r="A110" s="13" t="inlineStr">
        <is>
          <t>병렬도 6 분할 3</t>
        </is>
      </c>
      <c r="B110" s="13" t="n">
        <v>5</v>
      </c>
      <c r="C110" s="13" t="inlineStr">
        <is>
          <t>ForkJoinPool-7</t>
        </is>
      </c>
      <c r="D110" s="10" t="n">
        <v>46238.47871168982</v>
      </c>
      <c r="E110" s="10" t="n">
        <v>46238.47873835007</v>
      </c>
      <c r="F110" s="16">
        <f>'클럭 정리'!A52</f>
        <v/>
      </c>
      <c r="G110" s="17">
        <f>'클럭 정리'!N52</f>
        <v/>
      </c>
      <c r="H110" s="15">
        <f>'클럭 정리'!O52</f>
        <v/>
      </c>
    </row>
    <row r="111">
      <c r="A111" s="13" t="inlineStr">
        <is>
          <t>병렬도 6 분할 3</t>
        </is>
      </c>
      <c r="B111" s="13" t="n">
        <v>5</v>
      </c>
      <c r="C111" s="13" t="inlineStr">
        <is>
          <t>main</t>
        </is>
      </c>
      <c r="D111" s="10" t="n">
        <v>46238.47871168982</v>
      </c>
      <c r="E111" s="10" t="n">
        <v>46238.47873835294</v>
      </c>
      <c r="F111" s="16">
        <f>'클럭 정리'!A51</f>
        <v/>
      </c>
      <c r="G111" s="17">
        <f>'클럭 정리'!N51</f>
        <v/>
      </c>
      <c r="H111" s="15">
        <f>'클럭 정리'!O51</f>
        <v/>
      </c>
    </row>
    <row r="112">
      <c r="A112" s="13" t="inlineStr">
        <is>
          <t>병렬도 6 분할 3</t>
        </is>
      </c>
      <c r="B112" s="13" t="n">
        <v>5</v>
      </c>
      <c r="C112" s="13" t="inlineStr">
        <is>
          <t>main</t>
        </is>
      </c>
      <c r="D112" s="10" t="n">
        <v>46238.47871168982</v>
      </c>
      <c r="E112" s="10" t="n">
        <v>46238.47873835294</v>
      </c>
      <c r="F112" s="16">
        <f>'클럭 정리'!A52</f>
        <v/>
      </c>
      <c r="G112" s="17">
        <f>'클럭 정리'!N52</f>
        <v/>
      </c>
      <c r="H112" s="15">
        <f>'클럭 정리'!O52</f>
        <v/>
      </c>
    </row>
    <row r="113">
      <c r="A113" s="13" t="inlineStr">
        <is>
          <t>병렬도 12 분할 3</t>
        </is>
      </c>
      <c r="B113" s="13" t="n">
        <v>1</v>
      </c>
      <c r="C113" s="13" t="inlineStr">
        <is>
          <t>ForkJoinPool-11</t>
        </is>
      </c>
      <c r="D113" s="10" t="n">
        <v>46238.47881875</v>
      </c>
      <c r="E113" s="10" t="n">
        <v>46238.47884535349</v>
      </c>
      <c r="F113" s="16">
        <f>'클럭 정리'!A60</f>
        <v/>
      </c>
      <c r="G113" s="17">
        <f>'클럭 정리'!N60</f>
        <v/>
      </c>
      <c r="H113" s="15">
        <f>'클럭 정리'!O60</f>
        <v/>
      </c>
    </row>
    <row r="114">
      <c r="A114" s="13" t="inlineStr">
        <is>
          <t>병렬도 12 분할 3</t>
        </is>
      </c>
      <c r="B114" s="13" t="n">
        <v>1</v>
      </c>
      <c r="C114" s="13" t="inlineStr">
        <is>
          <t>ForkJoinPool-11</t>
        </is>
      </c>
      <c r="D114" s="10" t="n">
        <v>46238.47881875</v>
      </c>
      <c r="E114" s="10" t="n">
        <v>46238.47884535349</v>
      </c>
      <c r="F114" s="16">
        <f>'클럭 정리'!A61</f>
        <v/>
      </c>
      <c r="G114" s="17">
        <f>'클럭 정리'!N61</f>
        <v/>
      </c>
      <c r="H114" s="15">
        <f>'클럭 정리'!O61</f>
        <v/>
      </c>
    </row>
    <row r="115">
      <c r="A115" s="13" t="inlineStr">
        <is>
          <t>병렬도 12 분할 3</t>
        </is>
      </c>
      <c r="B115" s="13" t="n">
        <v>1</v>
      </c>
      <c r="C115" s="13" t="inlineStr">
        <is>
          <t>main</t>
        </is>
      </c>
      <c r="D115" s="10" t="n">
        <v>46238.47881875</v>
      </c>
      <c r="E115" s="10" t="n">
        <v>46238.4788453567</v>
      </c>
      <c r="F115" s="16">
        <f>'클럭 정리'!A60</f>
        <v/>
      </c>
      <c r="G115" s="17">
        <f>'클럭 정리'!N60</f>
        <v/>
      </c>
      <c r="H115" s="15">
        <f>'클럭 정리'!O60</f>
        <v/>
      </c>
    </row>
    <row r="116">
      <c r="A116" s="13" t="inlineStr">
        <is>
          <t>병렬도 12 분할 3</t>
        </is>
      </c>
      <c r="B116" s="13" t="n">
        <v>1</v>
      </c>
      <c r="C116" s="13" t="inlineStr">
        <is>
          <t>main</t>
        </is>
      </c>
      <c r="D116" s="10" t="n">
        <v>46238.47881875</v>
      </c>
      <c r="E116" s="10" t="n">
        <v>46238.4788453567</v>
      </c>
      <c r="F116" s="16">
        <f>'클럭 정리'!A61</f>
        <v/>
      </c>
      <c r="G116" s="17">
        <f>'클럭 정리'!N61</f>
        <v/>
      </c>
      <c r="H116" s="15">
        <f>'클럭 정리'!O61</f>
        <v/>
      </c>
    </row>
    <row r="117">
      <c r="A117" s="13" t="inlineStr">
        <is>
          <t>병렬도 12 분할 3</t>
        </is>
      </c>
      <c r="B117" s="13" t="n">
        <v>2</v>
      </c>
      <c r="C117" s="13" t="inlineStr">
        <is>
          <t>ForkJoinPool-12</t>
        </is>
      </c>
      <c r="D117" s="10" t="n">
        <v>46238.47884541667</v>
      </c>
      <c r="E117" s="10" t="n">
        <v>46238.4788735688</v>
      </c>
      <c r="F117" s="16">
        <f>'클럭 정리'!A62</f>
        <v/>
      </c>
      <c r="G117" s="17">
        <f>'클럭 정리'!N62</f>
        <v/>
      </c>
      <c r="H117" s="15">
        <f>'클럭 정리'!O62</f>
        <v/>
      </c>
    </row>
    <row r="118">
      <c r="A118" s="13" t="inlineStr">
        <is>
          <t>병렬도 12 분할 3</t>
        </is>
      </c>
      <c r="B118" s="13" t="n">
        <v>2</v>
      </c>
      <c r="C118" s="13" t="inlineStr">
        <is>
          <t>ForkJoinPool-12</t>
        </is>
      </c>
      <c r="D118" s="10" t="n">
        <v>46238.47884541667</v>
      </c>
      <c r="E118" s="10" t="n">
        <v>46238.4788735688</v>
      </c>
      <c r="F118" s="16">
        <f>'클럭 정리'!A63</f>
        <v/>
      </c>
      <c r="G118" s="17">
        <f>'클럭 정리'!N63</f>
        <v/>
      </c>
      <c r="H118" s="15">
        <f>'클럭 정리'!O63</f>
        <v/>
      </c>
    </row>
    <row r="119">
      <c r="A119" s="13" t="inlineStr">
        <is>
          <t>병렬도 12 분할 3</t>
        </is>
      </c>
      <c r="B119" s="13" t="n">
        <v>2</v>
      </c>
      <c r="C119" s="13" t="inlineStr">
        <is>
          <t>ForkJoinPool-12</t>
        </is>
      </c>
      <c r="D119" s="10" t="n">
        <v>46238.47884541667</v>
      </c>
      <c r="E119" s="10" t="n">
        <v>46238.4788735688</v>
      </c>
      <c r="F119" s="16">
        <f>'클럭 정리'!A64</f>
        <v/>
      </c>
      <c r="G119" s="17">
        <f>'클럭 정리'!N64</f>
        <v/>
      </c>
      <c r="H119" s="15">
        <f>'클럭 정리'!O64</f>
        <v/>
      </c>
    </row>
    <row r="120">
      <c r="A120" s="13" t="inlineStr">
        <is>
          <t>병렬도 12 분할 3</t>
        </is>
      </c>
      <c r="B120" s="13" t="n">
        <v>2</v>
      </c>
      <c r="C120" s="13" t="inlineStr">
        <is>
          <t>main</t>
        </is>
      </c>
      <c r="D120" s="10" t="n">
        <v>46238.47884541667</v>
      </c>
      <c r="E120" s="10" t="n">
        <v>46238.47887352558</v>
      </c>
      <c r="F120" s="16">
        <f>'클럭 정리'!A62</f>
        <v/>
      </c>
      <c r="G120" s="17">
        <f>'클럭 정리'!N62</f>
        <v/>
      </c>
      <c r="H120" s="15">
        <f>'클럭 정리'!O62</f>
        <v/>
      </c>
    </row>
    <row r="121">
      <c r="A121" s="13" t="inlineStr">
        <is>
          <t>병렬도 12 분할 3</t>
        </is>
      </c>
      <c r="B121" s="13" t="n">
        <v>2</v>
      </c>
      <c r="C121" s="13" t="inlineStr">
        <is>
          <t>main</t>
        </is>
      </c>
      <c r="D121" s="10" t="n">
        <v>46238.47884541667</v>
      </c>
      <c r="E121" s="10" t="n">
        <v>46238.47887352558</v>
      </c>
      <c r="F121" s="16">
        <f>'클럭 정리'!A63</f>
        <v/>
      </c>
      <c r="G121" s="17">
        <f>'클럭 정리'!N63</f>
        <v/>
      </c>
      <c r="H121" s="15">
        <f>'클럭 정리'!O63</f>
        <v/>
      </c>
    </row>
    <row r="122">
      <c r="A122" s="13" t="inlineStr">
        <is>
          <t>병렬도 12 분할 3</t>
        </is>
      </c>
      <c r="B122" s="13" t="n">
        <v>2</v>
      </c>
      <c r="C122" s="13" t="inlineStr">
        <is>
          <t>main</t>
        </is>
      </c>
      <c r="D122" s="10" t="n">
        <v>46238.47884541667</v>
      </c>
      <c r="E122" s="10" t="n">
        <v>46238.47887352558</v>
      </c>
      <c r="F122" s="16">
        <f>'클럭 정리'!A64</f>
        <v/>
      </c>
      <c r="G122" s="17">
        <f>'클럭 정리'!N64</f>
        <v/>
      </c>
      <c r="H122" s="15">
        <f>'클럭 정리'!O64</f>
        <v/>
      </c>
    </row>
    <row r="123">
      <c r="A123" s="13" t="inlineStr">
        <is>
          <t>병렬도 12 분할 3</t>
        </is>
      </c>
      <c r="B123" s="13" t="n">
        <v>3</v>
      </c>
      <c r="C123" s="13" t="inlineStr">
        <is>
          <t>ForkJoinPool-13</t>
        </is>
      </c>
      <c r="D123" s="10" t="n">
        <v>46238.47887353009</v>
      </c>
      <c r="E123" s="10" t="n">
        <v>46238.47889942637</v>
      </c>
      <c r="F123" s="16">
        <f>'클럭 정리'!A65</f>
        <v/>
      </c>
      <c r="G123" s="17">
        <f>'클럭 정리'!N65</f>
        <v/>
      </c>
      <c r="H123" s="15">
        <f>'클럭 정리'!O65</f>
        <v/>
      </c>
    </row>
    <row r="124">
      <c r="A124" s="13" t="inlineStr">
        <is>
          <t>병렬도 12 분할 3</t>
        </is>
      </c>
      <c r="B124" s="13" t="n">
        <v>3</v>
      </c>
      <c r="C124" s="13" t="inlineStr">
        <is>
          <t>ForkJoinPool-13</t>
        </is>
      </c>
      <c r="D124" s="10" t="n">
        <v>46238.47887353009</v>
      </c>
      <c r="E124" s="10" t="n">
        <v>46238.47889942637</v>
      </c>
      <c r="F124" s="16">
        <f>'클럭 정리'!A66</f>
        <v/>
      </c>
      <c r="G124" s="17">
        <f>'클럭 정리'!N66</f>
        <v/>
      </c>
      <c r="H124" s="15">
        <f>'클럭 정리'!O66</f>
        <v/>
      </c>
    </row>
    <row r="125">
      <c r="A125" s="13" t="inlineStr">
        <is>
          <t>병렬도 12 분할 3</t>
        </is>
      </c>
      <c r="B125" s="13" t="n">
        <v>3</v>
      </c>
      <c r="C125" s="13" t="inlineStr">
        <is>
          <t>main</t>
        </is>
      </c>
      <c r="D125" s="10" t="n">
        <v>46238.47887353009</v>
      </c>
      <c r="E125" s="10" t="n">
        <v>46238.4788994272</v>
      </c>
      <c r="F125" s="16">
        <f>'클럭 정리'!A65</f>
        <v/>
      </c>
      <c r="G125" s="17">
        <f>'클럭 정리'!N65</f>
        <v/>
      </c>
      <c r="H125" s="15">
        <f>'클럭 정리'!O65</f>
        <v/>
      </c>
    </row>
    <row r="126">
      <c r="A126" s="13" t="inlineStr">
        <is>
          <t>병렬도 12 분할 3</t>
        </is>
      </c>
      <c r="B126" s="13" t="n">
        <v>3</v>
      </c>
      <c r="C126" s="13" t="inlineStr">
        <is>
          <t>main</t>
        </is>
      </c>
      <c r="D126" s="10" t="n">
        <v>46238.47887353009</v>
      </c>
      <c r="E126" s="10" t="n">
        <v>46238.4788994272</v>
      </c>
      <c r="F126" s="16">
        <f>'클럭 정리'!A66</f>
        <v/>
      </c>
      <c r="G126" s="17">
        <f>'클럭 정리'!N66</f>
        <v/>
      </c>
      <c r="H126" s="15">
        <f>'클럭 정리'!O66</f>
        <v/>
      </c>
    </row>
    <row r="127">
      <c r="A127" s="13" t="inlineStr">
        <is>
          <t>병렬도 12 분할 3</t>
        </is>
      </c>
      <c r="B127" s="13" t="n">
        <v>4</v>
      </c>
      <c r="C127" s="13" t="inlineStr">
        <is>
          <t>ForkJoinPool-14</t>
        </is>
      </c>
      <c r="D127" s="10" t="n">
        <v>46238.47889960648</v>
      </c>
      <c r="E127" s="10" t="n">
        <v>46238.47892586522</v>
      </c>
      <c r="F127" s="16">
        <f>'클럭 정리'!A67</f>
        <v/>
      </c>
      <c r="G127" s="17">
        <f>'클럭 정리'!N67</f>
        <v/>
      </c>
      <c r="H127" s="15">
        <f>'클럭 정리'!O67</f>
        <v/>
      </c>
    </row>
    <row r="128">
      <c r="A128" s="13" t="inlineStr">
        <is>
          <t>병렬도 12 분할 3</t>
        </is>
      </c>
      <c r="B128" s="13" t="n">
        <v>4</v>
      </c>
      <c r="C128" s="13" t="inlineStr">
        <is>
          <t>ForkJoinPool-14</t>
        </is>
      </c>
      <c r="D128" s="10" t="n">
        <v>46238.47889960648</v>
      </c>
      <c r="E128" s="10" t="n">
        <v>46238.47892586522</v>
      </c>
      <c r="F128" s="16">
        <f>'클럭 정리'!A68</f>
        <v/>
      </c>
      <c r="G128" s="17">
        <f>'클럭 정리'!N68</f>
        <v/>
      </c>
      <c r="H128" s="15">
        <f>'클럭 정리'!O68</f>
        <v/>
      </c>
    </row>
    <row r="129">
      <c r="A129" s="13" t="inlineStr">
        <is>
          <t>병렬도 12 분할 3</t>
        </is>
      </c>
      <c r="B129" s="13" t="n">
        <v>4</v>
      </c>
      <c r="C129" s="13" t="inlineStr">
        <is>
          <t>main</t>
        </is>
      </c>
      <c r="D129" s="10" t="n">
        <v>46238.47889958334</v>
      </c>
      <c r="E129" s="10" t="n">
        <v>46238.47892586638</v>
      </c>
      <c r="F129" s="16">
        <f>'클럭 정리'!A67</f>
        <v/>
      </c>
      <c r="G129" s="17">
        <f>'클럭 정리'!N67</f>
        <v/>
      </c>
      <c r="H129" s="15">
        <f>'클럭 정리'!O67</f>
        <v/>
      </c>
    </row>
    <row r="130">
      <c r="A130" s="13" t="inlineStr">
        <is>
          <t>병렬도 12 분할 3</t>
        </is>
      </c>
      <c r="B130" s="13" t="n">
        <v>4</v>
      </c>
      <c r="C130" s="13" t="inlineStr">
        <is>
          <t>main</t>
        </is>
      </c>
      <c r="D130" s="10" t="n">
        <v>46238.47889958334</v>
      </c>
      <c r="E130" s="10" t="n">
        <v>46238.47892586638</v>
      </c>
      <c r="F130" s="16">
        <f>'클럭 정리'!A68</f>
        <v/>
      </c>
      <c r="G130" s="17">
        <f>'클럭 정리'!N68</f>
        <v/>
      </c>
      <c r="H130" s="15">
        <f>'클럭 정리'!O68</f>
        <v/>
      </c>
    </row>
    <row r="131">
      <c r="A131" s="13" t="inlineStr">
        <is>
          <t>병렬도 12 분할 3</t>
        </is>
      </c>
      <c r="B131" s="13" t="n">
        <v>5</v>
      </c>
      <c r="C131" s="13" t="inlineStr">
        <is>
          <t>ForkJoinPool-15</t>
        </is>
      </c>
      <c r="D131" s="10" t="n">
        <v>46238.47892584491</v>
      </c>
      <c r="E131" s="10" t="n">
        <v>46238.47895254692</v>
      </c>
      <c r="F131" s="16">
        <f>'클럭 정리'!A69</f>
        <v/>
      </c>
      <c r="G131" s="17">
        <f>'클럭 정리'!N69</f>
        <v/>
      </c>
      <c r="H131" s="15">
        <f>'클럭 정리'!O69</f>
        <v/>
      </c>
    </row>
    <row r="132">
      <c r="A132" s="13" t="inlineStr">
        <is>
          <t>병렬도 12 분할 3</t>
        </is>
      </c>
      <c r="B132" s="13" t="n">
        <v>5</v>
      </c>
      <c r="C132" s="13" t="inlineStr">
        <is>
          <t>ForkJoinPool-15</t>
        </is>
      </c>
      <c r="D132" s="10" t="n">
        <v>46238.47892584491</v>
      </c>
      <c r="E132" s="10" t="n">
        <v>46238.47895254692</v>
      </c>
      <c r="F132" s="16">
        <f>'클럭 정리'!A70</f>
        <v/>
      </c>
      <c r="G132" s="17">
        <f>'클럭 정리'!N70</f>
        <v/>
      </c>
      <c r="H132" s="15">
        <f>'클럭 정리'!O70</f>
        <v/>
      </c>
    </row>
    <row r="133">
      <c r="A133" s="13" t="inlineStr">
        <is>
          <t>병렬도 12 분할 3</t>
        </is>
      </c>
      <c r="B133" s="13" t="n">
        <v>5</v>
      </c>
      <c r="C133" s="13" t="inlineStr">
        <is>
          <t>ForkJoinPool-15</t>
        </is>
      </c>
      <c r="D133" s="10" t="n">
        <v>46238.47892584491</v>
      </c>
      <c r="E133" s="10" t="n">
        <v>46238.47895254692</v>
      </c>
      <c r="F133" s="16">
        <f>'클럭 정리'!A71</f>
        <v/>
      </c>
      <c r="G133" s="17">
        <f>'클럭 정리'!N71</f>
        <v/>
      </c>
      <c r="H133" s="15">
        <f>'클럭 정리'!O71</f>
        <v/>
      </c>
    </row>
    <row r="134">
      <c r="A134" s="13" t="inlineStr">
        <is>
          <t>병렬도 12 분할 3</t>
        </is>
      </c>
      <c r="B134" s="13" t="n">
        <v>5</v>
      </c>
      <c r="C134" s="13" t="inlineStr">
        <is>
          <t>main</t>
        </is>
      </c>
      <c r="D134" s="10" t="n">
        <v>46238.47892584491</v>
      </c>
      <c r="E134" s="10" t="n">
        <v>46238.47895255021</v>
      </c>
      <c r="F134" s="16">
        <f>'클럭 정리'!A69</f>
        <v/>
      </c>
      <c r="G134" s="17">
        <f>'클럭 정리'!N69</f>
        <v/>
      </c>
      <c r="H134" s="15">
        <f>'클럭 정리'!O69</f>
        <v/>
      </c>
    </row>
    <row r="135">
      <c r="A135" s="13" t="inlineStr">
        <is>
          <t>병렬도 12 분할 3</t>
        </is>
      </c>
      <c r="B135" s="13" t="n">
        <v>5</v>
      </c>
      <c r="C135" s="13" t="inlineStr">
        <is>
          <t>main</t>
        </is>
      </c>
      <c r="D135" s="10" t="n">
        <v>46238.47892584491</v>
      </c>
      <c r="E135" s="10" t="n">
        <v>46238.47895255021</v>
      </c>
      <c r="F135" s="16">
        <f>'클럭 정리'!A70</f>
        <v/>
      </c>
      <c r="G135" s="17">
        <f>'클럭 정리'!N70</f>
        <v/>
      </c>
      <c r="H135" s="15">
        <f>'클럭 정리'!O70</f>
        <v/>
      </c>
    </row>
    <row r="136">
      <c r="A136" s="13" t="inlineStr">
        <is>
          <t>병렬도 12 분할 3</t>
        </is>
      </c>
      <c r="B136" s="13" t="n">
        <v>5</v>
      </c>
      <c r="C136" s="13" t="inlineStr">
        <is>
          <t>main</t>
        </is>
      </c>
      <c r="D136" s="10" t="n">
        <v>46238.47892584491</v>
      </c>
      <c r="E136" s="10" t="n">
        <v>46238.47895255021</v>
      </c>
      <c r="F136" s="16">
        <f>'클럭 정리'!A71</f>
        <v/>
      </c>
      <c r="G136" s="17">
        <f>'클럭 정리'!N71</f>
        <v/>
      </c>
      <c r="H136" s="15">
        <f>'클럭 정리'!O71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7" customWidth="1" min="3" max="3"/>
    <col width="6" customWidth="1" min="4" max="4"/>
    <col width="12" customWidth="1" min="5" max="5"/>
    <col width="12" customWidth="1" min="6" max="6"/>
    <col width="11" customWidth="1" min="7" max="7"/>
    <col width="11" customWidth="1" min="8" max="8"/>
    <col width="13" customWidth="1" min="9" max="9"/>
    <col width="12" customWidth="1" min="10" max="10"/>
    <col width="12" customWidth="1" min="11" max="11"/>
    <col width="8" customWidth="1" min="12" max="12"/>
    <col width="11" customWidth="1" min="13" max="13"/>
  </cols>
  <sheetData>
    <row r="1">
      <c r="A1" s="1" t="inlineStr">
        <is>
          <t>측정 회차별 원값 (IMPLOG run 레코드). 프로브 표의 행은 5회 평균이고, 이 시트는 그 5회 각각이다</t>
        </is>
      </c>
    </row>
    <row r="2">
      <c r="A2" s="4" t="inlineStr">
        <is>
          <t>busyCore와 speedup은 파생값이라 로그에 없고 여기서 수식으로 계산한다. busyCore는 procCPU를 elapsed로 나눈 값, speedup은 순차 elapsed의 5회 평균을 그 행의 elapsed로 나눈 값이다. 스레드 CPU 시간(mainCPU 등)은 Windows 해상도(15.625ms) 계단이라 작은 값은 0으로 찍힌다.</t>
        </is>
      </c>
    </row>
    <row r="4">
      <c r="A4" s="5" t="inlineStr">
        <is>
          <t>구현</t>
        </is>
      </c>
      <c r="B4" s="5" t="inlineStr">
        <is>
          <t>병렬도</t>
        </is>
      </c>
      <c r="C4" s="5" t="inlineStr">
        <is>
          <t>분할</t>
        </is>
      </c>
      <c r="D4" s="5" t="inlineStr">
        <is>
          <t>회차</t>
        </is>
      </c>
      <c r="E4" s="5" t="inlineStr">
        <is>
          <t>elapsed(ms)</t>
        </is>
      </c>
      <c r="F4" s="5" t="inlineStr">
        <is>
          <t>procCPU(ms)</t>
        </is>
      </c>
      <c r="G4" s="5" t="inlineStr">
        <is>
          <t>busyCore(개)</t>
        </is>
      </c>
      <c r="H4" s="5" t="inlineStr">
        <is>
          <t>mainCPU(ms)</t>
        </is>
      </c>
      <c r="I4" s="5" t="inlineStr">
        <is>
          <t>workerCPU(ms)</t>
        </is>
      </c>
      <c r="J4" s="5" t="inlineStr">
        <is>
          <t>기타 자바(ms)</t>
        </is>
      </c>
      <c r="K4" s="5" t="inlineStr">
        <is>
          <t>자바 아닌(ms)</t>
        </is>
      </c>
      <c r="L4" s="5" t="inlineStr">
        <is>
          <t>GC(ms)</t>
        </is>
      </c>
      <c r="M4" s="5" t="inlineStr">
        <is>
          <t>speedup(배)</t>
        </is>
      </c>
    </row>
    <row r="5">
      <c r="A5" s="13" t="inlineStr">
        <is>
          <t>순차</t>
        </is>
      </c>
      <c r="B5" s="13" t="inlineStr">
        <is>
          <t>-</t>
        </is>
      </c>
      <c r="C5" s="13" t="inlineStr">
        <is>
          <t>-</t>
        </is>
      </c>
      <c r="D5" s="13" t="n">
        <v>1</v>
      </c>
      <c r="E5" s="14" t="n">
        <v>3254.5232</v>
      </c>
      <c r="F5" s="14" t="n">
        <v>3359.375</v>
      </c>
      <c r="G5" s="11">
        <f>F5/E5</f>
        <v/>
      </c>
      <c r="H5" s="14" t="n">
        <v>3234.375</v>
      </c>
      <c r="I5" s="14" t="n">
        <v>0</v>
      </c>
      <c r="J5" s="14" t="n">
        <v>0</v>
      </c>
      <c r="K5" s="14" t="n">
        <v>125</v>
      </c>
      <c r="L5" s="13" t="n">
        <v>18</v>
      </c>
      <c r="M5" s="13" t="n"/>
    </row>
    <row r="6">
      <c r="A6" s="13" t="inlineStr">
        <is>
          <t>순차</t>
        </is>
      </c>
      <c r="B6" s="13" t="inlineStr">
        <is>
          <t>-</t>
        </is>
      </c>
      <c r="C6" s="13" t="inlineStr">
        <is>
          <t>-</t>
        </is>
      </c>
      <c r="D6" s="13" t="n">
        <v>2</v>
      </c>
      <c r="E6" s="14" t="n">
        <v>4177.3218</v>
      </c>
      <c r="F6" s="14" t="n">
        <v>4218.75</v>
      </c>
      <c r="G6" s="11">
        <f>F6/E6</f>
        <v/>
      </c>
      <c r="H6" s="14" t="n">
        <v>4140.625</v>
      </c>
      <c r="I6" s="14" t="n">
        <v>0</v>
      </c>
      <c r="J6" s="14" t="n">
        <v>0</v>
      </c>
      <c r="K6" s="14" t="n">
        <v>78.125</v>
      </c>
      <c r="L6" s="13" t="n">
        <v>19</v>
      </c>
      <c r="M6" s="13" t="n"/>
    </row>
    <row r="7">
      <c r="A7" s="13" t="inlineStr">
        <is>
          <t>순차</t>
        </is>
      </c>
      <c r="B7" s="13" t="inlineStr">
        <is>
          <t>-</t>
        </is>
      </c>
      <c r="C7" s="13" t="inlineStr">
        <is>
          <t>-</t>
        </is>
      </c>
      <c r="D7" s="13" t="n">
        <v>3</v>
      </c>
      <c r="E7" s="14" t="n">
        <v>4278.65</v>
      </c>
      <c r="F7" s="14" t="n">
        <v>4296.875</v>
      </c>
      <c r="G7" s="11">
        <f>F7/E7</f>
        <v/>
      </c>
      <c r="H7" s="14" t="n">
        <v>4281.25</v>
      </c>
      <c r="I7" s="14" t="n">
        <v>0</v>
      </c>
      <c r="J7" s="14" t="n">
        <v>0</v>
      </c>
      <c r="K7" s="14" t="n">
        <v>15.625</v>
      </c>
      <c r="L7" s="13" t="n">
        <v>16</v>
      </c>
      <c r="M7" s="13" t="n"/>
    </row>
    <row r="8">
      <c r="A8" s="13" t="inlineStr">
        <is>
          <t>순차</t>
        </is>
      </c>
      <c r="B8" s="13" t="inlineStr">
        <is>
          <t>-</t>
        </is>
      </c>
      <c r="C8" s="13" t="inlineStr">
        <is>
          <t>-</t>
        </is>
      </c>
      <c r="D8" s="13" t="n">
        <v>4</v>
      </c>
      <c r="E8" s="14" t="n">
        <v>4746.1911</v>
      </c>
      <c r="F8" s="14" t="n">
        <v>4437.5</v>
      </c>
      <c r="G8" s="11">
        <f>F8/E8</f>
        <v/>
      </c>
      <c r="H8" s="14" t="n">
        <v>4437.5</v>
      </c>
      <c r="I8" s="14" t="n">
        <v>0</v>
      </c>
      <c r="J8" s="14" t="n">
        <v>0</v>
      </c>
      <c r="K8" s="14" t="n">
        <v>0</v>
      </c>
      <c r="L8" s="13" t="n">
        <v>25</v>
      </c>
      <c r="M8" s="13" t="n"/>
    </row>
    <row r="9">
      <c r="A9" s="13" t="inlineStr">
        <is>
          <t>순차</t>
        </is>
      </c>
      <c r="B9" s="13" t="inlineStr">
        <is>
          <t>-</t>
        </is>
      </c>
      <c r="C9" s="13" t="inlineStr">
        <is>
          <t>-</t>
        </is>
      </c>
      <c r="D9" s="13" t="n">
        <v>5</v>
      </c>
      <c r="E9" s="14" t="n">
        <v>4229.3282</v>
      </c>
      <c r="F9" s="14" t="n">
        <v>4218.75</v>
      </c>
      <c r="G9" s="11">
        <f>F9/E9</f>
        <v/>
      </c>
      <c r="H9" s="14" t="n">
        <v>4187.5</v>
      </c>
      <c r="I9" s="14" t="n">
        <v>0</v>
      </c>
      <c r="J9" s="14" t="n">
        <v>0</v>
      </c>
      <c r="K9" s="14" t="n">
        <v>31.25</v>
      </c>
      <c r="L9" s="13" t="n">
        <v>18</v>
      </c>
      <c r="M9" s="13" t="n"/>
    </row>
    <row r="10">
      <c r="A10" s="13" t="inlineStr">
        <is>
          <t>병렬</t>
        </is>
      </c>
      <c r="B10" s="13" t="n">
        <v>6</v>
      </c>
      <c r="C10" s="13" t="n">
        <v>3</v>
      </c>
      <c r="D10" s="13" t="n">
        <v>1</v>
      </c>
      <c r="E10" s="14" t="n">
        <v>2251.0868</v>
      </c>
      <c r="F10" s="14" t="n">
        <v>6718.75</v>
      </c>
      <c r="G10" s="11">
        <f>F10/E10</f>
        <v/>
      </c>
      <c r="H10" s="14" t="n">
        <v>62.5</v>
      </c>
      <c r="I10" s="14" t="n">
        <v>6140.625</v>
      </c>
      <c r="J10" s="14" t="n">
        <v>0</v>
      </c>
      <c r="K10" s="14" t="n">
        <v>515.625</v>
      </c>
      <c r="L10" s="13" t="n">
        <v>18</v>
      </c>
      <c r="M10" s="11">
        <f>AVERAGEIFS($E$5:$E$19,$A$5:$A$19,"순차")/E10</f>
        <v/>
      </c>
    </row>
    <row r="11">
      <c r="A11" s="13" t="inlineStr">
        <is>
          <t>병렬</t>
        </is>
      </c>
      <c r="B11" s="13" t="n">
        <v>6</v>
      </c>
      <c r="C11" s="13" t="n">
        <v>3</v>
      </c>
      <c r="D11" s="13" t="n">
        <v>2</v>
      </c>
      <c r="E11" s="14" t="n">
        <v>2251.1889</v>
      </c>
      <c r="F11" s="14" t="n">
        <v>6359.375</v>
      </c>
      <c r="G11" s="11">
        <f>F11/E11</f>
        <v/>
      </c>
      <c r="H11" s="14" t="n">
        <v>15.625</v>
      </c>
      <c r="I11" s="14" t="n">
        <v>6328.125</v>
      </c>
      <c r="J11" s="14" t="n">
        <v>0</v>
      </c>
      <c r="K11" s="14" t="n">
        <v>15.625</v>
      </c>
      <c r="L11" s="13" t="n">
        <v>19</v>
      </c>
      <c r="M11" s="11">
        <f>AVERAGEIFS($E$5:$E$19,$A$5:$A$19,"순차")/E11</f>
        <v/>
      </c>
    </row>
    <row r="12">
      <c r="A12" s="13" t="inlineStr">
        <is>
          <t>병렬</t>
        </is>
      </c>
      <c r="B12" s="13" t="n">
        <v>6</v>
      </c>
      <c r="C12" s="13" t="n">
        <v>3</v>
      </c>
      <c r="D12" s="13" t="n">
        <v>3</v>
      </c>
      <c r="E12" s="14" t="n">
        <v>2209.0651</v>
      </c>
      <c r="F12" s="14" t="n">
        <v>6296.875</v>
      </c>
      <c r="G12" s="11">
        <f>F12/E12</f>
        <v/>
      </c>
      <c r="H12" s="14" t="n">
        <v>0</v>
      </c>
      <c r="I12" s="14" t="n">
        <v>6234.375</v>
      </c>
      <c r="J12" s="14" t="n">
        <v>0</v>
      </c>
      <c r="K12" s="14" t="n">
        <v>62.5</v>
      </c>
      <c r="L12" s="13" t="n">
        <v>18</v>
      </c>
      <c r="M12" s="11">
        <f>AVERAGEIFS($E$5:$E$19,$A$5:$A$19,"순차")/E12</f>
        <v/>
      </c>
    </row>
    <row r="13">
      <c r="A13" s="13" t="inlineStr">
        <is>
          <t>병렬</t>
        </is>
      </c>
      <c r="B13" s="13" t="n">
        <v>6</v>
      </c>
      <c r="C13" s="13" t="n">
        <v>3</v>
      </c>
      <c r="D13" s="13" t="n">
        <v>4</v>
      </c>
      <c r="E13" s="14" t="n">
        <v>2267.7442</v>
      </c>
      <c r="F13" s="14" t="n">
        <v>6421.875</v>
      </c>
      <c r="G13" s="11">
        <f>F13/E13</f>
        <v/>
      </c>
      <c r="H13" s="14" t="n">
        <v>15.625</v>
      </c>
      <c r="I13" s="14" t="n">
        <v>6375</v>
      </c>
      <c r="J13" s="14" t="n">
        <v>0</v>
      </c>
      <c r="K13" s="14" t="n">
        <v>31.25</v>
      </c>
      <c r="L13" s="13" t="n">
        <v>18</v>
      </c>
      <c r="M13" s="11">
        <f>AVERAGEIFS($E$5:$E$19,$A$5:$A$19,"순차")/E13</f>
        <v/>
      </c>
    </row>
    <row r="14">
      <c r="A14" s="13" t="inlineStr">
        <is>
          <t>병렬</t>
        </is>
      </c>
      <c r="B14" s="13" t="n">
        <v>6</v>
      </c>
      <c r="C14" s="13" t="n">
        <v>3</v>
      </c>
      <c r="D14" s="13" t="n">
        <v>5</v>
      </c>
      <c r="E14" s="14" t="n">
        <v>2313.8039</v>
      </c>
      <c r="F14" s="14" t="n">
        <v>6468.75</v>
      </c>
      <c r="G14" s="11">
        <f>F14/E14</f>
        <v/>
      </c>
      <c r="H14" s="14" t="n">
        <v>0</v>
      </c>
      <c r="I14" s="14" t="n">
        <v>6421.875</v>
      </c>
      <c r="J14" s="14" t="n">
        <v>0</v>
      </c>
      <c r="K14" s="14" t="n">
        <v>46.875</v>
      </c>
      <c r="L14" s="13" t="n">
        <v>18</v>
      </c>
      <c r="M14" s="11">
        <f>AVERAGEIFS($E$5:$E$19,$A$5:$A$19,"순차")/E14</f>
        <v/>
      </c>
    </row>
    <row r="15">
      <c r="A15" s="13" t="inlineStr">
        <is>
          <t>병렬</t>
        </is>
      </c>
      <c r="B15" s="13" t="n">
        <v>12</v>
      </c>
      <c r="C15" s="13" t="n">
        <v>3</v>
      </c>
      <c r="D15" s="13" t="n">
        <v>1</v>
      </c>
      <c r="E15" s="14" t="n">
        <v>2302.2999</v>
      </c>
      <c r="F15" s="14" t="n">
        <v>6546.875</v>
      </c>
      <c r="G15" s="11">
        <f>F15/E15</f>
        <v/>
      </c>
      <c r="H15" s="14" t="n">
        <v>0</v>
      </c>
      <c r="I15" s="14" t="n">
        <v>6500</v>
      </c>
      <c r="J15" s="14" t="n">
        <v>0</v>
      </c>
      <c r="K15" s="14" t="n">
        <v>46.875</v>
      </c>
      <c r="L15" s="13" t="n">
        <v>19</v>
      </c>
      <c r="M15" s="11">
        <f>AVERAGEIFS($E$5:$E$19,$A$5:$A$19,"순차")/E15</f>
        <v/>
      </c>
    </row>
    <row r="16">
      <c r="A16" s="13" t="inlineStr">
        <is>
          <t>병렬</t>
        </is>
      </c>
      <c r="B16" s="13" t="n">
        <v>12</v>
      </c>
      <c r="C16" s="13" t="n">
        <v>3</v>
      </c>
      <c r="D16" s="13" t="n">
        <v>2</v>
      </c>
      <c r="E16" s="14" t="n">
        <v>2431.3016</v>
      </c>
      <c r="F16" s="14" t="n">
        <v>6953.125</v>
      </c>
      <c r="G16" s="11">
        <f>F16/E16</f>
        <v/>
      </c>
      <c r="H16" s="14" t="n">
        <v>0</v>
      </c>
      <c r="I16" s="14" t="n">
        <v>6796.875</v>
      </c>
      <c r="J16" s="14" t="n">
        <v>0</v>
      </c>
      <c r="K16" s="14" t="n">
        <v>156.25</v>
      </c>
      <c r="L16" s="13" t="n">
        <v>19</v>
      </c>
      <c r="M16" s="11">
        <f>AVERAGEIFS($E$5:$E$19,$A$5:$A$19,"순차")/E16</f>
        <v/>
      </c>
    </row>
    <row r="17">
      <c r="A17" s="13" t="inlineStr">
        <is>
          <t>병렬</t>
        </is>
      </c>
      <c r="B17" s="13" t="n">
        <v>12</v>
      </c>
      <c r="C17" s="13" t="n">
        <v>3</v>
      </c>
      <c r="D17" s="13" t="n">
        <v>3</v>
      </c>
      <c r="E17" s="14" t="n">
        <v>2247.597</v>
      </c>
      <c r="F17" s="14" t="n">
        <v>6546.875</v>
      </c>
      <c r="G17" s="11">
        <f>F17/E17</f>
        <v/>
      </c>
      <c r="H17" s="14" t="n">
        <v>0</v>
      </c>
      <c r="I17" s="14" t="n">
        <v>6406.25</v>
      </c>
      <c r="J17" s="14" t="n">
        <v>0</v>
      </c>
      <c r="K17" s="14" t="n">
        <v>140.625</v>
      </c>
      <c r="L17" s="13" t="n">
        <v>18</v>
      </c>
      <c r="M17" s="11">
        <f>AVERAGEIFS($E$5:$E$19,$A$5:$A$19,"순차")/E17</f>
        <v/>
      </c>
    </row>
    <row r="18">
      <c r="A18" s="13" t="inlineStr">
        <is>
          <t>병렬</t>
        </is>
      </c>
      <c r="B18" s="13" t="n">
        <v>12</v>
      </c>
      <c r="C18" s="13" t="n">
        <v>3</v>
      </c>
      <c r="D18" s="13" t="n">
        <v>4</v>
      </c>
      <c r="E18" s="14" t="n">
        <v>2276.6561</v>
      </c>
      <c r="F18" s="14" t="n">
        <v>6625</v>
      </c>
      <c r="G18" s="11">
        <f>F18/E18</f>
        <v/>
      </c>
      <c r="H18" s="14" t="n">
        <v>0</v>
      </c>
      <c r="I18" s="14" t="n">
        <v>6593.75</v>
      </c>
      <c r="J18" s="14" t="n">
        <v>0</v>
      </c>
      <c r="K18" s="14" t="n">
        <v>31.25</v>
      </c>
      <c r="L18" s="13" t="n">
        <v>19</v>
      </c>
      <c r="M18" s="11">
        <f>AVERAGEIFS($E$5:$E$19,$A$5:$A$19,"순차")/E18</f>
        <v/>
      </c>
    </row>
    <row r="19">
      <c r="A19" s="13" t="inlineStr">
        <is>
          <t>병렬</t>
        </is>
      </c>
      <c r="B19" s="13" t="n">
        <v>12</v>
      </c>
      <c r="C19" s="13" t="n">
        <v>3</v>
      </c>
      <c r="D19" s="13" t="n">
        <v>5</v>
      </c>
      <c r="E19" s="14" t="n">
        <v>2299.5392</v>
      </c>
      <c r="F19" s="14" t="n">
        <v>6671.875</v>
      </c>
      <c r="G19" s="11">
        <f>F19/E19</f>
        <v/>
      </c>
      <c r="H19" s="14" t="n">
        <v>0</v>
      </c>
      <c r="I19" s="14" t="n">
        <v>6671.875</v>
      </c>
      <c r="J19" s="14" t="n">
        <v>0</v>
      </c>
      <c r="K19" s="14" t="n">
        <v>0</v>
      </c>
      <c r="L19" s="13" t="n">
        <v>20</v>
      </c>
      <c r="M19" s="11">
        <f>AVERAGEIFS($E$5:$E$19,$A$5:$A$19,"순차")/E19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8" t="inlineStr">
        <is>
          <t>이 시트의 값: '구간과 스레드 매핑' 시트의 평균 클럭(GHz) 열이다. 수식 참조로 그대로 가져왔다</t>
        </is>
      </c>
    </row>
    <row r="2">
      <c r="A2" s="18" t="inlineStr">
        <is>
          <t>차트: 전체 추이 선(전체 평균과 스레드별 선), 구간별 평균 막대, 측정 회차마다 스레드별 클럭 선 그래프다. 스레드별 선은 그 스레드의 활동 창에 걸린 표본만 그린다. 분할 1처럼 창이 겹치면 선도 겹친다. 그래프의 원천 표는 '차트 데이터' 시트에 있다</t>
        </is>
      </c>
    </row>
    <row r="3">
      <c r="A3" s="19" t="inlineStr">
        <is>
          <t>구간 종류</t>
        </is>
      </c>
      <c r="B3" s="19" t="inlineStr">
        <is>
          <t>순차</t>
        </is>
      </c>
      <c r="C3" s="19" t="inlineStr">
        <is>
          <t>병렬도 6 분할 3</t>
        </is>
      </c>
      <c r="D3" s="19" t="inlineStr">
        <is>
          <t>병렬도 12 분할 3</t>
        </is>
      </c>
    </row>
    <row r="4">
      <c r="A4" s="18" t="inlineStr">
        <is>
          <t>전체</t>
        </is>
      </c>
      <c r="B4" s="20">
        <f>'구간과 스레드 매핑'!H6</f>
        <v/>
      </c>
      <c r="C4" s="20">
        <f>'구간과 스레드 매핑'!H7</f>
        <v/>
      </c>
      <c r="D4" s="20">
        <f>'구간과 스레드 매핑'!H15</f>
        <v/>
      </c>
    </row>
    <row r="5">
      <c r="A5" s="18" t="inlineStr">
        <is>
          <t>워밍업</t>
        </is>
      </c>
      <c r="C5" s="20">
        <f>'구간과 스레드 매핑'!H8</f>
        <v/>
      </c>
      <c r="D5" s="20">
        <f>'구간과 스레드 매핑'!H16</f>
        <v/>
      </c>
    </row>
    <row r="6">
      <c r="A6" s="18" t="inlineStr">
        <is>
          <t>측정 1회차</t>
        </is>
      </c>
      <c r="C6" s="20">
        <f>'구간과 스레드 매핑'!H9</f>
        <v/>
      </c>
      <c r="D6" s="20">
        <f>'구간과 스레드 매핑'!H17</f>
        <v/>
      </c>
    </row>
    <row r="7">
      <c r="A7" s="18" t="inlineStr">
        <is>
          <t>측정 2회차</t>
        </is>
      </c>
      <c r="C7" s="20">
        <f>'구간과 스레드 매핑'!H10</f>
        <v/>
      </c>
      <c r="D7" s="20">
        <f>'구간과 스레드 매핑'!H18</f>
        <v/>
      </c>
    </row>
    <row r="8">
      <c r="A8" s="18" t="inlineStr">
        <is>
          <t>측정 3회차</t>
        </is>
      </c>
      <c r="C8" s="20">
        <f>'구간과 스레드 매핑'!H11</f>
        <v/>
      </c>
      <c r="D8" s="20">
        <f>'구간과 스레드 매핑'!H19</f>
        <v/>
      </c>
    </row>
    <row r="9">
      <c r="A9" s="18" t="inlineStr">
        <is>
          <t>측정 4회차</t>
        </is>
      </c>
      <c r="C9" s="20">
        <f>'구간과 스레드 매핑'!H12</f>
        <v/>
      </c>
      <c r="D9" s="20">
        <f>'구간과 스레드 매핑'!H20</f>
        <v/>
      </c>
    </row>
    <row r="10">
      <c r="A10" s="18" t="inlineStr">
        <is>
          <t>측정 5회차</t>
        </is>
      </c>
      <c r="C10" s="20">
        <f>'구간과 스레드 매핑'!H13</f>
        <v/>
      </c>
      <c r="D10" s="20">
        <f>'구간과 스레드 매핑'!H21</f>
        <v/>
      </c>
    </row>
    <row r="11">
      <c r="A11" s="18" t="inlineStr">
        <is>
          <t>워커별 CPU 읽기 실행</t>
        </is>
      </c>
      <c r="C11" s="20">
        <f>'구간과 스레드 매핑'!H14</f>
        <v/>
      </c>
      <c r="D11" s="20">
        <f>'구간과 스레드 매핑'!H22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G8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  <col width="24" customWidth="1" min="70" max="70"/>
    <col width="24" customWidth="1" min="71" max="71"/>
    <col width="24" customWidth="1" min="72" max="72"/>
    <col width="24" customWidth="1" min="73" max="73"/>
    <col width="24" customWidth="1" min="74" max="74"/>
    <col width="24" customWidth="1" min="75" max="75"/>
    <col width="24" customWidth="1" min="76" max="76"/>
    <col width="24" customWidth="1" min="77" max="77"/>
    <col width="24" customWidth="1" min="78" max="78"/>
    <col width="24" customWidth="1" min="79" max="79"/>
    <col width="24" customWidth="1" min="80" max="80"/>
    <col width="24" customWidth="1" min="81" max="81"/>
    <col width="24" customWidth="1" min="82" max="82"/>
    <col width="24" customWidth="1" min="83" max="83"/>
    <col width="24" customWidth="1" min="84" max="84"/>
    <col width="24" customWidth="1" min="85" max="85"/>
  </cols>
  <sheetData>
    <row r="1">
      <c r="A1" s="4" t="inlineStr">
        <is>
          <t>차트 시트 그래프들의 원천 표다. 값은 전부 '클럭 정리' 시트를 참조하는 수식이고, 여기서는 보기만 한다</t>
        </is>
      </c>
    </row>
    <row r="3">
      <c r="A3" s="2" t="inlineStr">
        <is>
          <t>병렬도 6 분할 3 측정 1회차 (스레드별 클럭, GHz)</t>
        </is>
      </c>
      <c r="O3" s="2" t="inlineStr">
        <is>
          <t>전체 추이 데이터 (스레드별 선용, GHz)</t>
        </is>
      </c>
    </row>
    <row r="4">
      <c r="A4" s="21" t="inlineStr">
        <is>
          <t>시각</t>
        </is>
      </c>
      <c r="B4" s="21" t="inlineStr">
        <is>
          <t>ForkJoinPool-3-worker-1</t>
        </is>
      </c>
      <c r="C4" s="21" t="inlineStr">
        <is>
          <t>ForkJoinPool-3-worker-2</t>
        </is>
      </c>
      <c r="D4" s="21" t="inlineStr">
        <is>
          <t>ForkJoinPool-3-worker-3</t>
        </is>
      </c>
      <c r="E4" s="21" t="inlineStr">
        <is>
          <t>ForkJoinPool-3-worker-6</t>
        </is>
      </c>
      <c r="F4" s="21" t="inlineStr">
        <is>
          <t>main</t>
        </is>
      </c>
      <c r="O4" s="21" t="inlineStr">
        <is>
          <t>시각</t>
        </is>
      </c>
      <c r="P4" s="21" t="inlineStr">
        <is>
          <t>전체 평균</t>
        </is>
      </c>
      <c r="Q4" s="21" t="inlineStr">
        <is>
          <t>ForkJoinPool-3-worker-1</t>
        </is>
      </c>
      <c r="R4" s="21" t="inlineStr">
        <is>
          <t>ForkJoinPool-3-worker-2</t>
        </is>
      </c>
      <c r="S4" s="21" t="inlineStr">
        <is>
          <t>ForkJoinPool-3-worker-3</t>
        </is>
      </c>
      <c r="T4" s="21" t="inlineStr">
        <is>
          <t>ForkJoinPool-3-worker-6</t>
        </is>
      </c>
      <c r="U4" s="21" t="inlineStr">
        <is>
          <t>main</t>
        </is>
      </c>
      <c r="V4" s="21" t="inlineStr">
        <is>
          <t>ForkJoinPool-4-worker-1</t>
        </is>
      </c>
      <c r="W4" s="21" t="inlineStr">
        <is>
          <t>ForkJoinPool-4-worker-2</t>
        </is>
      </c>
      <c r="X4" s="21" t="inlineStr">
        <is>
          <t>ForkJoinPool-4-worker-3</t>
        </is>
      </c>
      <c r="Y4" s="21" t="inlineStr">
        <is>
          <t>ForkJoinPool-4-worker-5</t>
        </is>
      </c>
      <c r="Z4" s="21" t="inlineStr">
        <is>
          <t>ForkJoinPool-5-worker-1</t>
        </is>
      </c>
      <c r="AA4" s="21" t="inlineStr">
        <is>
          <t>ForkJoinPool-5-worker-2</t>
        </is>
      </c>
      <c r="AB4" s="21" t="inlineStr">
        <is>
          <t>ForkJoinPool-5-worker-3</t>
        </is>
      </c>
      <c r="AC4" s="21" t="inlineStr">
        <is>
          <t>ForkJoinPool-5-worker-6</t>
        </is>
      </c>
      <c r="AD4" s="21" t="inlineStr">
        <is>
          <t>ForkJoinPool-6-worker-1</t>
        </is>
      </c>
      <c r="AE4" s="21" t="inlineStr">
        <is>
          <t>ForkJoinPool-6-worker-2</t>
        </is>
      </c>
      <c r="AF4" s="21" t="inlineStr">
        <is>
          <t>ForkJoinPool-6-worker-3</t>
        </is>
      </c>
      <c r="AG4" s="21" t="inlineStr">
        <is>
          <t>ForkJoinPool-6-worker-4</t>
        </is>
      </c>
      <c r="AH4" s="21" t="inlineStr">
        <is>
          <t>ForkJoinPool-6-worker-5</t>
        </is>
      </c>
      <c r="AI4" s="21" t="inlineStr">
        <is>
          <t>ForkJoinPool-6-worker-6</t>
        </is>
      </c>
      <c r="AJ4" s="21" t="inlineStr">
        <is>
          <t>ForkJoinPool-7-worker-1</t>
        </is>
      </c>
      <c r="AK4" s="21" t="inlineStr">
        <is>
          <t>ForkJoinPool-7-worker-2</t>
        </is>
      </c>
      <c r="AL4" s="21" t="inlineStr">
        <is>
          <t>ForkJoinPool-7-worker-3</t>
        </is>
      </c>
      <c r="AM4" s="21" t="inlineStr">
        <is>
          <t>ForkJoinPool-7-worker-4</t>
        </is>
      </c>
      <c r="AN4" s="21" t="inlineStr">
        <is>
          <t>ForkJoinPool-7-worker-5</t>
        </is>
      </c>
      <c r="AO4" s="21" t="inlineStr">
        <is>
          <t>ForkJoinPool-7-worker-6</t>
        </is>
      </c>
      <c r="AP4" s="21" t="inlineStr">
        <is>
          <t>ForkJoinPool-11-worker-1</t>
        </is>
      </c>
      <c r="AQ4" s="21" t="inlineStr">
        <is>
          <t>ForkJoinPool-11-worker-10</t>
        </is>
      </c>
      <c r="AR4" s="21" t="inlineStr">
        <is>
          <t>ForkJoinPool-11-worker-12</t>
        </is>
      </c>
      <c r="AS4" s="21" t="inlineStr">
        <is>
          <t>ForkJoinPool-11-worker-2</t>
        </is>
      </c>
      <c r="AT4" s="21" t="inlineStr">
        <is>
          <t>ForkJoinPool-11-worker-3</t>
        </is>
      </c>
      <c r="AU4" s="21" t="inlineStr">
        <is>
          <t>ForkJoinPool-11-worker-5</t>
        </is>
      </c>
      <c r="AV4" s="21" t="inlineStr">
        <is>
          <t>ForkJoinPool-11-worker-7</t>
        </is>
      </c>
      <c r="AW4" s="21" t="inlineStr">
        <is>
          <t>ForkJoinPool-11-worker-8</t>
        </is>
      </c>
      <c r="AX4" s="21" t="inlineStr">
        <is>
          <t>ForkJoinPool-11-worker-9</t>
        </is>
      </c>
      <c r="AY4" s="21" t="inlineStr">
        <is>
          <t>ForkJoinPool-12-worker-1</t>
        </is>
      </c>
      <c r="AZ4" s="21" t="inlineStr">
        <is>
          <t>ForkJoinPool-12-worker-10</t>
        </is>
      </c>
      <c r="BA4" s="21" t="inlineStr">
        <is>
          <t>ForkJoinPool-12-worker-11</t>
        </is>
      </c>
      <c r="BB4" s="21" t="inlineStr">
        <is>
          <t>ForkJoinPool-12-worker-12</t>
        </is>
      </c>
      <c r="BC4" s="21" t="inlineStr">
        <is>
          <t>ForkJoinPool-12-worker-2</t>
        </is>
      </c>
      <c r="BD4" s="21" t="inlineStr">
        <is>
          <t>ForkJoinPool-12-worker-3</t>
        </is>
      </c>
      <c r="BE4" s="21" t="inlineStr">
        <is>
          <t>ForkJoinPool-12-worker-6</t>
        </is>
      </c>
      <c r="BF4" s="21" t="inlineStr">
        <is>
          <t>ForkJoinPool-12-worker-7</t>
        </is>
      </c>
      <c r="BG4" s="21" t="inlineStr">
        <is>
          <t>ForkJoinPool-12-worker-8</t>
        </is>
      </c>
      <c r="BH4" s="21" t="inlineStr">
        <is>
          <t>ForkJoinPool-12-worker-9</t>
        </is>
      </c>
      <c r="BI4" s="21" t="inlineStr">
        <is>
          <t>ForkJoinPool-13-worker-1</t>
        </is>
      </c>
      <c r="BJ4" s="21" t="inlineStr">
        <is>
          <t>ForkJoinPool-13-worker-10</t>
        </is>
      </c>
      <c r="BK4" s="21" t="inlineStr">
        <is>
          <t>ForkJoinPool-13-worker-12</t>
        </is>
      </c>
      <c r="BL4" s="21" t="inlineStr">
        <is>
          <t>ForkJoinPool-13-worker-2</t>
        </is>
      </c>
      <c r="BM4" s="21" t="inlineStr">
        <is>
          <t>ForkJoinPool-13-worker-3</t>
        </is>
      </c>
      <c r="BN4" s="21" t="inlineStr">
        <is>
          <t>ForkJoinPool-13-worker-7</t>
        </is>
      </c>
      <c r="BO4" s="21" t="inlineStr">
        <is>
          <t>ForkJoinPool-14-worker-1</t>
        </is>
      </c>
      <c r="BP4" s="21" t="inlineStr">
        <is>
          <t>ForkJoinPool-14-worker-10</t>
        </is>
      </c>
      <c r="BQ4" s="21" t="inlineStr">
        <is>
          <t>ForkJoinPool-14-worker-2</t>
        </is>
      </c>
      <c r="BR4" s="21" t="inlineStr">
        <is>
          <t>ForkJoinPool-14-worker-3</t>
        </is>
      </c>
      <c r="BS4" s="21" t="inlineStr">
        <is>
          <t>ForkJoinPool-14-worker-5</t>
        </is>
      </c>
      <c r="BT4" s="21" t="inlineStr">
        <is>
          <t>ForkJoinPool-14-worker-6</t>
        </is>
      </c>
      <c r="BU4" s="21" t="inlineStr">
        <is>
          <t>ForkJoinPool-14-worker-8</t>
        </is>
      </c>
      <c r="BV4" s="21" t="inlineStr">
        <is>
          <t>ForkJoinPool-14-worker-9</t>
        </is>
      </c>
      <c r="BW4" s="21" t="inlineStr">
        <is>
          <t>ForkJoinPool-15-worker-1</t>
        </is>
      </c>
      <c r="BX4" s="21" t="inlineStr">
        <is>
          <t>ForkJoinPool-15-worker-11</t>
        </is>
      </c>
      <c r="BY4" s="21" t="inlineStr">
        <is>
          <t>ForkJoinPool-15-worker-12</t>
        </is>
      </c>
      <c r="BZ4" s="21" t="inlineStr">
        <is>
          <t>ForkJoinPool-15-worker-2</t>
        </is>
      </c>
      <c r="CA4" s="21" t="inlineStr">
        <is>
          <t>ForkJoinPool-15-worker-3</t>
        </is>
      </c>
      <c r="CB4" s="21" t="inlineStr">
        <is>
          <t>ForkJoinPool-15-worker-4</t>
        </is>
      </c>
      <c r="CC4" s="21" t="inlineStr">
        <is>
          <t>ForkJoinPool-15-worker-5</t>
        </is>
      </c>
      <c r="CD4" s="21" t="inlineStr">
        <is>
          <t>ForkJoinPool-15-worker-6</t>
        </is>
      </c>
      <c r="CE4" s="21" t="inlineStr">
        <is>
          <t>ForkJoinPool-15-worker-7</t>
        </is>
      </c>
      <c r="CF4" s="21" t="inlineStr">
        <is>
          <t>ForkJoinPool-15-worker-8</t>
        </is>
      </c>
      <c r="CG4" s="21" t="inlineStr">
        <is>
          <t>ForkJoinPool-15-worker-9</t>
        </is>
      </c>
    </row>
    <row r="5">
      <c r="A5" s="22">
        <f>'클럭 정리'!A42</f>
        <v/>
      </c>
      <c r="B5" s="23">
        <f>'클럭 정리'!O42</f>
        <v/>
      </c>
      <c r="C5" s="23">
        <f>'클럭 정리'!O42</f>
        <v/>
      </c>
      <c r="D5" s="24" t="n"/>
      <c r="E5" s="23">
        <f>'클럭 정리'!O42</f>
        <v/>
      </c>
      <c r="F5" s="23">
        <f>'클럭 정리'!O42</f>
        <v/>
      </c>
      <c r="O5" s="25">
        <f>'클럭 정리'!A6</f>
        <v/>
      </c>
      <c r="P5" s="23">
        <f>'클럭 정리'!O6</f>
        <v/>
      </c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  <c r="AR5" s="24" t="n"/>
      <c r="AS5" s="24" t="n"/>
      <c r="AT5" s="24" t="n"/>
      <c r="AU5" s="24" t="n"/>
      <c r="AV5" s="24" t="n"/>
      <c r="AW5" s="24" t="n"/>
      <c r="AX5" s="24" t="n"/>
      <c r="AY5" s="24" t="n"/>
      <c r="AZ5" s="24" t="n"/>
      <c r="BA5" s="24" t="n"/>
      <c r="BB5" s="24" t="n"/>
      <c r="BC5" s="24" t="n"/>
      <c r="BD5" s="24" t="n"/>
      <c r="BE5" s="24" t="n"/>
      <c r="BF5" s="24" t="n"/>
      <c r="BG5" s="24" t="n"/>
      <c r="BH5" s="24" t="n"/>
      <c r="BI5" s="24" t="n"/>
      <c r="BJ5" s="24" t="n"/>
      <c r="BK5" s="24" t="n"/>
      <c r="BL5" s="24" t="n"/>
      <c r="BM5" s="24" t="n"/>
      <c r="BN5" s="24" t="n"/>
      <c r="BO5" s="24" t="n"/>
      <c r="BP5" s="24" t="n"/>
      <c r="BQ5" s="24" t="n"/>
      <c r="BR5" s="24" t="n"/>
      <c r="BS5" s="24" t="n"/>
      <c r="BT5" s="24" t="n"/>
      <c r="BU5" s="24" t="n"/>
      <c r="BV5" s="24" t="n"/>
      <c r="BW5" s="24" t="n"/>
      <c r="BX5" s="24" t="n"/>
      <c r="BY5" s="24" t="n"/>
      <c r="BZ5" s="24" t="n"/>
      <c r="CA5" s="24" t="n"/>
      <c r="CB5" s="24" t="n"/>
      <c r="CC5" s="24" t="n"/>
      <c r="CD5" s="24" t="n"/>
      <c r="CE5" s="24" t="n"/>
      <c r="CF5" s="24" t="n"/>
      <c r="CG5" s="24" t="n"/>
    </row>
    <row r="6">
      <c r="A6" s="22">
        <f>'클럭 정리'!A43</f>
        <v/>
      </c>
      <c r="B6" s="23">
        <f>'클럭 정리'!O43</f>
        <v/>
      </c>
      <c r="C6" s="23">
        <f>'클럭 정리'!O43</f>
        <v/>
      </c>
      <c r="D6" s="24" t="n"/>
      <c r="E6" s="23">
        <f>'클럭 정리'!O43</f>
        <v/>
      </c>
      <c r="F6" s="23">
        <f>'클럭 정리'!O43</f>
        <v/>
      </c>
      <c r="O6" s="25">
        <f>'클럭 정리'!A7</f>
        <v/>
      </c>
      <c r="P6" s="23">
        <f>'클럭 정리'!O7</f>
        <v/>
      </c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  <c r="AR6" s="24" t="n"/>
      <c r="AS6" s="24" t="n"/>
      <c r="AT6" s="24" t="n"/>
      <c r="AU6" s="24" t="n"/>
      <c r="AV6" s="24" t="n"/>
      <c r="AW6" s="24" t="n"/>
      <c r="AX6" s="24" t="n"/>
      <c r="AY6" s="24" t="n"/>
      <c r="AZ6" s="24" t="n"/>
      <c r="BA6" s="24" t="n"/>
      <c r="BB6" s="24" t="n"/>
      <c r="BC6" s="24" t="n"/>
      <c r="BD6" s="24" t="n"/>
      <c r="BE6" s="24" t="n"/>
      <c r="BF6" s="24" t="n"/>
      <c r="BG6" s="24" t="n"/>
      <c r="BH6" s="24" t="n"/>
      <c r="BI6" s="24" t="n"/>
      <c r="BJ6" s="24" t="n"/>
      <c r="BK6" s="24" t="n"/>
      <c r="BL6" s="24" t="n"/>
      <c r="BM6" s="24" t="n"/>
      <c r="BN6" s="24" t="n"/>
      <c r="BO6" s="24" t="n"/>
      <c r="BP6" s="24" t="n"/>
      <c r="BQ6" s="24" t="n"/>
      <c r="BR6" s="24" t="n"/>
      <c r="BS6" s="24" t="n"/>
      <c r="BT6" s="24" t="n"/>
      <c r="BU6" s="24" t="n"/>
      <c r="BV6" s="24" t="n"/>
      <c r="BW6" s="24" t="n"/>
      <c r="BX6" s="24" t="n"/>
      <c r="BY6" s="24" t="n"/>
      <c r="BZ6" s="24" t="n"/>
      <c r="CA6" s="24" t="n"/>
      <c r="CB6" s="24" t="n"/>
      <c r="CC6" s="24" t="n"/>
      <c r="CD6" s="24" t="n"/>
      <c r="CE6" s="24" t="n"/>
      <c r="CF6" s="24" t="n"/>
      <c r="CG6" s="24" t="n"/>
    </row>
    <row r="7">
      <c r="O7" s="25">
        <f>'클럭 정리'!A8</f>
        <v/>
      </c>
      <c r="P7" s="23">
        <f>'클럭 정리'!O8</f>
        <v/>
      </c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  <c r="AR7" s="24" t="n"/>
      <c r="AS7" s="24" t="n"/>
      <c r="AT7" s="24" t="n"/>
      <c r="AU7" s="24" t="n"/>
      <c r="AV7" s="24" t="n"/>
      <c r="AW7" s="24" t="n"/>
      <c r="AX7" s="24" t="n"/>
      <c r="AY7" s="24" t="n"/>
      <c r="AZ7" s="24" t="n"/>
      <c r="BA7" s="24" t="n"/>
      <c r="BB7" s="24" t="n"/>
      <c r="BC7" s="24" t="n"/>
      <c r="BD7" s="24" t="n"/>
      <c r="BE7" s="24" t="n"/>
      <c r="BF7" s="24" t="n"/>
      <c r="BG7" s="24" t="n"/>
      <c r="BH7" s="24" t="n"/>
      <c r="BI7" s="24" t="n"/>
      <c r="BJ7" s="24" t="n"/>
      <c r="BK7" s="24" t="n"/>
      <c r="BL7" s="24" t="n"/>
      <c r="BM7" s="24" t="n"/>
      <c r="BN7" s="24" t="n"/>
      <c r="BO7" s="24" t="n"/>
      <c r="BP7" s="24" t="n"/>
      <c r="BQ7" s="24" t="n"/>
      <c r="BR7" s="24" t="n"/>
      <c r="BS7" s="24" t="n"/>
      <c r="BT7" s="24" t="n"/>
      <c r="BU7" s="24" t="n"/>
      <c r="BV7" s="24" t="n"/>
      <c r="BW7" s="24" t="n"/>
      <c r="BX7" s="24" t="n"/>
      <c r="BY7" s="24" t="n"/>
      <c r="BZ7" s="24" t="n"/>
      <c r="CA7" s="24" t="n"/>
      <c r="CB7" s="24" t="n"/>
      <c r="CC7" s="24" t="n"/>
      <c r="CD7" s="24" t="n"/>
      <c r="CE7" s="24" t="n"/>
      <c r="CF7" s="24" t="n"/>
      <c r="CG7" s="24" t="n"/>
    </row>
    <row r="8">
      <c r="A8" s="2" t="inlineStr">
        <is>
          <t>병렬도 6 분할 3 측정 2회차 (스레드별 클럭, GHz)</t>
        </is>
      </c>
      <c r="O8" s="25">
        <f>'클럭 정리'!A9</f>
        <v/>
      </c>
      <c r="P8" s="23">
        <f>'클럭 정리'!O9</f>
        <v/>
      </c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  <c r="AR8" s="24" t="n"/>
      <c r="AS8" s="24" t="n"/>
      <c r="AT8" s="24" t="n"/>
      <c r="AU8" s="24" t="n"/>
      <c r="AV8" s="24" t="n"/>
      <c r="AW8" s="24" t="n"/>
      <c r="AX8" s="24" t="n"/>
      <c r="AY8" s="24" t="n"/>
      <c r="AZ8" s="24" t="n"/>
      <c r="BA8" s="24" t="n"/>
      <c r="BB8" s="24" t="n"/>
      <c r="BC8" s="24" t="n"/>
      <c r="BD8" s="24" t="n"/>
      <c r="BE8" s="24" t="n"/>
      <c r="BF8" s="24" t="n"/>
      <c r="BG8" s="24" t="n"/>
      <c r="BH8" s="24" t="n"/>
      <c r="BI8" s="24" t="n"/>
      <c r="BJ8" s="24" t="n"/>
      <c r="BK8" s="24" t="n"/>
      <c r="BL8" s="24" t="n"/>
      <c r="BM8" s="24" t="n"/>
      <c r="BN8" s="24" t="n"/>
      <c r="BO8" s="24" t="n"/>
      <c r="BP8" s="24" t="n"/>
      <c r="BQ8" s="24" t="n"/>
      <c r="BR8" s="24" t="n"/>
      <c r="BS8" s="24" t="n"/>
      <c r="BT8" s="24" t="n"/>
      <c r="BU8" s="24" t="n"/>
      <c r="BV8" s="24" t="n"/>
      <c r="BW8" s="24" t="n"/>
      <c r="BX8" s="24" t="n"/>
      <c r="BY8" s="24" t="n"/>
      <c r="BZ8" s="24" t="n"/>
      <c r="CA8" s="24" t="n"/>
      <c r="CB8" s="24" t="n"/>
      <c r="CC8" s="24" t="n"/>
      <c r="CD8" s="24" t="n"/>
      <c r="CE8" s="24" t="n"/>
      <c r="CF8" s="24" t="n"/>
      <c r="CG8" s="24" t="n"/>
    </row>
    <row r="9">
      <c r="A9" s="21" t="inlineStr">
        <is>
          <t>시각</t>
        </is>
      </c>
      <c r="B9" s="21" t="inlineStr">
        <is>
          <t>ForkJoinPool-4-worker-1</t>
        </is>
      </c>
      <c r="C9" s="21" t="inlineStr">
        <is>
          <t>ForkJoinPool-4-worker-2</t>
        </is>
      </c>
      <c r="D9" s="21" t="inlineStr">
        <is>
          <t>ForkJoinPool-4-worker-3</t>
        </is>
      </c>
      <c r="E9" s="21" t="inlineStr">
        <is>
          <t>ForkJoinPool-4-worker-5</t>
        </is>
      </c>
      <c r="F9" s="21" t="inlineStr">
        <is>
          <t>main</t>
        </is>
      </c>
      <c r="O9" s="25">
        <f>'클럭 정리'!A10</f>
        <v/>
      </c>
      <c r="P9" s="23">
        <f>'클럭 정리'!O10</f>
        <v/>
      </c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  <c r="AR9" s="24" t="n"/>
      <c r="AS9" s="24" t="n"/>
      <c r="AT9" s="24" t="n"/>
      <c r="AU9" s="24" t="n"/>
      <c r="AV9" s="24" t="n"/>
      <c r="AW9" s="24" t="n"/>
      <c r="AX9" s="24" t="n"/>
      <c r="AY9" s="24" t="n"/>
      <c r="AZ9" s="24" t="n"/>
      <c r="BA9" s="24" t="n"/>
      <c r="BB9" s="24" t="n"/>
      <c r="BC9" s="24" t="n"/>
      <c r="BD9" s="24" t="n"/>
      <c r="BE9" s="24" t="n"/>
      <c r="BF9" s="24" t="n"/>
      <c r="BG9" s="24" t="n"/>
      <c r="BH9" s="24" t="n"/>
      <c r="BI9" s="24" t="n"/>
      <c r="BJ9" s="24" t="n"/>
      <c r="BK9" s="24" t="n"/>
      <c r="BL9" s="24" t="n"/>
      <c r="BM9" s="24" t="n"/>
      <c r="BN9" s="24" t="n"/>
      <c r="BO9" s="24" t="n"/>
      <c r="BP9" s="24" t="n"/>
      <c r="BQ9" s="24" t="n"/>
      <c r="BR9" s="24" t="n"/>
      <c r="BS9" s="24" t="n"/>
      <c r="BT9" s="24" t="n"/>
      <c r="BU9" s="24" t="n"/>
      <c r="BV9" s="24" t="n"/>
      <c r="BW9" s="24" t="n"/>
      <c r="BX9" s="24" t="n"/>
      <c r="BY9" s="24" t="n"/>
      <c r="BZ9" s="24" t="n"/>
      <c r="CA9" s="24" t="n"/>
      <c r="CB9" s="24" t="n"/>
      <c r="CC9" s="24" t="n"/>
      <c r="CD9" s="24" t="n"/>
      <c r="CE9" s="24" t="n"/>
      <c r="CF9" s="24" t="n"/>
      <c r="CG9" s="24" t="n"/>
    </row>
    <row r="10">
      <c r="A10" s="22">
        <f>'클럭 정리'!A44</f>
        <v/>
      </c>
      <c r="B10" s="23">
        <f>'클럭 정리'!O44</f>
        <v/>
      </c>
      <c r="C10" s="23">
        <f>'클럭 정리'!O44</f>
        <v/>
      </c>
      <c r="D10" s="23">
        <f>'클럭 정리'!O44</f>
        <v/>
      </c>
      <c r="E10" s="24" t="n"/>
      <c r="F10" s="23">
        <f>'클럭 정리'!O44</f>
        <v/>
      </c>
      <c r="O10" s="25">
        <f>'클럭 정리'!A11</f>
        <v/>
      </c>
      <c r="P10" s="23">
        <f>'클럭 정리'!O11</f>
        <v/>
      </c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  <c r="AR10" s="24" t="n"/>
      <c r="AS10" s="24" t="n"/>
      <c r="AT10" s="24" t="n"/>
      <c r="AU10" s="24" t="n"/>
      <c r="AV10" s="24" t="n"/>
      <c r="AW10" s="24" t="n"/>
      <c r="AX10" s="24" t="n"/>
      <c r="AY10" s="24" t="n"/>
      <c r="AZ10" s="24" t="n"/>
      <c r="BA10" s="24" t="n"/>
      <c r="BB10" s="24" t="n"/>
      <c r="BC10" s="24" t="n"/>
      <c r="BD10" s="24" t="n"/>
      <c r="BE10" s="24" t="n"/>
      <c r="BF10" s="24" t="n"/>
      <c r="BG10" s="24" t="n"/>
      <c r="BH10" s="24" t="n"/>
      <c r="BI10" s="24" t="n"/>
      <c r="BJ10" s="24" t="n"/>
      <c r="BK10" s="24" t="n"/>
      <c r="BL10" s="24" t="n"/>
      <c r="BM10" s="24" t="n"/>
      <c r="BN10" s="24" t="n"/>
      <c r="BO10" s="24" t="n"/>
      <c r="BP10" s="24" t="n"/>
      <c r="BQ10" s="24" t="n"/>
      <c r="BR10" s="24" t="n"/>
      <c r="BS10" s="24" t="n"/>
      <c r="BT10" s="24" t="n"/>
      <c r="BU10" s="24" t="n"/>
      <c r="BV10" s="24" t="n"/>
      <c r="BW10" s="24" t="n"/>
      <c r="BX10" s="24" t="n"/>
      <c r="BY10" s="24" t="n"/>
      <c r="BZ10" s="24" t="n"/>
      <c r="CA10" s="24" t="n"/>
      <c r="CB10" s="24" t="n"/>
      <c r="CC10" s="24" t="n"/>
      <c r="CD10" s="24" t="n"/>
      <c r="CE10" s="24" t="n"/>
      <c r="CF10" s="24" t="n"/>
      <c r="CG10" s="24" t="n"/>
    </row>
    <row r="11">
      <c r="A11" s="22">
        <f>'클럭 정리'!A45</f>
        <v/>
      </c>
      <c r="B11" s="23">
        <f>'클럭 정리'!O45</f>
        <v/>
      </c>
      <c r="C11" s="24" t="n"/>
      <c r="D11" s="23">
        <f>'클럭 정리'!O45</f>
        <v/>
      </c>
      <c r="E11" s="23">
        <f>'클럭 정리'!O45</f>
        <v/>
      </c>
      <c r="F11" s="23">
        <f>'클럭 정리'!O45</f>
        <v/>
      </c>
      <c r="O11" s="25">
        <f>'클럭 정리'!A12</f>
        <v/>
      </c>
      <c r="P11" s="23">
        <f>'클럭 정리'!O12</f>
        <v/>
      </c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  <c r="AR11" s="24" t="n"/>
      <c r="AS11" s="24" t="n"/>
      <c r="AT11" s="24" t="n"/>
      <c r="AU11" s="24" t="n"/>
      <c r="AV11" s="24" t="n"/>
      <c r="AW11" s="24" t="n"/>
      <c r="AX11" s="24" t="n"/>
      <c r="AY11" s="24" t="n"/>
      <c r="AZ11" s="24" t="n"/>
      <c r="BA11" s="24" t="n"/>
      <c r="BB11" s="24" t="n"/>
      <c r="BC11" s="24" t="n"/>
      <c r="BD11" s="24" t="n"/>
      <c r="BE11" s="24" t="n"/>
      <c r="BF11" s="24" t="n"/>
      <c r="BG11" s="24" t="n"/>
      <c r="BH11" s="24" t="n"/>
      <c r="BI11" s="24" t="n"/>
      <c r="BJ11" s="24" t="n"/>
      <c r="BK11" s="24" t="n"/>
      <c r="BL11" s="24" t="n"/>
      <c r="BM11" s="24" t="n"/>
      <c r="BN11" s="24" t="n"/>
      <c r="BO11" s="24" t="n"/>
      <c r="BP11" s="24" t="n"/>
      <c r="BQ11" s="24" t="n"/>
      <c r="BR11" s="24" t="n"/>
      <c r="BS11" s="24" t="n"/>
      <c r="BT11" s="24" t="n"/>
      <c r="BU11" s="24" t="n"/>
      <c r="BV11" s="24" t="n"/>
      <c r="BW11" s="24" t="n"/>
      <c r="BX11" s="24" t="n"/>
      <c r="BY11" s="24" t="n"/>
      <c r="BZ11" s="24" t="n"/>
      <c r="CA11" s="24" t="n"/>
      <c r="CB11" s="24" t="n"/>
      <c r="CC11" s="24" t="n"/>
      <c r="CD11" s="24" t="n"/>
      <c r="CE11" s="24" t="n"/>
      <c r="CF11" s="24" t="n"/>
      <c r="CG11" s="24" t="n"/>
    </row>
    <row r="12">
      <c r="A12" s="22">
        <f>'클럭 정리'!A46</f>
        <v/>
      </c>
      <c r="B12" s="23">
        <f>'클럭 정리'!O46</f>
        <v/>
      </c>
      <c r="C12" s="24" t="n"/>
      <c r="D12" s="23">
        <f>'클럭 정리'!O46</f>
        <v/>
      </c>
      <c r="E12" s="23">
        <f>'클럭 정리'!O46</f>
        <v/>
      </c>
      <c r="F12" s="23">
        <f>'클럭 정리'!O46</f>
        <v/>
      </c>
      <c r="O12" s="25">
        <f>'클럭 정리'!A13</f>
        <v/>
      </c>
      <c r="P12" s="23">
        <f>'클럭 정리'!O13</f>
        <v/>
      </c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  <c r="AR12" s="24" t="n"/>
      <c r="AS12" s="24" t="n"/>
      <c r="AT12" s="24" t="n"/>
      <c r="AU12" s="24" t="n"/>
      <c r="AV12" s="24" t="n"/>
      <c r="AW12" s="24" t="n"/>
      <c r="AX12" s="24" t="n"/>
      <c r="AY12" s="24" t="n"/>
      <c r="AZ12" s="24" t="n"/>
      <c r="BA12" s="24" t="n"/>
      <c r="BB12" s="24" t="n"/>
      <c r="BC12" s="24" t="n"/>
      <c r="BD12" s="24" t="n"/>
      <c r="BE12" s="24" t="n"/>
      <c r="BF12" s="24" t="n"/>
      <c r="BG12" s="24" t="n"/>
      <c r="BH12" s="24" t="n"/>
      <c r="BI12" s="24" t="n"/>
      <c r="BJ12" s="24" t="n"/>
      <c r="BK12" s="24" t="n"/>
      <c r="BL12" s="24" t="n"/>
      <c r="BM12" s="24" t="n"/>
      <c r="BN12" s="24" t="n"/>
      <c r="BO12" s="24" t="n"/>
      <c r="BP12" s="24" t="n"/>
      <c r="BQ12" s="24" t="n"/>
      <c r="BR12" s="24" t="n"/>
      <c r="BS12" s="24" t="n"/>
      <c r="BT12" s="24" t="n"/>
      <c r="BU12" s="24" t="n"/>
      <c r="BV12" s="24" t="n"/>
      <c r="BW12" s="24" t="n"/>
      <c r="BX12" s="24" t="n"/>
      <c r="BY12" s="24" t="n"/>
      <c r="BZ12" s="24" t="n"/>
      <c r="CA12" s="24" t="n"/>
      <c r="CB12" s="24" t="n"/>
      <c r="CC12" s="24" t="n"/>
      <c r="CD12" s="24" t="n"/>
      <c r="CE12" s="24" t="n"/>
      <c r="CF12" s="24" t="n"/>
      <c r="CG12" s="24" t="n"/>
    </row>
    <row r="13">
      <c r="O13" s="25">
        <f>'클럭 정리'!A14</f>
        <v/>
      </c>
      <c r="P13" s="23">
        <f>'클럭 정리'!O14</f>
        <v/>
      </c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  <c r="AR13" s="24" t="n"/>
      <c r="AS13" s="24" t="n"/>
      <c r="AT13" s="24" t="n"/>
      <c r="AU13" s="24" t="n"/>
      <c r="AV13" s="24" t="n"/>
      <c r="AW13" s="24" t="n"/>
      <c r="AX13" s="24" t="n"/>
      <c r="AY13" s="24" t="n"/>
      <c r="AZ13" s="24" t="n"/>
      <c r="BA13" s="24" t="n"/>
      <c r="BB13" s="24" t="n"/>
      <c r="BC13" s="24" t="n"/>
      <c r="BD13" s="24" t="n"/>
      <c r="BE13" s="24" t="n"/>
      <c r="BF13" s="24" t="n"/>
      <c r="BG13" s="24" t="n"/>
      <c r="BH13" s="24" t="n"/>
      <c r="BI13" s="24" t="n"/>
      <c r="BJ13" s="24" t="n"/>
      <c r="BK13" s="24" t="n"/>
      <c r="BL13" s="24" t="n"/>
      <c r="BM13" s="24" t="n"/>
      <c r="BN13" s="24" t="n"/>
      <c r="BO13" s="24" t="n"/>
      <c r="BP13" s="24" t="n"/>
      <c r="BQ13" s="24" t="n"/>
      <c r="BR13" s="24" t="n"/>
      <c r="BS13" s="24" t="n"/>
      <c r="BT13" s="24" t="n"/>
      <c r="BU13" s="24" t="n"/>
      <c r="BV13" s="24" t="n"/>
      <c r="BW13" s="24" t="n"/>
      <c r="BX13" s="24" t="n"/>
      <c r="BY13" s="24" t="n"/>
      <c r="BZ13" s="24" t="n"/>
      <c r="CA13" s="24" t="n"/>
      <c r="CB13" s="24" t="n"/>
      <c r="CC13" s="24" t="n"/>
      <c r="CD13" s="24" t="n"/>
      <c r="CE13" s="24" t="n"/>
      <c r="CF13" s="24" t="n"/>
      <c r="CG13" s="24" t="n"/>
    </row>
    <row r="14">
      <c r="A14" s="2" t="inlineStr">
        <is>
          <t>병렬도 6 분할 3 측정 3회차 (스레드별 클럭, GHz)</t>
        </is>
      </c>
      <c r="O14" s="25">
        <f>'클럭 정리'!A15</f>
        <v/>
      </c>
      <c r="P14" s="23">
        <f>'클럭 정리'!O15</f>
        <v/>
      </c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  <c r="AR14" s="24" t="n"/>
      <c r="AS14" s="24" t="n"/>
      <c r="AT14" s="24" t="n"/>
      <c r="AU14" s="24" t="n"/>
      <c r="AV14" s="24" t="n"/>
      <c r="AW14" s="24" t="n"/>
      <c r="AX14" s="24" t="n"/>
      <c r="AY14" s="24" t="n"/>
      <c r="AZ14" s="24" t="n"/>
      <c r="BA14" s="24" t="n"/>
      <c r="BB14" s="24" t="n"/>
      <c r="BC14" s="24" t="n"/>
      <c r="BD14" s="24" t="n"/>
      <c r="BE14" s="24" t="n"/>
      <c r="BF14" s="24" t="n"/>
      <c r="BG14" s="24" t="n"/>
      <c r="BH14" s="24" t="n"/>
      <c r="BI14" s="24" t="n"/>
      <c r="BJ14" s="24" t="n"/>
      <c r="BK14" s="24" t="n"/>
      <c r="BL14" s="24" t="n"/>
      <c r="BM14" s="24" t="n"/>
      <c r="BN14" s="24" t="n"/>
      <c r="BO14" s="24" t="n"/>
      <c r="BP14" s="24" t="n"/>
      <c r="BQ14" s="24" t="n"/>
      <c r="BR14" s="24" t="n"/>
      <c r="BS14" s="24" t="n"/>
      <c r="BT14" s="24" t="n"/>
      <c r="BU14" s="24" t="n"/>
      <c r="BV14" s="24" t="n"/>
      <c r="BW14" s="24" t="n"/>
      <c r="BX14" s="24" t="n"/>
      <c r="BY14" s="24" t="n"/>
      <c r="BZ14" s="24" t="n"/>
      <c r="CA14" s="24" t="n"/>
      <c r="CB14" s="24" t="n"/>
      <c r="CC14" s="24" t="n"/>
      <c r="CD14" s="24" t="n"/>
      <c r="CE14" s="24" t="n"/>
      <c r="CF14" s="24" t="n"/>
      <c r="CG14" s="24" t="n"/>
    </row>
    <row r="15">
      <c r="A15" s="21" t="inlineStr">
        <is>
          <t>시각</t>
        </is>
      </c>
      <c r="B15" s="21" t="inlineStr">
        <is>
          <t>ForkJoinPool-5-worker-1</t>
        </is>
      </c>
      <c r="C15" s="21" t="inlineStr">
        <is>
          <t>ForkJoinPool-5-worker-2</t>
        </is>
      </c>
      <c r="D15" s="21" t="inlineStr">
        <is>
          <t>ForkJoinPool-5-worker-3</t>
        </is>
      </c>
      <c r="E15" s="21" t="inlineStr">
        <is>
          <t>ForkJoinPool-5-worker-6</t>
        </is>
      </c>
      <c r="F15" s="21" t="inlineStr">
        <is>
          <t>main</t>
        </is>
      </c>
      <c r="O15" s="25">
        <f>'클럭 정리'!A16</f>
        <v/>
      </c>
      <c r="P15" s="23">
        <f>'클럭 정리'!O16</f>
        <v/>
      </c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  <c r="AR15" s="24" t="n"/>
      <c r="AS15" s="24" t="n"/>
      <c r="AT15" s="24" t="n"/>
      <c r="AU15" s="24" t="n"/>
      <c r="AV15" s="24" t="n"/>
      <c r="AW15" s="24" t="n"/>
      <c r="AX15" s="24" t="n"/>
      <c r="AY15" s="24" t="n"/>
      <c r="AZ15" s="24" t="n"/>
      <c r="BA15" s="24" t="n"/>
      <c r="BB15" s="24" t="n"/>
      <c r="BC15" s="24" t="n"/>
      <c r="BD15" s="24" t="n"/>
      <c r="BE15" s="24" t="n"/>
      <c r="BF15" s="24" t="n"/>
      <c r="BG15" s="24" t="n"/>
      <c r="BH15" s="24" t="n"/>
      <c r="BI15" s="24" t="n"/>
      <c r="BJ15" s="24" t="n"/>
      <c r="BK15" s="24" t="n"/>
      <c r="BL15" s="24" t="n"/>
      <c r="BM15" s="24" t="n"/>
      <c r="BN15" s="24" t="n"/>
      <c r="BO15" s="24" t="n"/>
      <c r="BP15" s="24" t="n"/>
      <c r="BQ15" s="24" t="n"/>
      <c r="BR15" s="24" t="n"/>
      <c r="BS15" s="24" t="n"/>
      <c r="BT15" s="24" t="n"/>
      <c r="BU15" s="24" t="n"/>
      <c r="BV15" s="24" t="n"/>
      <c r="BW15" s="24" t="n"/>
      <c r="BX15" s="24" t="n"/>
      <c r="BY15" s="24" t="n"/>
      <c r="BZ15" s="24" t="n"/>
      <c r="CA15" s="24" t="n"/>
      <c r="CB15" s="24" t="n"/>
      <c r="CC15" s="24" t="n"/>
      <c r="CD15" s="24" t="n"/>
      <c r="CE15" s="24" t="n"/>
      <c r="CF15" s="24" t="n"/>
      <c r="CG15" s="24" t="n"/>
    </row>
    <row r="16">
      <c r="A16" s="22">
        <f>'클럭 정리'!A46</f>
        <v/>
      </c>
      <c r="B16" s="23">
        <f>'클럭 정리'!O46</f>
        <v/>
      </c>
      <c r="C16" s="23">
        <f>'클럭 정리'!O46</f>
        <v/>
      </c>
      <c r="D16" s="23">
        <f>'클럭 정리'!O46</f>
        <v/>
      </c>
      <c r="E16" s="24" t="n"/>
      <c r="F16" s="23">
        <f>'클럭 정리'!O46</f>
        <v/>
      </c>
      <c r="O16" s="25">
        <f>'클럭 정리'!A17</f>
        <v/>
      </c>
      <c r="P16" s="23">
        <f>'클럭 정리'!O17</f>
        <v/>
      </c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  <c r="AR16" s="24" t="n"/>
      <c r="AS16" s="24" t="n"/>
      <c r="AT16" s="24" t="n"/>
      <c r="AU16" s="24" t="n"/>
      <c r="AV16" s="24" t="n"/>
      <c r="AW16" s="24" t="n"/>
      <c r="AX16" s="24" t="n"/>
      <c r="AY16" s="24" t="n"/>
      <c r="AZ16" s="24" t="n"/>
      <c r="BA16" s="24" t="n"/>
      <c r="BB16" s="24" t="n"/>
      <c r="BC16" s="24" t="n"/>
      <c r="BD16" s="24" t="n"/>
      <c r="BE16" s="24" t="n"/>
      <c r="BF16" s="24" t="n"/>
      <c r="BG16" s="24" t="n"/>
      <c r="BH16" s="24" t="n"/>
      <c r="BI16" s="24" t="n"/>
      <c r="BJ16" s="24" t="n"/>
      <c r="BK16" s="24" t="n"/>
      <c r="BL16" s="24" t="n"/>
      <c r="BM16" s="24" t="n"/>
      <c r="BN16" s="24" t="n"/>
      <c r="BO16" s="24" t="n"/>
      <c r="BP16" s="24" t="n"/>
      <c r="BQ16" s="24" t="n"/>
      <c r="BR16" s="24" t="n"/>
      <c r="BS16" s="24" t="n"/>
      <c r="BT16" s="24" t="n"/>
      <c r="BU16" s="24" t="n"/>
      <c r="BV16" s="24" t="n"/>
      <c r="BW16" s="24" t="n"/>
      <c r="BX16" s="24" t="n"/>
      <c r="BY16" s="24" t="n"/>
      <c r="BZ16" s="24" t="n"/>
      <c r="CA16" s="24" t="n"/>
      <c r="CB16" s="24" t="n"/>
      <c r="CC16" s="24" t="n"/>
      <c r="CD16" s="24" t="n"/>
      <c r="CE16" s="24" t="n"/>
      <c r="CF16" s="24" t="n"/>
      <c r="CG16" s="24" t="n"/>
    </row>
    <row r="17">
      <c r="A17" s="22">
        <f>'클럭 정리'!A47</f>
        <v/>
      </c>
      <c r="B17" s="23">
        <f>'클럭 정리'!O47</f>
        <v/>
      </c>
      <c r="C17" s="23">
        <f>'클럭 정리'!O47</f>
        <v/>
      </c>
      <c r="D17" s="24" t="n"/>
      <c r="E17" s="23">
        <f>'클럭 정리'!O47</f>
        <v/>
      </c>
      <c r="F17" s="23">
        <f>'클럭 정리'!O47</f>
        <v/>
      </c>
      <c r="O17" s="25">
        <f>'클럭 정리'!A18</f>
        <v/>
      </c>
      <c r="P17" s="23">
        <f>'클럭 정리'!O18</f>
        <v/>
      </c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  <c r="AR17" s="24" t="n"/>
      <c r="AS17" s="24" t="n"/>
      <c r="AT17" s="24" t="n"/>
      <c r="AU17" s="24" t="n"/>
      <c r="AV17" s="24" t="n"/>
      <c r="AW17" s="24" t="n"/>
      <c r="AX17" s="24" t="n"/>
      <c r="AY17" s="24" t="n"/>
      <c r="AZ17" s="24" t="n"/>
      <c r="BA17" s="24" t="n"/>
      <c r="BB17" s="24" t="n"/>
      <c r="BC17" s="24" t="n"/>
      <c r="BD17" s="24" t="n"/>
      <c r="BE17" s="24" t="n"/>
      <c r="BF17" s="24" t="n"/>
      <c r="BG17" s="24" t="n"/>
      <c r="BH17" s="24" t="n"/>
      <c r="BI17" s="24" t="n"/>
      <c r="BJ17" s="24" t="n"/>
      <c r="BK17" s="24" t="n"/>
      <c r="BL17" s="24" t="n"/>
      <c r="BM17" s="24" t="n"/>
      <c r="BN17" s="24" t="n"/>
      <c r="BO17" s="24" t="n"/>
      <c r="BP17" s="24" t="n"/>
      <c r="BQ17" s="24" t="n"/>
      <c r="BR17" s="24" t="n"/>
      <c r="BS17" s="24" t="n"/>
      <c r="BT17" s="24" t="n"/>
      <c r="BU17" s="24" t="n"/>
      <c r="BV17" s="24" t="n"/>
      <c r="BW17" s="24" t="n"/>
      <c r="BX17" s="24" t="n"/>
      <c r="BY17" s="24" t="n"/>
      <c r="BZ17" s="24" t="n"/>
      <c r="CA17" s="24" t="n"/>
      <c r="CB17" s="24" t="n"/>
      <c r="CC17" s="24" t="n"/>
      <c r="CD17" s="24" t="n"/>
      <c r="CE17" s="24" t="n"/>
      <c r="CF17" s="24" t="n"/>
      <c r="CG17" s="24" t="n"/>
    </row>
    <row r="18">
      <c r="A18" s="22">
        <f>'클럭 정리'!A48</f>
        <v/>
      </c>
      <c r="B18" s="23">
        <f>'클럭 정리'!O48</f>
        <v/>
      </c>
      <c r="C18" s="23">
        <f>'클럭 정리'!O48</f>
        <v/>
      </c>
      <c r="D18" s="24" t="n"/>
      <c r="E18" s="23">
        <f>'클럭 정리'!O48</f>
        <v/>
      </c>
      <c r="F18" s="23">
        <f>'클럭 정리'!O48</f>
        <v/>
      </c>
      <c r="O18" s="25">
        <f>'클럭 정리'!A19</f>
        <v/>
      </c>
      <c r="P18" s="23">
        <f>'클럭 정리'!O19</f>
        <v/>
      </c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  <c r="AA18" s="24" t="n"/>
      <c r="AB18" s="24" t="n"/>
      <c r="AC18" s="24" t="n"/>
      <c r="AD18" s="24" t="n"/>
      <c r="AE18" s="24" t="n"/>
      <c r="AF18" s="24" t="n"/>
      <c r="AG18" s="24" t="n"/>
      <c r="AH18" s="24" t="n"/>
      <c r="AI18" s="24" t="n"/>
      <c r="AJ18" s="24" t="n"/>
      <c r="AK18" s="24" t="n"/>
      <c r="AL18" s="24" t="n"/>
      <c r="AM18" s="24" t="n"/>
      <c r="AN18" s="24" t="n"/>
      <c r="AO18" s="24" t="n"/>
      <c r="AP18" s="24" t="n"/>
      <c r="AQ18" s="24" t="n"/>
      <c r="AR18" s="24" t="n"/>
      <c r="AS18" s="24" t="n"/>
      <c r="AT18" s="24" t="n"/>
      <c r="AU18" s="24" t="n"/>
      <c r="AV18" s="24" t="n"/>
      <c r="AW18" s="24" t="n"/>
      <c r="AX18" s="24" t="n"/>
      <c r="AY18" s="24" t="n"/>
      <c r="AZ18" s="24" t="n"/>
      <c r="BA18" s="24" t="n"/>
      <c r="BB18" s="24" t="n"/>
      <c r="BC18" s="24" t="n"/>
      <c r="BD18" s="24" t="n"/>
      <c r="BE18" s="24" t="n"/>
      <c r="BF18" s="24" t="n"/>
      <c r="BG18" s="24" t="n"/>
      <c r="BH18" s="24" t="n"/>
      <c r="BI18" s="24" t="n"/>
      <c r="BJ18" s="24" t="n"/>
      <c r="BK18" s="24" t="n"/>
      <c r="BL18" s="24" t="n"/>
      <c r="BM18" s="24" t="n"/>
      <c r="BN18" s="24" t="n"/>
      <c r="BO18" s="24" t="n"/>
      <c r="BP18" s="24" t="n"/>
      <c r="BQ18" s="24" t="n"/>
      <c r="BR18" s="24" t="n"/>
      <c r="BS18" s="24" t="n"/>
      <c r="BT18" s="24" t="n"/>
      <c r="BU18" s="24" t="n"/>
      <c r="BV18" s="24" t="n"/>
      <c r="BW18" s="24" t="n"/>
      <c r="BX18" s="24" t="n"/>
      <c r="BY18" s="24" t="n"/>
      <c r="BZ18" s="24" t="n"/>
      <c r="CA18" s="24" t="n"/>
      <c r="CB18" s="24" t="n"/>
      <c r="CC18" s="24" t="n"/>
      <c r="CD18" s="24" t="n"/>
      <c r="CE18" s="24" t="n"/>
      <c r="CF18" s="24" t="n"/>
      <c r="CG18" s="24" t="n"/>
    </row>
    <row r="19">
      <c r="O19" s="25">
        <f>'클럭 정리'!A20</f>
        <v/>
      </c>
      <c r="P19" s="23">
        <f>'클럭 정리'!O20</f>
        <v/>
      </c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4" t="n"/>
      <c r="AG19" s="24" t="n"/>
      <c r="AH19" s="24" t="n"/>
      <c r="AI19" s="24" t="n"/>
      <c r="AJ19" s="24" t="n"/>
      <c r="AK19" s="24" t="n"/>
      <c r="AL19" s="24" t="n"/>
      <c r="AM19" s="24" t="n"/>
      <c r="AN19" s="24" t="n"/>
      <c r="AO19" s="24" t="n"/>
      <c r="AP19" s="24" t="n"/>
      <c r="AQ19" s="24" t="n"/>
      <c r="AR19" s="24" t="n"/>
      <c r="AS19" s="24" t="n"/>
      <c r="AT19" s="24" t="n"/>
      <c r="AU19" s="24" t="n"/>
      <c r="AV19" s="24" t="n"/>
      <c r="AW19" s="24" t="n"/>
      <c r="AX19" s="24" t="n"/>
      <c r="AY19" s="24" t="n"/>
      <c r="AZ19" s="24" t="n"/>
      <c r="BA19" s="24" t="n"/>
      <c r="BB19" s="24" t="n"/>
      <c r="BC19" s="24" t="n"/>
      <c r="BD19" s="24" t="n"/>
      <c r="BE19" s="24" t="n"/>
      <c r="BF19" s="24" t="n"/>
      <c r="BG19" s="24" t="n"/>
      <c r="BH19" s="24" t="n"/>
      <c r="BI19" s="24" t="n"/>
      <c r="BJ19" s="24" t="n"/>
      <c r="BK19" s="24" t="n"/>
      <c r="BL19" s="24" t="n"/>
      <c r="BM19" s="24" t="n"/>
      <c r="BN19" s="24" t="n"/>
      <c r="BO19" s="24" t="n"/>
      <c r="BP19" s="24" t="n"/>
      <c r="BQ19" s="24" t="n"/>
      <c r="BR19" s="24" t="n"/>
      <c r="BS19" s="24" t="n"/>
      <c r="BT19" s="24" t="n"/>
      <c r="BU19" s="24" t="n"/>
      <c r="BV19" s="24" t="n"/>
      <c r="BW19" s="24" t="n"/>
      <c r="BX19" s="24" t="n"/>
      <c r="BY19" s="24" t="n"/>
      <c r="BZ19" s="24" t="n"/>
      <c r="CA19" s="24" t="n"/>
      <c r="CB19" s="24" t="n"/>
      <c r="CC19" s="24" t="n"/>
      <c r="CD19" s="24" t="n"/>
      <c r="CE19" s="24" t="n"/>
      <c r="CF19" s="24" t="n"/>
      <c r="CG19" s="24" t="n"/>
    </row>
    <row r="20">
      <c r="A20" s="2" t="inlineStr">
        <is>
          <t>병렬도 6 분할 3 측정 4회차 (스레드별 클럭, GHz)</t>
        </is>
      </c>
      <c r="O20" s="25">
        <f>'클럭 정리'!A21</f>
        <v/>
      </c>
      <c r="P20" s="23">
        <f>'클럭 정리'!O21</f>
        <v/>
      </c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  <c r="AA20" s="24" t="n"/>
      <c r="AB20" s="24" t="n"/>
      <c r="AC20" s="24" t="n"/>
      <c r="AD20" s="24" t="n"/>
      <c r="AE20" s="24" t="n"/>
      <c r="AF20" s="24" t="n"/>
      <c r="AG20" s="24" t="n"/>
      <c r="AH20" s="24" t="n"/>
      <c r="AI20" s="24" t="n"/>
      <c r="AJ20" s="24" t="n"/>
      <c r="AK20" s="24" t="n"/>
      <c r="AL20" s="24" t="n"/>
      <c r="AM20" s="24" t="n"/>
      <c r="AN20" s="24" t="n"/>
      <c r="AO20" s="24" t="n"/>
      <c r="AP20" s="24" t="n"/>
      <c r="AQ20" s="24" t="n"/>
      <c r="AR20" s="24" t="n"/>
      <c r="AS20" s="24" t="n"/>
      <c r="AT20" s="24" t="n"/>
      <c r="AU20" s="24" t="n"/>
      <c r="AV20" s="24" t="n"/>
      <c r="AW20" s="24" t="n"/>
      <c r="AX20" s="24" t="n"/>
      <c r="AY20" s="24" t="n"/>
      <c r="AZ20" s="24" t="n"/>
      <c r="BA20" s="24" t="n"/>
      <c r="BB20" s="24" t="n"/>
      <c r="BC20" s="24" t="n"/>
      <c r="BD20" s="24" t="n"/>
      <c r="BE20" s="24" t="n"/>
      <c r="BF20" s="24" t="n"/>
      <c r="BG20" s="24" t="n"/>
      <c r="BH20" s="24" t="n"/>
      <c r="BI20" s="24" t="n"/>
      <c r="BJ20" s="24" t="n"/>
      <c r="BK20" s="24" t="n"/>
      <c r="BL20" s="24" t="n"/>
      <c r="BM20" s="24" t="n"/>
      <c r="BN20" s="24" t="n"/>
      <c r="BO20" s="24" t="n"/>
      <c r="BP20" s="24" t="n"/>
      <c r="BQ20" s="24" t="n"/>
      <c r="BR20" s="24" t="n"/>
      <c r="BS20" s="24" t="n"/>
      <c r="BT20" s="24" t="n"/>
      <c r="BU20" s="24" t="n"/>
      <c r="BV20" s="24" t="n"/>
      <c r="BW20" s="24" t="n"/>
      <c r="BX20" s="24" t="n"/>
      <c r="BY20" s="24" t="n"/>
      <c r="BZ20" s="24" t="n"/>
      <c r="CA20" s="24" t="n"/>
      <c r="CB20" s="24" t="n"/>
      <c r="CC20" s="24" t="n"/>
      <c r="CD20" s="24" t="n"/>
      <c r="CE20" s="24" t="n"/>
      <c r="CF20" s="24" t="n"/>
      <c r="CG20" s="24" t="n"/>
    </row>
    <row r="21">
      <c r="A21" s="21" t="inlineStr">
        <is>
          <t>시각</t>
        </is>
      </c>
      <c r="B21" s="21" t="inlineStr">
        <is>
          <t>ForkJoinPool-6-worker-1</t>
        </is>
      </c>
      <c r="C21" s="21" t="inlineStr">
        <is>
          <t>ForkJoinPool-6-worker-2</t>
        </is>
      </c>
      <c r="D21" s="21" t="inlineStr">
        <is>
          <t>ForkJoinPool-6-worker-3</t>
        </is>
      </c>
      <c r="E21" s="21" t="inlineStr">
        <is>
          <t>ForkJoinPool-6-worker-4</t>
        </is>
      </c>
      <c r="F21" s="21" t="inlineStr">
        <is>
          <t>ForkJoinPool-6-worker-5</t>
        </is>
      </c>
      <c r="G21" s="21" t="inlineStr">
        <is>
          <t>ForkJoinPool-6-worker-6</t>
        </is>
      </c>
      <c r="H21" s="21" t="inlineStr">
        <is>
          <t>main</t>
        </is>
      </c>
      <c r="O21" s="25">
        <f>'클럭 정리'!A22</f>
        <v/>
      </c>
      <c r="P21" s="23">
        <f>'클럭 정리'!O22</f>
        <v/>
      </c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4" t="n"/>
      <c r="AG21" s="24" t="n"/>
      <c r="AH21" s="24" t="n"/>
      <c r="AI21" s="24" t="n"/>
      <c r="AJ21" s="24" t="n"/>
      <c r="AK21" s="24" t="n"/>
      <c r="AL21" s="24" t="n"/>
      <c r="AM21" s="24" t="n"/>
      <c r="AN21" s="24" t="n"/>
      <c r="AO21" s="24" t="n"/>
      <c r="AP21" s="24" t="n"/>
      <c r="AQ21" s="24" t="n"/>
      <c r="AR21" s="24" t="n"/>
      <c r="AS21" s="24" t="n"/>
      <c r="AT21" s="24" t="n"/>
      <c r="AU21" s="24" t="n"/>
      <c r="AV21" s="24" t="n"/>
      <c r="AW21" s="24" t="n"/>
      <c r="AX21" s="24" t="n"/>
      <c r="AY21" s="24" t="n"/>
      <c r="AZ21" s="24" t="n"/>
      <c r="BA21" s="24" t="n"/>
      <c r="BB21" s="24" t="n"/>
      <c r="BC21" s="24" t="n"/>
      <c r="BD21" s="24" t="n"/>
      <c r="BE21" s="24" t="n"/>
      <c r="BF21" s="24" t="n"/>
      <c r="BG21" s="24" t="n"/>
      <c r="BH21" s="24" t="n"/>
      <c r="BI21" s="24" t="n"/>
      <c r="BJ21" s="24" t="n"/>
      <c r="BK21" s="24" t="n"/>
      <c r="BL21" s="24" t="n"/>
      <c r="BM21" s="24" t="n"/>
      <c r="BN21" s="24" t="n"/>
      <c r="BO21" s="24" t="n"/>
      <c r="BP21" s="24" t="n"/>
      <c r="BQ21" s="24" t="n"/>
      <c r="BR21" s="24" t="n"/>
      <c r="BS21" s="24" t="n"/>
      <c r="BT21" s="24" t="n"/>
      <c r="BU21" s="24" t="n"/>
      <c r="BV21" s="24" t="n"/>
      <c r="BW21" s="24" t="n"/>
      <c r="BX21" s="24" t="n"/>
      <c r="BY21" s="24" t="n"/>
      <c r="BZ21" s="24" t="n"/>
      <c r="CA21" s="24" t="n"/>
      <c r="CB21" s="24" t="n"/>
      <c r="CC21" s="24" t="n"/>
      <c r="CD21" s="24" t="n"/>
      <c r="CE21" s="24" t="n"/>
      <c r="CF21" s="24" t="n"/>
      <c r="CG21" s="24" t="n"/>
    </row>
    <row r="22">
      <c r="A22" s="22">
        <f>'클럭 정리'!A49</f>
        <v/>
      </c>
      <c r="B22" s="23">
        <f>'클럭 정리'!O49</f>
        <v/>
      </c>
      <c r="C22" s="24" t="n"/>
      <c r="D22" s="24" t="n"/>
      <c r="E22" s="24" t="n"/>
      <c r="F22" s="23">
        <f>'클럭 정리'!O49</f>
        <v/>
      </c>
      <c r="G22" s="23">
        <f>'클럭 정리'!O49</f>
        <v/>
      </c>
      <c r="H22" s="23">
        <f>'클럭 정리'!O49</f>
        <v/>
      </c>
      <c r="O22" s="25">
        <f>'클럭 정리'!A23</f>
        <v/>
      </c>
      <c r="P22" s="23">
        <f>'클럭 정리'!O23</f>
        <v/>
      </c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4" t="n"/>
      <c r="AL22" s="24" t="n"/>
      <c r="AM22" s="24" t="n"/>
      <c r="AN22" s="24" t="n"/>
      <c r="AO22" s="24" t="n"/>
      <c r="AP22" s="24" t="n"/>
      <c r="AQ22" s="24" t="n"/>
      <c r="AR22" s="24" t="n"/>
      <c r="AS22" s="24" t="n"/>
      <c r="AT22" s="24" t="n"/>
      <c r="AU22" s="24" t="n"/>
      <c r="AV22" s="24" t="n"/>
      <c r="AW22" s="24" t="n"/>
      <c r="AX22" s="24" t="n"/>
      <c r="AY22" s="24" t="n"/>
      <c r="AZ22" s="24" t="n"/>
      <c r="BA22" s="24" t="n"/>
      <c r="BB22" s="24" t="n"/>
      <c r="BC22" s="24" t="n"/>
      <c r="BD22" s="24" t="n"/>
      <c r="BE22" s="24" t="n"/>
      <c r="BF22" s="24" t="n"/>
      <c r="BG22" s="24" t="n"/>
      <c r="BH22" s="24" t="n"/>
      <c r="BI22" s="24" t="n"/>
      <c r="BJ22" s="24" t="n"/>
      <c r="BK22" s="24" t="n"/>
      <c r="BL22" s="24" t="n"/>
      <c r="BM22" s="24" t="n"/>
      <c r="BN22" s="24" t="n"/>
      <c r="BO22" s="24" t="n"/>
      <c r="BP22" s="24" t="n"/>
      <c r="BQ22" s="24" t="n"/>
      <c r="BR22" s="24" t="n"/>
      <c r="BS22" s="24" t="n"/>
      <c r="BT22" s="24" t="n"/>
      <c r="BU22" s="24" t="n"/>
      <c r="BV22" s="24" t="n"/>
      <c r="BW22" s="24" t="n"/>
      <c r="BX22" s="24" t="n"/>
      <c r="BY22" s="24" t="n"/>
      <c r="BZ22" s="24" t="n"/>
      <c r="CA22" s="24" t="n"/>
      <c r="CB22" s="24" t="n"/>
      <c r="CC22" s="24" t="n"/>
      <c r="CD22" s="24" t="n"/>
      <c r="CE22" s="24" t="n"/>
      <c r="CF22" s="24" t="n"/>
      <c r="CG22" s="24" t="n"/>
    </row>
    <row r="23">
      <c r="A23" s="22">
        <f>'클럭 정리'!A50</f>
        <v/>
      </c>
      <c r="B23" s="23">
        <f>'클럭 정리'!O50</f>
        <v/>
      </c>
      <c r="C23" s="24" t="n"/>
      <c r="D23" s="24" t="n"/>
      <c r="E23" s="24" t="n"/>
      <c r="F23" s="23">
        <f>'클럭 정리'!O50</f>
        <v/>
      </c>
      <c r="G23" s="23">
        <f>'클럭 정리'!O50</f>
        <v/>
      </c>
      <c r="H23" s="23">
        <f>'클럭 정리'!O50</f>
        <v/>
      </c>
      <c r="O23" s="25">
        <f>'클럭 정리'!A24</f>
        <v/>
      </c>
      <c r="P23" s="23">
        <f>'클럭 정리'!O24</f>
        <v/>
      </c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4" t="n"/>
      <c r="AG23" s="24" t="n"/>
      <c r="AH23" s="24" t="n"/>
      <c r="AI23" s="24" t="n"/>
      <c r="AJ23" s="24" t="n"/>
      <c r="AK23" s="24" t="n"/>
      <c r="AL23" s="24" t="n"/>
      <c r="AM23" s="24" t="n"/>
      <c r="AN23" s="24" t="n"/>
      <c r="AO23" s="24" t="n"/>
      <c r="AP23" s="24" t="n"/>
      <c r="AQ23" s="24" t="n"/>
      <c r="AR23" s="24" t="n"/>
      <c r="AS23" s="24" t="n"/>
      <c r="AT23" s="24" t="n"/>
      <c r="AU23" s="24" t="n"/>
      <c r="AV23" s="24" t="n"/>
      <c r="AW23" s="24" t="n"/>
      <c r="AX23" s="24" t="n"/>
      <c r="AY23" s="24" t="n"/>
      <c r="AZ23" s="24" t="n"/>
      <c r="BA23" s="24" t="n"/>
      <c r="BB23" s="24" t="n"/>
      <c r="BC23" s="24" t="n"/>
      <c r="BD23" s="24" t="n"/>
      <c r="BE23" s="24" t="n"/>
      <c r="BF23" s="24" t="n"/>
      <c r="BG23" s="24" t="n"/>
      <c r="BH23" s="24" t="n"/>
      <c r="BI23" s="24" t="n"/>
      <c r="BJ23" s="24" t="n"/>
      <c r="BK23" s="24" t="n"/>
      <c r="BL23" s="24" t="n"/>
      <c r="BM23" s="24" t="n"/>
      <c r="BN23" s="24" t="n"/>
      <c r="BO23" s="24" t="n"/>
      <c r="BP23" s="24" t="n"/>
      <c r="BQ23" s="24" t="n"/>
      <c r="BR23" s="24" t="n"/>
      <c r="BS23" s="24" t="n"/>
      <c r="BT23" s="24" t="n"/>
      <c r="BU23" s="24" t="n"/>
      <c r="BV23" s="24" t="n"/>
      <c r="BW23" s="24" t="n"/>
      <c r="BX23" s="24" t="n"/>
      <c r="BY23" s="24" t="n"/>
      <c r="BZ23" s="24" t="n"/>
      <c r="CA23" s="24" t="n"/>
      <c r="CB23" s="24" t="n"/>
      <c r="CC23" s="24" t="n"/>
      <c r="CD23" s="24" t="n"/>
      <c r="CE23" s="24" t="n"/>
      <c r="CF23" s="24" t="n"/>
      <c r="CG23" s="24" t="n"/>
    </row>
    <row r="24">
      <c r="O24" s="25">
        <f>'클럭 정리'!A25</f>
        <v/>
      </c>
      <c r="P24" s="23">
        <f>'클럭 정리'!O25</f>
        <v/>
      </c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  <c r="AA24" s="24" t="n"/>
      <c r="AB24" s="24" t="n"/>
      <c r="AC24" s="24" t="n"/>
      <c r="AD24" s="24" t="n"/>
      <c r="AE24" s="24" t="n"/>
      <c r="AF24" s="24" t="n"/>
      <c r="AG24" s="24" t="n"/>
      <c r="AH24" s="24" t="n"/>
      <c r="AI24" s="24" t="n"/>
      <c r="AJ24" s="24" t="n"/>
      <c r="AK24" s="24" t="n"/>
      <c r="AL24" s="24" t="n"/>
      <c r="AM24" s="24" t="n"/>
      <c r="AN24" s="24" t="n"/>
      <c r="AO24" s="24" t="n"/>
      <c r="AP24" s="24" t="n"/>
      <c r="AQ24" s="24" t="n"/>
      <c r="AR24" s="24" t="n"/>
      <c r="AS24" s="24" t="n"/>
      <c r="AT24" s="24" t="n"/>
      <c r="AU24" s="24" t="n"/>
      <c r="AV24" s="24" t="n"/>
      <c r="AW24" s="24" t="n"/>
      <c r="AX24" s="24" t="n"/>
      <c r="AY24" s="24" t="n"/>
      <c r="AZ24" s="24" t="n"/>
      <c r="BA24" s="24" t="n"/>
      <c r="BB24" s="24" t="n"/>
      <c r="BC24" s="24" t="n"/>
      <c r="BD24" s="24" t="n"/>
      <c r="BE24" s="24" t="n"/>
      <c r="BF24" s="24" t="n"/>
      <c r="BG24" s="24" t="n"/>
      <c r="BH24" s="24" t="n"/>
      <c r="BI24" s="24" t="n"/>
      <c r="BJ24" s="24" t="n"/>
      <c r="BK24" s="24" t="n"/>
      <c r="BL24" s="24" t="n"/>
      <c r="BM24" s="24" t="n"/>
      <c r="BN24" s="24" t="n"/>
      <c r="BO24" s="24" t="n"/>
      <c r="BP24" s="24" t="n"/>
      <c r="BQ24" s="24" t="n"/>
      <c r="BR24" s="24" t="n"/>
      <c r="BS24" s="24" t="n"/>
      <c r="BT24" s="24" t="n"/>
      <c r="BU24" s="24" t="n"/>
      <c r="BV24" s="24" t="n"/>
      <c r="BW24" s="24" t="n"/>
      <c r="BX24" s="24" t="n"/>
      <c r="BY24" s="24" t="n"/>
      <c r="BZ24" s="24" t="n"/>
      <c r="CA24" s="24" t="n"/>
      <c r="CB24" s="24" t="n"/>
      <c r="CC24" s="24" t="n"/>
      <c r="CD24" s="24" t="n"/>
      <c r="CE24" s="24" t="n"/>
      <c r="CF24" s="24" t="n"/>
      <c r="CG24" s="24" t="n"/>
    </row>
    <row r="25">
      <c r="A25" s="2" t="inlineStr">
        <is>
          <t>병렬도 6 분할 3 측정 5회차 (스레드별 클럭, GHz)</t>
        </is>
      </c>
      <c r="O25" s="25">
        <f>'클럭 정리'!A26</f>
        <v/>
      </c>
      <c r="P25" s="23">
        <f>'클럭 정리'!O26</f>
        <v/>
      </c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4" t="n"/>
      <c r="AG25" s="24" t="n"/>
      <c r="AH25" s="24" t="n"/>
      <c r="AI25" s="24" t="n"/>
      <c r="AJ25" s="24" t="n"/>
      <c r="AK25" s="24" t="n"/>
      <c r="AL25" s="24" t="n"/>
      <c r="AM25" s="24" t="n"/>
      <c r="AN25" s="24" t="n"/>
      <c r="AO25" s="24" t="n"/>
      <c r="AP25" s="24" t="n"/>
      <c r="AQ25" s="24" t="n"/>
      <c r="AR25" s="24" t="n"/>
      <c r="AS25" s="24" t="n"/>
      <c r="AT25" s="24" t="n"/>
      <c r="AU25" s="24" t="n"/>
      <c r="AV25" s="24" t="n"/>
      <c r="AW25" s="24" t="n"/>
      <c r="AX25" s="24" t="n"/>
      <c r="AY25" s="24" t="n"/>
      <c r="AZ25" s="24" t="n"/>
      <c r="BA25" s="24" t="n"/>
      <c r="BB25" s="24" t="n"/>
      <c r="BC25" s="24" t="n"/>
      <c r="BD25" s="24" t="n"/>
      <c r="BE25" s="24" t="n"/>
      <c r="BF25" s="24" t="n"/>
      <c r="BG25" s="24" t="n"/>
      <c r="BH25" s="24" t="n"/>
      <c r="BI25" s="24" t="n"/>
      <c r="BJ25" s="24" t="n"/>
      <c r="BK25" s="24" t="n"/>
      <c r="BL25" s="24" t="n"/>
      <c r="BM25" s="24" t="n"/>
      <c r="BN25" s="24" t="n"/>
      <c r="BO25" s="24" t="n"/>
      <c r="BP25" s="24" t="n"/>
      <c r="BQ25" s="24" t="n"/>
      <c r="BR25" s="24" t="n"/>
      <c r="BS25" s="24" t="n"/>
      <c r="BT25" s="24" t="n"/>
      <c r="BU25" s="24" t="n"/>
      <c r="BV25" s="24" t="n"/>
      <c r="BW25" s="24" t="n"/>
      <c r="BX25" s="24" t="n"/>
      <c r="BY25" s="24" t="n"/>
      <c r="BZ25" s="24" t="n"/>
      <c r="CA25" s="24" t="n"/>
      <c r="CB25" s="24" t="n"/>
      <c r="CC25" s="24" t="n"/>
      <c r="CD25" s="24" t="n"/>
      <c r="CE25" s="24" t="n"/>
      <c r="CF25" s="24" t="n"/>
      <c r="CG25" s="24" t="n"/>
    </row>
    <row r="26">
      <c r="A26" s="21" t="inlineStr">
        <is>
          <t>시각</t>
        </is>
      </c>
      <c r="B26" s="21" t="inlineStr">
        <is>
          <t>ForkJoinPool-7-worker-1</t>
        </is>
      </c>
      <c r="C26" s="21" t="inlineStr">
        <is>
          <t>ForkJoinPool-7-worker-2</t>
        </is>
      </c>
      <c r="D26" s="21" t="inlineStr">
        <is>
          <t>ForkJoinPool-7-worker-3</t>
        </is>
      </c>
      <c r="E26" s="21" t="inlineStr">
        <is>
          <t>ForkJoinPool-7-worker-4</t>
        </is>
      </c>
      <c r="F26" s="21" t="inlineStr">
        <is>
          <t>ForkJoinPool-7-worker-5</t>
        </is>
      </c>
      <c r="G26" s="21" t="inlineStr">
        <is>
          <t>ForkJoinPool-7-worker-6</t>
        </is>
      </c>
      <c r="H26" s="21" t="inlineStr">
        <is>
          <t>main</t>
        </is>
      </c>
      <c r="O26" s="25">
        <f>'클럭 정리'!A27</f>
        <v/>
      </c>
      <c r="P26" s="23">
        <f>'클럭 정리'!O27</f>
        <v/>
      </c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4" t="n"/>
      <c r="AB26" s="24" t="n"/>
      <c r="AC26" s="24" t="n"/>
      <c r="AD26" s="24" t="n"/>
      <c r="AE26" s="24" t="n"/>
      <c r="AF26" s="24" t="n"/>
      <c r="AG26" s="24" t="n"/>
      <c r="AH26" s="24" t="n"/>
      <c r="AI26" s="24" t="n"/>
      <c r="AJ26" s="24" t="n"/>
      <c r="AK26" s="24" t="n"/>
      <c r="AL26" s="24" t="n"/>
      <c r="AM26" s="24" t="n"/>
      <c r="AN26" s="24" t="n"/>
      <c r="AO26" s="24" t="n"/>
      <c r="AP26" s="24" t="n"/>
      <c r="AQ26" s="24" t="n"/>
      <c r="AR26" s="24" t="n"/>
      <c r="AS26" s="24" t="n"/>
      <c r="AT26" s="24" t="n"/>
      <c r="AU26" s="24" t="n"/>
      <c r="AV26" s="24" t="n"/>
      <c r="AW26" s="24" t="n"/>
      <c r="AX26" s="24" t="n"/>
      <c r="AY26" s="24" t="n"/>
      <c r="AZ26" s="24" t="n"/>
      <c r="BA26" s="24" t="n"/>
      <c r="BB26" s="24" t="n"/>
      <c r="BC26" s="24" t="n"/>
      <c r="BD26" s="24" t="n"/>
      <c r="BE26" s="24" t="n"/>
      <c r="BF26" s="24" t="n"/>
      <c r="BG26" s="24" t="n"/>
      <c r="BH26" s="24" t="n"/>
      <c r="BI26" s="24" t="n"/>
      <c r="BJ26" s="24" t="n"/>
      <c r="BK26" s="24" t="n"/>
      <c r="BL26" s="24" t="n"/>
      <c r="BM26" s="24" t="n"/>
      <c r="BN26" s="24" t="n"/>
      <c r="BO26" s="24" t="n"/>
      <c r="BP26" s="24" t="n"/>
      <c r="BQ26" s="24" t="n"/>
      <c r="BR26" s="24" t="n"/>
      <c r="BS26" s="24" t="n"/>
      <c r="BT26" s="24" t="n"/>
      <c r="BU26" s="24" t="n"/>
      <c r="BV26" s="24" t="n"/>
      <c r="BW26" s="24" t="n"/>
      <c r="BX26" s="24" t="n"/>
      <c r="BY26" s="24" t="n"/>
      <c r="BZ26" s="24" t="n"/>
      <c r="CA26" s="24" t="n"/>
      <c r="CB26" s="24" t="n"/>
      <c r="CC26" s="24" t="n"/>
      <c r="CD26" s="24" t="n"/>
      <c r="CE26" s="24" t="n"/>
      <c r="CF26" s="24" t="n"/>
      <c r="CG26" s="24" t="n"/>
    </row>
    <row r="27">
      <c r="A27" s="22">
        <f>'클럭 정리'!A51</f>
        <v/>
      </c>
      <c r="B27" s="23">
        <f>'클럭 정리'!O51</f>
        <v/>
      </c>
      <c r="C27" s="24" t="n"/>
      <c r="D27" s="24" t="n"/>
      <c r="E27" s="24" t="n"/>
      <c r="F27" s="23">
        <f>'클럭 정리'!O51</f>
        <v/>
      </c>
      <c r="G27" s="23">
        <f>'클럭 정리'!O51</f>
        <v/>
      </c>
      <c r="H27" s="23">
        <f>'클럭 정리'!O51</f>
        <v/>
      </c>
      <c r="O27" s="25">
        <f>'클럭 정리'!A28</f>
        <v/>
      </c>
      <c r="P27" s="23">
        <f>'클럭 정리'!O28</f>
        <v/>
      </c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4" t="n"/>
      <c r="AG27" s="24" t="n"/>
      <c r="AH27" s="24" t="n"/>
      <c r="AI27" s="24" t="n"/>
      <c r="AJ27" s="24" t="n"/>
      <c r="AK27" s="24" t="n"/>
      <c r="AL27" s="24" t="n"/>
      <c r="AM27" s="24" t="n"/>
      <c r="AN27" s="24" t="n"/>
      <c r="AO27" s="24" t="n"/>
      <c r="AP27" s="24" t="n"/>
      <c r="AQ27" s="24" t="n"/>
      <c r="AR27" s="24" t="n"/>
      <c r="AS27" s="24" t="n"/>
      <c r="AT27" s="24" t="n"/>
      <c r="AU27" s="24" t="n"/>
      <c r="AV27" s="24" t="n"/>
      <c r="AW27" s="24" t="n"/>
      <c r="AX27" s="24" t="n"/>
      <c r="AY27" s="24" t="n"/>
      <c r="AZ27" s="24" t="n"/>
      <c r="BA27" s="24" t="n"/>
      <c r="BB27" s="24" t="n"/>
      <c r="BC27" s="24" t="n"/>
      <c r="BD27" s="24" t="n"/>
      <c r="BE27" s="24" t="n"/>
      <c r="BF27" s="24" t="n"/>
      <c r="BG27" s="24" t="n"/>
      <c r="BH27" s="24" t="n"/>
      <c r="BI27" s="24" t="n"/>
      <c r="BJ27" s="24" t="n"/>
      <c r="BK27" s="24" t="n"/>
      <c r="BL27" s="24" t="n"/>
      <c r="BM27" s="24" t="n"/>
      <c r="BN27" s="24" t="n"/>
      <c r="BO27" s="24" t="n"/>
      <c r="BP27" s="24" t="n"/>
      <c r="BQ27" s="24" t="n"/>
      <c r="BR27" s="24" t="n"/>
      <c r="BS27" s="24" t="n"/>
      <c r="BT27" s="24" t="n"/>
      <c r="BU27" s="24" t="n"/>
      <c r="BV27" s="24" t="n"/>
      <c r="BW27" s="24" t="n"/>
      <c r="BX27" s="24" t="n"/>
      <c r="BY27" s="24" t="n"/>
      <c r="BZ27" s="24" t="n"/>
      <c r="CA27" s="24" t="n"/>
      <c r="CB27" s="24" t="n"/>
      <c r="CC27" s="24" t="n"/>
      <c r="CD27" s="24" t="n"/>
      <c r="CE27" s="24" t="n"/>
      <c r="CF27" s="24" t="n"/>
      <c r="CG27" s="24" t="n"/>
    </row>
    <row r="28">
      <c r="A28" s="22">
        <f>'클럭 정리'!A52</f>
        <v/>
      </c>
      <c r="B28" s="23">
        <f>'클럭 정리'!O52</f>
        <v/>
      </c>
      <c r="C28" s="24" t="n"/>
      <c r="D28" s="24" t="n"/>
      <c r="E28" s="24" t="n"/>
      <c r="F28" s="23">
        <f>'클럭 정리'!O52</f>
        <v/>
      </c>
      <c r="G28" s="23">
        <f>'클럭 정리'!O52</f>
        <v/>
      </c>
      <c r="H28" s="23">
        <f>'클럭 정리'!O52</f>
        <v/>
      </c>
      <c r="O28" s="25">
        <f>'클럭 정리'!A29</f>
        <v/>
      </c>
      <c r="P28" s="23">
        <f>'클럭 정리'!O29</f>
        <v/>
      </c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  <c r="AA28" s="24" t="n"/>
      <c r="AB28" s="24" t="n"/>
      <c r="AC28" s="24" t="n"/>
      <c r="AD28" s="24" t="n"/>
      <c r="AE28" s="24" t="n"/>
      <c r="AF28" s="24" t="n"/>
      <c r="AG28" s="24" t="n"/>
      <c r="AH28" s="24" t="n"/>
      <c r="AI28" s="24" t="n"/>
      <c r="AJ28" s="24" t="n"/>
      <c r="AK28" s="24" t="n"/>
      <c r="AL28" s="24" t="n"/>
      <c r="AM28" s="24" t="n"/>
      <c r="AN28" s="24" t="n"/>
      <c r="AO28" s="24" t="n"/>
      <c r="AP28" s="24" t="n"/>
      <c r="AQ28" s="24" t="n"/>
      <c r="AR28" s="24" t="n"/>
      <c r="AS28" s="24" t="n"/>
      <c r="AT28" s="24" t="n"/>
      <c r="AU28" s="24" t="n"/>
      <c r="AV28" s="24" t="n"/>
      <c r="AW28" s="24" t="n"/>
      <c r="AX28" s="24" t="n"/>
      <c r="AY28" s="24" t="n"/>
      <c r="AZ28" s="24" t="n"/>
      <c r="BA28" s="24" t="n"/>
      <c r="BB28" s="24" t="n"/>
      <c r="BC28" s="24" t="n"/>
      <c r="BD28" s="24" t="n"/>
      <c r="BE28" s="24" t="n"/>
      <c r="BF28" s="24" t="n"/>
      <c r="BG28" s="24" t="n"/>
      <c r="BH28" s="24" t="n"/>
      <c r="BI28" s="24" t="n"/>
      <c r="BJ28" s="24" t="n"/>
      <c r="BK28" s="24" t="n"/>
      <c r="BL28" s="24" t="n"/>
      <c r="BM28" s="24" t="n"/>
      <c r="BN28" s="24" t="n"/>
      <c r="BO28" s="24" t="n"/>
      <c r="BP28" s="24" t="n"/>
      <c r="BQ28" s="24" t="n"/>
      <c r="BR28" s="24" t="n"/>
      <c r="BS28" s="24" t="n"/>
      <c r="BT28" s="24" t="n"/>
      <c r="BU28" s="24" t="n"/>
      <c r="BV28" s="24" t="n"/>
      <c r="BW28" s="24" t="n"/>
      <c r="BX28" s="24" t="n"/>
      <c r="BY28" s="24" t="n"/>
      <c r="BZ28" s="24" t="n"/>
      <c r="CA28" s="24" t="n"/>
      <c r="CB28" s="24" t="n"/>
      <c r="CC28" s="24" t="n"/>
      <c r="CD28" s="24" t="n"/>
      <c r="CE28" s="24" t="n"/>
      <c r="CF28" s="24" t="n"/>
      <c r="CG28" s="24" t="n"/>
    </row>
    <row r="29">
      <c r="O29" s="25">
        <f>'클럭 정리'!A30</f>
        <v/>
      </c>
      <c r="P29" s="23">
        <f>'클럭 정리'!O30</f>
        <v/>
      </c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4" t="n"/>
      <c r="AG29" s="24" t="n"/>
      <c r="AH29" s="24" t="n"/>
      <c r="AI29" s="24" t="n"/>
      <c r="AJ29" s="24" t="n"/>
      <c r="AK29" s="24" t="n"/>
      <c r="AL29" s="24" t="n"/>
      <c r="AM29" s="24" t="n"/>
      <c r="AN29" s="24" t="n"/>
      <c r="AO29" s="24" t="n"/>
      <c r="AP29" s="24" t="n"/>
      <c r="AQ29" s="24" t="n"/>
      <c r="AR29" s="24" t="n"/>
      <c r="AS29" s="24" t="n"/>
      <c r="AT29" s="24" t="n"/>
      <c r="AU29" s="24" t="n"/>
      <c r="AV29" s="24" t="n"/>
      <c r="AW29" s="24" t="n"/>
      <c r="AX29" s="24" t="n"/>
      <c r="AY29" s="24" t="n"/>
      <c r="AZ29" s="24" t="n"/>
      <c r="BA29" s="24" t="n"/>
      <c r="BB29" s="24" t="n"/>
      <c r="BC29" s="24" t="n"/>
      <c r="BD29" s="24" t="n"/>
      <c r="BE29" s="24" t="n"/>
      <c r="BF29" s="24" t="n"/>
      <c r="BG29" s="24" t="n"/>
      <c r="BH29" s="24" t="n"/>
      <c r="BI29" s="24" t="n"/>
      <c r="BJ29" s="24" t="n"/>
      <c r="BK29" s="24" t="n"/>
      <c r="BL29" s="24" t="n"/>
      <c r="BM29" s="24" t="n"/>
      <c r="BN29" s="24" t="n"/>
      <c r="BO29" s="24" t="n"/>
      <c r="BP29" s="24" t="n"/>
      <c r="BQ29" s="24" t="n"/>
      <c r="BR29" s="24" t="n"/>
      <c r="BS29" s="24" t="n"/>
      <c r="BT29" s="24" t="n"/>
      <c r="BU29" s="24" t="n"/>
      <c r="BV29" s="24" t="n"/>
      <c r="BW29" s="24" t="n"/>
      <c r="BX29" s="24" t="n"/>
      <c r="BY29" s="24" t="n"/>
      <c r="BZ29" s="24" t="n"/>
      <c r="CA29" s="24" t="n"/>
      <c r="CB29" s="24" t="n"/>
      <c r="CC29" s="24" t="n"/>
      <c r="CD29" s="24" t="n"/>
      <c r="CE29" s="24" t="n"/>
      <c r="CF29" s="24" t="n"/>
      <c r="CG29" s="24" t="n"/>
    </row>
    <row r="30">
      <c r="A30" s="2" t="inlineStr">
        <is>
          <t>병렬도 12 분할 3 측정 1회차 (스레드별 클럭, GHz)</t>
        </is>
      </c>
      <c r="O30" s="25">
        <f>'클럭 정리'!A31</f>
        <v/>
      </c>
      <c r="P30" s="23">
        <f>'클럭 정리'!O31</f>
        <v/>
      </c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s="24" t="n"/>
      <c r="AB30" s="24" t="n"/>
      <c r="AC30" s="24" t="n"/>
      <c r="AD30" s="24" t="n"/>
      <c r="AE30" s="24" t="n"/>
      <c r="AF30" s="24" t="n"/>
      <c r="AG30" s="24" t="n"/>
      <c r="AH30" s="24" t="n"/>
      <c r="AI30" s="24" t="n"/>
      <c r="AJ30" s="24" t="n"/>
      <c r="AK30" s="24" t="n"/>
      <c r="AL30" s="24" t="n"/>
      <c r="AM30" s="24" t="n"/>
      <c r="AN30" s="24" t="n"/>
      <c r="AO30" s="24" t="n"/>
      <c r="AP30" s="24" t="n"/>
      <c r="AQ30" s="24" t="n"/>
      <c r="AR30" s="24" t="n"/>
      <c r="AS30" s="24" t="n"/>
      <c r="AT30" s="24" t="n"/>
      <c r="AU30" s="24" t="n"/>
      <c r="AV30" s="24" t="n"/>
      <c r="AW30" s="24" t="n"/>
      <c r="AX30" s="24" t="n"/>
      <c r="AY30" s="24" t="n"/>
      <c r="AZ30" s="24" t="n"/>
      <c r="BA30" s="24" t="n"/>
      <c r="BB30" s="24" t="n"/>
      <c r="BC30" s="24" t="n"/>
      <c r="BD30" s="24" t="n"/>
      <c r="BE30" s="24" t="n"/>
      <c r="BF30" s="24" t="n"/>
      <c r="BG30" s="24" t="n"/>
      <c r="BH30" s="24" t="n"/>
      <c r="BI30" s="24" t="n"/>
      <c r="BJ30" s="24" t="n"/>
      <c r="BK30" s="24" t="n"/>
      <c r="BL30" s="24" t="n"/>
      <c r="BM30" s="24" t="n"/>
      <c r="BN30" s="24" t="n"/>
      <c r="BO30" s="24" t="n"/>
      <c r="BP30" s="24" t="n"/>
      <c r="BQ30" s="24" t="n"/>
      <c r="BR30" s="24" t="n"/>
      <c r="BS30" s="24" t="n"/>
      <c r="BT30" s="24" t="n"/>
      <c r="BU30" s="24" t="n"/>
      <c r="BV30" s="24" t="n"/>
      <c r="BW30" s="24" t="n"/>
      <c r="BX30" s="24" t="n"/>
      <c r="BY30" s="24" t="n"/>
      <c r="BZ30" s="24" t="n"/>
      <c r="CA30" s="24" t="n"/>
      <c r="CB30" s="24" t="n"/>
      <c r="CC30" s="24" t="n"/>
      <c r="CD30" s="24" t="n"/>
      <c r="CE30" s="24" t="n"/>
      <c r="CF30" s="24" t="n"/>
      <c r="CG30" s="24" t="n"/>
    </row>
    <row r="31">
      <c r="A31" s="21" t="inlineStr">
        <is>
          <t>시각</t>
        </is>
      </c>
      <c r="B31" s="21" t="inlineStr">
        <is>
          <t>ForkJoinPool-11-worker-1</t>
        </is>
      </c>
      <c r="C31" s="21" t="inlineStr">
        <is>
          <t>ForkJoinPool-11-worker-10</t>
        </is>
      </c>
      <c r="D31" s="21" t="inlineStr">
        <is>
          <t>ForkJoinPool-11-worker-12</t>
        </is>
      </c>
      <c r="E31" s="21" t="inlineStr">
        <is>
          <t>ForkJoinPool-11-worker-2</t>
        </is>
      </c>
      <c r="F31" s="21" t="inlineStr">
        <is>
          <t>ForkJoinPool-11-worker-3</t>
        </is>
      </c>
      <c r="G31" s="21" t="inlineStr">
        <is>
          <t>ForkJoinPool-11-worker-5</t>
        </is>
      </c>
      <c r="H31" s="21" t="inlineStr">
        <is>
          <t>ForkJoinPool-11-worker-7</t>
        </is>
      </c>
      <c r="I31" s="21" t="inlineStr">
        <is>
          <t>ForkJoinPool-11-worker-8</t>
        </is>
      </c>
      <c r="J31" s="21" t="inlineStr">
        <is>
          <t>ForkJoinPool-11-worker-9</t>
        </is>
      </c>
      <c r="K31" s="21" t="inlineStr">
        <is>
          <t>main</t>
        </is>
      </c>
      <c r="O31" s="25">
        <f>'클럭 정리'!A32</f>
        <v/>
      </c>
      <c r="P31" s="23">
        <f>'클럭 정리'!O32</f>
        <v/>
      </c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4" t="n"/>
      <c r="AG31" s="24" t="n"/>
      <c r="AH31" s="24" t="n"/>
      <c r="AI31" s="24" t="n"/>
      <c r="AJ31" s="24" t="n"/>
      <c r="AK31" s="24" t="n"/>
      <c r="AL31" s="24" t="n"/>
      <c r="AM31" s="24" t="n"/>
      <c r="AN31" s="24" t="n"/>
      <c r="AO31" s="24" t="n"/>
      <c r="AP31" s="24" t="n"/>
      <c r="AQ31" s="24" t="n"/>
      <c r="AR31" s="24" t="n"/>
      <c r="AS31" s="24" t="n"/>
      <c r="AT31" s="24" t="n"/>
      <c r="AU31" s="24" t="n"/>
      <c r="AV31" s="24" t="n"/>
      <c r="AW31" s="24" t="n"/>
      <c r="AX31" s="24" t="n"/>
      <c r="AY31" s="24" t="n"/>
      <c r="AZ31" s="24" t="n"/>
      <c r="BA31" s="24" t="n"/>
      <c r="BB31" s="24" t="n"/>
      <c r="BC31" s="24" t="n"/>
      <c r="BD31" s="24" t="n"/>
      <c r="BE31" s="24" t="n"/>
      <c r="BF31" s="24" t="n"/>
      <c r="BG31" s="24" t="n"/>
      <c r="BH31" s="24" t="n"/>
      <c r="BI31" s="24" t="n"/>
      <c r="BJ31" s="24" t="n"/>
      <c r="BK31" s="24" t="n"/>
      <c r="BL31" s="24" t="n"/>
      <c r="BM31" s="24" t="n"/>
      <c r="BN31" s="24" t="n"/>
      <c r="BO31" s="24" t="n"/>
      <c r="BP31" s="24" t="n"/>
      <c r="BQ31" s="24" t="n"/>
      <c r="BR31" s="24" t="n"/>
      <c r="BS31" s="24" t="n"/>
      <c r="BT31" s="24" t="n"/>
      <c r="BU31" s="24" t="n"/>
      <c r="BV31" s="24" t="n"/>
      <c r="BW31" s="24" t="n"/>
      <c r="BX31" s="24" t="n"/>
      <c r="BY31" s="24" t="n"/>
      <c r="BZ31" s="24" t="n"/>
      <c r="CA31" s="24" t="n"/>
      <c r="CB31" s="24" t="n"/>
      <c r="CC31" s="24" t="n"/>
      <c r="CD31" s="24" t="n"/>
      <c r="CE31" s="24" t="n"/>
      <c r="CF31" s="24" t="n"/>
      <c r="CG31" s="24" t="n"/>
    </row>
    <row r="32">
      <c r="A32" s="22">
        <f>'클럭 정리'!A60</f>
        <v/>
      </c>
      <c r="B32" s="23">
        <f>'클럭 정리'!O60</f>
        <v/>
      </c>
      <c r="C32" s="24" t="n"/>
      <c r="D32" s="24" t="n"/>
      <c r="E32" s="23">
        <f>'클럭 정리'!O60</f>
        <v/>
      </c>
      <c r="F32" s="23">
        <f>'클럭 정리'!O60</f>
        <v/>
      </c>
      <c r="G32" s="24" t="n"/>
      <c r="H32" s="24" t="n"/>
      <c r="I32" s="24" t="n"/>
      <c r="J32" s="24" t="n"/>
      <c r="K32" s="23">
        <f>'클럭 정리'!O60</f>
        <v/>
      </c>
      <c r="O32" s="25">
        <f>'클럭 정리'!A33</f>
        <v/>
      </c>
      <c r="P32" s="23">
        <f>'클럭 정리'!O33</f>
        <v/>
      </c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  <c r="AC32" s="24" t="n"/>
      <c r="AD32" s="24" t="n"/>
      <c r="AE32" s="24" t="n"/>
      <c r="AF32" s="24" t="n"/>
      <c r="AG32" s="24" t="n"/>
      <c r="AH32" s="24" t="n"/>
      <c r="AI32" s="24" t="n"/>
      <c r="AJ32" s="24" t="n"/>
      <c r="AK32" s="24" t="n"/>
      <c r="AL32" s="24" t="n"/>
      <c r="AM32" s="24" t="n"/>
      <c r="AN32" s="24" t="n"/>
      <c r="AO32" s="24" t="n"/>
      <c r="AP32" s="24" t="n"/>
      <c r="AQ32" s="24" t="n"/>
      <c r="AR32" s="24" t="n"/>
      <c r="AS32" s="24" t="n"/>
      <c r="AT32" s="24" t="n"/>
      <c r="AU32" s="24" t="n"/>
      <c r="AV32" s="24" t="n"/>
      <c r="AW32" s="24" t="n"/>
      <c r="AX32" s="24" t="n"/>
      <c r="AY32" s="24" t="n"/>
      <c r="AZ32" s="24" t="n"/>
      <c r="BA32" s="24" t="n"/>
      <c r="BB32" s="24" t="n"/>
      <c r="BC32" s="24" t="n"/>
      <c r="BD32" s="24" t="n"/>
      <c r="BE32" s="24" t="n"/>
      <c r="BF32" s="24" t="n"/>
      <c r="BG32" s="24" t="n"/>
      <c r="BH32" s="24" t="n"/>
      <c r="BI32" s="24" t="n"/>
      <c r="BJ32" s="24" t="n"/>
      <c r="BK32" s="24" t="n"/>
      <c r="BL32" s="24" t="n"/>
      <c r="BM32" s="24" t="n"/>
      <c r="BN32" s="24" t="n"/>
      <c r="BO32" s="24" t="n"/>
      <c r="BP32" s="24" t="n"/>
      <c r="BQ32" s="24" t="n"/>
      <c r="BR32" s="24" t="n"/>
      <c r="BS32" s="24" t="n"/>
      <c r="BT32" s="24" t="n"/>
      <c r="BU32" s="24" t="n"/>
      <c r="BV32" s="24" t="n"/>
      <c r="BW32" s="24" t="n"/>
      <c r="BX32" s="24" t="n"/>
      <c r="BY32" s="24" t="n"/>
      <c r="BZ32" s="24" t="n"/>
      <c r="CA32" s="24" t="n"/>
      <c r="CB32" s="24" t="n"/>
      <c r="CC32" s="24" t="n"/>
      <c r="CD32" s="24" t="n"/>
      <c r="CE32" s="24" t="n"/>
      <c r="CF32" s="24" t="n"/>
      <c r="CG32" s="24" t="n"/>
    </row>
    <row r="33">
      <c r="A33" s="22">
        <f>'클럭 정리'!A61</f>
        <v/>
      </c>
      <c r="B33" s="23">
        <f>'클럭 정리'!O61</f>
        <v/>
      </c>
      <c r="C33" s="24" t="n"/>
      <c r="D33" s="23">
        <f>'클럭 정리'!O61</f>
        <v/>
      </c>
      <c r="E33" s="24" t="n"/>
      <c r="F33" s="24" t="n"/>
      <c r="G33" s="24" t="n"/>
      <c r="H33" s="24" t="n"/>
      <c r="I33" s="24" t="n"/>
      <c r="J33" s="23">
        <f>'클럭 정리'!O61</f>
        <v/>
      </c>
      <c r="K33" s="23">
        <f>'클럭 정리'!O61</f>
        <v/>
      </c>
      <c r="O33" s="25">
        <f>'클럭 정리'!A34</f>
        <v/>
      </c>
      <c r="P33" s="23">
        <f>'클럭 정리'!O34</f>
        <v/>
      </c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4" t="n"/>
      <c r="AG33" s="24" t="n"/>
      <c r="AH33" s="24" t="n"/>
      <c r="AI33" s="24" t="n"/>
      <c r="AJ33" s="24" t="n"/>
      <c r="AK33" s="24" t="n"/>
      <c r="AL33" s="24" t="n"/>
      <c r="AM33" s="24" t="n"/>
      <c r="AN33" s="24" t="n"/>
      <c r="AO33" s="24" t="n"/>
      <c r="AP33" s="24" t="n"/>
      <c r="AQ33" s="24" t="n"/>
      <c r="AR33" s="24" t="n"/>
      <c r="AS33" s="24" t="n"/>
      <c r="AT33" s="24" t="n"/>
      <c r="AU33" s="24" t="n"/>
      <c r="AV33" s="24" t="n"/>
      <c r="AW33" s="24" t="n"/>
      <c r="AX33" s="24" t="n"/>
      <c r="AY33" s="24" t="n"/>
      <c r="AZ33" s="24" t="n"/>
      <c r="BA33" s="24" t="n"/>
      <c r="BB33" s="24" t="n"/>
      <c r="BC33" s="24" t="n"/>
      <c r="BD33" s="24" t="n"/>
      <c r="BE33" s="24" t="n"/>
      <c r="BF33" s="24" t="n"/>
      <c r="BG33" s="24" t="n"/>
      <c r="BH33" s="24" t="n"/>
      <c r="BI33" s="24" t="n"/>
      <c r="BJ33" s="24" t="n"/>
      <c r="BK33" s="24" t="n"/>
      <c r="BL33" s="24" t="n"/>
      <c r="BM33" s="24" t="n"/>
      <c r="BN33" s="24" t="n"/>
      <c r="BO33" s="24" t="n"/>
      <c r="BP33" s="24" t="n"/>
      <c r="BQ33" s="24" t="n"/>
      <c r="BR33" s="24" t="n"/>
      <c r="BS33" s="24" t="n"/>
      <c r="BT33" s="24" t="n"/>
      <c r="BU33" s="24" t="n"/>
      <c r="BV33" s="24" t="n"/>
      <c r="BW33" s="24" t="n"/>
      <c r="BX33" s="24" t="n"/>
      <c r="BY33" s="24" t="n"/>
      <c r="BZ33" s="24" t="n"/>
      <c r="CA33" s="24" t="n"/>
      <c r="CB33" s="24" t="n"/>
      <c r="CC33" s="24" t="n"/>
      <c r="CD33" s="24" t="n"/>
      <c r="CE33" s="24" t="n"/>
      <c r="CF33" s="24" t="n"/>
      <c r="CG33" s="24" t="n"/>
    </row>
    <row r="34">
      <c r="O34" s="25">
        <f>'클럭 정리'!A35</f>
        <v/>
      </c>
      <c r="P34" s="23">
        <f>'클럭 정리'!O35</f>
        <v/>
      </c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  <c r="AA34" s="24" t="n"/>
      <c r="AB34" s="24" t="n"/>
      <c r="AC34" s="24" t="n"/>
      <c r="AD34" s="24" t="n"/>
      <c r="AE34" s="24" t="n"/>
      <c r="AF34" s="24" t="n"/>
      <c r="AG34" s="24" t="n"/>
      <c r="AH34" s="24" t="n"/>
      <c r="AI34" s="24" t="n"/>
      <c r="AJ34" s="24" t="n"/>
      <c r="AK34" s="24" t="n"/>
      <c r="AL34" s="24" t="n"/>
      <c r="AM34" s="24" t="n"/>
      <c r="AN34" s="24" t="n"/>
      <c r="AO34" s="24" t="n"/>
      <c r="AP34" s="24" t="n"/>
      <c r="AQ34" s="24" t="n"/>
      <c r="AR34" s="24" t="n"/>
      <c r="AS34" s="24" t="n"/>
      <c r="AT34" s="24" t="n"/>
      <c r="AU34" s="24" t="n"/>
      <c r="AV34" s="24" t="n"/>
      <c r="AW34" s="24" t="n"/>
      <c r="AX34" s="24" t="n"/>
      <c r="AY34" s="24" t="n"/>
      <c r="AZ34" s="24" t="n"/>
      <c r="BA34" s="24" t="n"/>
      <c r="BB34" s="24" t="n"/>
      <c r="BC34" s="24" t="n"/>
      <c r="BD34" s="24" t="n"/>
      <c r="BE34" s="24" t="n"/>
      <c r="BF34" s="24" t="n"/>
      <c r="BG34" s="24" t="n"/>
      <c r="BH34" s="24" t="n"/>
      <c r="BI34" s="24" t="n"/>
      <c r="BJ34" s="24" t="n"/>
      <c r="BK34" s="24" t="n"/>
      <c r="BL34" s="24" t="n"/>
      <c r="BM34" s="24" t="n"/>
      <c r="BN34" s="24" t="n"/>
      <c r="BO34" s="24" t="n"/>
      <c r="BP34" s="24" t="n"/>
      <c r="BQ34" s="24" t="n"/>
      <c r="BR34" s="24" t="n"/>
      <c r="BS34" s="24" t="n"/>
      <c r="BT34" s="24" t="n"/>
      <c r="BU34" s="24" t="n"/>
      <c r="BV34" s="24" t="n"/>
      <c r="BW34" s="24" t="n"/>
      <c r="BX34" s="24" t="n"/>
      <c r="BY34" s="24" t="n"/>
      <c r="BZ34" s="24" t="n"/>
      <c r="CA34" s="24" t="n"/>
      <c r="CB34" s="24" t="n"/>
      <c r="CC34" s="24" t="n"/>
      <c r="CD34" s="24" t="n"/>
      <c r="CE34" s="24" t="n"/>
      <c r="CF34" s="24" t="n"/>
      <c r="CG34" s="24" t="n"/>
    </row>
    <row r="35">
      <c r="A35" s="2" t="inlineStr">
        <is>
          <t>병렬도 12 분할 3 측정 2회차 (스레드별 클럭, GHz)</t>
        </is>
      </c>
      <c r="O35" s="25">
        <f>'클럭 정리'!A36</f>
        <v/>
      </c>
      <c r="P35" s="23">
        <f>'클럭 정리'!O36</f>
        <v/>
      </c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4" t="n"/>
      <c r="AG35" s="24" t="n"/>
      <c r="AH35" s="24" t="n"/>
      <c r="AI35" s="24" t="n"/>
      <c r="AJ35" s="24" t="n"/>
      <c r="AK35" s="24" t="n"/>
      <c r="AL35" s="24" t="n"/>
      <c r="AM35" s="24" t="n"/>
      <c r="AN35" s="24" t="n"/>
      <c r="AO35" s="24" t="n"/>
      <c r="AP35" s="24" t="n"/>
      <c r="AQ35" s="24" t="n"/>
      <c r="AR35" s="24" t="n"/>
      <c r="AS35" s="24" t="n"/>
      <c r="AT35" s="24" t="n"/>
      <c r="AU35" s="24" t="n"/>
      <c r="AV35" s="24" t="n"/>
      <c r="AW35" s="24" t="n"/>
      <c r="AX35" s="24" t="n"/>
      <c r="AY35" s="24" t="n"/>
      <c r="AZ35" s="24" t="n"/>
      <c r="BA35" s="24" t="n"/>
      <c r="BB35" s="24" t="n"/>
      <c r="BC35" s="24" t="n"/>
      <c r="BD35" s="24" t="n"/>
      <c r="BE35" s="24" t="n"/>
      <c r="BF35" s="24" t="n"/>
      <c r="BG35" s="24" t="n"/>
      <c r="BH35" s="24" t="n"/>
      <c r="BI35" s="24" t="n"/>
      <c r="BJ35" s="24" t="n"/>
      <c r="BK35" s="24" t="n"/>
      <c r="BL35" s="24" t="n"/>
      <c r="BM35" s="24" t="n"/>
      <c r="BN35" s="24" t="n"/>
      <c r="BO35" s="24" t="n"/>
      <c r="BP35" s="24" t="n"/>
      <c r="BQ35" s="24" t="n"/>
      <c r="BR35" s="24" t="n"/>
      <c r="BS35" s="24" t="n"/>
      <c r="BT35" s="24" t="n"/>
      <c r="BU35" s="24" t="n"/>
      <c r="BV35" s="24" t="n"/>
      <c r="BW35" s="24" t="n"/>
      <c r="BX35" s="24" t="n"/>
      <c r="BY35" s="24" t="n"/>
      <c r="BZ35" s="24" t="n"/>
      <c r="CA35" s="24" t="n"/>
      <c r="CB35" s="24" t="n"/>
      <c r="CC35" s="24" t="n"/>
      <c r="CD35" s="24" t="n"/>
      <c r="CE35" s="24" t="n"/>
      <c r="CF35" s="24" t="n"/>
      <c r="CG35" s="24" t="n"/>
    </row>
    <row r="36">
      <c r="A36" s="21" t="inlineStr">
        <is>
          <t>시각</t>
        </is>
      </c>
      <c r="B36" s="21" t="inlineStr">
        <is>
          <t>ForkJoinPool-12-worker-1</t>
        </is>
      </c>
      <c r="C36" s="21" t="inlineStr">
        <is>
          <t>ForkJoinPool-12-worker-10</t>
        </is>
      </c>
      <c r="D36" s="21" t="inlineStr">
        <is>
          <t>ForkJoinPool-12-worker-11</t>
        </is>
      </c>
      <c r="E36" s="21" t="inlineStr">
        <is>
          <t>ForkJoinPool-12-worker-12</t>
        </is>
      </c>
      <c r="F36" s="21" t="inlineStr">
        <is>
          <t>ForkJoinPool-12-worker-2</t>
        </is>
      </c>
      <c r="G36" s="21" t="inlineStr">
        <is>
          <t>ForkJoinPool-12-worker-3</t>
        </is>
      </c>
      <c r="H36" s="21" t="inlineStr">
        <is>
          <t>ForkJoinPool-12-worker-6</t>
        </is>
      </c>
      <c r="I36" s="21" t="inlineStr">
        <is>
          <t>ForkJoinPool-12-worker-7</t>
        </is>
      </c>
      <c r="J36" s="21" t="inlineStr">
        <is>
          <t>ForkJoinPool-12-worker-8</t>
        </is>
      </c>
      <c r="K36" s="21" t="inlineStr">
        <is>
          <t>ForkJoinPool-12-worker-9</t>
        </is>
      </c>
      <c r="L36" s="21" t="inlineStr">
        <is>
          <t>main</t>
        </is>
      </c>
      <c r="O36" s="25">
        <f>'클럭 정리'!A37</f>
        <v/>
      </c>
      <c r="P36" s="23">
        <f>'클럭 정리'!O37</f>
        <v/>
      </c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  <c r="AA36" s="24" t="n"/>
      <c r="AB36" s="24" t="n"/>
      <c r="AC36" s="24" t="n"/>
      <c r="AD36" s="24" t="n"/>
      <c r="AE36" s="24" t="n"/>
      <c r="AF36" s="24" t="n"/>
      <c r="AG36" s="24" t="n"/>
      <c r="AH36" s="24" t="n"/>
      <c r="AI36" s="24" t="n"/>
      <c r="AJ36" s="24" t="n"/>
      <c r="AK36" s="24" t="n"/>
      <c r="AL36" s="24" t="n"/>
      <c r="AM36" s="24" t="n"/>
      <c r="AN36" s="24" t="n"/>
      <c r="AO36" s="24" t="n"/>
      <c r="AP36" s="24" t="n"/>
      <c r="AQ36" s="24" t="n"/>
      <c r="AR36" s="24" t="n"/>
      <c r="AS36" s="24" t="n"/>
      <c r="AT36" s="24" t="n"/>
      <c r="AU36" s="24" t="n"/>
      <c r="AV36" s="24" t="n"/>
      <c r="AW36" s="24" t="n"/>
      <c r="AX36" s="24" t="n"/>
      <c r="AY36" s="24" t="n"/>
      <c r="AZ36" s="24" t="n"/>
      <c r="BA36" s="24" t="n"/>
      <c r="BB36" s="24" t="n"/>
      <c r="BC36" s="24" t="n"/>
      <c r="BD36" s="24" t="n"/>
      <c r="BE36" s="24" t="n"/>
      <c r="BF36" s="24" t="n"/>
      <c r="BG36" s="24" t="n"/>
      <c r="BH36" s="24" t="n"/>
      <c r="BI36" s="24" t="n"/>
      <c r="BJ36" s="24" t="n"/>
      <c r="BK36" s="24" t="n"/>
      <c r="BL36" s="24" t="n"/>
      <c r="BM36" s="24" t="n"/>
      <c r="BN36" s="24" t="n"/>
      <c r="BO36" s="24" t="n"/>
      <c r="BP36" s="24" t="n"/>
      <c r="BQ36" s="24" t="n"/>
      <c r="BR36" s="24" t="n"/>
      <c r="BS36" s="24" t="n"/>
      <c r="BT36" s="24" t="n"/>
      <c r="BU36" s="24" t="n"/>
      <c r="BV36" s="24" t="n"/>
      <c r="BW36" s="24" t="n"/>
      <c r="BX36" s="24" t="n"/>
      <c r="BY36" s="24" t="n"/>
      <c r="BZ36" s="24" t="n"/>
      <c r="CA36" s="24" t="n"/>
      <c r="CB36" s="24" t="n"/>
      <c r="CC36" s="24" t="n"/>
      <c r="CD36" s="24" t="n"/>
      <c r="CE36" s="24" t="n"/>
      <c r="CF36" s="24" t="n"/>
      <c r="CG36" s="24" t="n"/>
    </row>
    <row r="37">
      <c r="A37" s="22">
        <f>'클럭 정리'!A62</f>
        <v/>
      </c>
      <c r="B37" s="23">
        <f>'클럭 정리'!O62</f>
        <v/>
      </c>
      <c r="C37" s="24" t="n"/>
      <c r="D37" s="24" t="n"/>
      <c r="E37" s="24" t="n"/>
      <c r="F37" s="23">
        <f>'클럭 정리'!O62</f>
        <v/>
      </c>
      <c r="G37" s="23">
        <f>'클럭 정리'!O62</f>
        <v/>
      </c>
      <c r="H37" s="24" t="n"/>
      <c r="I37" s="24" t="n"/>
      <c r="J37" s="24" t="n"/>
      <c r="K37" s="24" t="n"/>
      <c r="L37" s="23">
        <f>'클럭 정리'!O62</f>
        <v/>
      </c>
      <c r="O37" s="25">
        <f>'클럭 정리'!A38</f>
        <v/>
      </c>
      <c r="P37" s="23">
        <f>'클럭 정리'!O38</f>
        <v/>
      </c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4" t="n"/>
      <c r="AG37" s="24" t="n"/>
      <c r="AH37" s="24" t="n"/>
      <c r="AI37" s="24" t="n"/>
      <c r="AJ37" s="24" t="n"/>
      <c r="AK37" s="24" t="n"/>
      <c r="AL37" s="24" t="n"/>
      <c r="AM37" s="24" t="n"/>
      <c r="AN37" s="24" t="n"/>
      <c r="AO37" s="24" t="n"/>
      <c r="AP37" s="24" t="n"/>
      <c r="AQ37" s="24" t="n"/>
      <c r="AR37" s="24" t="n"/>
      <c r="AS37" s="24" t="n"/>
      <c r="AT37" s="24" t="n"/>
      <c r="AU37" s="24" t="n"/>
      <c r="AV37" s="24" t="n"/>
      <c r="AW37" s="24" t="n"/>
      <c r="AX37" s="24" t="n"/>
      <c r="AY37" s="24" t="n"/>
      <c r="AZ37" s="24" t="n"/>
      <c r="BA37" s="24" t="n"/>
      <c r="BB37" s="24" t="n"/>
      <c r="BC37" s="24" t="n"/>
      <c r="BD37" s="24" t="n"/>
      <c r="BE37" s="24" t="n"/>
      <c r="BF37" s="24" t="n"/>
      <c r="BG37" s="24" t="n"/>
      <c r="BH37" s="24" t="n"/>
      <c r="BI37" s="24" t="n"/>
      <c r="BJ37" s="24" t="n"/>
      <c r="BK37" s="24" t="n"/>
      <c r="BL37" s="24" t="n"/>
      <c r="BM37" s="24" t="n"/>
      <c r="BN37" s="24" t="n"/>
      <c r="BO37" s="24" t="n"/>
      <c r="BP37" s="24" t="n"/>
      <c r="BQ37" s="24" t="n"/>
      <c r="BR37" s="24" t="n"/>
      <c r="BS37" s="24" t="n"/>
      <c r="BT37" s="24" t="n"/>
      <c r="BU37" s="24" t="n"/>
      <c r="BV37" s="24" t="n"/>
      <c r="BW37" s="24" t="n"/>
      <c r="BX37" s="24" t="n"/>
      <c r="BY37" s="24" t="n"/>
      <c r="BZ37" s="24" t="n"/>
      <c r="CA37" s="24" t="n"/>
      <c r="CB37" s="24" t="n"/>
      <c r="CC37" s="24" t="n"/>
      <c r="CD37" s="24" t="n"/>
      <c r="CE37" s="24" t="n"/>
      <c r="CF37" s="24" t="n"/>
      <c r="CG37" s="24" t="n"/>
    </row>
    <row r="38">
      <c r="A38" s="22">
        <f>'클럭 정리'!A63</f>
        <v/>
      </c>
      <c r="B38" s="23">
        <f>'클럭 정리'!O63</f>
        <v/>
      </c>
      <c r="C38" s="23">
        <f>'클럭 정리'!O63</f>
        <v/>
      </c>
      <c r="D38" s="24" t="n"/>
      <c r="E38" s="23">
        <f>'클럭 정리'!O63</f>
        <v/>
      </c>
      <c r="F38" s="24" t="n"/>
      <c r="G38" s="24" t="n"/>
      <c r="H38" s="24" t="n"/>
      <c r="I38" s="24" t="n"/>
      <c r="J38" s="24" t="n"/>
      <c r="K38" s="24" t="n"/>
      <c r="L38" s="23">
        <f>'클럭 정리'!O63</f>
        <v/>
      </c>
      <c r="O38" s="25">
        <f>'클럭 정리'!A39</f>
        <v/>
      </c>
      <c r="P38" s="23">
        <f>'클럭 정리'!O39</f>
        <v/>
      </c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  <c r="AA38" s="24" t="n"/>
      <c r="AB38" s="24" t="n"/>
      <c r="AC38" s="24" t="n"/>
      <c r="AD38" s="24" t="n"/>
      <c r="AE38" s="24" t="n"/>
      <c r="AF38" s="24" t="n"/>
      <c r="AG38" s="24" t="n"/>
      <c r="AH38" s="24" t="n"/>
      <c r="AI38" s="24" t="n"/>
      <c r="AJ38" s="24" t="n"/>
      <c r="AK38" s="24" t="n"/>
      <c r="AL38" s="24" t="n"/>
      <c r="AM38" s="24" t="n"/>
      <c r="AN38" s="24" t="n"/>
      <c r="AO38" s="24" t="n"/>
      <c r="AP38" s="24" t="n"/>
      <c r="AQ38" s="24" t="n"/>
      <c r="AR38" s="24" t="n"/>
      <c r="AS38" s="24" t="n"/>
      <c r="AT38" s="24" t="n"/>
      <c r="AU38" s="24" t="n"/>
      <c r="AV38" s="24" t="n"/>
      <c r="AW38" s="24" t="n"/>
      <c r="AX38" s="24" t="n"/>
      <c r="AY38" s="24" t="n"/>
      <c r="AZ38" s="24" t="n"/>
      <c r="BA38" s="24" t="n"/>
      <c r="BB38" s="24" t="n"/>
      <c r="BC38" s="24" t="n"/>
      <c r="BD38" s="24" t="n"/>
      <c r="BE38" s="24" t="n"/>
      <c r="BF38" s="24" t="n"/>
      <c r="BG38" s="24" t="n"/>
      <c r="BH38" s="24" t="n"/>
      <c r="BI38" s="24" t="n"/>
      <c r="BJ38" s="24" t="n"/>
      <c r="BK38" s="24" t="n"/>
      <c r="BL38" s="24" t="n"/>
      <c r="BM38" s="24" t="n"/>
      <c r="BN38" s="24" t="n"/>
      <c r="BO38" s="24" t="n"/>
      <c r="BP38" s="24" t="n"/>
      <c r="BQ38" s="24" t="n"/>
      <c r="BR38" s="24" t="n"/>
      <c r="BS38" s="24" t="n"/>
      <c r="BT38" s="24" t="n"/>
      <c r="BU38" s="24" t="n"/>
      <c r="BV38" s="24" t="n"/>
      <c r="BW38" s="24" t="n"/>
      <c r="BX38" s="24" t="n"/>
      <c r="BY38" s="24" t="n"/>
      <c r="BZ38" s="24" t="n"/>
      <c r="CA38" s="24" t="n"/>
      <c r="CB38" s="24" t="n"/>
      <c r="CC38" s="24" t="n"/>
      <c r="CD38" s="24" t="n"/>
      <c r="CE38" s="24" t="n"/>
      <c r="CF38" s="24" t="n"/>
      <c r="CG38" s="24" t="n"/>
    </row>
    <row r="39">
      <c r="A39" s="22">
        <f>'클럭 정리'!A64</f>
        <v/>
      </c>
      <c r="B39" s="23">
        <f>'클럭 정리'!O64</f>
        <v/>
      </c>
      <c r="C39" s="23">
        <f>'클럭 정리'!O64</f>
        <v/>
      </c>
      <c r="D39" s="24" t="n"/>
      <c r="E39" s="23">
        <f>'클럭 정리'!O64</f>
        <v/>
      </c>
      <c r="F39" s="24" t="n"/>
      <c r="G39" s="24" t="n"/>
      <c r="H39" s="24" t="n"/>
      <c r="I39" s="24" t="n"/>
      <c r="J39" s="24" t="n"/>
      <c r="K39" s="24" t="n"/>
      <c r="L39" s="23">
        <f>'클럭 정리'!O64</f>
        <v/>
      </c>
      <c r="O39" s="25">
        <f>'클럭 정리'!A40</f>
        <v/>
      </c>
      <c r="P39" s="23">
        <f>'클럭 정리'!O40</f>
        <v/>
      </c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4" t="n"/>
      <c r="AG39" s="24" t="n"/>
      <c r="AH39" s="24" t="n"/>
      <c r="AI39" s="24" t="n"/>
      <c r="AJ39" s="24" t="n"/>
      <c r="AK39" s="24" t="n"/>
      <c r="AL39" s="24" t="n"/>
      <c r="AM39" s="24" t="n"/>
      <c r="AN39" s="24" t="n"/>
      <c r="AO39" s="24" t="n"/>
      <c r="AP39" s="24" t="n"/>
      <c r="AQ39" s="24" t="n"/>
      <c r="AR39" s="24" t="n"/>
      <c r="AS39" s="24" t="n"/>
      <c r="AT39" s="24" t="n"/>
      <c r="AU39" s="24" t="n"/>
      <c r="AV39" s="24" t="n"/>
      <c r="AW39" s="24" t="n"/>
      <c r="AX39" s="24" t="n"/>
      <c r="AY39" s="24" t="n"/>
      <c r="AZ39" s="24" t="n"/>
      <c r="BA39" s="24" t="n"/>
      <c r="BB39" s="24" t="n"/>
      <c r="BC39" s="24" t="n"/>
      <c r="BD39" s="24" t="n"/>
      <c r="BE39" s="24" t="n"/>
      <c r="BF39" s="24" t="n"/>
      <c r="BG39" s="24" t="n"/>
      <c r="BH39" s="24" t="n"/>
      <c r="BI39" s="24" t="n"/>
      <c r="BJ39" s="24" t="n"/>
      <c r="BK39" s="24" t="n"/>
      <c r="BL39" s="24" t="n"/>
      <c r="BM39" s="24" t="n"/>
      <c r="BN39" s="24" t="n"/>
      <c r="BO39" s="24" t="n"/>
      <c r="BP39" s="24" t="n"/>
      <c r="BQ39" s="24" t="n"/>
      <c r="BR39" s="24" t="n"/>
      <c r="BS39" s="24" t="n"/>
      <c r="BT39" s="24" t="n"/>
      <c r="BU39" s="24" t="n"/>
      <c r="BV39" s="24" t="n"/>
      <c r="BW39" s="24" t="n"/>
      <c r="BX39" s="24" t="n"/>
      <c r="BY39" s="24" t="n"/>
      <c r="BZ39" s="24" t="n"/>
      <c r="CA39" s="24" t="n"/>
      <c r="CB39" s="24" t="n"/>
      <c r="CC39" s="24" t="n"/>
      <c r="CD39" s="24" t="n"/>
      <c r="CE39" s="24" t="n"/>
      <c r="CF39" s="24" t="n"/>
      <c r="CG39" s="24" t="n"/>
    </row>
    <row r="40">
      <c r="O40" s="25">
        <f>'클럭 정리'!A41</f>
        <v/>
      </c>
      <c r="P40" s="23">
        <f>'클럭 정리'!O41</f>
        <v/>
      </c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  <c r="AA40" s="24" t="n"/>
      <c r="AB40" s="24" t="n"/>
      <c r="AC40" s="24" t="n"/>
      <c r="AD40" s="24" t="n"/>
      <c r="AE40" s="24" t="n"/>
      <c r="AF40" s="24" t="n"/>
      <c r="AG40" s="24" t="n"/>
      <c r="AH40" s="24" t="n"/>
      <c r="AI40" s="24" t="n"/>
      <c r="AJ40" s="24" t="n"/>
      <c r="AK40" s="24" t="n"/>
      <c r="AL40" s="24" t="n"/>
      <c r="AM40" s="24" t="n"/>
      <c r="AN40" s="24" t="n"/>
      <c r="AO40" s="24" t="n"/>
      <c r="AP40" s="24" t="n"/>
      <c r="AQ40" s="24" t="n"/>
      <c r="AR40" s="24" t="n"/>
      <c r="AS40" s="24" t="n"/>
      <c r="AT40" s="24" t="n"/>
      <c r="AU40" s="24" t="n"/>
      <c r="AV40" s="24" t="n"/>
      <c r="AW40" s="24" t="n"/>
      <c r="AX40" s="24" t="n"/>
      <c r="AY40" s="24" t="n"/>
      <c r="AZ40" s="24" t="n"/>
      <c r="BA40" s="24" t="n"/>
      <c r="BB40" s="24" t="n"/>
      <c r="BC40" s="24" t="n"/>
      <c r="BD40" s="24" t="n"/>
      <c r="BE40" s="24" t="n"/>
      <c r="BF40" s="24" t="n"/>
      <c r="BG40" s="24" t="n"/>
      <c r="BH40" s="24" t="n"/>
      <c r="BI40" s="24" t="n"/>
      <c r="BJ40" s="24" t="n"/>
      <c r="BK40" s="24" t="n"/>
      <c r="BL40" s="24" t="n"/>
      <c r="BM40" s="24" t="n"/>
      <c r="BN40" s="24" t="n"/>
      <c r="BO40" s="24" t="n"/>
      <c r="BP40" s="24" t="n"/>
      <c r="BQ40" s="24" t="n"/>
      <c r="BR40" s="24" t="n"/>
      <c r="BS40" s="24" t="n"/>
      <c r="BT40" s="24" t="n"/>
      <c r="BU40" s="24" t="n"/>
      <c r="BV40" s="24" t="n"/>
      <c r="BW40" s="24" t="n"/>
      <c r="BX40" s="24" t="n"/>
      <c r="BY40" s="24" t="n"/>
      <c r="BZ40" s="24" t="n"/>
      <c r="CA40" s="24" t="n"/>
      <c r="CB40" s="24" t="n"/>
      <c r="CC40" s="24" t="n"/>
      <c r="CD40" s="24" t="n"/>
      <c r="CE40" s="24" t="n"/>
      <c r="CF40" s="24" t="n"/>
      <c r="CG40" s="24" t="n"/>
    </row>
    <row r="41">
      <c r="A41" s="2" t="inlineStr">
        <is>
          <t>병렬도 12 분할 3 측정 3회차 (스레드별 클럭, GHz)</t>
        </is>
      </c>
      <c r="O41" s="25">
        <f>'클럭 정리'!A42</f>
        <v/>
      </c>
      <c r="P41" s="23">
        <f>'클럭 정리'!O42</f>
        <v/>
      </c>
      <c r="Q41" s="23">
        <f>'클럭 정리'!O42</f>
        <v/>
      </c>
      <c r="R41" s="23">
        <f>'클럭 정리'!O42</f>
        <v/>
      </c>
      <c r="S41" s="24" t="n"/>
      <c r="T41" s="23">
        <f>'클럭 정리'!O42</f>
        <v/>
      </c>
      <c r="U41" s="23">
        <f>'클럭 정리'!O42</f>
        <v/>
      </c>
      <c r="V41" s="24" t="n"/>
      <c r="W41" s="24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4" t="n"/>
      <c r="AG41" s="24" t="n"/>
      <c r="AH41" s="24" t="n"/>
      <c r="AI41" s="24" t="n"/>
      <c r="AJ41" s="24" t="n"/>
      <c r="AK41" s="24" t="n"/>
      <c r="AL41" s="24" t="n"/>
      <c r="AM41" s="24" t="n"/>
      <c r="AN41" s="24" t="n"/>
      <c r="AO41" s="24" t="n"/>
      <c r="AP41" s="24" t="n"/>
      <c r="AQ41" s="24" t="n"/>
      <c r="AR41" s="24" t="n"/>
      <c r="AS41" s="24" t="n"/>
      <c r="AT41" s="24" t="n"/>
      <c r="AU41" s="24" t="n"/>
      <c r="AV41" s="24" t="n"/>
      <c r="AW41" s="24" t="n"/>
      <c r="AX41" s="24" t="n"/>
      <c r="AY41" s="24" t="n"/>
      <c r="AZ41" s="24" t="n"/>
      <c r="BA41" s="24" t="n"/>
      <c r="BB41" s="24" t="n"/>
      <c r="BC41" s="24" t="n"/>
      <c r="BD41" s="24" t="n"/>
      <c r="BE41" s="24" t="n"/>
      <c r="BF41" s="24" t="n"/>
      <c r="BG41" s="24" t="n"/>
      <c r="BH41" s="24" t="n"/>
      <c r="BI41" s="24" t="n"/>
      <c r="BJ41" s="24" t="n"/>
      <c r="BK41" s="24" t="n"/>
      <c r="BL41" s="24" t="n"/>
      <c r="BM41" s="24" t="n"/>
      <c r="BN41" s="24" t="n"/>
      <c r="BO41" s="24" t="n"/>
      <c r="BP41" s="24" t="n"/>
      <c r="BQ41" s="24" t="n"/>
      <c r="BR41" s="24" t="n"/>
      <c r="BS41" s="24" t="n"/>
      <c r="BT41" s="24" t="n"/>
      <c r="BU41" s="24" t="n"/>
      <c r="BV41" s="24" t="n"/>
      <c r="BW41" s="24" t="n"/>
      <c r="BX41" s="24" t="n"/>
      <c r="BY41" s="24" t="n"/>
      <c r="BZ41" s="24" t="n"/>
      <c r="CA41" s="24" t="n"/>
      <c r="CB41" s="24" t="n"/>
      <c r="CC41" s="24" t="n"/>
      <c r="CD41" s="24" t="n"/>
      <c r="CE41" s="24" t="n"/>
      <c r="CF41" s="24" t="n"/>
      <c r="CG41" s="24" t="n"/>
    </row>
    <row r="42">
      <c r="A42" s="21" t="inlineStr">
        <is>
          <t>시각</t>
        </is>
      </c>
      <c r="B42" s="21" t="inlineStr">
        <is>
          <t>ForkJoinPool-13-worker-1</t>
        </is>
      </c>
      <c r="C42" s="21" t="inlineStr">
        <is>
          <t>ForkJoinPool-13-worker-10</t>
        </is>
      </c>
      <c r="D42" s="21" t="inlineStr">
        <is>
          <t>ForkJoinPool-13-worker-12</t>
        </is>
      </c>
      <c r="E42" s="21" t="inlineStr">
        <is>
          <t>ForkJoinPool-13-worker-2</t>
        </is>
      </c>
      <c r="F42" s="21" t="inlineStr">
        <is>
          <t>ForkJoinPool-13-worker-3</t>
        </is>
      </c>
      <c r="G42" s="21" t="inlineStr">
        <is>
          <t>ForkJoinPool-13-worker-7</t>
        </is>
      </c>
      <c r="H42" s="21" t="inlineStr">
        <is>
          <t>main</t>
        </is>
      </c>
      <c r="O42" s="25">
        <f>'클럭 정리'!A43</f>
        <v/>
      </c>
      <c r="P42" s="23">
        <f>'클럭 정리'!O43</f>
        <v/>
      </c>
      <c r="Q42" s="23">
        <f>'클럭 정리'!O43</f>
        <v/>
      </c>
      <c r="R42" s="23">
        <f>'클럭 정리'!O43</f>
        <v/>
      </c>
      <c r="S42" s="24" t="n"/>
      <c r="T42" s="23">
        <f>'클럭 정리'!O43</f>
        <v/>
      </c>
      <c r="U42" s="23">
        <f>'클럭 정리'!O43</f>
        <v/>
      </c>
      <c r="V42" s="24" t="n"/>
      <c r="W42" s="24" t="n"/>
      <c r="X42" s="24" t="n"/>
      <c r="Y42" s="24" t="n"/>
      <c r="Z42" s="24" t="n"/>
      <c r="AA42" s="24" t="n"/>
      <c r="AB42" s="24" t="n"/>
      <c r="AC42" s="24" t="n"/>
      <c r="AD42" s="24" t="n"/>
      <c r="AE42" s="24" t="n"/>
      <c r="AF42" s="24" t="n"/>
      <c r="AG42" s="24" t="n"/>
      <c r="AH42" s="24" t="n"/>
      <c r="AI42" s="24" t="n"/>
      <c r="AJ42" s="24" t="n"/>
      <c r="AK42" s="24" t="n"/>
      <c r="AL42" s="24" t="n"/>
      <c r="AM42" s="24" t="n"/>
      <c r="AN42" s="24" t="n"/>
      <c r="AO42" s="24" t="n"/>
      <c r="AP42" s="24" t="n"/>
      <c r="AQ42" s="24" t="n"/>
      <c r="AR42" s="24" t="n"/>
      <c r="AS42" s="24" t="n"/>
      <c r="AT42" s="24" t="n"/>
      <c r="AU42" s="24" t="n"/>
      <c r="AV42" s="24" t="n"/>
      <c r="AW42" s="24" t="n"/>
      <c r="AX42" s="24" t="n"/>
      <c r="AY42" s="24" t="n"/>
      <c r="AZ42" s="24" t="n"/>
      <c r="BA42" s="24" t="n"/>
      <c r="BB42" s="24" t="n"/>
      <c r="BC42" s="24" t="n"/>
      <c r="BD42" s="24" t="n"/>
      <c r="BE42" s="24" t="n"/>
      <c r="BF42" s="24" t="n"/>
      <c r="BG42" s="24" t="n"/>
      <c r="BH42" s="24" t="n"/>
      <c r="BI42" s="24" t="n"/>
      <c r="BJ42" s="24" t="n"/>
      <c r="BK42" s="24" t="n"/>
      <c r="BL42" s="24" t="n"/>
      <c r="BM42" s="24" t="n"/>
      <c r="BN42" s="24" t="n"/>
      <c r="BO42" s="24" t="n"/>
      <c r="BP42" s="24" t="n"/>
      <c r="BQ42" s="24" t="n"/>
      <c r="BR42" s="24" t="n"/>
      <c r="BS42" s="24" t="n"/>
      <c r="BT42" s="24" t="n"/>
      <c r="BU42" s="24" t="n"/>
      <c r="BV42" s="24" t="n"/>
      <c r="BW42" s="24" t="n"/>
      <c r="BX42" s="24" t="n"/>
      <c r="BY42" s="24" t="n"/>
      <c r="BZ42" s="24" t="n"/>
      <c r="CA42" s="24" t="n"/>
      <c r="CB42" s="24" t="n"/>
      <c r="CC42" s="24" t="n"/>
      <c r="CD42" s="24" t="n"/>
      <c r="CE42" s="24" t="n"/>
      <c r="CF42" s="24" t="n"/>
      <c r="CG42" s="24" t="n"/>
    </row>
    <row r="43">
      <c r="A43" s="22">
        <f>'클럭 정리'!A65</f>
        <v/>
      </c>
      <c r="B43" s="23">
        <f>'클럭 정리'!O65</f>
        <v/>
      </c>
      <c r="C43" s="24" t="n"/>
      <c r="D43" s="24" t="n"/>
      <c r="E43" s="23">
        <f>'클럭 정리'!O65</f>
        <v/>
      </c>
      <c r="F43" s="23">
        <f>'클럭 정리'!O65</f>
        <v/>
      </c>
      <c r="G43" s="24" t="n"/>
      <c r="H43" s="23">
        <f>'클럭 정리'!O65</f>
        <v/>
      </c>
      <c r="O43" s="25">
        <f>'클럭 정리'!A44</f>
        <v/>
      </c>
      <c r="P43" s="23">
        <f>'클럭 정리'!O44</f>
        <v/>
      </c>
      <c r="Q43" s="24" t="n"/>
      <c r="R43" s="24" t="n"/>
      <c r="S43" s="24" t="n"/>
      <c r="T43" s="24" t="n"/>
      <c r="U43" s="23">
        <f>'클럭 정리'!O44</f>
        <v/>
      </c>
      <c r="V43" s="23">
        <f>'클럭 정리'!O44</f>
        <v/>
      </c>
      <c r="W43" s="23">
        <f>'클럭 정리'!O44</f>
        <v/>
      </c>
      <c r="X43" s="23">
        <f>'클럭 정리'!O44</f>
        <v/>
      </c>
      <c r="Y43" s="24" t="n"/>
      <c r="Z43" s="24" t="n"/>
      <c r="AA43" s="24" t="n"/>
      <c r="AB43" s="24" t="n"/>
      <c r="AC43" s="24" t="n"/>
      <c r="AD43" s="24" t="n"/>
      <c r="AE43" s="24" t="n"/>
      <c r="AF43" s="24" t="n"/>
      <c r="AG43" s="24" t="n"/>
      <c r="AH43" s="24" t="n"/>
      <c r="AI43" s="24" t="n"/>
      <c r="AJ43" s="24" t="n"/>
      <c r="AK43" s="24" t="n"/>
      <c r="AL43" s="24" t="n"/>
      <c r="AM43" s="24" t="n"/>
      <c r="AN43" s="24" t="n"/>
      <c r="AO43" s="24" t="n"/>
      <c r="AP43" s="24" t="n"/>
      <c r="AQ43" s="24" t="n"/>
      <c r="AR43" s="24" t="n"/>
      <c r="AS43" s="24" t="n"/>
      <c r="AT43" s="24" t="n"/>
      <c r="AU43" s="24" t="n"/>
      <c r="AV43" s="24" t="n"/>
      <c r="AW43" s="24" t="n"/>
      <c r="AX43" s="24" t="n"/>
      <c r="AY43" s="24" t="n"/>
      <c r="AZ43" s="24" t="n"/>
      <c r="BA43" s="24" t="n"/>
      <c r="BB43" s="24" t="n"/>
      <c r="BC43" s="24" t="n"/>
      <c r="BD43" s="24" t="n"/>
      <c r="BE43" s="24" t="n"/>
      <c r="BF43" s="24" t="n"/>
      <c r="BG43" s="24" t="n"/>
      <c r="BH43" s="24" t="n"/>
      <c r="BI43" s="24" t="n"/>
      <c r="BJ43" s="24" t="n"/>
      <c r="BK43" s="24" t="n"/>
      <c r="BL43" s="24" t="n"/>
      <c r="BM43" s="24" t="n"/>
      <c r="BN43" s="24" t="n"/>
      <c r="BO43" s="24" t="n"/>
      <c r="BP43" s="24" t="n"/>
      <c r="BQ43" s="24" t="n"/>
      <c r="BR43" s="24" t="n"/>
      <c r="BS43" s="24" t="n"/>
      <c r="BT43" s="24" t="n"/>
      <c r="BU43" s="24" t="n"/>
      <c r="BV43" s="24" t="n"/>
      <c r="BW43" s="24" t="n"/>
      <c r="BX43" s="24" t="n"/>
      <c r="BY43" s="24" t="n"/>
      <c r="BZ43" s="24" t="n"/>
      <c r="CA43" s="24" t="n"/>
      <c r="CB43" s="24" t="n"/>
      <c r="CC43" s="24" t="n"/>
      <c r="CD43" s="24" t="n"/>
      <c r="CE43" s="24" t="n"/>
      <c r="CF43" s="24" t="n"/>
      <c r="CG43" s="24" t="n"/>
    </row>
    <row r="44">
      <c r="A44" s="22">
        <f>'클럭 정리'!A66</f>
        <v/>
      </c>
      <c r="B44" s="23">
        <f>'클럭 정리'!O66</f>
        <v/>
      </c>
      <c r="C44" s="24" t="n"/>
      <c r="D44" s="23">
        <f>'클럭 정리'!O66</f>
        <v/>
      </c>
      <c r="E44" s="24" t="n"/>
      <c r="F44" s="24" t="n"/>
      <c r="G44" s="23">
        <f>'클럭 정리'!O66</f>
        <v/>
      </c>
      <c r="H44" s="23">
        <f>'클럭 정리'!O66</f>
        <v/>
      </c>
      <c r="O44" s="25">
        <f>'클럭 정리'!A45</f>
        <v/>
      </c>
      <c r="P44" s="23">
        <f>'클럭 정리'!O45</f>
        <v/>
      </c>
      <c r="Q44" s="24" t="n"/>
      <c r="R44" s="24" t="n"/>
      <c r="S44" s="24" t="n"/>
      <c r="T44" s="24" t="n"/>
      <c r="U44" s="23">
        <f>'클럭 정리'!O45</f>
        <v/>
      </c>
      <c r="V44" s="23">
        <f>'클럭 정리'!O45</f>
        <v/>
      </c>
      <c r="W44" s="24" t="n"/>
      <c r="X44" s="23">
        <f>'클럭 정리'!O45</f>
        <v/>
      </c>
      <c r="Y44" s="23">
        <f>'클럭 정리'!O45</f>
        <v/>
      </c>
      <c r="Z44" s="24" t="n"/>
      <c r="AA44" s="24" t="n"/>
      <c r="AB44" s="24" t="n"/>
      <c r="AC44" s="24" t="n"/>
      <c r="AD44" s="24" t="n"/>
      <c r="AE44" s="24" t="n"/>
      <c r="AF44" s="24" t="n"/>
      <c r="AG44" s="24" t="n"/>
      <c r="AH44" s="24" t="n"/>
      <c r="AI44" s="24" t="n"/>
      <c r="AJ44" s="24" t="n"/>
      <c r="AK44" s="24" t="n"/>
      <c r="AL44" s="24" t="n"/>
      <c r="AM44" s="24" t="n"/>
      <c r="AN44" s="24" t="n"/>
      <c r="AO44" s="24" t="n"/>
      <c r="AP44" s="24" t="n"/>
      <c r="AQ44" s="24" t="n"/>
      <c r="AR44" s="24" t="n"/>
      <c r="AS44" s="24" t="n"/>
      <c r="AT44" s="24" t="n"/>
      <c r="AU44" s="24" t="n"/>
      <c r="AV44" s="24" t="n"/>
      <c r="AW44" s="24" t="n"/>
      <c r="AX44" s="24" t="n"/>
      <c r="AY44" s="24" t="n"/>
      <c r="AZ44" s="24" t="n"/>
      <c r="BA44" s="24" t="n"/>
      <c r="BB44" s="24" t="n"/>
      <c r="BC44" s="24" t="n"/>
      <c r="BD44" s="24" t="n"/>
      <c r="BE44" s="24" t="n"/>
      <c r="BF44" s="24" t="n"/>
      <c r="BG44" s="24" t="n"/>
      <c r="BH44" s="24" t="n"/>
      <c r="BI44" s="24" t="n"/>
      <c r="BJ44" s="24" t="n"/>
      <c r="BK44" s="24" t="n"/>
      <c r="BL44" s="24" t="n"/>
      <c r="BM44" s="24" t="n"/>
      <c r="BN44" s="24" t="n"/>
      <c r="BO44" s="24" t="n"/>
      <c r="BP44" s="24" t="n"/>
      <c r="BQ44" s="24" t="n"/>
      <c r="BR44" s="24" t="n"/>
      <c r="BS44" s="24" t="n"/>
      <c r="BT44" s="24" t="n"/>
      <c r="BU44" s="24" t="n"/>
      <c r="BV44" s="24" t="n"/>
      <c r="BW44" s="24" t="n"/>
      <c r="BX44" s="24" t="n"/>
      <c r="BY44" s="24" t="n"/>
      <c r="BZ44" s="24" t="n"/>
      <c r="CA44" s="24" t="n"/>
      <c r="CB44" s="24" t="n"/>
      <c r="CC44" s="24" t="n"/>
      <c r="CD44" s="24" t="n"/>
      <c r="CE44" s="24" t="n"/>
      <c r="CF44" s="24" t="n"/>
      <c r="CG44" s="24" t="n"/>
    </row>
    <row r="45">
      <c r="O45" s="25">
        <f>'클럭 정리'!A46</f>
        <v/>
      </c>
      <c r="P45" s="23">
        <f>'클럭 정리'!O46</f>
        <v/>
      </c>
      <c r="Q45" s="24" t="n"/>
      <c r="R45" s="24" t="n"/>
      <c r="S45" s="24" t="n"/>
      <c r="T45" s="24" t="n"/>
      <c r="U45" s="23">
        <f>'클럭 정리'!O46</f>
        <v/>
      </c>
      <c r="V45" s="23">
        <f>'클럭 정리'!O46</f>
        <v/>
      </c>
      <c r="W45" s="24" t="n"/>
      <c r="X45" s="23">
        <f>'클럭 정리'!O46</f>
        <v/>
      </c>
      <c r="Y45" s="23">
        <f>'클럭 정리'!O46</f>
        <v/>
      </c>
      <c r="Z45" s="23">
        <f>'클럭 정리'!O46</f>
        <v/>
      </c>
      <c r="AA45" s="23">
        <f>'클럭 정리'!O46</f>
        <v/>
      </c>
      <c r="AB45" s="23">
        <f>'클럭 정리'!O46</f>
        <v/>
      </c>
      <c r="AC45" s="24" t="n"/>
      <c r="AD45" s="24" t="n"/>
      <c r="AE45" s="24" t="n"/>
      <c r="AF45" s="24" t="n"/>
      <c r="AG45" s="24" t="n"/>
      <c r="AH45" s="24" t="n"/>
      <c r="AI45" s="24" t="n"/>
      <c r="AJ45" s="24" t="n"/>
      <c r="AK45" s="24" t="n"/>
      <c r="AL45" s="24" t="n"/>
      <c r="AM45" s="24" t="n"/>
      <c r="AN45" s="24" t="n"/>
      <c r="AO45" s="24" t="n"/>
      <c r="AP45" s="24" t="n"/>
      <c r="AQ45" s="24" t="n"/>
      <c r="AR45" s="24" t="n"/>
      <c r="AS45" s="24" t="n"/>
      <c r="AT45" s="24" t="n"/>
      <c r="AU45" s="24" t="n"/>
      <c r="AV45" s="24" t="n"/>
      <c r="AW45" s="24" t="n"/>
      <c r="AX45" s="24" t="n"/>
      <c r="AY45" s="24" t="n"/>
      <c r="AZ45" s="24" t="n"/>
      <c r="BA45" s="24" t="n"/>
      <c r="BB45" s="24" t="n"/>
      <c r="BC45" s="24" t="n"/>
      <c r="BD45" s="24" t="n"/>
      <c r="BE45" s="24" t="n"/>
      <c r="BF45" s="24" t="n"/>
      <c r="BG45" s="24" t="n"/>
      <c r="BH45" s="24" t="n"/>
      <c r="BI45" s="24" t="n"/>
      <c r="BJ45" s="24" t="n"/>
      <c r="BK45" s="24" t="n"/>
      <c r="BL45" s="24" t="n"/>
      <c r="BM45" s="24" t="n"/>
      <c r="BN45" s="24" t="n"/>
      <c r="BO45" s="24" t="n"/>
      <c r="BP45" s="24" t="n"/>
      <c r="BQ45" s="24" t="n"/>
      <c r="BR45" s="24" t="n"/>
      <c r="BS45" s="24" t="n"/>
      <c r="BT45" s="24" t="n"/>
      <c r="BU45" s="24" t="n"/>
      <c r="BV45" s="24" t="n"/>
      <c r="BW45" s="24" t="n"/>
      <c r="BX45" s="24" t="n"/>
      <c r="BY45" s="24" t="n"/>
      <c r="BZ45" s="24" t="n"/>
      <c r="CA45" s="24" t="n"/>
      <c r="CB45" s="24" t="n"/>
      <c r="CC45" s="24" t="n"/>
      <c r="CD45" s="24" t="n"/>
      <c r="CE45" s="24" t="n"/>
      <c r="CF45" s="24" t="n"/>
      <c r="CG45" s="24" t="n"/>
    </row>
    <row r="46">
      <c r="A46" s="2" t="inlineStr">
        <is>
          <t>병렬도 12 분할 3 측정 4회차 (스레드별 클럭, GHz)</t>
        </is>
      </c>
      <c r="O46" s="25">
        <f>'클럭 정리'!A47</f>
        <v/>
      </c>
      <c r="P46" s="23">
        <f>'클럭 정리'!O47</f>
        <v/>
      </c>
      <c r="Q46" s="24" t="n"/>
      <c r="R46" s="24" t="n"/>
      <c r="S46" s="24" t="n"/>
      <c r="T46" s="24" t="n"/>
      <c r="U46" s="23">
        <f>'클럭 정리'!O47</f>
        <v/>
      </c>
      <c r="V46" s="24" t="n"/>
      <c r="W46" s="24" t="n"/>
      <c r="X46" s="24" t="n"/>
      <c r="Y46" s="24" t="n"/>
      <c r="Z46" s="23">
        <f>'클럭 정리'!O47</f>
        <v/>
      </c>
      <c r="AA46" s="23">
        <f>'클럭 정리'!O47</f>
        <v/>
      </c>
      <c r="AB46" s="24" t="n"/>
      <c r="AC46" s="23">
        <f>'클럭 정리'!O47</f>
        <v/>
      </c>
      <c r="AD46" s="24" t="n"/>
      <c r="AE46" s="24" t="n"/>
      <c r="AF46" s="24" t="n"/>
      <c r="AG46" s="24" t="n"/>
      <c r="AH46" s="24" t="n"/>
      <c r="AI46" s="24" t="n"/>
      <c r="AJ46" s="24" t="n"/>
      <c r="AK46" s="24" t="n"/>
      <c r="AL46" s="24" t="n"/>
      <c r="AM46" s="24" t="n"/>
      <c r="AN46" s="24" t="n"/>
      <c r="AO46" s="24" t="n"/>
      <c r="AP46" s="24" t="n"/>
      <c r="AQ46" s="24" t="n"/>
      <c r="AR46" s="24" t="n"/>
      <c r="AS46" s="24" t="n"/>
      <c r="AT46" s="24" t="n"/>
      <c r="AU46" s="24" t="n"/>
      <c r="AV46" s="24" t="n"/>
      <c r="AW46" s="24" t="n"/>
      <c r="AX46" s="24" t="n"/>
      <c r="AY46" s="24" t="n"/>
      <c r="AZ46" s="24" t="n"/>
      <c r="BA46" s="24" t="n"/>
      <c r="BB46" s="24" t="n"/>
      <c r="BC46" s="24" t="n"/>
      <c r="BD46" s="24" t="n"/>
      <c r="BE46" s="24" t="n"/>
      <c r="BF46" s="24" t="n"/>
      <c r="BG46" s="24" t="n"/>
      <c r="BH46" s="24" t="n"/>
      <c r="BI46" s="24" t="n"/>
      <c r="BJ46" s="24" t="n"/>
      <c r="BK46" s="24" t="n"/>
      <c r="BL46" s="24" t="n"/>
      <c r="BM46" s="24" t="n"/>
      <c r="BN46" s="24" t="n"/>
      <c r="BO46" s="24" t="n"/>
      <c r="BP46" s="24" t="n"/>
      <c r="BQ46" s="24" t="n"/>
      <c r="BR46" s="24" t="n"/>
      <c r="BS46" s="24" t="n"/>
      <c r="BT46" s="24" t="n"/>
      <c r="BU46" s="24" t="n"/>
      <c r="BV46" s="24" t="n"/>
      <c r="BW46" s="24" t="n"/>
      <c r="BX46" s="24" t="n"/>
      <c r="BY46" s="24" t="n"/>
      <c r="BZ46" s="24" t="n"/>
      <c r="CA46" s="24" t="n"/>
      <c r="CB46" s="24" t="n"/>
      <c r="CC46" s="24" t="n"/>
      <c r="CD46" s="24" t="n"/>
      <c r="CE46" s="24" t="n"/>
      <c r="CF46" s="24" t="n"/>
      <c r="CG46" s="24" t="n"/>
    </row>
    <row r="47">
      <c r="A47" s="21" t="inlineStr">
        <is>
          <t>시각</t>
        </is>
      </c>
      <c r="B47" s="21" t="inlineStr">
        <is>
          <t>ForkJoinPool-14-worker-1</t>
        </is>
      </c>
      <c r="C47" s="21" t="inlineStr">
        <is>
          <t>ForkJoinPool-14-worker-10</t>
        </is>
      </c>
      <c r="D47" s="21" t="inlineStr">
        <is>
          <t>ForkJoinPool-14-worker-2</t>
        </is>
      </c>
      <c r="E47" s="21" t="inlineStr">
        <is>
          <t>ForkJoinPool-14-worker-3</t>
        </is>
      </c>
      <c r="F47" s="21" t="inlineStr">
        <is>
          <t>ForkJoinPool-14-worker-5</t>
        </is>
      </c>
      <c r="G47" s="21" t="inlineStr">
        <is>
          <t>ForkJoinPool-14-worker-6</t>
        </is>
      </c>
      <c r="H47" s="21" t="inlineStr">
        <is>
          <t>ForkJoinPool-14-worker-8</t>
        </is>
      </c>
      <c r="I47" s="21" t="inlineStr">
        <is>
          <t>ForkJoinPool-14-worker-9</t>
        </is>
      </c>
      <c r="J47" s="21" t="inlineStr">
        <is>
          <t>main</t>
        </is>
      </c>
      <c r="O47" s="25">
        <f>'클럭 정리'!A48</f>
        <v/>
      </c>
      <c r="P47" s="23">
        <f>'클럭 정리'!O48</f>
        <v/>
      </c>
      <c r="Q47" s="24" t="n"/>
      <c r="R47" s="24" t="n"/>
      <c r="S47" s="24" t="n"/>
      <c r="T47" s="24" t="n"/>
      <c r="U47" s="23">
        <f>'클럭 정리'!O48</f>
        <v/>
      </c>
      <c r="V47" s="24" t="n"/>
      <c r="W47" s="24" t="n"/>
      <c r="X47" s="24" t="n"/>
      <c r="Y47" s="24" t="n"/>
      <c r="Z47" s="23">
        <f>'클럭 정리'!O48</f>
        <v/>
      </c>
      <c r="AA47" s="23">
        <f>'클럭 정리'!O48</f>
        <v/>
      </c>
      <c r="AB47" s="24" t="n"/>
      <c r="AC47" s="23">
        <f>'클럭 정리'!O48</f>
        <v/>
      </c>
      <c r="AD47" s="24" t="n"/>
      <c r="AE47" s="24" t="n"/>
      <c r="AF47" s="24" t="n"/>
      <c r="AG47" s="24" t="n"/>
      <c r="AH47" s="24" t="n"/>
      <c r="AI47" s="24" t="n"/>
      <c r="AJ47" s="24" t="n"/>
      <c r="AK47" s="24" t="n"/>
      <c r="AL47" s="24" t="n"/>
      <c r="AM47" s="24" t="n"/>
      <c r="AN47" s="24" t="n"/>
      <c r="AO47" s="24" t="n"/>
      <c r="AP47" s="24" t="n"/>
      <c r="AQ47" s="24" t="n"/>
      <c r="AR47" s="24" t="n"/>
      <c r="AS47" s="24" t="n"/>
      <c r="AT47" s="24" t="n"/>
      <c r="AU47" s="24" t="n"/>
      <c r="AV47" s="24" t="n"/>
      <c r="AW47" s="24" t="n"/>
      <c r="AX47" s="24" t="n"/>
      <c r="AY47" s="24" t="n"/>
      <c r="AZ47" s="24" t="n"/>
      <c r="BA47" s="24" t="n"/>
      <c r="BB47" s="24" t="n"/>
      <c r="BC47" s="24" t="n"/>
      <c r="BD47" s="24" t="n"/>
      <c r="BE47" s="24" t="n"/>
      <c r="BF47" s="24" t="n"/>
      <c r="BG47" s="24" t="n"/>
      <c r="BH47" s="24" t="n"/>
      <c r="BI47" s="24" t="n"/>
      <c r="BJ47" s="24" t="n"/>
      <c r="BK47" s="24" t="n"/>
      <c r="BL47" s="24" t="n"/>
      <c r="BM47" s="24" t="n"/>
      <c r="BN47" s="24" t="n"/>
      <c r="BO47" s="24" t="n"/>
      <c r="BP47" s="24" t="n"/>
      <c r="BQ47" s="24" t="n"/>
      <c r="BR47" s="24" t="n"/>
      <c r="BS47" s="24" t="n"/>
      <c r="BT47" s="24" t="n"/>
      <c r="BU47" s="24" t="n"/>
      <c r="BV47" s="24" t="n"/>
      <c r="BW47" s="24" t="n"/>
      <c r="BX47" s="24" t="n"/>
      <c r="BY47" s="24" t="n"/>
      <c r="BZ47" s="24" t="n"/>
      <c r="CA47" s="24" t="n"/>
      <c r="CB47" s="24" t="n"/>
      <c r="CC47" s="24" t="n"/>
      <c r="CD47" s="24" t="n"/>
      <c r="CE47" s="24" t="n"/>
      <c r="CF47" s="24" t="n"/>
      <c r="CG47" s="24" t="n"/>
    </row>
    <row r="48">
      <c r="A48" s="22">
        <f>'클럭 정리'!A67</f>
        <v/>
      </c>
      <c r="B48" s="24" t="n"/>
      <c r="C48" s="24" t="n"/>
      <c r="D48" s="24" t="n"/>
      <c r="E48" s="24" t="n"/>
      <c r="F48" s="24" t="n"/>
      <c r="G48" s="23">
        <f>'클럭 정리'!O67</f>
        <v/>
      </c>
      <c r="H48" s="23">
        <f>'클럭 정리'!O67</f>
        <v/>
      </c>
      <c r="I48" s="23">
        <f>'클럭 정리'!O67</f>
        <v/>
      </c>
      <c r="J48" s="23">
        <f>'클럭 정리'!O67</f>
        <v/>
      </c>
      <c r="O48" s="25">
        <f>'클럭 정리'!A49</f>
        <v/>
      </c>
      <c r="P48" s="23">
        <f>'클럭 정리'!O49</f>
        <v/>
      </c>
      <c r="Q48" s="24" t="n"/>
      <c r="R48" s="24" t="n"/>
      <c r="S48" s="24" t="n"/>
      <c r="T48" s="24" t="n"/>
      <c r="U48" s="23">
        <f>'클럭 정리'!O49</f>
        <v/>
      </c>
      <c r="V48" s="24" t="n"/>
      <c r="W48" s="24" t="n"/>
      <c r="X48" s="24" t="n"/>
      <c r="Y48" s="24" t="n"/>
      <c r="Z48" s="24" t="n"/>
      <c r="AA48" s="24" t="n"/>
      <c r="AB48" s="24" t="n"/>
      <c r="AC48" s="24" t="n"/>
      <c r="AD48" s="23">
        <f>'클럭 정리'!O49</f>
        <v/>
      </c>
      <c r="AE48" s="24" t="n"/>
      <c r="AF48" s="24" t="n"/>
      <c r="AG48" s="24" t="n"/>
      <c r="AH48" s="23">
        <f>'클럭 정리'!O49</f>
        <v/>
      </c>
      <c r="AI48" s="23">
        <f>'클럭 정리'!O49</f>
        <v/>
      </c>
      <c r="AJ48" s="24" t="n"/>
      <c r="AK48" s="24" t="n"/>
      <c r="AL48" s="24" t="n"/>
      <c r="AM48" s="24" t="n"/>
      <c r="AN48" s="24" t="n"/>
      <c r="AO48" s="24" t="n"/>
      <c r="AP48" s="24" t="n"/>
      <c r="AQ48" s="24" t="n"/>
      <c r="AR48" s="24" t="n"/>
      <c r="AS48" s="24" t="n"/>
      <c r="AT48" s="24" t="n"/>
      <c r="AU48" s="24" t="n"/>
      <c r="AV48" s="24" t="n"/>
      <c r="AW48" s="24" t="n"/>
      <c r="AX48" s="24" t="n"/>
      <c r="AY48" s="24" t="n"/>
      <c r="AZ48" s="24" t="n"/>
      <c r="BA48" s="24" t="n"/>
      <c r="BB48" s="24" t="n"/>
      <c r="BC48" s="24" t="n"/>
      <c r="BD48" s="24" t="n"/>
      <c r="BE48" s="24" t="n"/>
      <c r="BF48" s="24" t="n"/>
      <c r="BG48" s="24" t="n"/>
      <c r="BH48" s="24" t="n"/>
      <c r="BI48" s="24" t="n"/>
      <c r="BJ48" s="24" t="n"/>
      <c r="BK48" s="24" t="n"/>
      <c r="BL48" s="24" t="n"/>
      <c r="BM48" s="24" t="n"/>
      <c r="BN48" s="24" t="n"/>
      <c r="BO48" s="24" t="n"/>
      <c r="BP48" s="24" t="n"/>
      <c r="BQ48" s="24" t="n"/>
      <c r="BR48" s="24" t="n"/>
      <c r="BS48" s="24" t="n"/>
      <c r="BT48" s="24" t="n"/>
      <c r="BU48" s="24" t="n"/>
      <c r="BV48" s="24" t="n"/>
      <c r="BW48" s="24" t="n"/>
      <c r="BX48" s="24" t="n"/>
      <c r="BY48" s="24" t="n"/>
      <c r="BZ48" s="24" t="n"/>
      <c r="CA48" s="24" t="n"/>
      <c r="CB48" s="24" t="n"/>
      <c r="CC48" s="24" t="n"/>
      <c r="CD48" s="24" t="n"/>
      <c r="CE48" s="24" t="n"/>
      <c r="CF48" s="24" t="n"/>
      <c r="CG48" s="24" t="n"/>
    </row>
    <row r="49">
      <c r="A49" s="22">
        <f>'클럭 정리'!A68</f>
        <v/>
      </c>
      <c r="B49" s="24" t="n"/>
      <c r="C49" s="23">
        <f>'클럭 정리'!O68</f>
        <v/>
      </c>
      <c r="D49" s="24" t="n"/>
      <c r="E49" s="24" t="n"/>
      <c r="F49" s="24" t="n"/>
      <c r="G49" s="23">
        <f>'클럭 정리'!O68</f>
        <v/>
      </c>
      <c r="H49" s="24" t="n"/>
      <c r="I49" s="23">
        <f>'클럭 정리'!O68</f>
        <v/>
      </c>
      <c r="J49" s="23">
        <f>'클럭 정리'!O68</f>
        <v/>
      </c>
      <c r="O49" s="25">
        <f>'클럭 정리'!A50</f>
        <v/>
      </c>
      <c r="P49" s="23">
        <f>'클럭 정리'!O50</f>
        <v/>
      </c>
      <c r="Q49" s="24" t="n"/>
      <c r="R49" s="24" t="n"/>
      <c r="S49" s="24" t="n"/>
      <c r="T49" s="24" t="n"/>
      <c r="U49" s="23">
        <f>'클럭 정리'!O50</f>
        <v/>
      </c>
      <c r="V49" s="24" t="n"/>
      <c r="W49" s="24" t="n"/>
      <c r="X49" s="24" t="n"/>
      <c r="Y49" s="24" t="n"/>
      <c r="Z49" s="24" t="n"/>
      <c r="AA49" s="24" t="n"/>
      <c r="AB49" s="24" t="n"/>
      <c r="AC49" s="24" t="n"/>
      <c r="AD49" s="23">
        <f>'클럭 정리'!O50</f>
        <v/>
      </c>
      <c r="AE49" s="24" t="n"/>
      <c r="AF49" s="24" t="n"/>
      <c r="AG49" s="24" t="n"/>
      <c r="AH49" s="23">
        <f>'클럭 정리'!O50</f>
        <v/>
      </c>
      <c r="AI49" s="23">
        <f>'클럭 정리'!O50</f>
        <v/>
      </c>
      <c r="AJ49" s="24" t="n"/>
      <c r="AK49" s="24" t="n"/>
      <c r="AL49" s="24" t="n"/>
      <c r="AM49" s="24" t="n"/>
      <c r="AN49" s="24" t="n"/>
      <c r="AO49" s="24" t="n"/>
      <c r="AP49" s="24" t="n"/>
      <c r="AQ49" s="24" t="n"/>
      <c r="AR49" s="24" t="n"/>
      <c r="AS49" s="24" t="n"/>
      <c r="AT49" s="24" t="n"/>
      <c r="AU49" s="24" t="n"/>
      <c r="AV49" s="24" t="n"/>
      <c r="AW49" s="24" t="n"/>
      <c r="AX49" s="24" t="n"/>
      <c r="AY49" s="24" t="n"/>
      <c r="AZ49" s="24" t="n"/>
      <c r="BA49" s="24" t="n"/>
      <c r="BB49" s="24" t="n"/>
      <c r="BC49" s="24" t="n"/>
      <c r="BD49" s="24" t="n"/>
      <c r="BE49" s="24" t="n"/>
      <c r="BF49" s="24" t="n"/>
      <c r="BG49" s="24" t="n"/>
      <c r="BH49" s="24" t="n"/>
      <c r="BI49" s="24" t="n"/>
      <c r="BJ49" s="24" t="n"/>
      <c r="BK49" s="24" t="n"/>
      <c r="BL49" s="24" t="n"/>
      <c r="BM49" s="24" t="n"/>
      <c r="BN49" s="24" t="n"/>
      <c r="BO49" s="24" t="n"/>
      <c r="BP49" s="24" t="n"/>
      <c r="BQ49" s="24" t="n"/>
      <c r="BR49" s="24" t="n"/>
      <c r="BS49" s="24" t="n"/>
      <c r="BT49" s="24" t="n"/>
      <c r="BU49" s="24" t="n"/>
      <c r="BV49" s="24" t="n"/>
      <c r="BW49" s="24" t="n"/>
      <c r="BX49" s="24" t="n"/>
      <c r="BY49" s="24" t="n"/>
      <c r="BZ49" s="24" t="n"/>
      <c r="CA49" s="24" t="n"/>
      <c r="CB49" s="24" t="n"/>
      <c r="CC49" s="24" t="n"/>
      <c r="CD49" s="24" t="n"/>
      <c r="CE49" s="24" t="n"/>
      <c r="CF49" s="24" t="n"/>
      <c r="CG49" s="24" t="n"/>
    </row>
    <row r="50">
      <c r="O50" s="25">
        <f>'클럭 정리'!A51</f>
        <v/>
      </c>
      <c r="P50" s="23">
        <f>'클럭 정리'!O51</f>
        <v/>
      </c>
      <c r="Q50" s="24" t="n"/>
      <c r="R50" s="24" t="n"/>
      <c r="S50" s="24" t="n"/>
      <c r="T50" s="24" t="n"/>
      <c r="U50" s="23">
        <f>'클럭 정리'!O51</f>
        <v/>
      </c>
      <c r="V50" s="24" t="n"/>
      <c r="W50" s="24" t="n"/>
      <c r="X50" s="24" t="n"/>
      <c r="Y50" s="24" t="n"/>
      <c r="Z50" s="24" t="n"/>
      <c r="AA50" s="24" t="n"/>
      <c r="AB50" s="24" t="n"/>
      <c r="AC50" s="24" t="n"/>
      <c r="AD50" s="24" t="n"/>
      <c r="AE50" s="24" t="n"/>
      <c r="AF50" s="24" t="n"/>
      <c r="AG50" s="24" t="n"/>
      <c r="AH50" s="24" t="n"/>
      <c r="AI50" s="24" t="n"/>
      <c r="AJ50" s="23">
        <f>'클럭 정리'!O51</f>
        <v/>
      </c>
      <c r="AK50" s="24" t="n"/>
      <c r="AL50" s="24" t="n"/>
      <c r="AM50" s="24" t="n"/>
      <c r="AN50" s="23">
        <f>'클럭 정리'!O51</f>
        <v/>
      </c>
      <c r="AO50" s="23">
        <f>'클럭 정리'!O51</f>
        <v/>
      </c>
      <c r="AP50" s="24" t="n"/>
      <c r="AQ50" s="24" t="n"/>
      <c r="AR50" s="24" t="n"/>
      <c r="AS50" s="24" t="n"/>
      <c r="AT50" s="24" t="n"/>
      <c r="AU50" s="24" t="n"/>
      <c r="AV50" s="24" t="n"/>
      <c r="AW50" s="24" t="n"/>
      <c r="AX50" s="24" t="n"/>
      <c r="AY50" s="24" t="n"/>
      <c r="AZ50" s="24" t="n"/>
      <c r="BA50" s="24" t="n"/>
      <c r="BB50" s="24" t="n"/>
      <c r="BC50" s="24" t="n"/>
      <c r="BD50" s="24" t="n"/>
      <c r="BE50" s="24" t="n"/>
      <c r="BF50" s="24" t="n"/>
      <c r="BG50" s="24" t="n"/>
      <c r="BH50" s="24" t="n"/>
      <c r="BI50" s="24" t="n"/>
      <c r="BJ50" s="24" t="n"/>
      <c r="BK50" s="24" t="n"/>
      <c r="BL50" s="24" t="n"/>
      <c r="BM50" s="24" t="n"/>
      <c r="BN50" s="24" t="n"/>
      <c r="BO50" s="24" t="n"/>
      <c r="BP50" s="24" t="n"/>
      <c r="BQ50" s="24" t="n"/>
      <c r="BR50" s="24" t="n"/>
      <c r="BS50" s="24" t="n"/>
      <c r="BT50" s="24" t="n"/>
      <c r="BU50" s="24" t="n"/>
      <c r="BV50" s="24" t="n"/>
      <c r="BW50" s="24" t="n"/>
      <c r="BX50" s="24" t="n"/>
      <c r="BY50" s="24" t="n"/>
      <c r="BZ50" s="24" t="n"/>
      <c r="CA50" s="24" t="n"/>
      <c r="CB50" s="24" t="n"/>
      <c r="CC50" s="24" t="n"/>
      <c r="CD50" s="24" t="n"/>
      <c r="CE50" s="24" t="n"/>
      <c r="CF50" s="24" t="n"/>
      <c r="CG50" s="24" t="n"/>
    </row>
    <row r="51">
      <c r="A51" s="2" t="inlineStr">
        <is>
          <t>병렬도 12 분할 3 측정 5회차 (스레드별 클럭, GHz)</t>
        </is>
      </c>
      <c r="O51" s="25">
        <f>'클럭 정리'!A52</f>
        <v/>
      </c>
      <c r="P51" s="23">
        <f>'클럭 정리'!O52</f>
        <v/>
      </c>
      <c r="Q51" s="24" t="n"/>
      <c r="R51" s="24" t="n"/>
      <c r="S51" s="24" t="n"/>
      <c r="T51" s="24" t="n"/>
      <c r="U51" s="23">
        <f>'클럭 정리'!O52</f>
        <v/>
      </c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4" t="n"/>
      <c r="AF51" s="24" t="n"/>
      <c r="AG51" s="24" t="n"/>
      <c r="AH51" s="24" t="n"/>
      <c r="AI51" s="24" t="n"/>
      <c r="AJ51" s="23">
        <f>'클럭 정리'!O52</f>
        <v/>
      </c>
      <c r="AK51" s="24" t="n"/>
      <c r="AL51" s="24" t="n"/>
      <c r="AM51" s="24" t="n"/>
      <c r="AN51" s="23">
        <f>'클럭 정리'!O52</f>
        <v/>
      </c>
      <c r="AO51" s="23">
        <f>'클럭 정리'!O52</f>
        <v/>
      </c>
      <c r="AP51" s="24" t="n"/>
      <c r="AQ51" s="24" t="n"/>
      <c r="AR51" s="24" t="n"/>
      <c r="AS51" s="24" t="n"/>
      <c r="AT51" s="24" t="n"/>
      <c r="AU51" s="24" t="n"/>
      <c r="AV51" s="24" t="n"/>
      <c r="AW51" s="24" t="n"/>
      <c r="AX51" s="24" t="n"/>
      <c r="AY51" s="24" t="n"/>
      <c r="AZ51" s="24" t="n"/>
      <c r="BA51" s="24" t="n"/>
      <c r="BB51" s="24" t="n"/>
      <c r="BC51" s="24" t="n"/>
      <c r="BD51" s="24" t="n"/>
      <c r="BE51" s="24" t="n"/>
      <c r="BF51" s="24" t="n"/>
      <c r="BG51" s="24" t="n"/>
      <c r="BH51" s="24" t="n"/>
      <c r="BI51" s="24" t="n"/>
      <c r="BJ51" s="24" t="n"/>
      <c r="BK51" s="24" t="n"/>
      <c r="BL51" s="24" t="n"/>
      <c r="BM51" s="24" t="n"/>
      <c r="BN51" s="24" t="n"/>
      <c r="BO51" s="24" t="n"/>
      <c r="BP51" s="24" t="n"/>
      <c r="BQ51" s="24" t="n"/>
      <c r="BR51" s="24" t="n"/>
      <c r="BS51" s="24" t="n"/>
      <c r="BT51" s="24" t="n"/>
      <c r="BU51" s="24" t="n"/>
      <c r="BV51" s="24" t="n"/>
      <c r="BW51" s="24" t="n"/>
      <c r="BX51" s="24" t="n"/>
      <c r="BY51" s="24" t="n"/>
      <c r="BZ51" s="24" t="n"/>
      <c r="CA51" s="24" t="n"/>
      <c r="CB51" s="24" t="n"/>
      <c r="CC51" s="24" t="n"/>
      <c r="CD51" s="24" t="n"/>
      <c r="CE51" s="24" t="n"/>
      <c r="CF51" s="24" t="n"/>
      <c r="CG51" s="24" t="n"/>
    </row>
    <row r="52">
      <c r="A52" s="21" t="inlineStr">
        <is>
          <t>시각</t>
        </is>
      </c>
      <c r="B52" s="21" t="inlineStr">
        <is>
          <t>ForkJoinPool-15-worker-1</t>
        </is>
      </c>
      <c r="C52" s="21" t="inlineStr">
        <is>
          <t>ForkJoinPool-15-worker-11</t>
        </is>
      </c>
      <c r="D52" s="21" t="inlineStr">
        <is>
          <t>ForkJoinPool-15-worker-12</t>
        </is>
      </c>
      <c r="E52" s="21" t="inlineStr">
        <is>
          <t>ForkJoinPool-15-worker-2</t>
        </is>
      </c>
      <c r="F52" s="21" t="inlineStr">
        <is>
          <t>ForkJoinPool-15-worker-3</t>
        </is>
      </c>
      <c r="G52" s="21" t="inlineStr">
        <is>
          <t>ForkJoinPool-15-worker-4</t>
        </is>
      </c>
      <c r="H52" s="21" t="inlineStr">
        <is>
          <t>ForkJoinPool-15-worker-5</t>
        </is>
      </c>
      <c r="I52" s="21" t="inlineStr">
        <is>
          <t>ForkJoinPool-15-worker-6</t>
        </is>
      </c>
      <c r="J52" s="21" t="inlineStr">
        <is>
          <t>ForkJoinPool-15-worker-7</t>
        </is>
      </c>
      <c r="K52" s="21" t="inlineStr">
        <is>
          <t>ForkJoinPool-15-worker-8</t>
        </is>
      </c>
      <c r="L52" s="21" t="inlineStr">
        <is>
          <t>ForkJoinPool-15-worker-9</t>
        </is>
      </c>
      <c r="M52" s="21" t="inlineStr">
        <is>
          <t>main</t>
        </is>
      </c>
      <c r="O52" s="25">
        <f>'클럭 정리'!A53</f>
        <v/>
      </c>
      <c r="P52" s="23">
        <f>'클럭 정리'!O53</f>
        <v/>
      </c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  <c r="AA52" s="24" t="n"/>
      <c r="AB52" s="24" t="n"/>
      <c r="AC52" s="24" t="n"/>
      <c r="AD52" s="24" t="n"/>
      <c r="AE52" s="24" t="n"/>
      <c r="AF52" s="24" t="n"/>
      <c r="AG52" s="24" t="n"/>
      <c r="AH52" s="24" t="n"/>
      <c r="AI52" s="24" t="n"/>
      <c r="AJ52" s="24" t="n"/>
      <c r="AK52" s="24" t="n"/>
      <c r="AL52" s="24" t="n"/>
      <c r="AM52" s="24" t="n"/>
      <c r="AN52" s="24" t="n"/>
      <c r="AO52" s="24" t="n"/>
      <c r="AP52" s="24" t="n"/>
      <c r="AQ52" s="24" t="n"/>
      <c r="AR52" s="24" t="n"/>
      <c r="AS52" s="24" t="n"/>
      <c r="AT52" s="24" t="n"/>
      <c r="AU52" s="24" t="n"/>
      <c r="AV52" s="24" t="n"/>
      <c r="AW52" s="24" t="n"/>
      <c r="AX52" s="24" t="n"/>
      <c r="AY52" s="24" t="n"/>
      <c r="AZ52" s="24" t="n"/>
      <c r="BA52" s="24" t="n"/>
      <c r="BB52" s="24" t="n"/>
      <c r="BC52" s="24" t="n"/>
      <c r="BD52" s="24" t="n"/>
      <c r="BE52" s="24" t="n"/>
      <c r="BF52" s="24" t="n"/>
      <c r="BG52" s="24" t="n"/>
      <c r="BH52" s="24" t="n"/>
      <c r="BI52" s="24" t="n"/>
      <c r="BJ52" s="24" t="n"/>
      <c r="BK52" s="24" t="n"/>
      <c r="BL52" s="24" t="n"/>
      <c r="BM52" s="24" t="n"/>
      <c r="BN52" s="24" t="n"/>
      <c r="BO52" s="24" t="n"/>
      <c r="BP52" s="24" t="n"/>
      <c r="BQ52" s="24" t="n"/>
      <c r="BR52" s="24" t="n"/>
      <c r="BS52" s="24" t="n"/>
      <c r="BT52" s="24" t="n"/>
      <c r="BU52" s="24" t="n"/>
      <c r="BV52" s="24" t="n"/>
      <c r="BW52" s="24" t="n"/>
      <c r="BX52" s="24" t="n"/>
      <c r="BY52" s="24" t="n"/>
      <c r="BZ52" s="24" t="n"/>
      <c r="CA52" s="24" t="n"/>
      <c r="CB52" s="24" t="n"/>
      <c r="CC52" s="24" t="n"/>
      <c r="CD52" s="24" t="n"/>
      <c r="CE52" s="24" t="n"/>
      <c r="CF52" s="24" t="n"/>
      <c r="CG52" s="24" t="n"/>
    </row>
    <row r="53">
      <c r="A53" s="22">
        <f>'클럭 정리'!A69</f>
        <v/>
      </c>
      <c r="B53" s="24" t="n"/>
      <c r="C53" s="24" t="n"/>
      <c r="D53" s="24" t="n"/>
      <c r="E53" s="24" t="n"/>
      <c r="F53" s="24" t="n"/>
      <c r="G53" s="23">
        <f>'클럭 정리'!O69</f>
        <v/>
      </c>
      <c r="H53" s="23">
        <f>'클럭 정리'!O69</f>
        <v/>
      </c>
      <c r="I53" s="23">
        <f>'클럭 정리'!O69</f>
        <v/>
      </c>
      <c r="J53" s="24" t="n"/>
      <c r="K53" s="24" t="n"/>
      <c r="L53" s="24" t="n"/>
      <c r="M53" s="23">
        <f>'클럭 정리'!O69</f>
        <v/>
      </c>
      <c r="O53" s="25">
        <f>'클럭 정리'!A54</f>
        <v/>
      </c>
      <c r="P53" s="23">
        <f>'클럭 정리'!O54</f>
        <v/>
      </c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  <c r="AA53" s="24" t="n"/>
      <c r="AB53" s="24" t="n"/>
      <c r="AC53" s="24" t="n"/>
      <c r="AD53" s="24" t="n"/>
      <c r="AE53" s="24" t="n"/>
      <c r="AF53" s="24" t="n"/>
      <c r="AG53" s="24" t="n"/>
      <c r="AH53" s="24" t="n"/>
      <c r="AI53" s="24" t="n"/>
      <c r="AJ53" s="24" t="n"/>
      <c r="AK53" s="24" t="n"/>
      <c r="AL53" s="24" t="n"/>
      <c r="AM53" s="24" t="n"/>
      <c r="AN53" s="24" t="n"/>
      <c r="AO53" s="24" t="n"/>
      <c r="AP53" s="24" t="n"/>
      <c r="AQ53" s="24" t="n"/>
      <c r="AR53" s="24" t="n"/>
      <c r="AS53" s="24" t="n"/>
      <c r="AT53" s="24" t="n"/>
      <c r="AU53" s="24" t="n"/>
      <c r="AV53" s="24" t="n"/>
      <c r="AW53" s="24" t="n"/>
      <c r="AX53" s="24" t="n"/>
      <c r="AY53" s="24" t="n"/>
      <c r="AZ53" s="24" t="n"/>
      <c r="BA53" s="24" t="n"/>
      <c r="BB53" s="24" t="n"/>
      <c r="BC53" s="24" t="n"/>
      <c r="BD53" s="24" t="n"/>
      <c r="BE53" s="24" t="n"/>
      <c r="BF53" s="24" t="n"/>
      <c r="BG53" s="24" t="n"/>
      <c r="BH53" s="24" t="n"/>
      <c r="BI53" s="24" t="n"/>
      <c r="BJ53" s="24" t="n"/>
      <c r="BK53" s="24" t="n"/>
      <c r="BL53" s="24" t="n"/>
      <c r="BM53" s="24" t="n"/>
      <c r="BN53" s="24" t="n"/>
      <c r="BO53" s="24" t="n"/>
      <c r="BP53" s="24" t="n"/>
      <c r="BQ53" s="24" t="n"/>
      <c r="BR53" s="24" t="n"/>
      <c r="BS53" s="24" t="n"/>
      <c r="BT53" s="24" t="n"/>
      <c r="BU53" s="24" t="n"/>
      <c r="BV53" s="24" t="n"/>
      <c r="BW53" s="24" t="n"/>
      <c r="BX53" s="24" t="n"/>
      <c r="BY53" s="24" t="n"/>
      <c r="BZ53" s="24" t="n"/>
      <c r="CA53" s="24" t="n"/>
      <c r="CB53" s="24" t="n"/>
      <c r="CC53" s="24" t="n"/>
      <c r="CD53" s="24" t="n"/>
      <c r="CE53" s="24" t="n"/>
      <c r="CF53" s="24" t="n"/>
      <c r="CG53" s="24" t="n"/>
    </row>
    <row r="54">
      <c r="A54" s="22">
        <f>'클럭 정리'!A70</f>
        <v/>
      </c>
      <c r="B54" s="24" t="n"/>
      <c r="C54" s="23">
        <f>'클럭 정리'!O70</f>
        <v/>
      </c>
      <c r="D54" s="24" t="n"/>
      <c r="E54" s="24" t="n"/>
      <c r="F54" s="24" t="n"/>
      <c r="G54" s="24" t="n"/>
      <c r="H54" s="23">
        <f>'클럭 정리'!O70</f>
        <v/>
      </c>
      <c r="I54" s="24" t="n"/>
      <c r="J54" s="23">
        <f>'클럭 정리'!O70</f>
        <v/>
      </c>
      <c r="K54" s="24" t="n"/>
      <c r="L54" s="24" t="n"/>
      <c r="M54" s="23">
        <f>'클럭 정리'!O70</f>
        <v/>
      </c>
      <c r="O54" s="25">
        <f>'클럭 정리'!A55</f>
        <v/>
      </c>
      <c r="P54" s="23">
        <f>'클럭 정리'!O55</f>
        <v/>
      </c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  <c r="AA54" s="24" t="n"/>
      <c r="AB54" s="24" t="n"/>
      <c r="AC54" s="24" t="n"/>
      <c r="AD54" s="24" t="n"/>
      <c r="AE54" s="24" t="n"/>
      <c r="AF54" s="24" t="n"/>
      <c r="AG54" s="24" t="n"/>
      <c r="AH54" s="24" t="n"/>
      <c r="AI54" s="24" t="n"/>
      <c r="AJ54" s="24" t="n"/>
      <c r="AK54" s="24" t="n"/>
      <c r="AL54" s="24" t="n"/>
      <c r="AM54" s="24" t="n"/>
      <c r="AN54" s="24" t="n"/>
      <c r="AO54" s="24" t="n"/>
      <c r="AP54" s="24" t="n"/>
      <c r="AQ54" s="24" t="n"/>
      <c r="AR54" s="24" t="n"/>
      <c r="AS54" s="24" t="n"/>
      <c r="AT54" s="24" t="n"/>
      <c r="AU54" s="24" t="n"/>
      <c r="AV54" s="24" t="n"/>
      <c r="AW54" s="24" t="n"/>
      <c r="AX54" s="24" t="n"/>
      <c r="AY54" s="24" t="n"/>
      <c r="AZ54" s="24" t="n"/>
      <c r="BA54" s="24" t="n"/>
      <c r="BB54" s="24" t="n"/>
      <c r="BC54" s="24" t="n"/>
      <c r="BD54" s="24" t="n"/>
      <c r="BE54" s="24" t="n"/>
      <c r="BF54" s="24" t="n"/>
      <c r="BG54" s="24" t="n"/>
      <c r="BH54" s="24" t="n"/>
      <c r="BI54" s="24" t="n"/>
      <c r="BJ54" s="24" t="n"/>
      <c r="BK54" s="24" t="n"/>
      <c r="BL54" s="24" t="n"/>
      <c r="BM54" s="24" t="n"/>
      <c r="BN54" s="24" t="n"/>
      <c r="BO54" s="24" t="n"/>
      <c r="BP54" s="24" t="n"/>
      <c r="BQ54" s="24" t="n"/>
      <c r="BR54" s="24" t="n"/>
      <c r="BS54" s="24" t="n"/>
      <c r="BT54" s="24" t="n"/>
      <c r="BU54" s="24" t="n"/>
      <c r="BV54" s="24" t="n"/>
      <c r="BW54" s="24" t="n"/>
      <c r="BX54" s="24" t="n"/>
      <c r="BY54" s="24" t="n"/>
      <c r="BZ54" s="24" t="n"/>
      <c r="CA54" s="24" t="n"/>
      <c r="CB54" s="24" t="n"/>
      <c r="CC54" s="24" t="n"/>
      <c r="CD54" s="24" t="n"/>
      <c r="CE54" s="24" t="n"/>
      <c r="CF54" s="24" t="n"/>
      <c r="CG54" s="24" t="n"/>
    </row>
    <row r="55">
      <c r="A55" s="22">
        <f>'클럭 정리'!A71</f>
        <v/>
      </c>
      <c r="B55" s="24" t="n"/>
      <c r="C55" s="23">
        <f>'클럭 정리'!O71</f>
        <v/>
      </c>
      <c r="D55" s="24" t="n"/>
      <c r="E55" s="24" t="n"/>
      <c r="F55" s="24" t="n"/>
      <c r="G55" s="24" t="n"/>
      <c r="H55" s="23">
        <f>'클럭 정리'!O71</f>
        <v/>
      </c>
      <c r="I55" s="24" t="n"/>
      <c r="J55" s="23">
        <f>'클럭 정리'!O71</f>
        <v/>
      </c>
      <c r="K55" s="24" t="n"/>
      <c r="L55" s="24" t="n"/>
      <c r="M55" s="23">
        <f>'클럭 정리'!O71</f>
        <v/>
      </c>
      <c r="O55" s="25">
        <f>'클럭 정리'!A56</f>
        <v/>
      </c>
      <c r="P55" s="23">
        <f>'클럭 정리'!O56</f>
        <v/>
      </c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  <c r="AA55" s="24" t="n"/>
      <c r="AB55" s="24" t="n"/>
      <c r="AC55" s="24" t="n"/>
      <c r="AD55" s="24" t="n"/>
      <c r="AE55" s="24" t="n"/>
      <c r="AF55" s="24" t="n"/>
      <c r="AG55" s="24" t="n"/>
      <c r="AH55" s="24" t="n"/>
      <c r="AI55" s="24" t="n"/>
      <c r="AJ55" s="24" t="n"/>
      <c r="AK55" s="24" t="n"/>
      <c r="AL55" s="24" t="n"/>
      <c r="AM55" s="24" t="n"/>
      <c r="AN55" s="24" t="n"/>
      <c r="AO55" s="24" t="n"/>
      <c r="AP55" s="24" t="n"/>
      <c r="AQ55" s="24" t="n"/>
      <c r="AR55" s="24" t="n"/>
      <c r="AS55" s="24" t="n"/>
      <c r="AT55" s="24" t="n"/>
      <c r="AU55" s="24" t="n"/>
      <c r="AV55" s="24" t="n"/>
      <c r="AW55" s="24" t="n"/>
      <c r="AX55" s="24" t="n"/>
      <c r="AY55" s="24" t="n"/>
      <c r="AZ55" s="24" t="n"/>
      <c r="BA55" s="24" t="n"/>
      <c r="BB55" s="24" t="n"/>
      <c r="BC55" s="24" t="n"/>
      <c r="BD55" s="24" t="n"/>
      <c r="BE55" s="24" t="n"/>
      <c r="BF55" s="24" t="n"/>
      <c r="BG55" s="24" t="n"/>
      <c r="BH55" s="24" t="n"/>
      <c r="BI55" s="24" t="n"/>
      <c r="BJ55" s="24" t="n"/>
      <c r="BK55" s="24" t="n"/>
      <c r="BL55" s="24" t="n"/>
      <c r="BM55" s="24" t="n"/>
      <c r="BN55" s="24" t="n"/>
      <c r="BO55" s="24" t="n"/>
      <c r="BP55" s="24" t="n"/>
      <c r="BQ55" s="24" t="n"/>
      <c r="BR55" s="24" t="n"/>
      <c r="BS55" s="24" t="n"/>
      <c r="BT55" s="24" t="n"/>
      <c r="BU55" s="24" t="n"/>
      <c r="BV55" s="24" t="n"/>
      <c r="BW55" s="24" t="n"/>
      <c r="BX55" s="24" t="n"/>
      <c r="BY55" s="24" t="n"/>
      <c r="BZ55" s="24" t="n"/>
      <c r="CA55" s="24" t="n"/>
      <c r="CB55" s="24" t="n"/>
      <c r="CC55" s="24" t="n"/>
      <c r="CD55" s="24" t="n"/>
      <c r="CE55" s="24" t="n"/>
      <c r="CF55" s="24" t="n"/>
      <c r="CG55" s="24" t="n"/>
    </row>
    <row r="56">
      <c r="O56" s="25">
        <f>'클럭 정리'!A57</f>
        <v/>
      </c>
      <c r="P56" s="23">
        <f>'클럭 정리'!O57</f>
        <v/>
      </c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  <c r="AA56" s="24" t="n"/>
      <c r="AB56" s="24" t="n"/>
      <c r="AC56" s="24" t="n"/>
      <c r="AD56" s="24" t="n"/>
      <c r="AE56" s="24" t="n"/>
      <c r="AF56" s="24" t="n"/>
      <c r="AG56" s="24" t="n"/>
      <c r="AH56" s="24" t="n"/>
      <c r="AI56" s="24" t="n"/>
      <c r="AJ56" s="24" t="n"/>
      <c r="AK56" s="24" t="n"/>
      <c r="AL56" s="24" t="n"/>
      <c r="AM56" s="24" t="n"/>
      <c r="AN56" s="24" t="n"/>
      <c r="AO56" s="24" t="n"/>
      <c r="AP56" s="24" t="n"/>
      <c r="AQ56" s="24" t="n"/>
      <c r="AR56" s="24" t="n"/>
      <c r="AS56" s="24" t="n"/>
      <c r="AT56" s="24" t="n"/>
      <c r="AU56" s="24" t="n"/>
      <c r="AV56" s="24" t="n"/>
      <c r="AW56" s="24" t="n"/>
      <c r="AX56" s="24" t="n"/>
      <c r="AY56" s="24" t="n"/>
      <c r="AZ56" s="24" t="n"/>
      <c r="BA56" s="24" t="n"/>
      <c r="BB56" s="24" t="n"/>
      <c r="BC56" s="24" t="n"/>
      <c r="BD56" s="24" t="n"/>
      <c r="BE56" s="24" t="n"/>
      <c r="BF56" s="24" t="n"/>
      <c r="BG56" s="24" t="n"/>
      <c r="BH56" s="24" t="n"/>
      <c r="BI56" s="24" t="n"/>
      <c r="BJ56" s="24" t="n"/>
      <c r="BK56" s="24" t="n"/>
      <c r="BL56" s="24" t="n"/>
      <c r="BM56" s="24" t="n"/>
      <c r="BN56" s="24" t="n"/>
      <c r="BO56" s="24" t="n"/>
      <c r="BP56" s="24" t="n"/>
      <c r="BQ56" s="24" t="n"/>
      <c r="BR56" s="24" t="n"/>
      <c r="BS56" s="24" t="n"/>
      <c r="BT56" s="24" t="n"/>
      <c r="BU56" s="24" t="n"/>
      <c r="BV56" s="24" t="n"/>
      <c r="BW56" s="24" t="n"/>
      <c r="BX56" s="24" t="n"/>
      <c r="BY56" s="24" t="n"/>
      <c r="BZ56" s="24" t="n"/>
      <c r="CA56" s="24" t="n"/>
      <c r="CB56" s="24" t="n"/>
      <c r="CC56" s="24" t="n"/>
      <c r="CD56" s="24" t="n"/>
      <c r="CE56" s="24" t="n"/>
      <c r="CF56" s="24" t="n"/>
      <c r="CG56" s="24" t="n"/>
    </row>
    <row r="57">
      <c r="O57" s="25">
        <f>'클럭 정리'!A58</f>
        <v/>
      </c>
      <c r="P57" s="23">
        <f>'클럭 정리'!O58</f>
        <v/>
      </c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  <c r="AA57" s="24" t="n"/>
      <c r="AB57" s="24" t="n"/>
      <c r="AC57" s="24" t="n"/>
      <c r="AD57" s="24" t="n"/>
      <c r="AE57" s="24" t="n"/>
      <c r="AF57" s="24" t="n"/>
      <c r="AG57" s="24" t="n"/>
      <c r="AH57" s="24" t="n"/>
      <c r="AI57" s="24" t="n"/>
      <c r="AJ57" s="24" t="n"/>
      <c r="AK57" s="24" t="n"/>
      <c r="AL57" s="24" t="n"/>
      <c r="AM57" s="24" t="n"/>
      <c r="AN57" s="24" t="n"/>
      <c r="AO57" s="24" t="n"/>
      <c r="AP57" s="24" t="n"/>
      <c r="AQ57" s="24" t="n"/>
      <c r="AR57" s="24" t="n"/>
      <c r="AS57" s="24" t="n"/>
      <c r="AT57" s="24" t="n"/>
      <c r="AU57" s="24" t="n"/>
      <c r="AV57" s="24" t="n"/>
      <c r="AW57" s="24" t="n"/>
      <c r="AX57" s="24" t="n"/>
      <c r="AY57" s="24" t="n"/>
      <c r="AZ57" s="24" t="n"/>
      <c r="BA57" s="24" t="n"/>
      <c r="BB57" s="24" t="n"/>
      <c r="BC57" s="24" t="n"/>
      <c r="BD57" s="24" t="n"/>
      <c r="BE57" s="24" t="n"/>
      <c r="BF57" s="24" t="n"/>
      <c r="BG57" s="24" t="n"/>
      <c r="BH57" s="24" t="n"/>
      <c r="BI57" s="24" t="n"/>
      <c r="BJ57" s="24" t="n"/>
      <c r="BK57" s="24" t="n"/>
      <c r="BL57" s="24" t="n"/>
      <c r="BM57" s="24" t="n"/>
      <c r="BN57" s="24" t="n"/>
      <c r="BO57" s="24" t="n"/>
      <c r="BP57" s="24" t="n"/>
      <c r="BQ57" s="24" t="n"/>
      <c r="BR57" s="24" t="n"/>
      <c r="BS57" s="24" t="n"/>
      <c r="BT57" s="24" t="n"/>
      <c r="BU57" s="24" t="n"/>
      <c r="BV57" s="24" t="n"/>
      <c r="BW57" s="24" t="n"/>
      <c r="BX57" s="24" t="n"/>
      <c r="BY57" s="24" t="n"/>
      <c r="BZ57" s="24" t="n"/>
      <c r="CA57" s="24" t="n"/>
      <c r="CB57" s="24" t="n"/>
      <c r="CC57" s="24" t="n"/>
      <c r="CD57" s="24" t="n"/>
      <c r="CE57" s="24" t="n"/>
      <c r="CF57" s="24" t="n"/>
      <c r="CG57" s="24" t="n"/>
    </row>
    <row r="58">
      <c r="O58" s="25">
        <f>'클럭 정리'!A59</f>
        <v/>
      </c>
      <c r="P58" s="23">
        <f>'클럭 정리'!O59</f>
        <v/>
      </c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  <c r="AA58" s="24" t="n"/>
      <c r="AB58" s="24" t="n"/>
      <c r="AC58" s="24" t="n"/>
      <c r="AD58" s="24" t="n"/>
      <c r="AE58" s="24" t="n"/>
      <c r="AF58" s="24" t="n"/>
      <c r="AG58" s="24" t="n"/>
      <c r="AH58" s="24" t="n"/>
      <c r="AI58" s="24" t="n"/>
      <c r="AJ58" s="24" t="n"/>
      <c r="AK58" s="24" t="n"/>
      <c r="AL58" s="24" t="n"/>
      <c r="AM58" s="24" t="n"/>
      <c r="AN58" s="24" t="n"/>
      <c r="AO58" s="24" t="n"/>
      <c r="AP58" s="24" t="n"/>
      <c r="AQ58" s="24" t="n"/>
      <c r="AR58" s="24" t="n"/>
      <c r="AS58" s="24" t="n"/>
      <c r="AT58" s="24" t="n"/>
      <c r="AU58" s="24" t="n"/>
      <c r="AV58" s="24" t="n"/>
      <c r="AW58" s="24" t="n"/>
      <c r="AX58" s="24" t="n"/>
      <c r="AY58" s="24" t="n"/>
      <c r="AZ58" s="24" t="n"/>
      <c r="BA58" s="24" t="n"/>
      <c r="BB58" s="24" t="n"/>
      <c r="BC58" s="24" t="n"/>
      <c r="BD58" s="24" t="n"/>
      <c r="BE58" s="24" t="n"/>
      <c r="BF58" s="24" t="n"/>
      <c r="BG58" s="24" t="n"/>
      <c r="BH58" s="24" t="n"/>
      <c r="BI58" s="24" t="n"/>
      <c r="BJ58" s="24" t="n"/>
      <c r="BK58" s="24" t="n"/>
      <c r="BL58" s="24" t="n"/>
      <c r="BM58" s="24" t="n"/>
      <c r="BN58" s="24" t="n"/>
      <c r="BO58" s="24" t="n"/>
      <c r="BP58" s="24" t="n"/>
      <c r="BQ58" s="24" t="n"/>
      <c r="BR58" s="24" t="n"/>
      <c r="BS58" s="24" t="n"/>
      <c r="BT58" s="24" t="n"/>
      <c r="BU58" s="24" t="n"/>
      <c r="BV58" s="24" t="n"/>
      <c r="BW58" s="24" t="n"/>
      <c r="BX58" s="24" t="n"/>
      <c r="BY58" s="24" t="n"/>
      <c r="BZ58" s="24" t="n"/>
      <c r="CA58" s="24" t="n"/>
      <c r="CB58" s="24" t="n"/>
      <c r="CC58" s="24" t="n"/>
      <c r="CD58" s="24" t="n"/>
      <c r="CE58" s="24" t="n"/>
      <c r="CF58" s="24" t="n"/>
      <c r="CG58" s="24" t="n"/>
    </row>
    <row r="59">
      <c r="O59" s="25">
        <f>'클럭 정리'!A60</f>
        <v/>
      </c>
      <c r="P59" s="23">
        <f>'클럭 정리'!O60</f>
        <v/>
      </c>
      <c r="Q59" s="24" t="n"/>
      <c r="R59" s="24" t="n"/>
      <c r="S59" s="24" t="n"/>
      <c r="T59" s="24" t="n"/>
      <c r="U59" s="23">
        <f>'클럭 정리'!O60</f>
        <v/>
      </c>
      <c r="V59" s="24" t="n"/>
      <c r="W59" s="24" t="n"/>
      <c r="X59" s="24" t="n"/>
      <c r="Y59" s="24" t="n"/>
      <c r="Z59" s="24" t="n"/>
      <c r="AA59" s="24" t="n"/>
      <c r="AB59" s="24" t="n"/>
      <c r="AC59" s="24" t="n"/>
      <c r="AD59" s="24" t="n"/>
      <c r="AE59" s="24" t="n"/>
      <c r="AF59" s="24" t="n"/>
      <c r="AG59" s="24" t="n"/>
      <c r="AH59" s="24" t="n"/>
      <c r="AI59" s="24" t="n"/>
      <c r="AJ59" s="24" t="n"/>
      <c r="AK59" s="24" t="n"/>
      <c r="AL59" s="24" t="n"/>
      <c r="AM59" s="24" t="n"/>
      <c r="AN59" s="24" t="n"/>
      <c r="AO59" s="24" t="n"/>
      <c r="AP59" s="23">
        <f>'클럭 정리'!O60</f>
        <v/>
      </c>
      <c r="AQ59" s="24" t="n"/>
      <c r="AR59" s="24" t="n"/>
      <c r="AS59" s="23">
        <f>'클럭 정리'!O60</f>
        <v/>
      </c>
      <c r="AT59" s="23">
        <f>'클럭 정리'!O60</f>
        <v/>
      </c>
      <c r="AU59" s="24" t="n"/>
      <c r="AV59" s="24" t="n"/>
      <c r="AW59" s="24" t="n"/>
      <c r="AX59" s="24" t="n"/>
      <c r="AY59" s="24" t="n"/>
      <c r="AZ59" s="24" t="n"/>
      <c r="BA59" s="24" t="n"/>
      <c r="BB59" s="24" t="n"/>
      <c r="BC59" s="24" t="n"/>
      <c r="BD59" s="24" t="n"/>
      <c r="BE59" s="24" t="n"/>
      <c r="BF59" s="24" t="n"/>
      <c r="BG59" s="24" t="n"/>
      <c r="BH59" s="24" t="n"/>
      <c r="BI59" s="24" t="n"/>
      <c r="BJ59" s="24" t="n"/>
      <c r="BK59" s="24" t="n"/>
      <c r="BL59" s="24" t="n"/>
      <c r="BM59" s="24" t="n"/>
      <c r="BN59" s="24" t="n"/>
      <c r="BO59" s="24" t="n"/>
      <c r="BP59" s="24" t="n"/>
      <c r="BQ59" s="24" t="n"/>
      <c r="BR59" s="24" t="n"/>
      <c r="BS59" s="24" t="n"/>
      <c r="BT59" s="24" t="n"/>
      <c r="BU59" s="24" t="n"/>
      <c r="BV59" s="24" t="n"/>
      <c r="BW59" s="24" t="n"/>
      <c r="BX59" s="24" t="n"/>
      <c r="BY59" s="24" t="n"/>
      <c r="BZ59" s="24" t="n"/>
      <c r="CA59" s="24" t="n"/>
      <c r="CB59" s="24" t="n"/>
      <c r="CC59" s="24" t="n"/>
      <c r="CD59" s="24" t="n"/>
      <c r="CE59" s="24" t="n"/>
      <c r="CF59" s="24" t="n"/>
      <c r="CG59" s="24" t="n"/>
    </row>
    <row r="60">
      <c r="O60" s="25">
        <f>'클럭 정리'!A61</f>
        <v/>
      </c>
      <c r="P60" s="23">
        <f>'클럭 정리'!O61</f>
        <v/>
      </c>
      <c r="Q60" s="24" t="n"/>
      <c r="R60" s="24" t="n"/>
      <c r="S60" s="24" t="n"/>
      <c r="T60" s="24" t="n"/>
      <c r="U60" s="23">
        <f>'클럭 정리'!O61</f>
        <v/>
      </c>
      <c r="V60" s="24" t="n"/>
      <c r="W60" s="24" t="n"/>
      <c r="X60" s="24" t="n"/>
      <c r="Y60" s="24" t="n"/>
      <c r="Z60" s="24" t="n"/>
      <c r="AA60" s="24" t="n"/>
      <c r="AB60" s="24" t="n"/>
      <c r="AC60" s="24" t="n"/>
      <c r="AD60" s="24" t="n"/>
      <c r="AE60" s="24" t="n"/>
      <c r="AF60" s="24" t="n"/>
      <c r="AG60" s="24" t="n"/>
      <c r="AH60" s="24" t="n"/>
      <c r="AI60" s="24" t="n"/>
      <c r="AJ60" s="24" t="n"/>
      <c r="AK60" s="24" t="n"/>
      <c r="AL60" s="24" t="n"/>
      <c r="AM60" s="24" t="n"/>
      <c r="AN60" s="24" t="n"/>
      <c r="AO60" s="24" t="n"/>
      <c r="AP60" s="23">
        <f>'클럭 정리'!O61</f>
        <v/>
      </c>
      <c r="AQ60" s="24" t="n"/>
      <c r="AR60" s="23">
        <f>'클럭 정리'!O61</f>
        <v/>
      </c>
      <c r="AS60" s="24" t="n"/>
      <c r="AT60" s="24" t="n"/>
      <c r="AU60" s="24" t="n"/>
      <c r="AV60" s="24" t="n"/>
      <c r="AW60" s="24" t="n"/>
      <c r="AX60" s="23">
        <f>'클럭 정리'!O61</f>
        <v/>
      </c>
      <c r="AY60" s="24" t="n"/>
      <c r="AZ60" s="24" t="n"/>
      <c r="BA60" s="24" t="n"/>
      <c r="BB60" s="24" t="n"/>
      <c r="BC60" s="24" t="n"/>
      <c r="BD60" s="24" t="n"/>
      <c r="BE60" s="24" t="n"/>
      <c r="BF60" s="24" t="n"/>
      <c r="BG60" s="24" t="n"/>
      <c r="BH60" s="24" t="n"/>
      <c r="BI60" s="24" t="n"/>
      <c r="BJ60" s="24" t="n"/>
      <c r="BK60" s="24" t="n"/>
      <c r="BL60" s="24" t="n"/>
      <c r="BM60" s="24" t="n"/>
      <c r="BN60" s="24" t="n"/>
      <c r="BO60" s="24" t="n"/>
      <c r="BP60" s="24" t="n"/>
      <c r="BQ60" s="24" t="n"/>
      <c r="BR60" s="24" t="n"/>
      <c r="BS60" s="24" t="n"/>
      <c r="BT60" s="24" t="n"/>
      <c r="BU60" s="24" t="n"/>
      <c r="BV60" s="24" t="n"/>
      <c r="BW60" s="24" t="n"/>
      <c r="BX60" s="24" t="n"/>
      <c r="BY60" s="24" t="n"/>
      <c r="BZ60" s="24" t="n"/>
      <c r="CA60" s="24" t="n"/>
      <c r="CB60" s="24" t="n"/>
      <c r="CC60" s="24" t="n"/>
      <c r="CD60" s="24" t="n"/>
      <c r="CE60" s="24" t="n"/>
      <c r="CF60" s="24" t="n"/>
      <c r="CG60" s="24" t="n"/>
    </row>
    <row r="61">
      <c r="O61" s="25">
        <f>'클럭 정리'!A62</f>
        <v/>
      </c>
      <c r="P61" s="23">
        <f>'클럭 정리'!O62</f>
        <v/>
      </c>
      <c r="Q61" s="24" t="n"/>
      <c r="R61" s="24" t="n"/>
      <c r="S61" s="24" t="n"/>
      <c r="T61" s="24" t="n"/>
      <c r="U61" s="23">
        <f>'클럭 정리'!O62</f>
        <v/>
      </c>
      <c r="V61" s="24" t="n"/>
      <c r="W61" s="24" t="n"/>
      <c r="X61" s="24" t="n"/>
      <c r="Y61" s="24" t="n"/>
      <c r="Z61" s="24" t="n"/>
      <c r="AA61" s="24" t="n"/>
      <c r="AB61" s="24" t="n"/>
      <c r="AC61" s="24" t="n"/>
      <c r="AD61" s="24" t="n"/>
      <c r="AE61" s="24" t="n"/>
      <c r="AF61" s="24" t="n"/>
      <c r="AG61" s="24" t="n"/>
      <c r="AH61" s="24" t="n"/>
      <c r="AI61" s="24" t="n"/>
      <c r="AJ61" s="24" t="n"/>
      <c r="AK61" s="24" t="n"/>
      <c r="AL61" s="24" t="n"/>
      <c r="AM61" s="24" t="n"/>
      <c r="AN61" s="24" t="n"/>
      <c r="AO61" s="24" t="n"/>
      <c r="AP61" s="24" t="n"/>
      <c r="AQ61" s="24" t="n"/>
      <c r="AR61" s="24" t="n"/>
      <c r="AS61" s="24" t="n"/>
      <c r="AT61" s="24" t="n"/>
      <c r="AU61" s="24" t="n"/>
      <c r="AV61" s="24" t="n"/>
      <c r="AW61" s="24" t="n"/>
      <c r="AX61" s="24" t="n"/>
      <c r="AY61" s="23">
        <f>'클럭 정리'!O62</f>
        <v/>
      </c>
      <c r="AZ61" s="24" t="n"/>
      <c r="BA61" s="24" t="n"/>
      <c r="BB61" s="24" t="n"/>
      <c r="BC61" s="23">
        <f>'클럭 정리'!O62</f>
        <v/>
      </c>
      <c r="BD61" s="23">
        <f>'클럭 정리'!O62</f>
        <v/>
      </c>
      <c r="BE61" s="24" t="n"/>
      <c r="BF61" s="24" t="n"/>
      <c r="BG61" s="24" t="n"/>
      <c r="BH61" s="24" t="n"/>
      <c r="BI61" s="24" t="n"/>
      <c r="BJ61" s="24" t="n"/>
      <c r="BK61" s="24" t="n"/>
      <c r="BL61" s="24" t="n"/>
      <c r="BM61" s="24" t="n"/>
      <c r="BN61" s="24" t="n"/>
      <c r="BO61" s="24" t="n"/>
      <c r="BP61" s="24" t="n"/>
      <c r="BQ61" s="24" t="n"/>
      <c r="BR61" s="24" t="n"/>
      <c r="BS61" s="24" t="n"/>
      <c r="BT61" s="24" t="n"/>
      <c r="BU61" s="24" t="n"/>
      <c r="BV61" s="24" t="n"/>
      <c r="BW61" s="24" t="n"/>
      <c r="BX61" s="24" t="n"/>
      <c r="BY61" s="24" t="n"/>
      <c r="BZ61" s="24" t="n"/>
      <c r="CA61" s="24" t="n"/>
      <c r="CB61" s="24" t="n"/>
      <c r="CC61" s="24" t="n"/>
      <c r="CD61" s="24" t="n"/>
      <c r="CE61" s="24" t="n"/>
      <c r="CF61" s="24" t="n"/>
      <c r="CG61" s="24" t="n"/>
    </row>
    <row r="62">
      <c r="O62" s="25">
        <f>'클럭 정리'!A63</f>
        <v/>
      </c>
      <c r="P62" s="23">
        <f>'클럭 정리'!O63</f>
        <v/>
      </c>
      <c r="Q62" s="24" t="n"/>
      <c r="R62" s="24" t="n"/>
      <c r="S62" s="24" t="n"/>
      <c r="T62" s="24" t="n"/>
      <c r="U62" s="23">
        <f>'클럭 정리'!O63</f>
        <v/>
      </c>
      <c r="V62" s="24" t="n"/>
      <c r="W62" s="24" t="n"/>
      <c r="X62" s="24" t="n"/>
      <c r="Y62" s="24" t="n"/>
      <c r="Z62" s="24" t="n"/>
      <c r="AA62" s="24" t="n"/>
      <c r="AB62" s="24" t="n"/>
      <c r="AC62" s="24" t="n"/>
      <c r="AD62" s="24" t="n"/>
      <c r="AE62" s="24" t="n"/>
      <c r="AF62" s="24" t="n"/>
      <c r="AG62" s="24" t="n"/>
      <c r="AH62" s="24" t="n"/>
      <c r="AI62" s="24" t="n"/>
      <c r="AJ62" s="24" t="n"/>
      <c r="AK62" s="24" t="n"/>
      <c r="AL62" s="24" t="n"/>
      <c r="AM62" s="24" t="n"/>
      <c r="AN62" s="24" t="n"/>
      <c r="AO62" s="24" t="n"/>
      <c r="AP62" s="24" t="n"/>
      <c r="AQ62" s="24" t="n"/>
      <c r="AR62" s="24" t="n"/>
      <c r="AS62" s="24" t="n"/>
      <c r="AT62" s="24" t="n"/>
      <c r="AU62" s="24" t="n"/>
      <c r="AV62" s="24" t="n"/>
      <c r="AW62" s="24" t="n"/>
      <c r="AX62" s="24" t="n"/>
      <c r="AY62" s="23">
        <f>'클럭 정리'!O63</f>
        <v/>
      </c>
      <c r="AZ62" s="23">
        <f>'클럭 정리'!O63</f>
        <v/>
      </c>
      <c r="BA62" s="24" t="n"/>
      <c r="BB62" s="23">
        <f>'클럭 정리'!O63</f>
        <v/>
      </c>
      <c r="BC62" s="24" t="n"/>
      <c r="BD62" s="24" t="n"/>
      <c r="BE62" s="24" t="n"/>
      <c r="BF62" s="24" t="n"/>
      <c r="BG62" s="24" t="n"/>
      <c r="BH62" s="24" t="n"/>
      <c r="BI62" s="24" t="n"/>
      <c r="BJ62" s="24" t="n"/>
      <c r="BK62" s="24" t="n"/>
      <c r="BL62" s="24" t="n"/>
      <c r="BM62" s="24" t="n"/>
      <c r="BN62" s="24" t="n"/>
      <c r="BO62" s="24" t="n"/>
      <c r="BP62" s="24" t="n"/>
      <c r="BQ62" s="24" t="n"/>
      <c r="BR62" s="24" t="n"/>
      <c r="BS62" s="24" t="n"/>
      <c r="BT62" s="24" t="n"/>
      <c r="BU62" s="24" t="n"/>
      <c r="BV62" s="24" t="n"/>
      <c r="BW62" s="24" t="n"/>
      <c r="BX62" s="24" t="n"/>
      <c r="BY62" s="24" t="n"/>
      <c r="BZ62" s="24" t="n"/>
      <c r="CA62" s="24" t="n"/>
      <c r="CB62" s="24" t="n"/>
      <c r="CC62" s="24" t="n"/>
      <c r="CD62" s="24" t="n"/>
      <c r="CE62" s="24" t="n"/>
      <c r="CF62" s="24" t="n"/>
      <c r="CG62" s="24" t="n"/>
    </row>
    <row r="63">
      <c r="O63" s="25">
        <f>'클럭 정리'!A64</f>
        <v/>
      </c>
      <c r="P63" s="23">
        <f>'클럭 정리'!O64</f>
        <v/>
      </c>
      <c r="Q63" s="24" t="n"/>
      <c r="R63" s="24" t="n"/>
      <c r="S63" s="24" t="n"/>
      <c r="T63" s="24" t="n"/>
      <c r="U63" s="23">
        <f>'클럭 정리'!O64</f>
        <v/>
      </c>
      <c r="V63" s="24" t="n"/>
      <c r="W63" s="24" t="n"/>
      <c r="X63" s="24" t="n"/>
      <c r="Y63" s="24" t="n"/>
      <c r="Z63" s="24" t="n"/>
      <c r="AA63" s="24" t="n"/>
      <c r="AB63" s="24" t="n"/>
      <c r="AC63" s="24" t="n"/>
      <c r="AD63" s="24" t="n"/>
      <c r="AE63" s="24" t="n"/>
      <c r="AF63" s="24" t="n"/>
      <c r="AG63" s="24" t="n"/>
      <c r="AH63" s="24" t="n"/>
      <c r="AI63" s="24" t="n"/>
      <c r="AJ63" s="24" t="n"/>
      <c r="AK63" s="24" t="n"/>
      <c r="AL63" s="24" t="n"/>
      <c r="AM63" s="24" t="n"/>
      <c r="AN63" s="24" t="n"/>
      <c r="AO63" s="24" t="n"/>
      <c r="AP63" s="24" t="n"/>
      <c r="AQ63" s="24" t="n"/>
      <c r="AR63" s="24" t="n"/>
      <c r="AS63" s="24" t="n"/>
      <c r="AT63" s="24" t="n"/>
      <c r="AU63" s="24" t="n"/>
      <c r="AV63" s="24" t="n"/>
      <c r="AW63" s="24" t="n"/>
      <c r="AX63" s="24" t="n"/>
      <c r="AY63" s="23">
        <f>'클럭 정리'!O64</f>
        <v/>
      </c>
      <c r="AZ63" s="23">
        <f>'클럭 정리'!O64</f>
        <v/>
      </c>
      <c r="BA63" s="24" t="n"/>
      <c r="BB63" s="23">
        <f>'클럭 정리'!O64</f>
        <v/>
      </c>
      <c r="BC63" s="24" t="n"/>
      <c r="BD63" s="24" t="n"/>
      <c r="BE63" s="24" t="n"/>
      <c r="BF63" s="24" t="n"/>
      <c r="BG63" s="24" t="n"/>
      <c r="BH63" s="24" t="n"/>
      <c r="BI63" s="24" t="n"/>
      <c r="BJ63" s="24" t="n"/>
      <c r="BK63" s="24" t="n"/>
      <c r="BL63" s="24" t="n"/>
      <c r="BM63" s="24" t="n"/>
      <c r="BN63" s="24" t="n"/>
      <c r="BO63" s="24" t="n"/>
      <c r="BP63" s="24" t="n"/>
      <c r="BQ63" s="24" t="n"/>
      <c r="BR63" s="24" t="n"/>
      <c r="BS63" s="24" t="n"/>
      <c r="BT63" s="24" t="n"/>
      <c r="BU63" s="24" t="n"/>
      <c r="BV63" s="24" t="n"/>
      <c r="BW63" s="24" t="n"/>
      <c r="BX63" s="24" t="n"/>
      <c r="BY63" s="24" t="n"/>
      <c r="BZ63" s="24" t="n"/>
      <c r="CA63" s="24" t="n"/>
      <c r="CB63" s="24" t="n"/>
      <c r="CC63" s="24" t="n"/>
      <c r="CD63" s="24" t="n"/>
      <c r="CE63" s="24" t="n"/>
      <c r="CF63" s="24" t="n"/>
      <c r="CG63" s="24" t="n"/>
    </row>
    <row r="64">
      <c r="O64" s="25">
        <f>'클럭 정리'!A65</f>
        <v/>
      </c>
      <c r="P64" s="23">
        <f>'클럭 정리'!O65</f>
        <v/>
      </c>
      <c r="Q64" s="24" t="n"/>
      <c r="R64" s="24" t="n"/>
      <c r="S64" s="24" t="n"/>
      <c r="T64" s="24" t="n"/>
      <c r="U64" s="23">
        <f>'클럭 정리'!O65</f>
        <v/>
      </c>
      <c r="V64" s="24" t="n"/>
      <c r="W64" s="24" t="n"/>
      <c r="X64" s="24" t="n"/>
      <c r="Y64" s="24" t="n"/>
      <c r="Z64" s="24" t="n"/>
      <c r="AA64" s="24" t="n"/>
      <c r="AB64" s="24" t="n"/>
      <c r="AC64" s="24" t="n"/>
      <c r="AD64" s="24" t="n"/>
      <c r="AE64" s="24" t="n"/>
      <c r="AF64" s="24" t="n"/>
      <c r="AG64" s="24" t="n"/>
      <c r="AH64" s="24" t="n"/>
      <c r="AI64" s="24" t="n"/>
      <c r="AJ64" s="24" t="n"/>
      <c r="AK64" s="24" t="n"/>
      <c r="AL64" s="24" t="n"/>
      <c r="AM64" s="24" t="n"/>
      <c r="AN64" s="24" t="n"/>
      <c r="AO64" s="24" t="n"/>
      <c r="AP64" s="24" t="n"/>
      <c r="AQ64" s="24" t="n"/>
      <c r="AR64" s="24" t="n"/>
      <c r="AS64" s="24" t="n"/>
      <c r="AT64" s="24" t="n"/>
      <c r="AU64" s="24" t="n"/>
      <c r="AV64" s="24" t="n"/>
      <c r="AW64" s="24" t="n"/>
      <c r="AX64" s="24" t="n"/>
      <c r="AY64" s="24" t="n"/>
      <c r="AZ64" s="24" t="n"/>
      <c r="BA64" s="24" t="n"/>
      <c r="BB64" s="24" t="n"/>
      <c r="BC64" s="24" t="n"/>
      <c r="BD64" s="24" t="n"/>
      <c r="BE64" s="24" t="n"/>
      <c r="BF64" s="24" t="n"/>
      <c r="BG64" s="24" t="n"/>
      <c r="BH64" s="24" t="n"/>
      <c r="BI64" s="23">
        <f>'클럭 정리'!O65</f>
        <v/>
      </c>
      <c r="BJ64" s="24" t="n"/>
      <c r="BK64" s="24" t="n"/>
      <c r="BL64" s="23">
        <f>'클럭 정리'!O65</f>
        <v/>
      </c>
      <c r="BM64" s="23">
        <f>'클럭 정리'!O65</f>
        <v/>
      </c>
      <c r="BN64" s="24" t="n"/>
      <c r="BO64" s="24" t="n"/>
      <c r="BP64" s="24" t="n"/>
      <c r="BQ64" s="24" t="n"/>
      <c r="BR64" s="24" t="n"/>
      <c r="BS64" s="24" t="n"/>
      <c r="BT64" s="24" t="n"/>
      <c r="BU64" s="24" t="n"/>
      <c r="BV64" s="24" t="n"/>
      <c r="BW64" s="24" t="n"/>
      <c r="BX64" s="24" t="n"/>
      <c r="BY64" s="24" t="n"/>
      <c r="BZ64" s="24" t="n"/>
      <c r="CA64" s="24" t="n"/>
      <c r="CB64" s="24" t="n"/>
      <c r="CC64" s="24" t="n"/>
      <c r="CD64" s="24" t="n"/>
      <c r="CE64" s="24" t="n"/>
      <c r="CF64" s="24" t="n"/>
      <c r="CG64" s="24" t="n"/>
    </row>
    <row r="65">
      <c r="O65" s="25">
        <f>'클럭 정리'!A66</f>
        <v/>
      </c>
      <c r="P65" s="23">
        <f>'클럭 정리'!O66</f>
        <v/>
      </c>
      <c r="Q65" s="24" t="n"/>
      <c r="R65" s="24" t="n"/>
      <c r="S65" s="24" t="n"/>
      <c r="T65" s="24" t="n"/>
      <c r="U65" s="23">
        <f>'클럭 정리'!O66</f>
        <v/>
      </c>
      <c r="V65" s="24" t="n"/>
      <c r="W65" s="24" t="n"/>
      <c r="X65" s="24" t="n"/>
      <c r="Y65" s="24" t="n"/>
      <c r="Z65" s="24" t="n"/>
      <c r="AA65" s="24" t="n"/>
      <c r="AB65" s="24" t="n"/>
      <c r="AC65" s="24" t="n"/>
      <c r="AD65" s="24" t="n"/>
      <c r="AE65" s="24" t="n"/>
      <c r="AF65" s="24" t="n"/>
      <c r="AG65" s="24" t="n"/>
      <c r="AH65" s="24" t="n"/>
      <c r="AI65" s="24" t="n"/>
      <c r="AJ65" s="24" t="n"/>
      <c r="AK65" s="24" t="n"/>
      <c r="AL65" s="24" t="n"/>
      <c r="AM65" s="24" t="n"/>
      <c r="AN65" s="24" t="n"/>
      <c r="AO65" s="24" t="n"/>
      <c r="AP65" s="24" t="n"/>
      <c r="AQ65" s="24" t="n"/>
      <c r="AR65" s="24" t="n"/>
      <c r="AS65" s="24" t="n"/>
      <c r="AT65" s="24" t="n"/>
      <c r="AU65" s="24" t="n"/>
      <c r="AV65" s="24" t="n"/>
      <c r="AW65" s="24" t="n"/>
      <c r="AX65" s="24" t="n"/>
      <c r="AY65" s="24" t="n"/>
      <c r="AZ65" s="24" t="n"/>
      <c r="BA65" s="24" t="n"/>
      <c r="BB65" s="24" t="n"/>
      <c r="BC65" s="24" t="n"/>
      <c r="BD65" s="24" t="n"/>
      <c r="BE65" s="24" t="n"/>
      <c r="BF65" s="24" t="n"/>
      <c r="BG65" s="24" t="n"/>
      <c r="BH65" s="24" t="n"/>
      <c r="BI65" s="23">
        <f>'클럭 정리'!O66</f>
        <v/>
      </c>
      <c r="BJ65" s="24" t="n"/>
      <c r="BK65" s="23">
        <f>'클럭 정리'!O66</f>
        <v/>
      </c>
      <c r="BL65" s="24" t="n"/>
      <c r="BM65" s="24" t="n"/>
      <c r="BN65" s="23">
        <f>'클럭 정리'!O66</f>
        <v/>
      </c>
      <c r="BO65" s="24" t="n"/>
      <c r="BP65" s="24" t="n"/>
      <c r="BQ65" s="24" t="n"/>
      <c r="BR65" s="24" t="n"/>
      <c r="BS65" s="24" t="n"/>
      <c r="BT65" s="24" t="n"/>
      <c r="BU65" s="24" t="n"/>
      <c r="BV65" s="24" t="n"/>
      <c r="BW65" s="24" t="n"/>
      <c r="BX65" s="24" t="n"/>
      <c r="BY65" s="24" t="n"/>
      <c r="BZ65" s="24" t="n"/>
      <c r="CA65" s="24" t="n"/>
      <c r="CB65" s="24" t="n"/>
      <c r="CC65" s="24" t="n"/>
      <c r="CD65" s="24" t="n"/>
      <c r="CE65" s="24" t="n"/>
      <c r="CF65" s="24" t="n"/>
      <c r="CG65" s="24" t="n"/>
    </row>
    <row r="66">
      <c r="O66" s="25">
        <f>'클럭 정리'!A67</f>
        <v/>
      </c>
      <c r="P66" s="23">
        <f>'클럭 정리'!O67</f>
        <v/>
      </c>
      <c r="Q66" s="24" t="n"/>
      <c r="R66" s="24" t="n"/>
      <c r="S66" s="24" t="n"/>
      <c r="T66" s="24" t="n"/>
      <c r="U66" s="23">
        <f>'클럭 정리'!O67</f>
        <v/>
      </c>
      <c r="V66" s="24" t="n"/>
      <c r="W66" s="24" t="n"/>
      <c r="X66" s="24" t="n"/>
      <c r="Y66" s="24" t="n"/>
      <c r="Z66" s="24" t="n"/>
      <c r="AA66" s="24" t="n"/>
      <c r="AB66" s="24" t="n"/>
      <c r="AC66" s="24" t="n"/>
      <c r="AD66" s="24" t="n"/>
      <c r="AE66" s="24" t="n"/>
      <c r="AF66" s="24" t="n"/>
      <c r="AG66" s="24" t="n"/>
      <c r="AH66" s="24" t="n"/>
      <c r="AI66" s="24" t="n"/>
      <c r="AJ66" s="24" t="n"/>
      <c r="AK66" s="24" t="n"/>
      <c r="AL66" s="24" t="n"/>
      <c r="AM66" s="24" t="n"/>
      <c r="AN66" s="24" t="n"/>
      <c r="AO66" s="24" t="n"/>
      <c r="AP66" s="24" t="n"/>
      <c r="AQ66" s="24" t="n"/>
      <c r="AR66" s="24" t="n"/>
      <c r="AS66" s="24" t="n"/>
      <c r="AT66" s="24" t="n"/>
      <c r="AU66" s="24" t="n"/>
      <c r="AV66" s="24" t="n"/>
      <c r="AW66" s="24" t="n"/>
      <c r="AX66" s="24" t="n"/>
      <c r="AY66" s="24" t="n"/>
      <c r="AZ66" s="24" t="n"/>
      <c r="BA66" s="24" t="n"/>
      <c r="BB66" s="24" t="n"/>
      <c r="BC66" s="24" t="n"/>
      <c r="BD66" s="24" t="n"/>
      <c r="BE66" s="24" t="n"/>
      <c r="BF66" s="24" t="n"/>
      <c r="BG66" s="24" t="n"/>
      <c r="BH66" s="24" t="n"/>
      <c r="BI66" s="24" t="n"/>
      <c r="BJ66" s="24" t="n"/>
      <c r="BK66" s="24" t="n"/>
      <c r="BL66" s="24" t="n"/>
      <c r="BM66" s="24" t="n"/>
      <c r="BN66" s="24" t="n"/>
      <c r="BO66" s="24" t="n"/>
      <c r="BP66" s="24" t="n"/>
      <c r="BQ66" s="24" t="n"/>
      <c r="BR66" s="24" t="n"/>
      <c r="BS66" s="24" t="n"/>
      <c r="BT66" s="23">
        <f>'클럭 정리'!O67</f>
        <v/>
      </c>
      <c r="BU66" s="23">
        <f>'클럭 정리'!O67</f>
        <v/>
      </c>
      <c r="BV66" s="23">
        <f>'클럭 정리'!O67</f>
        <v/>
      </c>
      <c r="BW66" s="24" t="n"/>
      <c r="BX66" s="24" t="n"/>
      <c r="BY66" s="24" t="n"/>
      <c r="BZ66" s="24" t="n"/>
      <c r="CA66" s="24" t="n"/>
      <c r="CB66" s="24" t="n"/>
      <c r="CC66" s="24" t="n"/>
      <c r="CD66" s="24" t="n"/>
      <c r="CE66" s="24" t="n"/>
      <c r="CF66" s="24" t="n"/>
      <c r="CG66" s="24" t="n"/>
    </row>
    <row r="67">
      <c r="O67" s="25">
        <f>'클럭 정리'!A68</f>
        <v/>
      </c>
      <c r="P67" s="23">
        <f>'클럭 정리'!O68</f>
        <v/>
      </c>
      <c r="Q67" s="24" t="n"/>
      <c r="R67" s="24" t="n"/>
      <c r="S67" s="24" t="n"/>
      <c r="T67" s="24" t="n"/>
      <c r="U67" s="23">
        <f>'클럭 정리'!O68</f>
        <v/>
      </c>
      <c r="V67" s="24" t="n"/>
      <c r="W67" s="24" t="n"/>
      <c r="X67" s="24" t="n"/>
      <c r="Y67" s="24" t="n"/>
      <c r="Z67" s="24" t="n"/>
      <c r="AA67" s="24" t="n"/>
      <c r="AB67" s="24" t="n"/>
      <c r="AC67" s="24" t="n"/>
      <c r="AD67" s="24" t="n"/>
      <c r="AE67" s="24" t="n"/>
      <c r="AF67" s="24" t="n"/>
      <c r="AG67" s="24" t="n"/>
      <c r="AH67" s="24" t="n"/>
      <c r="AI67" s="24" t="n"/>
      <c r="AJ67" s="24" t="n"/>
      <c r="AK67" s="24" t="n"/>
      <c r="AL67" s="24" t="n"/>
      <c r="AM67" s="24" t="n"/>
      <c r="AN67" s="24" t="n"/>
      <c r="AO67" s="24" t="n"/>
      <c r="AP67" s="24" t="n"/>
      <c r="AQ67" s="24" t="n"/>
      <c r="AR67" s="24" t="n"/>
      <c r="AS67" s="24" t="n"/>
      <c r="AT67" s="24" t="n"/>
      <c r="AU67" s="24" t="n"/>
      <c r="AV67" s="24" t="n"/>
      <c r="AW67" s="24" t="n"/>
      <c r="AX67" s="24" t="n"/>
      <c r="AY67" s="24" t="n"/>
      <c r="AZ67" s="24" t="n"/>
      <c r="BA67" s="24" t="n"/>
      <c r="BB67" s="24" t="n"/>
      <c r="BC67" s="24" t="n"/>
      <c r="BD67" s="24" t="n"/>
      <c r="BE67" s="24" t="n"/>
      <c r="BF67" s="24" t="n"/>
      <c r="BG67" s="24" t="n"/>
      <c r="BH67" s="24" t="n"/>
      <c r="BI67" s="24" t="n"/>
      <c r="BJ67" s="24" t="n"/>
      <c r="BK67" s="24" t="n"/>
      <c r="BL67" s="24" t="n"/>
      <c r="BM67" s="24" t="n"/>
      <c r="BN67" s="24" t="n"/>
      <c r="BO67" s="24" t="n"/>
      <c r="BP67" s="23">
        <f>'클럭 정리'!O68</f>
        <v/>
      </c>
      <c r="BQ67" s="24" t="n"/>
      <c r="BR67" s="24" t="n"/>
      <c r="BS67" s="24" t="n"/>
      <c r="BT67" s="23">
        <f>'클럭 정리'!O68</f>
        <v/>
      </c>
      <c r="BU67" s="24" t="n"/>
      <c r="BV67" s="23">
        <f>'클럭 정리'!O68</f>
        <v/>
      </c>
      <c r="BW67" s="24" t="n"/>
      <c r="BX67" s="24" t="n"/>
      <c r="BY67" s="24" t="n"/>
      <c r="BZ67" s="24" t="n"/>
      <c r="CA67" s="24" t="n"/>
      <c r="CB67" s="24" t="n"/>
      <c r="CC67" s="24" t="n"/>
      <c r="CD67" s="24" t="n"/>
      <c r="CE67" s="24" t="n"/>
      <c r="CF67" s="24" t="n"/>
      <c r="CG67" s="24" t="n"/>
    </row>
    <row r="68">
      <c r="O68" s="25">
        <f>'클럭 정리'!A69</f>
        <v/>
      </c>
      <c r="P68" s="23">
        <f>'클럭 정리'!O69</f>
        <v/>
      </c>
      <c r="Q68" s="24" t="n"/>
      <c r="R68" s="24" t="n"/>
      <c r="S68" s="24" t="n"/>
      <c r="T68" s="24" t="n"/>
      <c r="U68" s="23">
        <f>'클럭 정리'!O69</f>
        <v/>
      </c>
      <c r="V68" s="24" t="n"/>
      <c r="W68" s="24" t="n"/>
      <c r="X68" s="24" t="n"/>
      <c r="Y68" s="24" t="n"/>
      <c r="Z68" s="24" t="n"/>
      <c r="AA68" s="24" t="n"/>
      <c r="AB68" s="24" t="n"/>
      <c r="AC68" s="24" t="n"/>
      <c r="AD68" s="24" t="n"/>
      <c r="AE68" s="24" t="n"/>
      <c r="AF68" s="24" t="n"/>
      <c r="AG68" s="24" t="n"/>
      <c r="AH68" s="24" t="n"/>
      <c r="AI68" s="24" t="n"/>
      <c r="AJ68" s="24" t="n"/>
      <c r="AK68" s="24" t="n"/>
      <c r="AL68" s="24" t="n"/>
      <c r="AM68" s="24" t="n"/>
      <c r="AN68" s="24" t="n"/>
      <c r="AO68" s="24" t="n"/>
      <c r="AP68" s="24" t="n"/>
      <c r="AQ68" s="24" t="n"/>
      <c r="AR68" s="24" t="n"/>
      <c r="AS68" s="24" t="n"/>
      <c r="AT68" s="24" t="n"/>
      <c r="AU68" s="24" t="n"/>
      <c r="AV68" s="24" t="n"/>
      <c r="AW68" s="24" t="n"/>
      <c r="AX68" s="24" t="n"/>
      <c r="AY68" s="24" t="n"/>
      <c r="AZ68" s="24" t="n"/>
      <c r="BA68" s="24" t="n"/>
      <c r="BB68" s="24" t="n"/>
      <c r="BC68" s="24" t="n"/>
      <c r="BD68" s="24" t="n"/>
      <c r="BE68" s="24" t="n"/>
      <c r="BF68" s="24" t="n"/>
      <c r="BG68" s="24" t="n"/>
      <c r="BH68" s="24" t="n"/>
      <c r="BI68" s="24" t="n"/>
      <c r="BJ68" s="24" t="n"/>
      <c r="BK68" s="24" t="n"/>
      <c r="BL68" s="24" t="n"/>
      <c r="BM68" s="24" t="n"/>
      <c r="BN68" s="24" t="n"/>
      <c r="BO68" s="24" t="n"/>
      <c r="BP68" s="24" t="n"/>
      <c r="BQ68" s="24" t="n"/>
      <c r="BR68" s="24" t="n"/>
      <c r="BS68" s="24" t="n"/>
      <c r="BT68" s="24" t="n"/>
      <c r="BU68" s="24" t="n"/>
      <c r="BV68" s="24" t="n"/>
      <c r="BW68" s="24" t="n"/>
      <c r="BX68" s="24" t="n"/>
      <c r="BY68" s="24" t="n"/>
      <c r="BZ68" s="24" t="n"/>
      <c r="CA68" s="24" t="n"/>
      <c r="CB68" s="23">
        <f>'클럭 정리'!O69</f>
        <v/>
      </c>
      <c r="CC68" s="23">
        <f>'클럭 정리'!O69</f>
        <v/>
      </c>
      <c r="CD68" s="23">
        <f>'클럭 정리'!O69</f>
        <v/>
      </c>
      <c r="CE68" s="24" t="n"/>
      <c r="CF68" s="24" t="n"/>
      <c r="CG68" s="24" t="n"/>
    </row>
    <row r="69">
      <c r="O69" s="25">
        <f>'클럭 정리'!A70</f>
        <v/>
      </c>
      <c r="P69" s="23">
        <f>'클럭 정리'!O70</f>
        <v/>
      </c>
      <c r="Q69" s="24" t="n"/>
      <c r="R69" s="24" t="n"/>
      <c r="S69" s="24" t="n"/>
      <c r="T69" s="24" t="n"/>
      <c r="U69" s="23">
        <f>'클럭 정리'!O70</f>
        <v/>
      </c>
      <c r="V69" s="24" t="n"/>
      <c r="W69" s="24" t="n"/>
      <c r="X69" s="24" t="n"/>
      <c r="Y69" s="24" t="n"/>
      <c r="Z69" s="24" t="n"/>
      <c r="AA69" s="24" t="n"/>
      <c r="AB69" s="24" t="n"/>
      <c r="AC69" s="24" t="n"/>
      <c r="AD69" s="24" t="n"/>
      <c r="AE69" s="24" t="n"/>
      <c r="AF69" s="24" t="n"/>
      <c r="AG69" s="24" t="n"/>
      <c r="AH69" s="24" t="n"/>
      <c r="AI69" s="24" t="n"/>
      <c r="AJ69" s="24" t="n"/>
      <c r="AK69" s="24" t="n"/>
      <c r="AL69" s="24" t="n"/>
      <c r="AM69" s="24" t="n"/>
      <c r="AN69" s="24" t="n"/>
      <c r="AO69" s="24" t="n"/>
      <c r="AP69" s="24" t="n"/>
      <c r="AQ69" s="24" t="n"/>
      <c r="AR69" s="24" t="n"/>
      <c r="AS69" s="24" t="n"/>
      <c r="AT69" s="24" t="n"/>
      <c r="AU69" s="24" t="n"/>
      <c r="AV69" s="24" t="n"/>
      <c r="AW69" s="24" t="n"/>
      <c r="AX69" s="24" t="n"/>
      <c r="AY69" s="24" t="n"/>
      <c r="AZ69" s="24" t="n"/>
      <c r="BA69" s="24" t="n"/>
      <c r="BB69" s="24" t="n"/>
      <c r="BC69" s="24" t="n"/>
      <c r="BD69" s="24" t="n"/>
      <c r="BE69" s="24" t="n"/>
      <c r="BF69" s="24" t="n"/>
      <c r="BG69" s="24" t="n"/>
      <c r="BH69" s="24" t="n"/>
      <c r="BI69" s="24" t="n"/>
      <c r="BJ69" s="24" t="n"/>
      <c r="BK69" s="24" t="n"/>
      <c r="BL69" s="24" t="n"/>
      <c r="BM69" s="24" t="n"/>
      <c r="BN69" s="24" t="n"/>
      <c r="BO69" s="24" t="n"/>
      <c r="BP69" s="24" t="n"/>
      <c r="BQ69" s="24" t="n"/>
      <c r="BR69" s="24" t="n"/>
      <c r="BS69" s="24" t="n"/>
      <c r="BT69" s="24" t="n"/>
      <c r="BU69" s="24" t="n"/>
      <c r="BV69" s="24" t="n"/>
      <c r="BW69" s="24" t="n"/>
      <c r="BX69" s="23">
        <f>'클럭 정리'!O70</f>
        <v/>
      </c>
      <c r="BY69" s="24" t="n"/>
      <c r="BZ69" s="24" t="n"/>
      <c r="CA69" s="24" t="n"/>
      <c r="CB69" s="24" t="n"/>
      <c r="CC69" s="23">
        <f>'클럭 정리'!O70</f>
        <v/>
      </c>
      <c r="CD69" s="24" t="n"/>
      <c r="CE69" s="23">
        <f>'클럭 정리'!O70</f>
        <v/>
      </c>
      <c r="CF69" s="24" t="n"/>
      <c r="CG69" s="24" t="n"/>
    </row>
    <row r="70">
      <c r="O70" s="25">
        <f>'클럭 정리'!A71</f>
        <v/>
      </c>
      <c r="P70" s="23">
        <f>'클럭 정리'!O71</f>
        <v/>
      </c>
      <c r="Q70" s="24" t="n"/>
      <c r="R70" s="24" t="n"/>
      <c r="S70" s="24" t="n"/>
      <c r="T70" s="24" t="n"/>
      <c r="U70" s="23">
        <f>'클럭 정리'!O71</f>
        <v/>
      </c>
      <c r="V70" s="24" t="n"/>
      <c r="W70" s="24" t="n"/>
      <c r="X70" s="24" t="n"/>
      <c r="Y70" s="24" t="n"/>
      <c r="Z70" s="24" t="n"/>
      <c r="AA70" s="24" t="n"/>
      <c r="AB70" s="24" t="n"/>
      <c r="AC70" s="24" t="n"/>
      <c r="AD70" s="24" t="n"/>
      <c r="AE70" s="24" t="n"/>
      <c r="AF70" s="24" t="n"/>
      <c r="AG70" s="24" t="n"/>
      <c r="AH70" s="24" t="n"/>
      <c r="AI70" s="24" t="n"/>
      <c r="AJ70" s="24" t="n"/>
      <c r="AK70" s="24" t="n"/>
      <c r="AL70" s="24" t="n"/>
      <c r="AM70" s="24" t="n"/>
      <c r="AN70" s="24" t="n"/>
      <c r="AO70" s="24" t="n"/>
      <c r="AP70" s="24" t="n"/>
      <c r="AQ70" s="24" t="n"/>
      <c r="AR70" s="24" t="n"/>
      <c r="AS70" s="24" t="n"/>
      <c r="AT70" s="24" t="n"/>
      <c r="AU70" s="24" t="n"/>
      <c r="AV70" s="24" t="n"/>
      <c r="AW70" s="24" t="n"/>
      <c r="AX70" s="24" t="n"/>
      <c r="AY70" s="24" t="n"/>
      <c r="AZ70" s="24" t="n"/>
      <c r="BA70" s="24" t="n"/>
      <c r="BB70" s="24" t="n"/>
      <c r="BC70" s="24" t="n"/>
      <c r="BD70" s="24" t="n"/>
      <c r="BE70" s="24" t="n"/>
      <c r="BF70" s="24" t="n"/>
      <c r="BG70" s="24" t="n"/>
      <c r="BH70" s="24" t="n"/>
      <c r="BI70" s="24" t="n"/>
      <c r="BJ70" s="24" t="n"/>
      <c r="BK70" s="24" t="n"/>
      <c r="BL70" s="24" t="n"/>
      <c r="BM70" s="24" t="n"/>
      <c r="BN70" s="24" t="n"/>
      <c r="BO70" s="24" t="n"/>
      <c r="BP70" s="24" t="n"/>
      <c r="BQ70" s="24" t="n"/>
      <c r="BR70" s="24" t="n"/>
      <c r="BS70" s="24" t="n"/>
      <c r="BT70" s="24" t="n"/>
      <c r="BU70" s="24" t="n"/>
      <c r="BV70" s="24" t="n"/>
      <c r="BW70" s="24" t="n"/>
      <c r="BX70" s="23">
        <f>'클럭 정리'!O71</f>
        <v/>
      </c>
      <c r="BY70" s="24" t="n"/>
      <c r="BZ70" s="24" t="n"/>
      <c r="CA70" s="24" t="n"/>
      <c r="CB70" s="24" t="n"/>
      <c r="CC70" s="23">
        <f>'클럭 정리'!O71</f>
        <v/>
      </c>
      <c r="CD70" s="24" t="n"/>
      <c r="CE70" s="23">
        <f>'클럭 정리'!O71</f>
        <v/>
      </c>
      <c r="CF70" s="24" t="n"/>
      <c r="CG70" s="24" t="n"/>
    </row>
    <row r="71">
      <c r="O71" s="25">
        <f>'클럭 정리'!A72</f>
        <v/>
      </c>
      <c r="P71" s="23">
        <f>'클럭 정리'!O72</f>
        <v/>
      </c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  <c r="AA71" s="24" t="n"/>
      <c r="AB71" s="24" t="n"/>
      <c r="AC71" s="24" t="n"/>
      <c r="AD71" s="24" t="n"/>
      <c r="AE71" s="24" t="n"/>
      <c r="AF71" s="24" t="n"/>
      <c r="AG71" s="24" t="n"/>
      <c r="AH71" s="24" t="n"/>
      <c r="AI71" s="24" t="n"/>
      <c r="AJ71" s="24" t="n"/>
      <c r="AK71" s="24" t="n"/>
      <c r="AL71" s="24" t="n"/>
      <c r="AM71" s="24" t="n"/>
      <c r="AN71" s="24" t="n"/>
      <c r="AO71" s="24" t="n"/>
      <c r="AP71" s="24" t="n"/>
      <c r="AQ71" s="24" t="n"/>
      <c r="AR71" s="24" t="n"/>
      <c r="AS71" s="24" t="n"/>
      <c r="AT71" s="24" t="n"/>
      <c r="AU71" s="24" t="n"/>
      <c r="AV71" s="24" t="n"/>
      <c r="AW71" s="24" t="n"/>
      <c r="AX71" s="24" t="n"/>
      <c r="AY71" s="24" t="n"/>
      <c r="AZ71" s="24" t="n"/>
      <c r="BA71" s="24" t="n"/>
      <c r="BB71" s="24" t="n"/>
      <c r="BC71" s="24" t="n"/>
      <c r="BD71" s="24" t="n"/>
      <c r="BE71" s="24" t="n"/>
      <c r="BF71" s="24" t="n"/>
      <c r="BG71" s="24" t="n"/>
      <c r="BH71" s="24" t="n"/>
      <c r="BI71" s="24" t="n"/>
      <c r="BJ71" s="24" t="n"/>
      <c r="BK71" s="24" t="n"/>
      <c r="BL71" s="24" t="n"/>
      <c r="BM71" s="24" t="n"/>
      <c r="BN71" s="24" t="n"/>
      <c r="BO71" s="24" t="n"/>
      <c r="BP71" s="24" t="n"/>
      <c r="BQ71" s="24" t="n"/>
      <c r="BR71" s="24" t="n"/>
      <c r="BS71" s="24" t="n"/>
      <c r="BT71" s="24" t="n"/>
      <c r="BU71" s="24" t="n"/>
      <c r="BV71" s="24" t="n"/>
      <c r="BW71" s="24" t="n"/>
      <c r="BX71" s="24" t="n"/>
      <c r="BY71" s="24" t="n"/>
      <c r="BZ71" s="24" t="n"/>
      <c r="CA71" s="24" t="n"/>
      <c r="CB71" s="24" t="n"/>
      <c r="CC71" s="24" t="n"/>
      <c r="CD71" s="24" t="n"/>
      <c r="CE71" s="24" t="n"/>
      <c r="CF71" s="24" t="n"/>
      <c r="CG71" s="24" t="n"/>
    </row>
    <row r="72">
      <c r="O72" s="25">
        <f>'클럭 정리'!A73</f>
        <v/>
      </c>
      <c r="P72" s="23">
        <f>'클럭 정리'!O73</f>
        <v/>
      </c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  <c r="AA72" s="24" t="n"/>
      <c r="AB72" s="24" t="n"/>
      <c r="AC72" s="24" t="n"/>
      <c r="AD72" s="24" t="n"/>
      <c r="AE72" s="24" t="n"/>
      <c r="AF72" s="24" t="n"/>
      <c r="AG72" s="24" t="n"/>
      <c r="AH72" s="24" t="n"/>
      <c r="AI72" s="24" t="n"/>
      <c r="AJ72" s="24" t="n"/>
      <c r="AK72" s="24" t="n"/>
      <c r="AL72" s="24" t="n"/>
      <c r="AM72" s="24" t="n"/>
      <c r="AN72" s="24" t="n"/>
      <c r="AO72" s="24" t="n"/>
      <c r="AP72" s="24" t="n"/>
      <c r="AQ72" s="24" t="n"/>
      <c r="AR72" s="24" t="n"/>
      <c r="AS72" s="24" t="n"/>
      <c r="AT72" s="24" t="n"/>
      <c r="AU72" s="24" t="n"/>
      <c r="AV72" s="24" t="n"/>
      <c r="AW72" s="24" t="n"/>
      <c r="AX72" s="24" t="n"/>
      <c r="AY72" s="24" t="n"/>
      <c r="AZ72" s="24" t="n"/>
      <c r="BA72" s="24" t="n"/>
      <c r="BB72" s="24" t="n"/>
      <c r="BC72" s="24" t="n"/>
      <c r="BD72" s="24" t="n"/>
      <c r="BE72" s="24" t="n"/>
      <c r="BF72" s="24" t="n"/>
      <c r="BG72" s="24" t="n"/>
      <c r="BH72" s="24" t="n"/>
      <c r="BI72" s="24" t="n"/>
      <c r="BJ72" s="24" t="n"/>
      <c r="BK72" s="24" t="n"/>
      <c r="BL72" s="24" t="n"/>
      <c r="BM72" s="24" t="n"/>
      <c r="BN72" s="24" t="n"/>
      <c r="BO72" s="24" t="n"/>
      <c r="BP72" s="24" t="n"/>
      <c r="BQ72" s="24" t="n"/>
      <c r="BR72" s="24" t="n"/>
      <c r="BS72" s="24" t="n"/>
      <c r="BT72" s="24" t="n"/>
      <c r="BU72" s="24" t="n"/>
      <c r="BV72" s="24" t="n"/>
      <c r="BW72" s="24" t="n"/>
      <c r="BX72" s="24" t="n"/>
      <c r="BY72" s="24" t="n"/>
      <c r="BZ72" s="24" t="n"/>
      <c r="CA72" s="24" t="n"/>
      <c r="CB72" s="24" t="n"/>
      <c r="CC72" s="24" t="n"/>
      <c r="CD72" s="24" t="n"/>
      <c r="CE72" s="24" t="n"/>
      <c r="CF72" s="24" t="n"/>
      <c r="CG72" s="24" t="n"/>
    </row>
    <row r="73">
      <c r="O73" s="25">
        <f>'클럭 정리'!A74</f>
        <v/>
      </c>
      <c r="P73" s="23">
        <f>'클럭 정리'!O74</f>
        <v/>
      </c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  <c r="AA73" s="24" t="n"/>
      <c r="AB73" s="24" t="n"/>
      <c r="AC73" s="24" t="n"/>
      <c r="AD73" s="24" t="n"/>
      <c r="AE73" s="24" t="n"/>
      <c r="AF73" s="24" t="n"/>
      <c r="AG73" s="24" t="n"/>
      <c r="AH73" s="24" t="n"/>
      <c r="AI73" s="24" t="n"/>
      <c r="AJ73" s="24" t="n"/>
      <c r="AK73" s="24" t="n"/>
      <c r="AL73" s="24" t="n"/>
      <c r="AM73" s="24" t="n"/>
      <c r="AN73" s="24" t="n"/>
      <c r="AO73" s="24" t="n"/>
      <c r="AP73" s="24" t="n"/>
      <c r="AQ73" s="24" t="n"/>
      <c r="AR73" s="24" t="n"/>
      <c r="AS73" s="24" t="n"/>
      <c r="AT73" s="24" t="n"/>
      <c r="AU73" s="24" t="n"/>
      <c r="AV73" s="24" t="n"/>
      <c r="AW73" s="24" t="n"/>
      <c r="AX73" s="24" t="n"/>
      <c r="AY73" s="24" t="n"/>
      <c r="AZ73" s="24" t="n"/>
      <c r="BA73" s="24" t="n"/>
      <c r="BB73" s="24" t="n"/>
      <c r="BC73" s="24" t="n"/>
      <c r="BD73" s="24" t="n"/>
      <c r="BE73" s="24" t="n"/>
      <c r="BF73" s="24" t="n"/>
      <c r="BG73" s="24" t="n"/>
      <c r="BH73" s="24" t="n"/>
      <c r="BI73" s="24" t="n"/>
      <c r="BJ73" s="24" t="n"/>
      <c r="BK73" s="24" t="n"/>
      <c r="BL73" s="24" t="n"/>
      <c r="BM73" s="24" t="n"/>
      <c r="BN73" s="24" t="n"/>
      <c r="BO73" s="24" t="n"/>
      <c r="BP73" s="24" t="n"/>
      <c r="BQ73" s="24" t="n"/>
      <c r="BR73" s="24" t="n"/>
      <c r="BS73" s="24" t="n"/>
      <c r="BT73" s="24" t="n"/>
      <c r="BU73" s="24" t="n"/>
      <c r="BV73" s="24" t="n"/>
      <c r="BW73" s="24" t="n"/>
      <c r="BX73" s="24" t="n"/>
      <c r="BY73" s="24" t="n"/>
      <c r="BZ73" s="24" t="n"/>
      <c r="CA73" s="24" t="n"/>
      <c r="CB73" s="24" t="n"/>
      <c r="CC73" s="24" t="n"/>
      <c r="CD73" s="24" t="n"/>
      <c r="CE73" s="24" t="n"/>
      <c r="CF73" s="24" t="n"/>
      <c r="CG73" s="24" t="n"/>
    </row>
    <row r="74">
      <c r="O74" s="25">
        <f>'클럭 정리'!A75</f>
        <v/>
      </c>
      <c r="P74" s="23">
        <f>'클럭 정리'!O75</f>
        <v/>
      </c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  <c r="AA74" s="24" t="n"/>
      <c r="AB74" s="24" t="n"/>
      <c r="AC74" s="24" t="n"/>
      <c r="AD74" s="24" t="n"/>
      <c r="AE74" s="24" t="n"/>
      <c r="AF74" s="24" t="n"/>
      <c r="AG74" s="24" t="n"/>
      <c r="AH74" s="24" t="n"/>
      <c r="AI74" s="24" t="n"/>
      <c r="AJ74" s="24" t="n"/>
      <c r="AK74" s="24" t="n"/>
      <c r="AL74" s="24" t="n"/>
      <c r="AM74" s="24" t="n"/>
      <c r="AN74" s="24" t="n"/>
      <c r="AO74" s="24" t="n"/>
      <c r="AP74" s="24" t="n"/>
      <c r="AQ74" s="24" t="n"/>
      <c r="AR74" s="24" t="n"/>
      <c r="AS74" s="24" t="n"/>
      <c r="AT74" s="24" t="n"/>
      <c r="AU74" s="24" t="n"/>
      <c r="AV74" s="24" t="n"/>
      <c r="AW74" s="24" t="n"/>
      <c r="AX74" s="24" t="n"/>
      <c r="AY74" s="24" t="n"/>
      <c r="AZ74" s="24" t="n"/>
      <c r="BA74" s="24" t="n"/>
      <c r="BB74" s="24" t="n"/>
      <c r="BC74" s="24" t="n"/>
      <c r="BD74" s="24" t="n"/>
      <c r="BE74" s="24" t="n"/>
      <c r="BF74" s="24" t="n"/>
      <c r="BG74" s="24" t="n"/>
      <c r="BH74" s="24" t="n"/>
      <c r="BI74" s="24" t="n"/>
      <c r="BJ74" s="24" t="n"/>
      <c r="BK74" s="24" t="n"/>
      <c r="BL74" s="24" t="n"/>
      <c r="BM74" s="24" t="n"/>
      <c r="BN74" s="24" t="n"/>
      <c r="BO74" s="24" t="n"/>
      <c r="BP74" s="24" t="n"/>
      <c r="BQ74" s="24" t="n"/>
      <c r="BR74" s="24" t="n"/>
      <c r="BS74" s="24" t="n"/>
      <c r="BT74" s="24" t="n"/>
      <c r="BU74" s="24" t="n"/>
      <c r="BV74" s="24" t="n"/>
      <c r="BW74" s="24" t="n"/>
      <c r="BX74" s="24" t="n"/>
      <c r="BY74" s="24" t="n"/>
      <c r="BZ74" s="24" t="n"/>
      <c r="CA74" s="24" t="n"/>
      <c r="CB74" s="24" t="n"/>
      <c r="CC74" s="24" t="n"/>
      <c r="CD74" s="24" t="n"/>
      <c r="CE74" s="24" t="n"/>
      <c r="CF74" s="24" t="n"/>
      <c r="CG74" s="24" t="n"/>
    </row>
    <row r="75">
      <c r="O75" s="25">
        <f>'클럭 정리'!A76</f>
        <v/>
      </c>
      <c r="P75" s="23">
        <f>'클럭 정리'!O76</f>
        <v/>
      </c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  <c r="AA75" s="24" t="n"/>
      <c r="AB75" s="24" t="n"/>
      <c r="AC75" s="24" t="n"/>
      <c r="AD75" s="24" t="n"/>
      <c r="AE75" s="24" t="n"/>
      <c r="AF75" s="24" t="n"/>
      <c r="AG75" s="24" t="n"/>
      <c r="AH75" s="24" t="n"/>
      <c r="AI75" s="24" t="n"/>
      <c r="AJ75" s="24" t="n"/>
      <c r="AK75" s="24" t="n"/>
      <c r="AL75" s="24" t="n"/>
      <c r="AM75" s="24" t="n"/>
      <c r="AN75" s="24" t="n"/>
      <c r="AO75" s="24" t="n"/>
      <c r="AP75" s="24" t="n"/>
      <c r="AQ75" s="24" t="n"/>
      <c r="AR75" s="24" t="n"/>
      <c r="AS75" s="24" t="n"/>
      <c r="AT75" s="24" t="n"/>
      <c r="AU75" s="24" t="n"/>
      <c r="AV75" s="24" t="n"/>
      <c r="AW75" s="24" t="n"/>
      <c r="AX75" s="24" t="n"/>
      <c r="AY75" s="24" t="n"/>
      <c r="AZ75" s="24" t="n"/>
      <c r="BA75" s="24" t="n"/>
      <c r="BB75" s="24" t="n"/>
      <c r="BC75" s="24" t="n"/>
      <c r="BD75" s="24" t="n"/>
      <c r="BE75" s="24" t="n"/>
      <c r="BF75" s="24" t="n"/>
      <c r="BG75" s="24" t="n"/>
      <c r="BH75" s="24" t="n"/>
      <c r="BI75" s="24" t="n"/>
      <c r="BJ75" s="24" t="n"/>
      <c r="BK75" s="24" t="n"/>
      <c r="BL75" s="24" t="n"/>
      <c r="BM75" s="24" t="n"/>
      <c r="BN75" s="24" t="n"/>
      <c r="BO75" s="24" t="n"/>
      <c r="BP75" s="24" t="n"/>
      <c r="BQ75" s="24" t="n"/>
      <c r="BR75" s="24" t="n"/>
      <c r="BS75" s="24" t="n"/>
      <c r="BT75" s="24" t="n"/>
      <c r="BU75" s="24" t="n"/>
      <c r="BV75" s="24" t="n"/>
      <c r="BW75" s="24" t="n"/>
      <c r="BX75" s="24" t="n"/>
      <c r="BY75" s="24" t="n"/>
      <c r="BZ75" s="24" t="n"/>
      <c r="CA75" s="24" t="n"/>
      <c r="CB75" s="24" t="n"/>
      <c r="CC75" s="24" t="n"/>
      <c r="CD75" s="24" t="n"/>
      <c r="CE75" s="24" t="n"/>
      <c r="CF75" s="24" t="n"/>
      <c r="CG75" s="24" t="n"/>
    </row>
    <row r="76">
      <c r="O76" s="25">
        <f>'클럭 정리'!A77</f>
        <v/>
      </c>
      <c r="P76" s="23">
        <f>'클럭 정리'!O77</f>
        <v/>
      </c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  <c r="AA76" s="24" t="n"/>
      <c r="AB76" s="24" t="n"/>
      <c r="AC76" s="24" t="n"/>
      <c r="AD76" s="24" t="n"/>
      <c r="AE76" s="24" t="n"/>
      <c r="AF76" s="24" t="n"/>
      <c r="AG76" s="24" t="n"/>
      <c r="AH76" s="24" t="n"/>
      <c r="AI76" s="24" t="n"/>
      <c r="AJ76" s="24" t="n"/>
      <c r="AK76" s="24" t="n"/>
      <c r="AL76" s="24" t="n"/>
      <c r="AM76" s="24" t="n"/>
      <c r="AN76" s="24" t="n"/>
      <c r="AO76" s="24" t="n"/>
      <c r="AP76" s="24" t="n"/>
      <c r="AQ76" s="24" t="n"/>
      <c r="AR76" s="24" t="n"/>
      <c r="AS76" s="24" t="n"/>
      <c r="AT76" s="24" t="n"/>
      <c r="AU76" s="24" t="n"/>
      <c r="AV76" s="24" t="n"/>
      <c r="AW76" s="24" t="n"/>
      <c r="AX76" s="24" t="n"/>
      <c r="AY76" s="24" t="n"/>
      <c r="AZ76" s="24" t="n"/>
      <c r="BA76" s="24" t="n"/>
      <c r="BB76" s="24" t="n"/>
      <c r="BC76" s="24" t="n"/>
      <c r="BD76" s="24" t="n"/>
      <c r="BE76" s="24" t="n"/>
      <c r="BF76" s="24" t="n"/>
      <c r="BG76" s="24" t="n"/>
      <c r="BH76" s="24" t="n"/>
      <c r="BI76" s="24" t="n"/>
      <c r="BJ76" s="24" t="n"/>
      <c r="BK76" s="24" t="n"/>
      <c r="BL76" s="24" t="n"/>
      <c r="BM76" s="24" t="n"/>
      <c r="BN76" s="24" t="n"/>
      <c r="BO76" s="24" t="n"/>
      <c r="BP76" s="24" t="n"/>
      <c r="BQ76" s="24" t="n"/>
      <c r="BR76" s="24" t="n"/>
      <c r="BS76" s="24" t="n"/>
      <c r="BT76" s="24" t="n"/>
      <c r="BU76" s="24" t="n"/>
      <c r="BV76" s="24" t="n"/>
      <c r="BW76" s="24" t="n"/>
      <c r="BX76" s="24" t="n"/>
      <c r="BY76" s="24" t="n"/>
      <c r="BZ76" s="24" t="n"/>
      <c r="CA76" s="24" t="n"/>
      <c r="CB76" s="24" t="n"/>
      <c r="CC76" s="24" t="n"/>
      <c r="CD76" s="24" t="n"/>
      <c r="CE76" s="24" t="n"/>
      <c r="CF76" s="24" t="n"/>
      <c r="CG76" s="24" t="n"/>
    </row>
    <row r="77">
      <c r="O77" s="25">
        <f>'클럭 정리'!A78</f>
        <v/>
      </c>
      <c r="P77" s="23">
        <f>'클럭 정리'!O78</f>
        <v/>
      </c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  <c r="AA77" s="24" t="n"/>
      <c r="AB77" s="24" t="n"/>
      <c r="AC77" s="24" t="n"/>
      <c r="AD77" s="24" t="n"/>
      <c r="AE77" s="24" t="n"/>
      <c r="AF77" s="24" t="n"/>
      <c r="AG77" s="24" t="n"/>
      <c r="AH77" s="24" t="n"/>
      <c r="AI77" s="24" t="n"/>
      <c r="AJ77" s="24" t="n"/>
      <c r="AK77" s="24" t="n"/>
      <c r="AL77" s="24" t="n"/>
      <c r="AM77" s="24" t="n"/>
      <c r="AN77" s="24" t="n"/>
      <c r="AO77" s="24" t="n"/>
      <c r="AP77" s="24" t="n"/>
      <c r="AQ77" s="24" t="n"/>
      <c r="AR77" s="24" t="n"/>
      <c r="AS77" s="24" t="n"/>
      <c r="AT77" s="24" t="n"/>
      <c r="AU77" s="24" t="n"/>
      <c r="AV77" s="24" t="n"/>
      <c r="AW77" s="24" t="n"/>
      <c r="AX77" s="24" t="n"/>
      <c r="AY77" s="24" t="n"/>
      <c r="AZ77" s="24" t="n"/>
      <c r="BA77" s="24" t="n"/>
      <c r="BB77" s="24" t="n"/>
      <c r="BC77" s="24" t="n"/>
      <c r="BD77" s="24" t="n"/>
      <c r="BE77" s="24" t="n"/>
      <c r="BF77" s="24" t="n"/>
      <c r="BG77" s="24" t="n"/>
      <c r="BH77" s="24" t="n"/>
      <c r="BI77" s="24" t="n"/>
      <c r="BJ77" s="24" t="n"/>
      <c r="BK77" s="24" t="n"/>
      <c r="BL77" s="24" t="n"/>
      <c r="BM77" s="24" t="n"/>
      <c r="BN77" s="24" t="n"/>
      <c r="BO77" s="24" t="n"/>
      <c r="BP77" s="24" t="n"/>
      <c r="BQ77" s="24" t="n"/>
      <c r="BR77" s="24" t="n"/>
      <c r="BS77" s="24" t="n"/>
      <c r="BT77" s="24" t="n"/>
      <c r="BU77" s="24" t="n"/>
      <c r="BV77" s="24" t="n"/>
      <c r="BW77" s="24" t="n"/>
      <c r="BX77" s="24" t="n"/>
      <c r="BY77" s="24" t="n"/>
      <c r="BZ77" s="24" t="n"/>
      <c r="CA77" s="24" t="n"/>
      <c r="CB77" s="24" t="n"/>
      <c r="CC77" s="24" t="n"/>
      <c r="CD77" s="24" t="n"/>
      <c r="CE77" s="24" t="n"/>
      <c r="CF77" s="24" t="n"/>
      <c r="CG77" s="24" t="n"/>
    </row>
    <row r="78">
      <c r="O78" s="25">
        <f>'클럭 정리'!A79</f>
        <v/>
      </c>
      <c r="P78" s="23">
        <f>'클럭 정리'!O79</f>
        <v/>
      </c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  <c r="AA78" s="24" t="n"/>
      <c r="AB78" s="24" t="n"/>
      <c r="AC78" s="24" t="n"/>
      <c r="AD78" s="24" t="n"/>
      <c r="AE78" s="24" t="n"/>
      <c r="AF78" s="24" t="n"/>
      <c r="AG78" s="24" t="n"/>
      <c r="AH78" s="24" t="n"/>
      <c r="AI78" s="24" t="n"/>
      <c r="AJ78" s="24" t="n"/>
      <c r="AK78" s="24" t="n"/>
      <c r="AL78" s="24" t="n"/>
      <c r="AM78" s="24" t="n"/>
      <c r="AN78" s="24" t="n"/>
      <c r="AO78" s="24" t="n"/>
      <c r="AP78" s="24" t="n"/>
      <c r="AQ78" s="24" t="n"/>
      <c r="AR78" s="24" t="n"/>
      <c r="AS78" s="24" t="n"/>
      <c r="AT78" s="24" t="n"/>
      <c r="AU78" s="24" t="n"/>
      <c r="AV78" s="24" t="n"/>
      <c r="AW78" s="24" t="n"/>
      <c r="AX78" s="24" t="n"/>
      <c r="AY78" s="24" t="n"/>
      <c r="AZ78" s="24" t="n"/>
      <c r="BA78" s="24" t="n"/>
      <c r="BB78" s="24" t="n"/>
      <c r="BC78" s="24" t="n"/>
      <c r="BD78" s="24" t="n"/>
      <c r="BE78" s="24" t="n"/>
      <c r="BF78" s="24" t="n"/>
      <c r="BG78" s="24" t="n"/>
      <c r="BH78" s="24" t="n"/>
      <c r="BI78" s="24" t="n"/>
      <c r="BJ78" s="24" t="n"/>
      <c r="BK78" s="24" t="n"/>
      <c r="BL78" s="24" t="n"/>
      <c r="BM78" s="24" t="n"/>
      <c r="BN78" s="24" t="n"/>
      <c r="BO78" s="24" t="n"/>
      <c r="BP78" s="24" t="n"/>
      <c r="BQ78" s="24" t="n"/>
      <c r="BR78" s="24" t="n"/>
      <c r="BS78" s="24" t="n"/>
      <c r="BT78" s="24" t="n"/>
      <c r="BU78" s="24" t="n"/>
      <c r="BV78" s="24" t="n"/>
      <c r="BW78" s="24" t="n"/>
      <c r="BX78" s="24" t="n"/>
      <c r="BY78" s="24" t="n"/>
      <c r="BZ78" s="24" t="n"/>
      <c r="CA78" s="24" t="n"/>
      <c r="CB78" s="24" t="n"/>
      <c r="CC78" s="24" t="n"/>
      <c r="CD78" s="24" t="n"/>
      <c r="CE78" s="24" t="n"/>
      <c r="CF78" s="24" t="n"/>
      <c r="CG78" s="24" t="n"/>
    </row>
    <row r="79">
      <c r="O79" s="25">
        <f>'클럭 정리'!A80</f>
        <v/>
      </c>
      <c r="P79" s="23">
        <f>'클럭 정리'!O80</f>
        <v/>
      </c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  <c r="AA79" s="24" t="n"/>
      <c r="AB79" s="24" t="n"/>
      <c r="AC79" s="24" t="n"/>
      <c r="AD79" s="24" t="n"/>
      <c r="AE79" s="24" t="n"/>
      <c r="AF79" s="24" t="n"/>
      <c r="AG79" s="24" t="n"/>
      <c r="AH79" s="24" t="n"/>
      <c r="AI79" s="24" t="n"/>
      <c r="AJ79" s="24" t="n"/>
      <c r="AK79" s="24" t="n"/>
      <c r="AL79" s="24" t="n"/>
      <c r="AM79" s="24" t="n"/>
      <c r="AN79" s="24" t="n"/>
      <c r="AO79" s="24" t="n"/>
      <c r="AP79" s="24" t="n"/>
      <c r="AQ79" s="24" t="n"/>
      <c r="AR79" s="24" t="n"/>
      <c r="AS79" s="24" t="n"/>
      <c r="AT79" s="24" t="n"/>
      <c r="AU79" s="24" t="n"/>
      <c r="AV79" s="24" t="n"/>
      <c r="AW79" s="24" t="n"/>
      <c r="AX79" s="24" t="n"/>
      <c r="AY79" s="24" t="n"/>
      <c r="AZ79" s="24" t="n"/>
      <c r="BA79" s="24" t="n"/>
      <c r="BB79" s="24" t="n"/>
      <c r="BC79" s="24" t="n"/>
      <c r="BD79" s="24" t="n"/>
      <c r="BE79" s="24" t="n"/>
      <c r="BF79" s="24" t="n"/>
      <c r="BG79" s="24" t="n"/>
      <c r="BH79" s="24" t="n"/>
      <c r="BI79" s="24" t="n"/>
      <c r="BJ79" s="24" t="n"/>
      <c r="BK79" s="24" t="n"/>
      <c r="BL79" s="24" t="n"/>
      <c r="BM79" s="24" t="n"/>
      <c r="BN79" s="24" t="n"/>
      <c r="BO79" s="24" t="n"/>
      <c r="BP79" s="24" t="n"/>
      <c r="BQ79" s="24" t="n"/>
      <c r="BR79" s="24" t="n"/>
      <c r="BS79" s="24" t="n"/>
      <c r="BT79" s="24" t="n"/>
      <c r="BU79" s="24" t="n"/>
      <c r="BV79" s="24" t="n"/>
      <c r="BW79" s="24" t="n"/>
      <c r="BX79" s="24" t="n"/>
      <c r="BY79" s="24" t="n"/>
      <c r="BZ79" s="24" t="n"/>
      <c r="CA79" s="24" t="n"/>
      <c r="CB79" s="24" t="n"/>
      <c r="CC79" s="24" t="n"/>
      <c r="CD79" s="24" t="n"/>
      <c r="CE79" s="24" t="n"/>
      <c r="CF79" s="24" t="n"/>
      <c r="CG79" s="24" t="n"/>
    </row>
    <row r="80">
      <c r="O80" s="25">
        <f>'클럭 정리'!A81</f>
        <v/>
      </c>
      <c r="P80" s="23">
        <f>'클럭 정리'!O81</f>
        <v/>
      </c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  <c r="AA80" s="24" t="n"/>
      <c r="AB80" s="24" t="n"/>
      <c r="AC80" s="24" t="n"/>
      <c r="AD80" s="24" t="n"/>
      <c r="AE80" s="24" t="n"/>
      <c r="AF80" s="24" t="n"/>
      <c r="AG80" s="24" t="n"/>
      <c r="AH80" s="24" t="n"/>
      <c r="AI80" s="24" t="n"/>
      <c r="AJ80" s="24" t="n"/>
      <c r="AK80" s="24" t="n"/>
      <c r="AL80" s="24" t="n"/>
      <c r="AM80" s="24" t="n"/>
      <c r="AN80" s="24" t="n"/>
      <c r="AO80" s="24" t="n"/>
      <c r="AP80" s="24" t="n"/>
      <c r="AQ80" s="24" t="n"/>
      <c r="AR80" s="24" t="n"/>
      <c r="AS80" s="24" t="n"/>
      <c r="AT80" s="24" t="n"/>
      <c r="AU80" s="24" t="n"/>
      <c r="AV80" s="24" t="n"/>
      <c r="AW80" s="24" t="n"/>
      <c r="AX80" s="24" t="n"/>
      <c r="AY80" s="24" t="n"/>
      <c r="AZ80" s="24" t="n"/>
      <c r="BA80" s="24" t="n"/>
      <c r="BB80" s="24" t="n"/>
      <c r="BC80" s="24" t="n"/>
      <c r="BD80" s="24" t="n"/>
      <c r="BE80" s="24" t="n"/>
      <c r="BF80" s="24" t="n"/>
      <c r="BG80" s="24" t="n"/>
      <c r="BH80" s="24" t="n"/>
      <c r="BI80" s="24" t="n"/>
      <c r="BJ80" s="24" t="n"/>
      <c r="BK80" s="24" t="n"/>
      <c r="BL80" s="24" t="n"/>
      <c r="BM80" s="24" t="n"/>
      <c r="BN80" s="24" t="n"/>
      <c r="BO80" s="24" t="n"/>
      <c r="BP80" s="24" t="n"/>
      <c r="BQ80" s="24" t="n"/>
      <c r="BR80" s="24" t="n"/>
      <c r="BS80" s="24" t="n"/>
      <c r="BT80" s="24" t="n"/>
      <c r="BU80" s="24" t="n"/>
      <c r="BV80" s="24" t="n"/>
      <c r="BW80" s="24" t="n"/>
      <c r="BX80" s="24" t="n"/>
      <c r="BY80" s="24" t="n"/>
      <c r="BZ80" s="24" t="n"/>
      <c r="CA80" s="24" t="n"/>
      <c r="CB80" s="24" t="n"/>
      <c r="CC80" s="24" t="n"/>
      <c r="CD80" s="24" t="n"/>
      <c r="CE80" s="24" t="n"/>
      <c r="CF80" s="24" t="n"/>
      <c r="CG80" s="24" t="n"/>
    </row>
    <row r="81">
      <c r="O81" s="25">
        <f>'클럭 정리'!A82</f>
        <v/>
      </c>
      <c r="P81" s="23">
        <f>'클럭 정리'!O82</f>
        <v/>
      </c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  <c r="AA81" s="24" t="n"/>
      <c r="AB81" s="24" t="n"/>
      <c r="AC81" s="24" t="n"/>
      <c r="AD81" s="24" t="n"/>
      <c r="AE81" s="24" t="n"/>
      <c r="AF81" s="24" t="n"/>
      <c r="AG81" s="24" t="n"/>
      <c r="AH81" s="24" t="n"/>
      <c r="AI81" s="24" t="n"/>
      <c r="AJ81" s="24" t="n"/>
      <c r="AK81" s="24" t="n"/>
      <c r="AL81" s="24" t="n"/>
      <c r="AM81" s="24" t="n"/>
      <c r="AN81" s="24" t="n"/>
      <c r="AO81" s="24" t="n"/>
      <c r="AP81" s="24" t="n"/>
      <c r="AQ81" s="24" t="n"/>
      <c r="AR81" s="24" t="n"/>
      <c r="AS81" s="24" t="n"/>
      <c r="AT81" s="24" t="n"/>
      <c r="AU81" s="24" t="n"/>
      <c r="AV81" s="24" t="n"/>
      <c r="AW81" s="24" t="n"/>
      <c r="AX81" s="24" t="n"/>
      <c r="AY81" s="24" t="n"/>
      <c r="AZ81" s="24" t="n"/>
      <c r="BA81" s="24" t="n"/>
      <c r="BB81" s="24" t="n"/>
      <c r="BC81" s="24" t="n"/>
      <c r="BD81" s="24" t="n"/>
      <c r="BE81" s="24" t="n"/>
      <c r="BF81" s="24" t="n"/>
      <c r="BG81" s="24" t="n"/>
      <c r="BH81" s="24" t="n"/>
      <c r="BI81" s="24" t="n"/>
      <c r="BJ81" s="24" t="n"/>
      <c r="BK81" s="24" t="n"/>
      <c r="BL81" s="24" t="n"/>
      <c r="BM81" s="24" t="n"/>
      <c r="BN81" s="24" t="n"/>
      <c r="BO81" s="24" t="n"/>
      <c r="BP81" s="24" t="n"/>
      <c r="BQ81" s="24" t="n"/>
      <c r="BR81" s="24" t="n"/>
      <c r="BS81" s="24" t="n"/>
      <c r="BT81" s="24" t="n"/>
      <c r="BU81" s="24" t="n"/>
      <c r="BV81" s="24" t="n"/>
      <c r="BW81" s="24" t="n"/>
      <c r="BX81" s="24" t="n"/>
      <c r="BY81" s="24" t="n"/>
      <c r="BZ81" s="24" t="n"/>
      <c r="CA81" s="24" t="n"/>
      <c r="CB81" s="24" t="n"/>
      <c r="CC81" s="24" t="n"/>
      <c r="CD81" s="24" t="n"/>
      <c r="CE81" s="24" t="n"/>
      <c r="CF81" s="24" t="n"/>
      <c r="CG81" s="24" t="n"/>
    </row>
    <row r="82">
      <c r="O82" s="25">
        <f>'클럭 정리'!A83</f>
        <v/>
      </c>
      <c r="P82" s="23">
        <f>'클럭 정리'!O83</f>
        <v/>
      </c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  <c r="AA82" s="24" t="n"/>
      <c r="AB82" s="24" t="n"/>
      <c r="AC82" s="24" t="n"/>
      <c r="AD82" s="24" t="n"/>
      <c r="AE82" s="24" t="n"/>
      <c r="AF82" s="24" t="n"/>
      <c r="AG82" s="24" t="n"/>
      <c r="AH82" s="24" t="n"/>
      <c r="AI82" s="24" t="n"/>
      <c r="AJ82" s="24" t="n"/>
      <c r="AK82" s="24" t="n"/>
      <c r="AL82" s="24" t="n"/>
      <c r="AM82" s="24" t="n"/>
      <c r="AN82" s="24" t="n"/>
      <c r="AO82" s="24" t="n"/>
      <c r="AP82" s="24" t="n"/>
      <c r="AQ82" s="24" t="n"/>
      <c r="AR82" s="24" t="n"/>
      <c r="AS82" s="24" t="n"/>
      <c r="AT82" s="24" t="n"/>
      <c r="AU82" s="24" t="n"/>
      <c r="AV82" s="24" t="n"/>
      <c r="AW82" s="24" t="n"/>
      <c r="AX82" s="24" t="n"/>
      <c r="AY82" s="24" t="n"/>
      <c r="AZ82" s="24" t="n"/>
      <c r="BA82" s="24" t="n"/>
      <c r="BB82" s="24" t="n"/>
      <c r="BC82" s="24" t="n"/>
      <c r="BD82" s="24" t="n"/>
      <c r="BE82" s="24" t="n"/>
      <c r="BF82" s="24" t="n"/>
      <c r="BG82" s="24" t="n"/>
      <c r="BH82" s="24" t="n"/>
      <c r="BI82" s="24" t="n"/>
      <c r="BJ82" s="24" t="n"/>
      <c r="BK82" s="24" t="n"/>
      <c r="BL82" s="24" t="n"/>
      <c r="BM82" s="24" t="n"/>
      <c r="BN82" s="24" t="n"/>
      <c r="BO82" s="24" t="n"/>
      <c r="BP82" s="24" t="n"/>
      <c r="BQ82" s="24" t="n"/>
      <c r="BR82" s="24" t="n"/>
      <c r="BS82" s="24" t="n"/>
      <c r="BT82" s="24" t="n"/>
      <c r="BU82" s="24" t="n"/>
      <c r="BV82" s="24" t="n"/>
      <c r="BW82" s="24" t="n"/>
      <c r="BX82" s="24" t="n"/>
      <c r="BY82" s="24" t="n"/>
      <c r="BZ82" s="24" t="n"/>
      <c r="CA82" s="24" t="n"/>
      <c r="CB82" s="24" t="n"/>
      <c r="CC82" s="24" t="n"/>
      <c r="CD82" s="24" t="n"/>
      <c r="CE82" s="24" t="n"/>
      <c r="CF82" s="24" t="n"/>
      <c r="CG82" s="24" t="n"/>
    </row>
    <row r="83">
      <c r="O83" s="25">
        <f>'클럭 정리'!A84</f>
        <v/>
      </c>
      <c r="P83" s="23">
        <f>'클럭 정리'!O84</f>
        <v/>
      </c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  <c r="AA83" s="24" t="n"/>
      <c r="AB83" s="24" t="n"/>
      <c r="AC83" s="24" t="n"/>
      <c r="AD83" s="24" t="n"/>
      <c r="AE83" s="24" t="n"/>
      <c r="AF83" s="24" t="n"/>
      <c r="AG83" s="24" t="n"/>
      <c r="AH83" s="24" t="n"/>
      <c r="AI83" s="24" t="n"/>
      <c r="AJ83" s="24" t="n"/>
      <c r="AK83" s="24" t="n"/>
      <c r="AL83" s="24" t="n"/>
      <c r="AM83" s="24" t="n"/>
      <c r="AN83" s="24" t="n"/>
      <c r="AO83" s="24" t="n"/>
      <c r="AP83" s="24" t="n"/>
      <c r="AQ83" s="24" t="n"/>
      <c r="AR83" s="24" t="n"/>
      <c r="AS83" s="24" t="n"/>
      <c r="AT83" s="24" t="n"/>
      <c r="AU83" s="24" t="n"/>
      <c r="AV83" s="24" t="n"/>
      <c r="AW83" s="24" t="n"/>
      <c r="AX83" s="24" t="n"/>
      <c r="AY83" s="24" t="n"/>
      <c r="AZ83" s="24" t="n"/>
      <c r="BA83" s="24" t="n"/>
      <c r="BB83" s="24" t="n"/>
      <c r="BC83" s="24" t="n"/>
      <c r="BD83" s="24" t="n"/>
      <c r="BE83" s="24" t="n"/>
      <c r="BF83" s="24" t="n"/>
      <c r="BG83" s="24" t="n"/>
      <c r="BH83" s="24" t="n"/>
      <c r="BI83" s="24" t="n"/>
      <c r="BJ83" s="24" t="n"/>
      <c r="BK83" s="24" t="n"/>
      <c r="BL83" s="24" t="n"/>
      <c r="BM83" s="24" t="n"/>
      <c r="BN83" s="24" t="n"/>
      <c r="BO83" s="24" t="n"/>
      <c r="BP83" s="24" t="n"/>
      <c r="BQ83" s="24" t="n"/>
      <c r="BR83" s="24" t="n"/>
      <c r="BS83" s="24" t="n"/>
      <c r="BT83" s="24" t="n"/>
      <c r="BU83" s="24" t="n"/>
      <c r="BV83" s="24" t="n"/>
      <c r="BW83" s="24" t="n"/>
      <c r="BX83" s="24" t="n"/>
      <c r="BY83" s="24" t="n"/>
      <c r="BZ83" s="24" t="n"/>
      <c r="CA83" s="24" t="n"/>
      <c r="CB83" s="24" t="n"/>
      <c r="CC83" s="24" t="n"/>
      <c r="CD83" s="24" t="n"/>
      <c r="CE83" s="24" t="n"/>
      <c r="CF83" s="24" t="n"/>
      <c r="CG83" s="24" t="n"/>
    </row>
    <row r="84">
      <c r="O84" s="25">
        <f>'클럭 정리'!A85</f>
        <v/>
      </c>
      <c r="P84" s="23">
        <f>'클럭 정리'!O85</f>
        <v/>
      </c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  <c r="AA84" s="24" t="n"/>
      <c r="AB84" s="24" t="n"/>
      <c r="AC84" s="24" t="n"/>
      <c r="AD84" s="24" t="n"/>
      <c r="AE84" s="24" t="n"/>
      <c r="AF84" s="24" t="n"/>
      <c r="AG84" s="24" t="n"/>
      <c r="AH84" s="24" t="n"/>
      <c r="AI84" s="24" t="n"/>
      <c r="AJ84" s="24" t="n"/>
      <c r="AK84" s="24" t="n"/>
      <c r="AL84" s="24" t="n"/>
      <c r="AM84" s="24" t="n"/>
      <c r="AN84" s="24" t="n"/>
      <c r="AO84" s="24" t="n"/>
      <c r="AP84" s="24" t="n"/>
      <c r="AQ84" s="24" t="n"/>
      <c r="AR84" s="24" t="n"/>
      <c r="AS84" s="24" t="n"/>
      <c r="AT84" s="24" t="n"/>
      <c r="AU84" s="24" t="n"/>
      <c r="AV84" s="24" t="n"/>
      <c r="AW84" s="24" t="n"/>
      <c r="AX84" s="24" t="n"/>
      <c r="AY84" s="24" t="n"/>
      <c r="AZ84" s="24" t="n"/>
      <c r="BA84" s="24" t="n"/>
      <c r="BB84" s="24" t="n"/>
      <c r="BC84" s="24" t="n"/>
      <c r="BD84" s="24" t="n"/>
      <c r="BE84" s="24" t="n"/>
      <c r="BF84" s="24" t="n"/>
      <c r="BG84" s="24" t="n"/>
      <c r="BH84" s="24" t="n"/>
      <c r="BI84" s="24" t="n"/>
      <c r="BJ84" s="24" t="n"/>
      <c r="BK84" s="24" t="n"/>
      <c r="BL84" s="24" t="n"/>
      <c r="BM84" s="24" t="n"/>
      <c r="BN84" s="24" t="n"/>
      <c r="BO84" s="24" t="n"/>
      <c r="BP84" s="24" t="n"/>
      <c r="BQ84" s="24" t="n"/>
      <c r="BR84" s="24" t="n"/>
      <c r="BS84" s="24" t="n"/>
      <c r="BT84" s="24" t="n"/>
      <c r="BU84" s="24" t="n"/>
      <c r="BV84" s="24" t="n"/>
      <c r="BW84" s="24" t="n"/>
      <c r="BX84" s="24" t="n"/>
      <c r="BY84" s="24" t="n"/>
      <c r="BZ84" s="24" t="n"/>
      <c r="CA84" s="24" t="n"/>
      <c r="CB84" s="24" t="n"/>
      <c r="CC84" s="24" t="n"/>
      <c r="CD84" s="24" t="n"/>
      <c r="CE84" s="24" t="n"/>
      <c r="CF84" s="24" t="n"/>
      <c r="CG84" s="24" t="n"/>
    </row>
    <row r="85">
      <c r="O85" s="25">
        <f>'클럭 정리'!A86</f>
        <v/>
      </c>
      <c r="P85" s="23">
        <f>'클럭 정리'!O86</f>
        <v/>
      </c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  <c r="AA85" s="24" t="n"/>
      <c r="AB85" s="24" t="n"/>
      <c r="AC85" s="24" t="n"/>
      <c r="AD85" s="24" t="n"/>
      <c r="AE85" s="24" t="n"/>
      <c r="AF85" s="24" t="n"/>
      <c r="AG85" s="24" t="n"/>
      <c r="AH85" s="24" t="n"/>
      <c r="AI85" s="24" t="n"/>
      <c r="AJ85" s="24" t="n"/>
      <c r="AK85" s="24" t="n"/>
      <c r="AL85" s="24" t="n"/>
      <c r="AM85" s="24" t="n"/>
      <c r="AN85" s="24" t="n"/>
      <c r="AO85" s="24" t="n"/>
      <c r="AP85" s="24" t="n"/>
      <c r="AQ85" s="24" t="n"/>
      <c r="AR85" s="24" t="n"/>
      <c r="AS85" s="24" t="n"/>
      <c r="AT85" s="24" t="n"/>
      <c r="AU85" s="24" t="n"/>
      <c r="AV85" s="24" t="n"/>
      <c r="AW85" s="24" t="n"/>
      <c r="AX85" s="24" t="n"/>
      <c r="AY85" s="24" t="n"/>
      <c r="AZ85" s="24" t="n"/>
      <c r="BA85" s="24" t="n"/>
      <c r="BB85" s="24" t="n"/>
      <c r="BC85" s="24" t="n"/>
      <c r="BD85" s="24" t="n"/>
      <c r="BE85" s="24" t="n"/>
      <c r="BF85" s="24" t="n"/>
      <c r="BG85" s="24" t="n"/>
      <c r="BH85" s="24" t="n"/>
      <c r="BI85" s="24" t="n"/>
      <c r="BJ85" s="24" t="n"/>
      <c r="BK85" s="24" t="n"/>
      <c r="BL85" s="24" t="n"/>
      <c r="BM85" s="24" t="n"/>
      <c r="BN85" s="24" t="n"/>
      <c r="BO85" s="24" t="n"/>
      <c r="BP85" s="24" t="n"/>
      <c r="BQ85" s="24" t="n"/>
      <c r="BR85" s="24" t="n"/>
      <c r="BS85" s="24" t="n"/>
      <c r="BT85" s="24" t="n"/>
      <c r="BU85" s="24" t="n"/>
      <c r="BV85" s="24" t="n"/>
      <c r="BW85" s="24" t="n"/>
      <c r="BX85" s="24" t="n"/>
      <c r="BY85" s="24" t="n"/>
      <c r="BZ85" s="24" t="n"/>
      <c r="CA85" s="24" t="n"/>
      <c r="CB85" s="24" t="n"/>
      <c r="CC85" s="24" t="n"/>
      <c r="CD85" s="24" t="n"/>
      <c r="CE85" s="24" t="n"/>
      <c r="CF85" s="24" t="n"/>
      <c r="CG85" s="24" t="n"/>
    </row>
    <row r="86">
      <c r="O86" s="25">
        <f>'클럭 정리'!A87</f>
        <v/>
      </c>
      <c r="P86" s="23">
        <f>'클럭 정리'!O87</f>
        <v/>
      </c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  <c r="AA86" s="24" t="n"/>
      <c r="AB86" s="24" t="n"/>
      <c r="AC86" s="24" t="n"/>
      <c r="AD86" s="24" t="n"/>
      <c r="AE86" s="24" t="n"/>
      <c r="AF86" s="24" t="n"/>
      <c r="AG86" s="24" t="n"/>
      <c r="AH86" s="24" t="n"/>
      <c r="AI86" s="24" t="n"/>
      <c r="AJ86" s="24" t="n"/>
      <c r="AK86" s="24" t="n"/>
      <c r="AL86" s="24" t="n"/>
      <c r="AM86" s="24" t="n"/>
      <c r="AN86" s="24" t="n"/>
      <c r="AO86" s="24" t="n"/>
      <c r="AP86" s="24" t="n"/>
      <c r="AQ86" s="24" t="n"/>
      <c r="AR86" s="24" t="n"/>
      <c r="AS86" s="24" t="n"/>
      <c r="AT86" s="24" t="n"/>
      <c r="AU86" s="24" t="n"/>
      <c r="AV86" s="24" t="n"/>
      <c r="AW86" s="24" t="n"/>
      <c r="AX86" s="24" t="n"/>
      <c r="AY86" s="24" t="n"/>
      <c r="AZ86" s="24" t="n"/>
      <c r="BA86" s="24" t="n"/>
      <c r="BB86" s="24" t="n"/>
      <c r="BC86" s="24" t="n"/>
      <c r="BD86" s="24" t="n"/>
      <c r="BE86" s="24" t="n"/>
      <c r="BF86" s="24" t="n"/>
      <c r="BG86" s="24" t="n"/>
      <c r="BH86" s="24" t="n"/>
      <c r="BI86" s="24" t="n"/>
      <c r="BJ86" s="24" t="n"/>
      <c r="BK86" s="24" t="n"/>
      <c r="BL86" s="24" t="n"/>
      <c r="BM86" s="24" t="n"/>
      <c r="BN86" s="24" t="n"/>
      <c r="BO86" s="24" t="n"/>
      <c r="BP86" s="24" t="n"/>
      <c r="BQ86" s="24" t="n"/>
      <c r="BR86" s="24" t="n"/>
      <c r="BS86" s="24" t="n"/>
      <c r="BT86" s="24" t="n"/>
      <c r="BU86" s="24" t="n"/>
      <c r="BV86" s="24" t="n"/>
      <c r="BW86" s="24" t="n"/>
      <c r="BX86" s="24" t="n"/>
      <c r="BY86" s="24" t="n"/>
      <c r="BZ86" s="24" t="n"/>
      <c r="CA86" s="24" t="n"/>
      <c r="CB86" s="24" t="n"/>
      <c r="CC86" s="24" t="n"/>
      <c r="CD86" s="24" t="n"/>
      <c r="CE86" s="24" t="n"/>
      <c r="CF86" s="24" t="n"/>
      <c r="CG86" s="2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2026-08-04T02:30:53Z</dcterms:created>
  <dcterms:modified xmlns:dcterms="http://purl.org/dc/terms/" xmlns:xsi="http://www.w3.org/2001/XMLSchema-instance" xsi:type="dcterms:W3CDTF">2026-08-04T02:30:53Z</dcterms:modified>
</cp:coreProperties>
</file>