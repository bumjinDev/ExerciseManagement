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클럭 정리" sheetId="1" state="visible" r:id="rId1"/>
    <sheet xmlns:r="http://schemas.openxmlformats.org/officeDocument/2006/relationships" name="구간과 스레드 매핑" sheetId="2" state="visible" r:id="rId2"/>
    <sheet xmlns:r="http://schemas.openxmlformats.org/officeDocument/2006/relationships" name="스레드별 클럭" sheetId="3" state="visible" r:id="rId3"/>
    <sheet xmlns:r="http://schemas.openxmlformats.org/officeDocument/2006/relationships" name="회차별 측정값" sheetId="4" state="visible" r:id="rId4"/>
    <sheet xmlns:r="http://schemas.openxmlformats.org/officeDocument/2006/relationships" name="차트" sheetId="5" state="visible" r:id="rId5"/>
    <sheet xmlns:r="http://schemas.openxmlformats.org/officeDocument/2006/relationships" name="차트 데이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hh:mm:ss.000"/>
    <numFmt numFmtId="166" formatCode="0.0"/>
    <numFmt numFmtId="167" formatCode="hh:mm:ss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9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000000"/>
      <sz val="9"/>
    </font>
    <font>
      <name val="Arial"/>
      <color rgb="00008000"/>
      <sz val="9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2" fillId="3" borderId="1" pivotButton="0" quotePrefix="0" xfId="0"/>
    <xf numFmtId="165" fontId="5" fillId="0" borderId="0" pivotButton="0" quotePrefix="0" xfId="0"/>
    <xf numFmtId="166" fontId="5" fillId="0" borderId="0" pivotButton="0" quotePrefix="0" xfId="0"/>
    <xf numFmtId="2" fontId="5" fillId="0" borderId="0" pivotButton="0" quotePrefix="0" xfId="0"/>
    <xf numFmtId="0" fontId="2" fillId="0" borderId="1" pivotButton="0" quotePrefix="0" xfId="0"/>
    <xf numFmtId="165" fontId="5" fillId="0" borderId="1" pivotButton="0" quotePrefix="0" xfId="0"/>
    <xf numFmtId="2" fontId="5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166" fontId="5" fillId="0" borderId="1" pivotButton="0" quotePrefix="0" xfId="0"/>
    <xf numFmtId="2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5" fillId="0" borderId="0" pivotButton="0" quotePrefix="0" xfId="0"/>
    <xf numFmtId="0" fontId="2" fillId="3" borderId="0" pivotButton="0" quotePrefix="0" xfId="0"/>
    <xf numFmtId="2" fontId="6" fillId="0" borderId="0" pivotButton="0" quotePrefix="0" xfId="0"/>
    <xf numFmtId="0" fontId="7" fillId="3" borderId="1" pivotButton="0" quotePrefix="0" xfId="0"/>
    <xf numFmtId="165" fontId="8" fillId="0" borderId="1" pivotButton="0" quotePrefix="0" xfId="0"/>
    <xf numFmtId="2" fontId="8" fillId="0" borderId="1" pivotButton="0" quotePrefix="0" xfId="0"/>
    <xf numFmtId="167" fontId="8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전체 평균 클럭 추이 (전체 평균 + 스레드별)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데이터'!$Q$5:$Q$74</f>
            </numRef>
          </val>
        </ser>
        <ser>
          <idx val="1"/>
          <order val="1"/>
          <tx>
            <strRef>
              <f>'차트 데이터'!R4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데이터'!$R$5:$R$74</f>
            </numRef>
          </val>
        </ser>
        <ser>
          <idx val="2"/>
          <order val="2"/>
          <tx>
            <strRef>
              <f>'차트 데이터'!S4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데이터'!$S$5:$S$74</f>
            </numRef>
          </val>
        </ser>
        <ser>
          <idx val="3"/>
          <order val="3"/>
          <tx>
            <strRef>
              <f>'차트 데이터'!T4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데이터'!$T$5:$T$74</f>
            </numRef>
          </val>
        </ser>
        <ser>
          <idx val="4"/>
          <order val="4"/>
          <tx>
            <strRef>
              <f>'차트 데이터'!U4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데이터'!$U$5:$U$74</f>
            </numRef>
          </val>
        </ser>
        <ser>
          <idx val="5"/>
          <order val="5"/>
          <tx>
            <strRef>
              <f>'차트 데이터'!V4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데이터'!$V$5:$V$74</f>
            </numRef>
          </val>
        </ser>
        <ser>
          <idx val="6"/>
          <order val="6"/>
          <tx>
            <strRef>
              <f>'차트 데이터'!W4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데이터'!$W$5:$W$74</f>
            </numRef>
          </val>
        </ser>
        <ser>
          <idx val="7"/>
          <order val="7"/>
          <tx>
            <strRef>
              <f>'차트 데이터'!X4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데이터'!$X$5:$X$74</f>
            </numRef>
          </val>
        </ser>
        <ser>
          <idx val="8"/>
          <order val="8"/>
          <tx>
            <strRef>
              <f>'차트 데이터'!Y4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데이터'!$Y$5:$Y$74</f>
            </numRef>
          </val>
        </ser>
        <ser>
          <idx val="9"/>
          <order val="9"/>
          <tx>
            <strRef>
              <f>'차트 데이터'!Z4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데이터'!$Z$5:$Z$74</f>
            </numRef>
          </val>
        </ser>
        <ser>
          <idx val="10"/>
          <order val="10"/>
          <tx>
            <strRef>
              <f>'차트 데이터'!AA4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데이터'!$AA$5:$AA$74</f>
            </numRef>
          </val>
        </ser>
        <ser>
          <idx val="11"/>
          <order val="11"/>
          <tx>
            <strRef>
              <f>'차트 데이터'!AB4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데이터'!$AB$5:$AB$74</f>
            </numRef>
          </val>
        </ser>
        <ser>
          <idx val="12"/>
          <order val="12"/>
          <tx>
            <strRef>
              <f>'차트 데이터'!AC4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데이터'!$AC$5:$AC$74</f>
            </numRef>
          </val>
        </ser>
        <ser>
          <idx val="13"/>
          <order val="13"/>
          <tx>
            <strRef>
              <f>'차트 데이터'!AD4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데이터'!$AD$5:$AD$74</f>
            </numRef>
          </val>
        </ser>
        <ser>
          <idx val="14"/>
          <order val="14"/>
          <tx>
            <strRef>
              <f>'차트 데이터'!AE4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데이터'!$AE$5:$AE$74</f>
            </numRef>
          </val>
        </ser>
        <ser>
          <idx val="15"/>
          <order val="15"/>
          <tx>
            <strRef>
              <f>'차트 데이터'!AF4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데이터'!$AF$5:$AF$74</f>
            </numRef>
          </val>
        </ser>
        <ser>
          <idx val="16"/>
          <order val="16"/>
          <tx>
            <strRef>
              <f>'차트 데이터'!AG4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데이터'!$AG$5:$AG$74</f>
            </numRef>
          </val>
        </ser>
        <ser>
          <idx val="17"/>
          <order val="17"/>
          <tx>
            <strRef>
              <f>'차트 데이터'!AH4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데이터'!$AH$5:$AH$74</f>
            </numRef>
          </val>
        </ser>
        <ser>
          <idx val="18"/>
          <order val="18"/>
          <tx>
            <strRef>
              <f>'차트 데이터'!AI4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데이터'!$AI$5:$AI$74</f>
            </numRef>
          </val>
        </ser>
        <ser>
          <idx val="19"/>
          <order val="19"/>
          <tx>
            <strRef>
              <f>'차트 데이터'!AJ4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데이터'!$AJ$5:$AJ$74</f>
            </numRef>
          </val>
        </ser>
        <ser>
          <idx val="20"/>
          <order val="20"/>
          <tx>
            <strRef>
              <f>'차트 데이터'!AK4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데이터'!$AK$5:$AK$74</f>
            </numRef>
          </val>
        </ser>
        <ser>
          <idx val="21"/>
          <order val="21"/>
          <tx>
            <strRef>
              <f>'차트 데이터'!AL4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데이터'!$AL$5:$AL$74</f>
            </numRef>
          </val>
        </ser>
        <ser>
          <idx val="22"/>
          <order val="22"/>
          <tx>
            <strRef>
              <f>'차트 데이터'!AM4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데이터'!$AM$5:$AM$74</f>
            </numRef>
          </val>
        </ser>
        <ser>
          <idx val="23"/>
          <order val="23"/>
          <tx>
            <strRef>
              <f>'차트 데이터'!AN4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데이터'!$AN$5:$AN$74</f>
            </numRef>
          </val>
        </ser>
        <ser>
          <idx val="24"/>
          <order val="24"/>
          <tx>
            <strRef>
              <f>'차트 데이터'!AO4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데이터'!$AO$5:$AO$74</f>
            </numRef>
          </val>
        </ser>
        <ser>
          <idx val="25"/>
          <order val="25"/>
          <tx>
            <strRef>
              <f>'차트 데이터'!AP4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데이터'!$AP$5:$AP$74</f>
            </numRef>
          </val>
        </ser>
        <ser>
          <idx val="26"/>
          <order val="26"/>
          <tx>
            <strRef>
              <f>'차트 데이터'!AQ4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데이터'!$AQ$5:$AQ$74</f>
            </numRef>
          </val>
        </ser>
        <ser>
          <idx val="27"/>
          <order val="27"/>
          <tx>
            <strRef>
              <f>'차트 데이터'!AR4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데이터'!$AR$5:$AR$74</f>
            </numRef>
          </val>
        </ser>
        <ser>
          <idx val="28"/>
          <order val="28"/>
          <tx>
            <strRef>
              <f>'차트 데이터'!AS4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데이터'!$AS$5:$AS$74</f>
            </numRef>
          </val>
        </ser>
        <ser>
          <idx val="29"/>
          <order val="29"/>
          <tx>
            <strRef>
              <f>'차트 데이터'!AT4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데이터'!$AT$5:$AT$74</f>
            </numRef>
          </val>
        </ser>
        <ser>
          <idx val="30"/>
          <order val="30"/>
          <tx>
            <strRef>
              <f>'차트 데이터'!AU4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데이터'!$AU$5:$AU$74</f>
            </numRef>
          </val>
        </ser>
        <ser>
          <idx val="31"/>
          <order val="31"/>
          <tx>
            <strRef>
              <f>'차트 데이터'!AV4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데이터'!$AV$5:$AV$74</f>
            </numRef>
          </val>
        </ser>
        <ser>
          <idx val="32"/>
          <order val="32"/>
          <tx>
            <strRef>
              <f>'차트 데이터'!AW4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데이터'!$AW$5:$AW$74</f>
            </numRef>
          </val>
        </ser>
        <ser>
          <idx val="33"/>
          <order val="33"/>
          <tx>
            <strRef>
              <f>'차트 데이터'!AX4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데이터'!$AX$5:$AX$74</f>
            </numRef>
          </val>
        </ser>
        <ser>
          <idx val="34"/>
          <order val="34"/>
          <tx>
            <strRef>
              <f>'차트 데이터'!AY4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데이터'!$AY$5:$AY$74</f>
            </numRef>
          </val>
        </ser>
        <ser>
          <idx val="35"/>
          <order val="35"/>
          <tx>
            <strRef>
              <f>'차트 데이터'!AZ4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데이터'!$AZ$5:$AZ$74</f>
            </numRef>
          </val>
        </ser>
        <ser>
          <idx val="36"/>
          <order val="36"/>
          <tx>
            <strRef>
              <f>'차트 데이터'!BA4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데이터'!$BA$5:$BA$74</f>
            </numRef>
          </val>
        </ser>
        <ser>
          <idx val="37"/>
          <order val="37"/>
          <tx>
            <strRef>
              <f>'차트 데이터'!BB4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데이터'!$BB$5:$BB$74</f>
            </numRef>
          </val>
        </ser>
        <ser>
          <idx val="38"/>
          <order val="38"/>
          <tx>
            <strRef>
              <f>'차트 데이터'!BC4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데이터'!$BC$5:$BC$74</f>
            </numRef>
          </val>
        </ser>
        <ser>
          <idx val="39"/>
          <order val="39"/>
          <tx>
            <strRef>
              <f>'차트 데이터'!BD4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데이터'!$BD$5:$BD$74</f>
            </numRef>
          </val>
        </ser>
        <ser>
          <idx val="40"/>
          <order val="40"/>
          <tx>
            <strRef>
              <f>'차트 데이터'!BE4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데이터'!$BE$5:$BE$74</f>
            </numRef>
          </val>
        </ser>
        <ser>
          <idx val="41"/>
          <order val="41"/>
          <tx>
            <strRef>
              <f>'차트 데이터'!BF4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데이터'!$BF$5:$BF$74</f>
            </numRef>
          </val>
        </ser>
        <ser>
          <idx val="42"/>
          <order val="42"/>
          <tx>
            <strRef>
              <f>'차트 데이터'!BG4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데이터'!$BG$5:$BG$74</f>
            </numRef>
          </val>
        </ser>
        <ser>
          <idx val="43"/>
          <order val="43"/>
          <tx>
            <strRef>
              <f>'차트 데이터'!BH4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데이터'!$BH$5:$BH$74</f>
            </numRef>
          </val>
        </ser>
        <ser>
          <idx val="44"/>
          <order val="44"/>
          <tx>
            <strRef>
              <f>'차트 데이터'!BI4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데이터'!$BI$5:$BI$74</f>
            </numRef>
          </val>
        </ser>
        <ser>
          <idx val="45"/>
          <order val="45"/>
          <tx>
            <strRef>
              <f>'차트 데이터'!BJ4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데이터'!$BJ$5:$BJ$74</f>
            </numRef>
          </val>
        </ser>
        <ser>
          <idx val="46"/>
          <order val="46"/>
          <tx>
            <strRef>
              <f>'차트 데이터'!BK4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데이터'!$BK$5:$BK$74</f>
            </numRef>
          </val>
        </ser>
        <ser>
          <idx val="47"/>
          <order val="47"/>
          <tx>
            <strRef>
              <f>'차트 데이터'!BL4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데이터'!$BL$5:$BL$74</f>
            </numRef>
          </val>
        </ser>
        <ser>
          <idx val="48"/>
          <order val="48"/>
          <tx>
            <strRef>
              <f>'차트 데이터'!BM4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데이터'!$BM$5:$BM$74</f>
            </numRef>
          </val>
        </ser>
        <ser>
          <idx val="49"/>
          <order val="49"/>
          <tx>
            <strRef>
              <f>'차트 데이터'!BN4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데이터'!$BN$5:$BN$74</f>
            </numRef>
          </val>
        </ser>
        <ser>
          <idx val="50"/>
          <order val="50"/>
          <tx>
            <strRef>
              <f>'차트 데이터'!BO4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데이터'!$BO$5:$BO$74</f>
            </numRef>
          </val>
        </ser>
        <ser>
          <idx val="51"/>
          <order val="51"/>
          <tx>
            <strRef>
              <f>'차트 데이터'!BP4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데이터'!$BP$5:$BP$74</f>
            </numRef>
          </val>
        </ser>
        <ser>
          <idx val="52"/>
          <order val="52"/>
          <tx>
            <strRef>
              <f>'차트 데이터'!BQ4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데이터'!$BQ$5:$BQ$74</f>
            </numRef>
          </val>
        </ser>
        <ser>
          <idx val="53"/>
          <order val="53"/>
          <tx>
            <strRef>
              <f>'차트 데이터'!BR4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데이터'!$BR$5:$BR$74</f>
            </numRef>
          </val>
        </ser>
        <ser>
          <idx val="54"/>
          <order val="54"/>
          <tx>
            <strRef>
              <f>'차트 데이터'!BS4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데이터'!$BS$5:$BS$74</f>
            </numRef>
          </val>
        </ser>
        <ser>
          <idx val="55"/>
          <order val="55"/>
          <tx>
            <strRef>
              <f>'차트 데이터'!BT4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데이터'!$BT$5:$BT$74</f>
            </numRef>
          </val>
        </ser>
        <ser>
          <idx val="56"/>
          <order val="56"/>
          <tx>
            <strRef>
              <f>'차트 데이터'!BU4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데이터'!$BU$5:$BU$74</f>
            </numRef>
          </val>
        </ser>
        <ser>
          <idx val="57"/>
          <order val="57"/>
          <tx>
            <strRef>
              <f>'차트 데이터'!BV4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데이터'!$BV$5:$BV$74</f>
            </numRef>
          </val>
        </ser>
        <ser>
          <idx val="58"/>
          <order val="58"/>
          <tx>
            <strRef>
              <f>'차트 데이터'!BW4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데이터'!$BW$5:$BW$74</f>
            </numRef>
          </val>
        </ser>
        <ser>
          <idx val="59"/>
          <order val="59"/>
          <tx>
            <strRef>
              <f>'차트 데이터'!BX4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데이터'!$BX$5:$BX$74</f>
            </numRef>
          </val>
        </ser>
        <ser>
          <idx val="60"/>
          <order val="60"/>
          <tx>
            <strRef>
              <f>'차트 데이터'!BY4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데이터'!$BY$5:$BY$74</f>
            </numRef>
          </val>
        </ser>
        <ser>
          <idx val="61"/>
          <order val="61"/>
          <tx>
            <strRef>
              <f>'차트 데이터'!BZ4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데이터'!$BZ$5:$BZ$74</f>
            </numRef>
          </val>
        </ser>
        <ser>
          <idx val="62"/>
          <order val="62"/>
          <tx>
            <strRef>
              <f>'차트 데이터'!CA4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데이터'!$CA$5:$CA$74</f>
            </numRef>
          </val>
        </ser>
        <ser>
          <idx val="63"/>
          <order val="63"/>
          <tx>
            <strRef>
              <f>'차트 데이터'!CB4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데이터'!$CB$5:$CB$74</f>
            </numRef>
          </val>
        </ser>
        <ser>
          <idx val="64"/>
          <order val="64"/>
          <tx>
            <strRef>
              <f>'차트 데이터'!CC4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데이터'!$CC$5:$CC$74</f>
            </numRef>
          </val>
        </ser>
        <ser>
          <idx val="65"/>
          <order val="65"/>
          <tx>
            <strRef>
              <f>'차트 데이터'!CD4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데이터'!$CD$5:$CD$74</f>
            </numRef>
          </val>
        </ser>
        <ser>
          <idx val="66"/>
          <order val="66"/>
          <tx>
            <strRef>
              <f>'차트 데이터'!CE4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데이터'!$CE$5:$CE$74</f>
            </numRef>
          </val>
        </ser>
        <ser>
          <idx val="67"/>
          <order val="67"/>
          <tx>
            <strRef>
              <f>'차트 데이터'!CF4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데이터'!$CF$5:$CF$74</f>
            </numRef>
          </val>
        </ser>
        <ser>
          <idx val="68"/>
          <order val="68"/>
          <tx>
            <strRef>
              <f>'차트 데이터'!CG4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데이터'!$CG$5:$CG$74</f>
            </numRef>
          </val>
        </ser>
        <ser>
          <idx val="69"/>
          <order val="69"/>
          <tx>
            <strRef>
              <f>'차트 데이터'!CH4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데이터'!$CH$5:$CH$74</f>
            </numRef>
          </val>
        </ser>
        <ser>
          <idx val="70"/>
          <order val="70"/>
          <tx>
            <strRef>
              <f>'차트 데이터'!CI4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데이터'!$CI$5:$CI$74</f>
            </numRef>
          </val>
        </ser>
        <ser>
          <idx val="71"/>
          <order val="71"/>
          <tx>
            <strRef>
              <f>'차트 데이터'!CJ4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데이터'!$CJ$5:$CJ$74</f>
            </numRef>
          </val>
        </ser>
        <ser>
          <idx val="72"/>
          <order val="72"/>
          <tx>
            <strRef>
              <f>'차트 데이터'!CK4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데이터'!$CK$5:$CK$74</f>
            </numRef>
          </val>
        </ser>
        <ser>
          <idx val="73"/>
          <order val="73"/>
          <tx>
            <strRef>
              <f>'차트 데이터'!CL4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데이터'!$CL$5:$CL$74</f>
            </numRef>
          </val>
        </ser>
        <ser>
          <idx val="74"/>
          <order val="74"/>
          <tx>
            <strRef>
              <f>'차트 데이터'!CM4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데이터'!$CM$5:$CM$74</f>
            </numRef>
          </val>
        </ser>
        <ser>
          <idx val="75"/>
          <order val="75"/>
          <tx>
            <strRef>
              <f>'차트 데이터'!CN4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데이터'!$CN$5:$CN$74</f>
            </numRef>
          </val>
        </ser>
        <ser>
          <idx val="76"/>
          <order val="76"/>
          <tx>
            <strRef>
              <f>'차트 데이터'!CO4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데이터'!$CO$5:$CO$74</f>
            </numRef>
          </val>
        </ser>
        <ser>
          <idx val="77"/>
          <order val="77"/>
          <tx>
            <strRef>
              <f>'차트 데이터'!CP4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데이터'!$CP$5:$CP$74</f>
            </numRef>
          </val>
        </ser>
        <ser>
          <idx val="78"/>
          <order val="78"/>
          <tx>
            <strRef>
              <f>'차트 데이터'!CQ4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데이터'!$CQ$5:$CQ$74</f>
            </numRef>
          </val>
        </ser>
        <ser>
          <idx val="79"/>
          <order val="79"/>
          <tx>
            <strRef>
              <f>'차트 데이터'!CR4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데이터'!$CR$5:$CR$74</f>
            </numRef>
          </val>
        </ser>
        <ser>
          <idx val="80"/>
          <order val="80"/>
          <tx>
            <strRef>
              <f>'차트 데이터'!CS4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데이터'!$CS$5:$CS$74</f>
            </numRef>
          </val>
        </ser>
        <ser>
          <idx val="81"/>
          <order val="81"/>
          <tx>
            <strRef>
              <f>'차트 데이터'!CT4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데이터'!$CT$5:$CT$74</f>
            </numRef>
          </val>
        </ser>
        <ser>
          <idx val="82"/>
          <order val="82"/>
          <tx>
            <strRef>
              <f>'차트 데이터'!CU4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데이터'!$CU$5:$CU$74</f>
            </numRef>
          </val>
        </ser>
        <ser>
          <idx val="83"/>
          <order val="83"/>
          <tx>
            <strRef>
              <f>'차트 데이터'!CV4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데이터'!$CV$5:$CV$74</f>
            </numRef>
          </val>
        </ser>
        <ser>
          <idx val="84"/>
          <order val="84"/>
          <tx>
            <strRef>
              <f>'차트 데이터'!CW4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데이터'!$CW$5:$CW$74</f>
            </numRef>
          </val>
        </ser>
        <ser>
          <idx val="85"/>
          <order val="85"/>
          <tx>
            <strRef>
              <f>'차트 데이터'!CX4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데이터'!$CX$5:$CX$74</f>
            </numRef>
          </val>
        </ser>
        <ser>
          <idx val="86"/>
          <order val="86"/>
          <tx>
            <strRef>
              <f>'차트 데이터'!CY4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데이터'!$P$5:$P$74</f>
            </numRef>
          </cat>
          <val>
            <numRef>
              <f>'차트 데이터'!$CY$5:$CY$74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  <tickLblSkip val="10"/>
        <tickMarkSkip val="1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구간별 평균 클럭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'차트'!B3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'차트'!$B$4:$B$11</f>
            </numRef>
          </val>
        </ser>
        <ser>
          <idx val="1"/>
          <order val="1"/>
          <tx>
            <strRef>
              <f>'차트'!C3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'차트'!$C$4:$C$11</f>
            </numRef>
          </val>
        </ser>
        <ser>
          <idx val="2"/>
          <order val="2"/>
          <tx>
            <strRef>
              <f>'차트'!D3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'차트'!$D$4:$D$11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구간 종류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10 측정 1회차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데이터'!$B$5:$B$6</f>
            </numRef>
          </val>
        </ser>
        <ser>
          <idx val="1"/>
          <order val="1"/>
          <tx>
            <strRef>
              <f>'차트 데이터'!C4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데이터'!$C$5:$C$6</f>
            </numRef>
          </val>
        </ser>
        <ser>
          <idx val="2"/>
          <order val="2"/>
          <tx>
            <strRef>
              <f>'차트 데이터'!D4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데이터'!$D$5:$D$6</f>
            </numRef>
          </val>
        </ser>
        <ser>
          <idx val="3"/>
          <order val="3"/>
          <tx>
            <strRef>
              <f>'차트 데이터'!E4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데이터'!$E$5:$E$6</f>
            </numRef>
          </val>
        </ser>
        <ser>
          <idx val="4"/>
          <order val="4"/>
          <tx>
            <strRef>
              <f>'차트 데이터'!F4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데이터'!$F$5:$F$6</f>
            </numRef>
          </val>
        </ser>
        <ser>
          <idx val="5"/>
          <order val="5"/>
          <tx>
            <strRef>
              <f>'차트 데이터'!G4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데이터'!$G$5:$G$6</f>
            </numRef>
          </val>
        </ser>
        <ser>
          <idx val="6"/>
          <order val="6"/>
          <tx>
            <strRef>
              <f>'차트 데이터'!H4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데이터'!$H$5:$H$6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10 측정 2회차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데이터'!$B$10:$B$11</f>
            </numRef>
          </val>
        </ser>
        <ser>
          <idx val="1"/>
          <order val="1"/>
          <tx>
            <strRef>
              <f>'차트 데이터'!C9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데이터'!$C$10:$C$11</f>
            </numRef>
          </val>
        </ser>
        <ser>
          <idx val="2"/>
          <order val="2"/>
          <tx>
            <strRef>
              <f>'차트 데이터'!D9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데이터'!$D$10:$D$11</f>
            </numRef>
          </val>
        </ser>
        <ser>
          <idx val="3"/>
          <order val="3"/>
          <tx>
            <strRef>
              <f>'차트 데이터'!E9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데이터'!$E$10:$E$11</f>
            </numRef>
          </val>
        </ser>
        <ser>
          <idx val="4"/>
          <order val="4"/>
          <tx>
            <strRef>
              <f>'차트 데이터'!F9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데이터'!$F$10:$F$11</f>
            </numRef>
          </val>
        </ser>
        <ser>
          <idx val="5"/>
          <order val="5"/>
          <tx>
            <strRef>
              <f>'차트 데이터'!G9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데이터'!$G$10:$G$11</f>
            </numRef>
          </val>
        </ser>
        <ser>
          <idx val="6"/>
          <order val="6"/>
          <tx>
            <strRef>
              <f>'차트 데이터'!H9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데이터'!$H$10:$H$11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10 측정 3회차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데이터'!$B$15:$B$16</f>
            </numRef>
          </val>
        </ser>
        <ser>
          <idx val="1"/>
          <order val="1"/>
          <tx>
            <strRef>
              <f>'차트 데이터'!C14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데이터'!$C$15:$C$16</f>
            </numRef>
          </val>
        </ser>
        <ser>
          <idx val="2"/>
          <order val="2"/>
          <tx>
            <strRef>
              <f>'차트 데이터'!D14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데이터'!$D$15:$D$16</f>
            </numRef>
          </val>
        </ser>
        <ser>
          <idx val="3"/>
          <order val="3"/>
          <tx>
            <strRef>
              <f>'차트 데이터'!E14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데이터'!$E$15:$E$16</f>
            </numRef>
          </val>
        </ser>
        <ser>
          <idx val="4"/>
          <order val="4"/>
          <tx>
            <strRef>
              <f>'차트 데이터'!F14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데이터'!$F$15:$F$16</f>
            </numRef>
          </val>
        </ser>
        <ser>
          <idx val="5"/>
          <order val="5"/>
          <tx>
            <strRef>
              <f>'차트 데이터'!G14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데이터'!$G$15:$G$16</f>
            </numRef>
          </val>
        </ser>
        <ser>
          <idx val="6"/>
          <order val="6"/>
          <tx>
            <strRef>
              <f>'차트 데이터'!H14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데이터'!$H$15:$H$16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10 측정 4회차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데이터'!$B$20:$B$21</f>
            </numRef>
          </val>
        </ser>
        <ser>
          <idx val="1"/>
          <order val="1"/>
          <tx>
            <strRef>
              <f>'차트 데이터'!C19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데이터'!$C$20:$C$21</f>
            </numRef>
          </val>
        </ser>
        <ser>
          <idx val="2"/>
          <order val="2"/>
          <tx>
            <strRef>
              <f>'차트 데이터'!D19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데이터'!$D$20:$D$21</f>
            </numRef>
          </val>
        </ser>
        <ser>
          <idx val="3"/>
          <order val="3"/>
          <tx>
            <strRef>
              <f>'차트 데이터'!E19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데이터'!$E$20:$E$21</f>
            </numRef>
          </val>
        </ser>
        <ser>
          <idx val="4"/>
          <order val="4"/>
          <tx>
            <strRef>
              <f>'차트 데이터'!F19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데이터'!$F$20:$F$21</f>
            </numRef>
          </val>
        </ser>
        <ser>
          <idx val="5"/>
          <order val="5"/>
          <tx>
            <strRef>
              <f>'차트 데이터'!G19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데이터'!$G$20:$G$21</f>
            </numRef>
          </val>
        </ser>
        <ser>
          <idx val="6"/>
          <order val="6"/>
          <tx>
            <strRef>
              <f>'차트 데이터'!H19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데이터'!$H$20:$H$21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10 측정 5회차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데이터'!$B$25:$B$26</f>
            </numRef>
          </val>
        </ser>
        <ser>
          <idx val="1"/>
          <order val="1"/>
          <tx>
            <strRef>
              <f>'차트 데이터'!C24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데이터'!$C$25:$C$26</f>
            </numRef>
          </val>
        </ser>
        <ser>
          <idx val="2"/>
          <order val="2"/>
          <tx>
            <strRef>
              <f>'차트 데이터'!D24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데이터'!$D$25:$D$26</f>
            </numRef>
          </val>
        </ser>
        <ser>
          <idx val="3"/>
          <order val="3"/>
          <tx>
            <strRef>
              <f>'차트 데이터'!E24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데이터'!$E$25:$E$26</f>
            </numRef>
          </val>
        </ser>
        <ser>
          <idx val="4"/>
          <order val="4"/>
          <tx>
            <strRef>
              <f>'차트 데이터'!F24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데이터'!$F$25:$F$26</f>
            </numRef>
          </val>
        </ser>
        <ser>
          <idx val="5"/>
          <order val="5"/>
          <tx>
            <strRef>
              <f>'차트 데이터'!G24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데이터'!$G$25:$G$26</f>
            </numRef>
          </val>
        </ser>
        <ser>
          <idx val="6"/>
          <order val="6"/>
          <tx>
            <strRef>
              <f>'차트 데이터'!H24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데이터'!$H$25:$H$26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10 측정 1회차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데이터'!$B$30</f>
            </numRef>
          </val>
        </ser>
        <ser>
          <idx val="1"/>
          <order val="1"/>
          <tx>
            <strRef>
              <f>'차트 데이터'!C29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데이터'!$C$30</f>
            </numRef>
          </val>
        </ser>
        <ser>
          <idx val="2"/>
          <order val="2"/>
          <tx>
            <strRef>
              <f>'차트 데이터'!D29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데이터'!$D$30</f>
            </numRef>
          </val>
        </ser>
        <ser>
          <idx val="3"/>
          <order val="3"/>
          <tx>
            <strRef>
              <f>'차트 데이터'!E29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데이터'!$E$30</f>
            </numRef>
          </val>
        </ser>
        <ser>
          <idx val="4"/>
          <order val="4"/>
          <tx>
            <strRef>
              <f>'차트 데이터'!F29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데이터'!$F$30</f>
            </numRef>
          </val>
        </ser>
        <ser>
          <idx val="5"/>
          <order val="5"/>
          <tx>
            <strRef>
              <f>'차트 데이터'!G29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데이터'!$G$30</f>
            </numRef>
          </val>
        </ser>
        <ser>
          <idx val="6"/>
          <order val="6"/>
          <tx>
            <strRef>
              <f>'차트 데이터'!H29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데이터'!$H$30</f>
            </numRef>
          </val>
        </ser>
        <ser>
          <idx val="7"/>
          <order val="7"/>
          <tx>
            <strRef>
              <f>'차트 데이터'!I29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데이터'!$I$30</f>
            </numRef>
          </val>
        </ser>
        <ser>
          <idx val="8"/>
          <order val="8"/>
          <tx>
            <strRef>
              <f>'차트 데이터'!J29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데이터'!$J$30</f>
            </numRef>
          </val>
        </ser>
        <ser>
          <idx val="9"/>
          <order val="9"/>
          <tx>
            <strRef>
              <f>'차트 데이터'!K29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데이터'!$K$30</f>
            </numRef>
          </val>
        </ser>
        <ser>
          <idx val="10"/>
          <order val="10"/>
          <tx>
            <strRef>
              <f>'차트 데이터'!L29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</f>
            </numRef>
          </cat>
          <val>
            <numRef>
              <f>'차트 데이터'!$L$30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10 측정 2회차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데이터'!$B$34:$B$35</f>
            </numRef>
          </val>
        </ser>
        <ser>
          <idx val="1"/>
          <order val="1"/>
          <tx>
            <strRef>
              <f>'차트 데이터'!C33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데이터'!$C$34:$C$35</f>
            </numRef>
          </val>
        </ser>
        <ser>
          <idx val="2"/>
          <order val="2"/>
          <tx>
            <strRef>
              <f>'차트 데이터'!D33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데이터'!$D$34:$D$35</f>
            </numRef>
          </val>
        </ser>
        <ser>
          <idx val="3"/>
          <order val="3"/>
          <tx>
            <strRef>
              <f>'차트 데이터'!E33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데이터'!$E$34:$E$35</f>
            </numRef>
          </val>
        </ser>
        <ser>
          <idx val="4"/>
          <order val="4"/>
          <tx>
            <strRef>
              <f>'차트 데이터'!F33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데이터'!$F$34:$F$35</f>
            </numRef>
          </val>
        </ser>
        <ser>
          <idx val="5"/>
          <order val="5"/>
          <tx>
            <strRef>
              <f>'차트 데이터'!G33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데이터'!$G$34:$G$35</f>
            </numRef>
          </val>
        </ser>
        <ser>
          <idx val="6"/>
          <order val="6"/>
          <tx>
            <strRef>
              <f>'차트 데이터'!H33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데이터'!$H$34:$H$35</f>
            </numRef>
          </val>
        </ser>
        <ser>
          <idx val="7"/>
          <order val="7"/>
          <tx>
            <strRef>
              <f>'차트 데이터'!I33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데이터'!$I$34:$I$35</f>
            </numRef>
          </val>
        </ser>
        <ser>
          <idx val="8"/>
          <order val="8"/>
          <tx>
            <strRef>
              <f>'차트 데이터'!J33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데이터'!$J$34:$J$35</f>
            </numRef>
          </val>
        </ser>
        <ser>
          <idx val="9"/>
          <order val="9"/>
          <tx>
            <strRef>
              <f>'차트 데이터'!K33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데이터'!$K$34:$K$35</f>
            </numRef>
          </val>
        </ser>
        <ser>
          <idx val="10"/>
          <order val="10"/>
          <tx>
            <strRef>
              <f>'차트 데이터'!L33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데이터'!$L$34:$L$35</f>
            </numRef>
          </val>
        </ser>
        <ser>
          <idx val="11"/>
          <order val="11"/>
          <tx>
            <strRef>
              <f>'차트 데이터'!M33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데이터'!$A$34:$A$35</f>
            </numRef>
          </cat>
          <val>
            <numRef>
              <f>'차트 데이터'!$M$34:$M$35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10 측정 3회차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</f>
            </numRef>
          </cat>
          <val>
            <numRef>
              <f>'차트 데이터'!$B$39</f>
            </numRef>
          </val>
        </ser>
        <ser>
          <idx val="1"/>
          <order val="1"/>
          <tx>
            <strRef>
              <f>'차트 데이터'!C38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</f>
            </numRef>
          </cat>
          <val>
            <numRef>
              <f>'차트 데이터'!$C$39</f>
            </numRef>
          </val>
        </ser>
        <ser>
          <idx val="2"/>
          <order val="2"/>
          <tx>
            <strRef>
              <f>'차트 데이터'!D38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</f>
            </numRef>
          </cat>
          <val>
            <numRef>
              <f>'차트 데이터'!$D$39</f>
            </numRef>
          </val>
        </ser>
        <ser>
          <idx val="3"/>
          <order val="3"/>
          <tx>
            <strRef>
              <f>'차트 데이터'!E38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</f>
            </numRef>
          </cat>
          <val>
            <numRef>
              <f>'차트 데이터'!$E$39</f>
            </numRef>
          </val>
        </ser>
        <ser>
          <idx val="4"/>
          <order val="4"/>
          <tx>
            <strRef>
              <f>'차트 데이터'!F38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</f>
            </numRef>
          </cat>
          <val>
            <numRef>
              <f>'차트 데이터'!$F$39</f>
            </numRef>
          </val>
        </ser>
        <ser>
          <idx val="5"/>
          <order val="5"/>
          <tx>
            <strRef>
              <f>'차트 데이터'!G38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</f>
            </numRef>
          </cat>
          <val>
            <numRef>
              <f>'차트 데이터'!$G$39</f>
            </numRef>
          </val>
        </ser>
        <ser>
          <idx val="6"/>
          <order val="6"/>
          <tx>
            <strRef>
              <f>'차트 데이터'!H38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</f>
            </numRef>
          </cat>
          <val>
            <numRef>
              <f>'차트 데이터'!$H$39</f>
            </numRef>
          </val>
        </ser>
        <ser>
          <idx val="7"/>
          <order val="7"/>
          <tx>
            <strRef>
              <f>'차트 데이터'!I38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</f>
            </numRef>
          </cat>
          <val>
            <numRef>
              <f>'차트 데이터'!$I$39</f>
            </numRef>
          </val>
        </ser>
        <ser>
          <idx val="8"/>
          <order val="8"/>
          <tx>
            <strRef>
              <f>'차트 데이터'!J38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</f>
            </numRef>
          </cat>
          <val>
            <numRef>
              <f>'차트 데이터'!$J$39</f>
            </numRef>
          </val>
        </ser>
        <ser>
          <idx val="9"/>
          <order val="9"/>
          <tx>
            <strRef>
              <f>'차트 데이터'!K38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</f>
            </numRef>
          </cat>
          <val>
            <numRef>
              <f>'차트 데이터'!$K$39</f>
            </numRef>
          </val>
        </ser>
        <ser>
          <idx val="10"/>
          <order val="10"/>
          <tx>
            <strRef>
              <f>'차트 데이터'!L38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</f>
            </numRef>
          </cat>
          <val>
            <numRef>
              <f>'차트 데이터'!$L$39</f>
            </numRef>
          </val>
        </ser>
        <ser>
          <idx val="11"/>
          <order val="11"/>
          <tx>
            <strRef>
              <f>'차트 데이터'!M38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데이터'!$A$39</f>
            </numRef>
          </cat>
          <val>
            <numRef>
              <f>'차트 데이터'!$M$39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10 측정 4회차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데이터'!$A$43:$A$44</f>
            </numRef>
          </cat>
          <val>
            <numRef>
              <f>'차트 데이터'!$B$43:$B$44</f>
            </numRef>
          </val>
        </ser>
        <ser>
          <idx val="1"/>
          <order val="1"/>
          <tx>
            <strRef>
              <f>'차트 데이터'!C42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데이터'!$A$43:$A$44</f>
            </numRef>
          </cat>
          <val>
            <numRef>
              <f>'차트 데이터'!$C$43:$C$44</f>
            </numRef>
          </val>
        </ser>
        <ser>
          <idx val="2"/>
          <order val="2"/>
          <tx>
            <strRef>
              <f>'차트 데이터'!D42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데이터'!$A$43:$A$44</f>
            </numRef>
          </cat>
          <val>
            <numRef>
              <f>'차트 데이터'!$D$43:$D$44</f>
            </numRef>
          </val>
        </ser>
        <ser>
          <idx val="3"/>
          <order val="3"/>
          <tx>
            <strRef>
              <f>'차트 데이터'!E42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데이터'!$A$43:$A$44</f>
            </numRef>
          </cat>
          <val>
            <numRef>
              <f>'차트 데이터'!$E$43:$E$44</f>
            </numRef>
          </val>
        </ser>
        <ser>
          <idx val="4"/>
          <order val="4"/>
          <tx>
            <strRef>
              <f>'차트 데이터'!F42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데이터'!$A$43:$A$44</f>
            </numRef>
          </cat>
          <val>
            <numRef>
              <f>'차트 데이터'!$F$43:$F$44</f>
            </numRef>
          </val>
        </ser>
        <ser>
          <idx val="5"/>
          <order val="5"/>
          <tx>
            <strRef>
              <f>'차트 데이터'!G42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데이터'!$A$43:$A$44</f>
            </numRef>
          </cat>
          <val>
            <numRef>
              <f>'차트 데이터'!$G$43:$G$44</f>
            </numRef>
          </val>
        </ser>
        <ser>
          <idx val="6"/>
          <order val="6"/>
          <tx>
            <strRef>
              <f>'차트 데이터'!H42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데이터'!$A$43:$A$44</f>
            </numRef>
          </cat>
          <val>
            <numRef>
              <f>'차트 데이터'!$H$43:$H$44</f>
            </numRef>
          </val>
        </ser>
        <ser>
          <idx val="7"/>
          <order val="7"/>
          <tx>
            <strRef>
              <f>'차트 데이터'!I42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데이터'!$A$43:$A$44</f>
            </numRef>
          </cat>
          <val>
            <numRef>
              <f>'차트 데이터'!$I$43:$I$44</f>
            </numRef>
          </val>
        </ser>
        <ser>
          <idx val="8"/>
          <order val="8"/>
          <tx>
            <strRef>
              <f>'차트 데이터'!J42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데이터'!$A$43:$A$44</f>
            </numRef>
          </cat>
          <val>
            <numRef>
              <f>'차트 데이터'!$J$43:$J$44</f>
            </numRef>
          </val>
        </ser>
        <ser>
          <idx val="9"/>
          <order val="9"/>
          <tx>
            <strRef>
              <f>'차트 데이터'!K42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데이터'!$A$43:$A$44</f>
            </numRef>
          </cat>
          <val>
            <numRef>
              <f>'차트 데이터'!$K$43:$K$44</f>
            </numRef>
          </val>
        </ser>
        <ser>
          <idx val="10"/>
          <order val="10"/>
          <tx>
            <strRef>
              <f>'차트 데이터'!L42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데이터'!$A$43:$A$44</f>
            </numRef>
          </cat>
          <val>
            <numRef>
              <f>'차트 데이터'!$L$43:$L$44</f>
            </numRef>
          </val>
        </ser>
        <ser>
          <idx val="11"/>
          <order val="11"/>
          <tx>
            <strRef>
              <f>'차트 데이터'!M42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데이터'!$A$43:$A$44</f>
            </numRef>
          </cat>
          <val>
            <numRef>
              <f>'차트 데이터'!$M$43:$M$44</f>
            </numRef>
          </val>
        </ser>
        <ser>
          <idx val="12"/>
          <order val="12"/>
          <tx>
            <strRef>
              <f>'차트 데이터'!N42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데이터'!$A$43:$A$44</f>
            </numRef>
          </cat>
          <val>
            <numRef>
              <f>'차트 데이터'!$N$43:$N$44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10 측정 5회차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</f>
            </numRef>
          </cat>
          <val>
            <numRef>
              <f>'차트 데이터'!$B$48</f>
            </numRef>
          </val>
        </ser>
        <ser>
          <idx val="1"/>
          <order val="1"/>
          <tx>
            <strRef>
              <f>'차트 데이터'!C47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</f>
            </numRef>
          </cat>
          <val>
            <numRef>
              <f>'차트 데이터'!$C$48</f>
            </numRef>
          </val>
        </ser>
        <ser>
          <idx val="2"/>
          <order val="2"/>
          <tx>
            <strRef>
              <f>'차트 데이터'!D47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</f>
            </numRef>
          </cat>
          <val>
            <numRef>
              <f>'차트 데이터'!$D$48</f>
            </numRef>
          </val>
        </ser>
        <ser>
          <idx val="3"/>
          <order val="3"/>
          <tx>
            <strRef>
              <f>'차트 데이터'!E47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</f>
            </numRef>
          </cat>
          <val>
            <numRef>
              <f>'차트 데이터'!$E$48</f>
            </numRef>
          </val>
        </ser>
        <ser>
          <idx val="4"/>
          <order val="4"/>
          <tx>
            <strRef>
              <f>'차트 데이터'!F47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</f>
            </numRef>
          </cat>
          <val>
            <numRef>
              <f>'차트 데이터'!$F$48</f>
            </numRef>
          </val>
        </ser>
        <ser>
          <idx val="5"/>
          <order val="5"/>
          <tx>
            <strRef>
              <f>'차트 데이터'!G47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</f>
            </numRef>
          </cat>
          <val>
            <numRef>
              <f>'차트 데이터'!$G$48</f>
            </numRef>
          </val>
        </ser>
        <ser>
          <idx val="6"/>
          <order val="6"/>
          <tx>
            <strRef>
              <f>'차트 데이터'!H47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</f>
            </numRef>
          </cat>
          <val>
            <numRef>
              <f>'차트 데이터'!$H$48</f>
            </numRef>
          </val>
        </ser>
        <ser>
          <idx val="7"/>
          <order val="7"/>
          <tx>
            <strRef>
              <f>'차트 데이터'!I47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</f>
            </numRef>
          </cat>
          <val>
            <numRef>
              <f>'차트 데이터'!$I$48</f>
            </numRef>
          </val>
        </ser>
        <ser>
          <idx val="8"/>
          <order val="8"/>
          <tx>
            <strRef>
              <f>'차트 데이터'!J47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</f>
            </numRef>
          </cat>
          <val>
            <numRef>
              <f>'차트 데이터'!$J$48</f>
            </numRef>
          </val>
        </ser>
        <ser>
          <idx val="9"/>
          <order val="9"/>
          <tx>
            <strRef>
              <f>'차트 데이터'!K47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</f>
            </numRef>
          </cat>
          <val>
            <numRef>
              <f>'차트 데이터'!$K$48</f>
            </numRef>
          </val>
        </ser>
        <ser>
          <idx val="10"/>
          <order val="10"/>
          <tx>
            <strRef>
              <f>'차트 데이터'!L47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</f>
            </numRef>
          </cat>
          <val>
            <numRef>
              <f>'차트 데이터'!$L$48</f>
            </numRef>
          </val>
        </ser>
        <ser>
          <idx val="11"/>
          <order val="11"/>
          <tx>
            <strRef>
              <f>'차트 데이터'!M47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데이터'!$A$48</f>
            </numRef>
          </cat>
          <val>
            <numRef>
              <f>'차트 데이터'!$M$48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30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47</row>
      <rowOff>0</rowOff>
    </from>
    <ext cx="57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62</row>
      <rowOff>0</rowOff>
    </from>
    <ext cx="57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77</row>
      <rowOff>0</rowOff>
    </from>
    <ext cx="576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92</row>
      <rowOff>0</rowOff>
    </from>
    <ext cx="576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107</row>
      <rowOff>0</rowOff>
    </from>
    <ext cx="5760000" cy="25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0</col>
      <colOff>0</colOff>
      <row>122</row>
      <rowOff>0</rowOff>
    </from>
    <ext cx="5760000" cy="25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137</row>
      <rowOff>0</rowOff>
    </from>
    <ext cx="5760000" cy="252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152</row>
      <rowOff>0</rowOff>
    </from>
    <ext cx="5760000" cy="252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167</row>
      <rowOff>0</rowOff>
    </from>
    <ext cx="5760000" cy="252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0</col>
      <colOff>0</colOff>
      <row>182</row>
      <rowOff>0</rowOff>
    </from>
    <ext cx="5760000" cy="252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논리 프로세서별 CPU 클럭, 표본 간격은 기록 도구 설정 (typeperf % Processor Performance)</t>
        </is>
      </c>
    </row>
    <row r="2">
      <c r="A2" s="2" t="inlineStr">
        <is>
          <t>기본 클럭(GHz)</t>
        </is>
      </c>
      <c r="B2" s="3" t="n">
        <v>2.69</v>
      </c>
      <c r="C2" s="4" t="inlineStr">
        <is>
          <t>출처: 작업 관리자 성능 탭의 기본 속도. GHz = 백분율 × 기본 클럭 ÷ 100</t>
        </is>
      </c>
    </row>
    <row r="3">
      <c r="A3" s="4" t="inlineStr">
        <is>
          <t>각 표본은 그 시각까지의 직전 표본 간격 구간의 평균이다. 백분율은 기본 클럭 대비 값이라 터보 구간에서 100을 넘는다.</t>
        </is>
      </c>
    </row>
    <row r="5">
      <c r="A5" s="5" t="inlineStr">
        <is>
          <t>시각</t>
        </is>
      </c>
      <c r="B5" s="5" t="inlineStr">
        <is>
          <t>논리 0(%)</t>
        </is>
      </c>
      <c r="C5" s="5" t="inlineStr">
        <is>
          <t>논리 1(%)</t>
        </is>
      </c>
      <c r="D5" s="5" t="inlineStr">
        <is>
          <t>논리 2(%)</t>
        </is>
      </c>
      <c r="E5" s="5" t="inlineStr">
        <is>
          <t>논리 3(%)</t>
        </is>
      </c>
      <c r="F5" s="5" t="inlineStr">
        <is>
          <t>논리 4(%)</t>
        </is>
      </c>
      <c r="G5" s="5" t="inlineStr">
        <is>
          <t>논리 5(%)</t>
        </is>
      </c>
      <c r="H5" s="5" t="inlineStr">
        <is>
          <t>논리 6(%)</t>
        </is>
      </c>
      <c r="I5" s="5" t="inlineStr">
        <is>
          <t>논리 7(%)</t>
        </is>
      </c>
      <c r="J5" s="5" t="inlineStr">
        <is>
          <t>논리 8(%)</t>
        </is>
      </c>
      <c r="K5" s="5" t="inlineStr">
        <is>
          <t>논리 9(%)</t>
        </is>
      </c>
      <c r="L5" s="5" t="inlineStr">
        <is>
          <t>논리 10(%)</t>
        </is>
      </c>
      <c r="M5" s="5" t="inlineStr">
        <is>
          <t>논리 11(%)</t>
        </is>
      </c>
      <c r="N5" s="5" t="inlineStr">
        <is>
          <t>전체 평균(%)</t>
        </is>
      </c>
      <c r="O5" s="5" t="inlineStr">
        <is>
          <t>전체 평균(GHz)</t>
        </is>
      </c>
    </row>
    <row r="6">
      <c r="A6" s="6" t="n">
        <v>46238.50430254629</v>
      </c>
      <c r="B6" s="7" t="n">
        <v>149.0291660578098</v>
      </c>
      <c r="C6" s="7" t="n">
        <v>151.0244462438147</v>
      </c>
      <c r="D6" s="7" t="n">
        <v>149.7518966946413</v>
      </c>
      <c r="E6" s="7" t="n">
        <v>150.1795197413992</v>
      </c>
      <c r="F6" s="7" t="n">
        <v>150.6220180664438</v>
      </c>
      <c r="G6" s="7" t="n">
        <v>150.6721402970568</v>
      </c>
      <c r="H6" s="7" t="n">
        <v>151.0164136419349</v>
      </c>
      <c r="I6" s="7" t="n">
        <v>151.2988466693093</v>
      </c>
      <c r="J6" s="7" t="n">
        <v>151.6198280654696</v>
      </c>
      <c r="K6" s="7" t="n">
        <v>151.2176574994752</v>
      </c>
      <c r="L6" s="7" t="n">
        <v>148.9561483349329</v>
      </c>
      <c r="M6" s="7" t="n">
        <v>152.0483010109782</v>
      </c>
      <c r="N6" s="7" t="n">
        <v>150.5685034596283</v>
      </c>
      <c r="O6" s="8">
        <f>N6*$B$2/100</f>
        <v/>
      </c>
    </row>
    <row r="7">
      <c r="A7" s="6" t="n">
        <v>46238.50431446759</v>
      </c>
      <c r="B7" s="7" t="n">
        <v>148.4363827081694</v>
      </c>
      <c r="C7" s="7" t="n">
        <v>158.2997635915979</v>
      </c>
      <c r="D7" s="7" t="n">
        <v>147.8572496488362</v>
      </c>
      <c r="E7" s="7" t="n">
        <v>150.1940761815115</v>
      </c>
      <c r="F7" s="7" t="n">
        <v>149.599290046678</v>
      </c>
      <c r="G7" s="7" t="n">
        <v>148.9753621632009</v>
      </c>
      <c r="H7" s="7" t="n">
        <v>152.2851383860029</v>
      </c>
      <c r="I7" s="7" t="n">
        <v>153.5690519609757</v>
      </c>
      <c r="J7" s="7" t="n">
        <v>151.3975524327527</v>
      </c>
      <c r="K7" s="7" t="n">
        <v>155.8656399770936</v>
      </c>
      <c r="L7" s="7" t="n">
        <v>148.7438366081251</v>
      </c>
      <c r="M7" s="7" t="n">
        <v>147.9551223761529</v>
      </c>
      <c r="N7" s="7" t="n">
        <v>151.6703764238477</v>
      </c>
      <c r="O7" s="8">
        <f>N7*$B$2/100</f>
        <v/>
      </c>
    </row>
    <row r="8">
      <c r="A8" s="6" t="n">
        <v>46238.50432612268</v>
      </c>
      <c r="B8" s="7" t="n">
        <v>127.1961084517142</v>
      </c>
      <c r="C8" s="7" t="n">
        <v>161.2443646625942</v>
      </c>
      <c r="D8" s="7" t="n">
        <v>145.2937019769652</v>
      </c>
      <c r="E8" s="7" t="n">
        <v>146.7264117930099</v>
      </c>
      <c r="F8" s="7" t="n">
        <v>160.5633080844703</v>
      </c>
      <c r="G8" s="7" t="n">
        <v>132.0924652594124</v>
      </c>
      <c r="H8" s="7" t="n">
        <v>143.1695686306085</v>
      </c>
      <c r="I8" s="7" t="n">
        <v>125.0537386258737</v>
      </c>
      <c r="J8" s="7" t="n">
        <v>141.7877422028805</v>
      </c>
      <c r="K8" s="7" t="n">
        <v>152.3666819175436</v>
      </c>
      <c r="L8" s="7" t="n">
        <v>131.1366738091314</v>
      </c>
      <c r="M8" s="7" t="n">
        <v>129.5201557303918</v>
      </c>
      <c r="N8" s="7" t="n">
        <v>149.5610723298266</v>
      </c>
      <c r="O8" s="8">
        <f>N8*$B$2/100</f>
        <v/>
      </c>
    </row>
    <row r="9">
      <c r="A9" s="6" t="n">
        <v>46238.5043378125</v>
      </c>
      <c r="B9" s="7" t="n">
        <v>155.5608143193134</v>
      </c>
      <c r="C9" s="7" t="n">
        <v>154.8952736921694</v>
      </c>
      <c r="D9" s="7" t="n">
        <v>118.0435848252344</v>
      </c>
      <c r="E9" s="7" t="n">
        <v>156.8505550364418</v>
      </c>
      <c r="F9" s="7" t="n">
        <v>124.5743698563358</v>
      </c>
      <c r="G9" s="7" t="n">
        <v>122.7480300579241</v>
      </c>
      <c r="H9" s="7" t="n">
        <v>143.9072352270311</v>
      </c>
      <c r="I9" s="7" t="n">
        <v>89.15517780790489</v>
      </c>
      <c r="J9" s="7" t="n">
        <v>132.1369987063389</v>
      </c>
      <c r="K9" s="7" t="n">
        <v>92.03208727739451</v>
      </c>
      <c r="L9" s="7" t="n">
        <v>122.3511399829712</v>
      </c>
      <c r="M9" s="7" t="n">
        <v>115.1776607538803</v>
      </c>
      <c r="N9" s="7" t="n">
        <v>143.5554718875502</v>
      </c>
      <c r="O9" s="8">
        <f>N9*$B$2/100</f>
        <v/>
      </c>
    </row>
    <row r="10">
      <c r="A10" s="6" t="n">
        <v>46238.50434952546</v>
      </c>
      <c r="B10" s="7" t="n">
        <v>134.977332341946</v>
      </c>
      <c r="C10" s="7" t="n">
        <v>148.2550506192833</v>
      </c>
      <c r="D10" s="7" t="n">
        <v>146.8197459013863</v>
      </c>
      <c r="E10" s="7" t="n">
        <v>146.8273073156876</v>
      </c>
      <c r="F10" s="7" t="n">
        <v>146.7803506093767</v>
      </c>
      <c r="G10" s="7" t="n">
        <v>145.9844547912286</v>
      </c>
      <c r="H10" s="7" t="n">
        <v>149.9640887031905</v>
      </c>
      <c r="I10" s="7" t="n">
        <v>137.2852596216184</v>
      </c>
      <c r="J10" s="7" t="n">
        <v>151.3658973688078</v>
      </c>
      <c r="K10" s="7" t="n">
        <v>147.6288097136199</v>
      </c>
      <c r="L10" s="7" t="n">
        <v>138.9285943932562</v>
      </c>
      <c r="M10" s="7" t="n">
        <v>143.567244827895</v>
      </c>
      <c r="N10" s="7" t="n">
        <v>146.6839871821311</v>
      </c>
      <c r="O10" s="8">
        <f>N10*$B$2/100</f>
        <v/>
      </c>
    </row>
    <row r="11">
      <c r="A11" s="6" t="n">
        <v>46238.50436125</v>
      </c>
      <c r="B11" s="7" t="n">
        <v>155.4384012549473</v>
      </c>
      <c r="C11" s="7" t="n">
        <v>155.8015457920667</v>
      </c>
      <c r="D11" s="7" t="n">
        <v>152.7821571526451</v>
      </c>
      <c r="E11" s="7" t="n">
        <v>152.3098399115514</v>
      </c>
      <c r="F11" s="7" t="n">
        <v>154.4324144300239</v>
      </c>
      <c r="G11" s="7" t="n">
        <v>154.8377344657777</v>
      </c>
      <c r="H11" s="7" t="n">
        <v>156.548632312579</v>
      </c>
      <c r="I11" s="7" t="n">
        <v>152.2365120908659</v>
      </c>
      <c r="J11" s="7" t="n">
        <v>150.9995079219691</v>
      </c>
      <c r="K11" s="7" t="n">
        <v>150.3340610563644</v>
      </c>
      <c r="L11" s="7" t="n">
        <v>150.5972680683181</v>
      </c>
      <c r="M11" s="7" t="n">
        <v>150.2089610440253</v>
      </c>
      <c r="N11" s="7" t="n">
        <v>153.6218150311277</v>
      </c>
      <c r="O11" s="8">
        <f>N11*$B$2/100</f>
        <v/>
      </c>
    </row>
    <row r="12">
      <c r="A12" s="6" t="n">
        <v>46238.50437298611</v>
      </c>
      <c r="B12" s="7" t="n">
        <v>155.0262847208708</v>
      </c>
      <c r="C12" s="7" t="n">
        <v>157.0144745916668</v>
      </c>
      <c r="D12" s="7" t="n">
        <v>152.8875598745966</v>
      </c>
      <c r="E12" s="7" t="n">
        <v>159.0310719614103</v>
      </c>
      <c r="F12" s="7" t="n">
        <v>151.2764674569539</v>
      </c>
      <c r="G12" s="7" t="n">
        <v>150.5298013245033</v>
      </c>
      <c r="H12" s="7" t="n">
        <v>149.7815867317718</v>
      </c>
      <c r="I12" s="7" t="n">
        <v>148.9448549946294</v>
      </c>
      <c r="J12" s="7" t="n">
        <v>150.944104065262</v>
      </c>
      <c r="K12" s="7" t="n">
        <v>153.3537677244563</v>
      </c>
      <c r="L12" s="7" t="n">
        <v>154.4223791713291</v>
      </c>
      <c r="M12" s="7" t="n">
        <v>154.2314358822697</v>
      </c>
      <c r="N12" s="7" t="n">
        <v>153.8534235932653</v>
      </c>
      <c r="O12" s="8">
        <f>N12*$B$2/100</f>
        <v/>
      </c>
    </row>
    <row r="13">
      <c r="A13" s="6" t="n">
        <v>46238.50438469907</v>
      </c>
      <c r="B13" s="7" t="n">
        <v>159.2517704648861</v>
      </c>
      <c r="C13" s="7" t="n">
        <v>160.5826403641882</v>
      </c>
      <c r="D13" s="7" t="n">
        <v>156.843953311209</v>
      </c>
      <c r="E13" s="7" t="n">
        <v>157.9819373634377</v>
      </c>
      <c r="F13" s="7" t="n">
        <v>143.1478863555103</v>
      </c>
      <c r="G13" s="7" t="n">
        <v>161.3110637920327</v>
      </c>
      <c r="H13" s="7" t="n">
        <v>139.7087454225657</v>
      </c>
      <c r="I13" s="7" t="n">
        <v>121.1808664259928</v>
      </c>
      <c r="J13" s="7" t="n">
        <v>150.7734137104877</v>
      </c>
      <c r="K13" s="7" t="n">
        <v>157.8046891971573</v>
      </c>
      <c r="L13" s="7" t="n">
        <v>158.7029384422927</v>
      </c>
      <c r="M13" s="7" t="n">
        <v>162.1658052247266</v>
      </c>
      <c r="N13" s="7" t="n">
        <v>157.7756085263718</v>
      </c>
      <c r="O13" s="8">
        <f>N13*$B$2/100</f>
        <v/>
      </c>
    </row>
    <row r="14">
      <c r="A14" s="6" t="n">
        <v>46238.50439638889</v>
      </c>
      <c r="B14" s="7" t="n">
        <v>151.4921254573035</v>
      </c>
      <c r="C14" s="7" t="n">
        <v>155.8878071018056</v>
      </c>
      <c r="D14" s="7" t="n">
        <v>136.9260170548384</v>
      </c>
      <c r="E14" s="7" t="n">
        <v>159.8989077960281</v>
      </c>
      <c r="F14" s="7" t="n">
        <v>158.639230714563</v>
      </c>
      <c r="G14" s="7" t="n">
        <v>135.8902105550998</v>
      </c>
      <c r="H14" s="7" t="n">
        <v>155.5978938877935</v>
      </c>
      <c r="I14" s="7" t="n">
        <v>132.2356326703343</v>
      </c>
      <c r="J14" s="7" t="n">
        <v>155.91886856068</v>
      </c>
      <c r="K14" s="7" t="n">
        <v>156.8253084163968</v>
      </c>
      <c r="L14" s="7" t="n">
        <v>159.2045324835917</v>
      </c>
      <c r="M14" s="7" t="n">
        <v>159.7121532937097</v>
      </c>
      <c r="N14" s="7" t="n">
        <v>156.8606395223365</v>
      </c>
      <c r="O14" s="8">
        <f>N14*$B$2/100</f>
        <v/>
      </c>
    </row>
    <row r="15">
      <c r="A15" s="6" t="n">
        <v>46238.50440814815</v>
      </c>
      <c r="B15" s="7" t="n">
        <v>160.9462533182063</v>
      </c>
      <c r="C15" s="7" t="n">
        <v>162.005476900408</v>
      </c>
      <c r="D15" s="7" t="n">
        <v>141.358868774765</v>
      </c>
      <c r="E15" s="7" t="n">
        <v>154.3094868230998</v>
      </c>
      <c r="F15" s="7" t="n">
        <v>140.56359905034</v>
      </c>
      <c r="G15" s="7" t="n">
        <v>139.2969512581606</v>
      </c>
      <c r="H15" s="7" t="n">
        <v>152.8135700220956</v>
      </c>
      <c r="I15" s="7" t="n">
        <v>127.1595156070571</v>
      </c>
      <c r="J15" s="7" t="n">
        <v>163.3146676566778</v>
      </c>
      <c r="K15" s="7" t="n">
        <v>162.5796564168886</v>
      </c>
      <c r="L15" s="7" t="n">
        <v>150.9026866604186</v>
      </c>
      <c r="M15" s="7" t="n">
        <v>131.8796898998025</v>
      </c>
      <c r="N15" s="7" t="n">
        <v>159.7128946069989</v>
      </c>
      <c r="O15" s="8">
        <f>N15*$B$2/100</f>
        <v/>
      </c>
    </row>
    <row r="16">
      <c r="A16" s="6" t="n">
        <v>46238.50441986111</v>
      </c>
      <c r="B16" s="7" t="n">
        <v>160.6903682880248</v>
      </c>
      <c r="C16" s="7" t="n">
        <v>155.7586443903986</v>
      </c>
      <c r="D16" s="7" t="n">
        <v>161.056849861836</v>
      </c>
      <c r="E16" s="7" t="n">
        <v>153.3098080648001</v>
      </c>
      <c r="F16" s="7" t="n">
        <v>141.8478828616689</v>
      </c>
      <c r="G16" s="7" t="n">
        <v>131.597018572825</v>
      </c>
      <c r="H16" s="7" t="n">
        <v>150.4210423864908</v>
      </c>
      <c r="I16" s="7" t="n">
        <v>118.7189499804101</v>
      </c>
      <c r="J16" s="7" t="n">
        <v>163.6217932153564</v>
      </c>
      <c r="K16" s="7" t="n">
        <v>162.8611683007786</v>
      </c>
      <c r="L16" s="7" t="n">
        <v>154.9384309232346</v>
      </c>
      <c r="M16" s="7" t="n">
        <v>143.3701578830331</v>
      </c>
      <c r="N16" s="7" t="n">
        <v>160.0307855626327</v>
      </c>
      <c r="O16" s="8">
        <f>N16*$B$2/100</f>
        <v/>
      </c>
    </row>
    <row r="17">
      <c r="A17" s="6" t="n">
        <v>46238.50443162037</v>
      </c>
      <c r="B17" s="7" t="n">
        <v>156.6374847491687</v>
      </c>
      <c r="C17" s="7" t="n">
        <v>134.8422313219501</v>
      </c>
      <c r="D17" s="7" t="n">
        <v>125.7289677804296</v>
      </c>
      <c r="E17" s="7" t="n">
        <v>127.4798839458414</v>
      </c>
      <c r="F17" s="7" t="n">
        <v>161.8045278599778</v>
      </c>
      <c r="G17" s="7" t="n">
        <v>144.1218210128272</v>
      </c>
      <c r="H17" s="7" t="n">
        <v>153.7247559526884</v>
      </c>
      <c r="I17" s="7" t="n">
        <v>112.0593078213142</v>
      </c>
      <c r="J17" s="7" t="n">
        <v>162.6687753466211</v>
      </c>
      <c r="K17" s="7" t="n">
        <v>162.8770012227314</v>
      </c>
      <c r="L17" s="7" t="n">
        <v>144.4372147227348</v>
      </c>
      <c r="M17" s="7" t="n">
        <v>149.7703341160494</v>
      </c>
      <c r="N17" s="7" t="n">
        <v>159.5542927684756</v>
      </c>
      <c r="O17" s="8">
        <f>N17*$B$2/100</f>
        <v/>
      </c>
    </row>
    <row r="18">
      <c r="A18" s="6" t="n">
        <v>46238.50444336805</v>
      </c>
      <c r="B18" s="7" t="n">
        <v>161.3307055702497</v>
      </c>
      <c r="C18" s="7" t="n">
        <v>138.9989653800239</v>
      </c>
      <c r="D18" s="7" t="n">
        <v>156.9118909944467</v>
      </c>
      <c r="E18" s="7" t="n">
        <v>139.5044393853159</v>
      </c>
      <c r="F18" s="7" t="n">
        <v>147.8161240580722</v>
      </c>
      <c r="G18" s="7" t="n">
        <v>135.3101642777669</v>
      </c>
      <c r="H18" s="7" t="n">
        <v>154.4011699775406</v>
      </c>
      <c r="I18" s="7" t="n">
        <v>121.2927158273381</v>
      </c>
      <c r="J18" s="7" t="n">
        <v>162.4316262499183</v>
      </c>
      <c r="K18" s="7" t="n">
        <v>162.944930502602</v>
      </c>
      <c r="L18" s="7" t="n">
        <v>153.58498533286</v>
      </c>
      <c r="M18" s="7" t="n">
        <v>115.109634551495</v>
      </c>
      <c r="N18" s="7" t="n">
        <v>159.3469750379732</v>
      </c>
      <c r="O18" s="8">
        <f>N18*$B$2/100</f>
        <v/>
      </c>
    </row>
    <row r="19">
      <c r="A19" s="6" t="n">
        <v>46238.50445512732</v>
      </c>
      <c r="B19" s="7" t="n">
        <v>161.1446789289</v>
      </c>
      <c r="C19" s="7" t="n">
        <v>156.7552028387839</v>
      </c>
      <c r="D19" s="7" t="n">
        <v>143.5757758780896</v>
      </c>
      <c r="E19" s="7" t="n">
        <v>161.6201187626122</v>
      </c>
      <c r="F19" s="7" t="n">
        <v>145.1997662346591</v>
      </c>
      <c r="G19" s="7" t="n">
        <v>126.6498310347977</v>
      </c>
      <c r="H19" s="7" t="n">
        <v>150.8397402809096</v>
      </c>
      <c r="I19" s="7" t="n">
        <v>117.2030614685482</v>
      </c>
      <c r="J19" s="7" t="n">
        <v>163.8328126599182</v>
      </c>
      <c r="K19" s="7" t="n">
        <v>162.990051681426</v>
      </c>
      <c r="L19" s="7" t="n">
        <v>155.2163250909631</v>
      </c>
      <c r="M19" s="7" t="n">
        <v>122.90462905559</v>
      </c>
      <c r="N19" s="7" t="n">
        <v>160.0947089687638</v>
      </c>
      <c r="O19" s="8">
        <f>N19*$B$2/100</f>
        <v/>
      </c>
    </row>
    <row r="20">
      <c r="A20" s="6" t="n">
        <v>46238.50446685185</v>
      </c>
      <c r="B20" s="7" t="n">
        <v>143.2460477570334</v>
      </c>
      <c r="C20" s="7" t="n">
        <v>162.023020045797</v>
      </c>
      <c r="D20" s="7" t="n">
        <v>134.3901234567901</v>
      </c>
      <c r="E20" s="7" t="n">
        <v>124.029772681553</v>
      </c>
      <c r="F20" s="7" t="n">
        <v>160.0342346812205</v>
      </c>
      <c r="G20" s="7" t="n">
        <v>145.5825350036846</v>
      </c>
      <c r="H20" s="7" t="n">
        <v>151.6178268586078</v>
      </c>
      <c r="I20" s="7" t="n">
        <v>117.4034356448149</v>
      </c>
      <c r="J20" s="7" t="n">
        <v>162.9508303395584</v>
      </c>
      <c r="K20" s="7" t="n">
        <v>162.6981589853241</v>
      </c>
      <c r="L20" s="7" t="n">
        <v>154.0500861191576</v>
      </c>
      <c r="M20" s="7" t="n">
        <v>155.2571062740077</v>
      </c>
      <c r="N20" s="7" t="n">
        <v>159.7618922903814</v>
      </c>
      <c r="O20" s="8">
        <f>N20*$B$2/100</f>
        <v/>
      </c>
    </row>
    <row r="21">
      <c r="A21" s="6" t="n">
        <v>46238.50447857639</v>
      </c>
      <c r="B21" s="7" t="n">
        <v>156.2013885830875</v>
      </c>
      <c r="C21" s="7" t="n">
        <v>162.2199405597678</v>
      </c>
      <c r="D21" s="7" t="n">
        <v>160.5653692863814</v>
      </c>
      <c r="E21" s="7" t="n">
        <v>143.0459370655883</v>
      </c>
      <c r="F21" s="7" t="n">
        <v>138.3988868274583</v>
      </c>
      <c r="G21" s="7" t="n">
        <v>137.3348725526413</v>
      </c>
      <c r="H21" s="7" t="n">
        <v>151.4726401595629</v>
      </c>
      <c r="I21" s="7" t="n">
        <v>111.9490806223479</v>
      </c>
      <c r="J21" s="7" t="n">
        <v>163.3760541624426</v>
      </c>
      <c r="K21" s="7" t="n">
        <v>162.9927205438805</v>
      </c>
      <c r="L21" s="7" t="n">
        <v>151.4460757707338</v>
      </c>
      <c r="M21" s="7" t="n">
        <v>139.4213521126761</v>
      </c>
      <c r="N21" s="7" t="n">
        <v>159.9022925710461</v>
      </c>
      <c r="O21" s="8">
        <f>N21*$B$2/100</f>
        <v/>
      </c>
    </row>
    <row r="22">
      <c r="A22" s="6" t="n">
        <v>46238.50449032407</v>
      </c>
      <c r="B22" s="7" t="n">
        <v>161.6154250359327</v>
      </c>
      <c r="C22" s="7" t="n">
        <v>146.631628738109</v>
      </c>
      <c r="D22" s="7" t="n">
        <v>143.7724291314837</v>
      </c>
      <c r="E22" s="7" t="n">
        <v>162.8710288693025</v>
      </c>
      <c r="F22" s="7" t="n">
        <v>142.6492739016904</v>
      </c>
      <c r="G22" s="7" t="n">
        <v>137.2030624563187</v>
      </c>
      <c r="H22" s="7" t="n">
        <v>152.5220023282887</v>
      </c>
      <c r="I22" s="7" t="n">
        <v>116.1010254988913</v>
      </c>
      <c r="J22" s="7" t="n">
        <v>163.908050472757</v>
      </c>
      <c r="K22" s="7" t="n">
        <v>164.1725679465178</v>
      </c>
      <c r="L22" s="7" t="n">
        <v>155.5861342207432</v>
      </c>
      <c r="M22" s="7" t="n">
        <v>153.5930292272311</v>
      </c>
      <c r="N22" s="7" t="n">
        <v>160.8533692130265</v>
      </c>
      <c r="O22" s="8">
        <f>N22*$B$2/100</f>
        <v/>
      </c>
    </row>
    <row r="23">
      <c r="A23" s="6" t="n">
        <v>46238.50450207176</v>
      </c>
      <c r="B23" s="7" t="n">
        <v>152.2557714027558</v>
      </c>
      <c r="C23" s="7" t="n">
        <v>163.7130946913099</v>
      </c>
      <c r="D23" s="7" t="n">
        <v>140.1143801300501</v>
      </c>
      <c r="E23" s="7" t="n">
        <v>123.8788054845457</v>
      </c>
      <c r="F23" s="7" t="n">
        <v>161.9088435289815</v>
      </c>
      <c r="G23" s="7" t="n">
        <v>142.1869276218611</v>
      </c>
      <c r="H23" s="7" t="n">
        <v>151.9920669015093</v>
      </c>
      <c r="I23" s="7" t="n">
        <v>140.5514587560344</v>
      </c>
      <c r="J23" s="7" t="n">
        <v>164.2044684451712</v>
      </c>
      <c r="K23" s="7" t="n">
        <v>164.8165742423612</v>
      </c>
      <c r="L23" s="7" t="n">
        <v>156.3598406242218</v>
      </c>
      <c r="M23" s="7" t="n">
        <v>126.0301690251572</v>
      </c>
      <c r="N23" s="7" t="n">
        <v>161.3744018420262</v>
      </c>
      <c r="O23" s="8">
        <f>N23*$B$2/100</f>
        <v/>
      </c>
    </row>
    <row r="24">
      <c r="A24" s="6" t="n">
        <v>46238.50451368056</v>
      </c>
      <c r="B24" s="7" t="n">
        <v>161.1523342079074</v>
      </c>
      <c r="C24" s="7" t="n">
        <v>157.5609198903442</v>
      </c>
      <c r="D24" s="7" t="n">
        <v>150.2438952790158</v>
      </c>
      <c r="E24" s="7" t="n">
        <v>163.1822593691022</v>
      </c>
      <c r="F24" s="7" t="n">
        <v>144.3654380948651</v>
      </c>
      <c r="G24" s="7" t="n">
        <v>133.2784195013144</v>
      </c>
      <c r="H24" s="7" t="n">
        <v>147.5811309261954</v>
      </c>
      <c r="I24" s="7" t="n">
        <v>136.8967667933185</v>
      </c>
      <c r="J24" s="7" t="n">
        <v>164.4326532552379</v>
      </c>
      <c r="K24" s="7" t="n">
        <v>163.8619400375163</v>
      </c>
      <c r="L24" s="7" t="n">
        <v>154.8610821215705</v>
      </c>
      <c r="M24" s="7" t="n">
        <v>138.4280186192586</v>
      </c>
      <c r="N24" s="7" t="n">
        <v>160.9084277738122</v>
      </c>
      <c r="O24" s="8">
        <f>N24*$B$2/100</f>
        <v/>
      </c>
    </row>
    <row r="25">
      <c r="A25" s="6" t="n">
        <v>46238.50452538195</v>
      </c>
      <c r="B25" s="7" t="n">
        <v>157.2013603714209</v>
      </c>
      <c r="C25" s="7" t="n">
        <v>163.3055111962809</v>
      </c>
      <c r="D25" s="7" t="n">
        <v>162.2747540283285</v>
      </c>
      <c r="E25" s="7" t="n">
        <v>139.2463486533566</v>
      </c>
      <c r="F25" s="7" t="n">
        <v>141.1504361758946</v>
      </c>
      <c r="G25" s="7" t="n">
        <v>133.7277573391396</v>
      </c>
      <c r="H25" s="7" t="n">
        <v>145.4137395459976</v>
      </c>
      <c r="I25" s="7" t="n">
        <v>123.8188161152375</v>
      </c>
      <c r="J25" s="7" t="n">
        <v>164.5308588720062</v>
      </c>
      <c r="K25" s="7" t="n">
        <v>164.5453648762</v>
      </c>
      <c r="L25" s="7" t="n">
        <v>155.8665202949952</v>
      </c>
      <c r="M25" s="7" t="n">
        <v>145.5862485833019</v>
      </c>
      <c r="N25" s="7" t="n">
        <v>161.1589392273869</v>
      </c>
      <c r="O25" s="8">
        <f>N25*$B$2/100</f>
        <v/>
      </c>
    </row>
    <row r="26">
      <c r="A26" s="6" t="n">
        <v>46238.50453712963</v>
      </c>
      <c r="B26" s="7" t="n">
        <v>150.5409744390335</v>
      </c>
      <c r="C26" s="7" t="n">
        <v>163.486503134369</v>
      </c>
      <c r="D26" s="7" t="n">
        <v>122.7234058977922</v>
      </c>
      <c r="E26" s="7" t="n">
        <v>132.3362409479921</v>
      </c>
      <c r="F26" s="7" t="n">
        <v>162.1464350612089</v>
      </c>
      <c r="G26" s="7" t="n">
        <v>135.2379654859219</v>
      </c>
      <c r="H26" s="7" t="n">
        <v>153.8020343172204</v>
      </c>
      <c r="I26" s="7" t="n">
        <v>116.9669265931702</v>
      </c>
      <c r="J26" s="7" t="n">
        <v>164.2944176693628</v>
      </c>
      <c r="K26" s="7" t="n">
        <v>164.2219267549262</v>
      </c>
      <c r="L26" s="7" t="n">
        <v>149.2300948291286</v>
      </c>
      <c r="M26" s="7" t="n">
        <v>138.5331455927908</v>
      </c>
      <c r="N26" s="7" t="n">
        <v>160.7770572558377</v>
      </c>
      <c r="O26" s="8">
        <f>N26*$B$2/100</f>
        <v/>
      </c>
    </row>
    <row r="27">
      <c r="A27" s="6" t="n">
        <v>46238.50454884259</v>
      </c>
      <c r="B27" s="7" t="n">
        <v>151.213748104748</v>
      </c>
      <c r="C27" s="7" t="n">
        <v>151.4934976225371</v>
      </c>
      <c r="D27" s="7" t="n">
        <v>150.7301481724039</v>
      </c>
      <c r="E27" s="7" t="n">
        <v>150.8111141102389</v>
      </c>
      <c r="F27" s="7" t="n">
        <v>150.9942452773915</v>
      </c>
      <c r="G27" s="7" t="n">
        <v>150.8820606665142</v>
      </c>
      <c r="H27" s="7" t="n">
        <v>152.3811780045444</v>
      </c>
      <c r="I27" s="7" t="n">
        <v>151.4748338675631</v>
      </c>
      <c r="J27" s="7" t="n">
        <v>155.4214411354835</v>
      </c>
      <c r="K27" s="7" t="n">
        <v>155.5236434391168</v>
      </c>
      <c r="L27" s="7" t="n">
        <v>152.2828233506945</v>
      </c>
      <c r="M27" s="7" t="n">
        <v>151.3963067368327</v>
      </c>
      <c r="N27" s="7" t="n">
        <v>152.4797811884415</v>
      </c>
      <c r="O27" s="8">
        <f>N27*$B$2/100</f>
        <v/>
      </c>
    </row>
    <row r="28">
      <c r="A28" s="6" t="n">
        <v>46238.50456045139</v>
      </c>
      <c r="B28" s="7" t="n">
        <v>147.9688533231108</v>
      </c>
      <c r="C28" s="7" t="n">
        <v>139.7506391347099</v>
      </c>
      <c r="D28" s="7" t="n">
        <v>134.8640186915888</v>
      </c>
      <c r="E28" s="7" t="n">
        <v>125.0083746898263</v>
      </c>
      <c r="F28" s="7" t="n">
        <v>127.2219629927595</v>
      </c>
      <c r="G28" s="7" t="n">
        <v>134.7187408061195</v>
      </c>
      <c r="H28" s="7" t="n">
        <v>142.6508802990066</v>
      </c>
      <c r="I28" s="7" t="n">
        <v>145.2222340937016</v>
      </c>
      <c r="J28" s="7" t="n">
        <v>164.2700243376893</v>
      </c>
      <c r="K28" s="7" t="n">
        <v>164.2836240743006</v>
      </c>
      <c r="L28" s="7" t="n">
        <v>153.8130454408667</v>
      </c>
      <c r="M28" s="7" t="n">
        <v>146.5176550294915</v>
      </c>
      <c r="N28" s="7" t="n">
        <v>159.4171320516861</v>
      </c>
      <c r="O28" s="8">
        <f>N28*$B$2/100</f>
        <v/>
      </c>
    </row>
    <row r="29">
      <c r="A29" s="6" t="n">
        <v>46238.50457221065</v>
      </c>
      <c r="B29" s="7" t="n">
        <v>141.1954185022026</v>
      </c>
      <c r="C29" s="7" t="n">
        <v>140.462901508985</v>
      </c>
      <c r="D29" s="7" t="n">
        <v>129.6494734963412</v>
      </c>
      <c r="E29" s="7" t="n">
        <v>141.0385337810917</v>
      </c>
      <c r="F29" s="7" t="n">
        <v>131.2916514764856</v>
      </c>
      <c r="G29" s="7" t="n">
        <v>125.4249974575409</v>
      </c>
      <c r="H29" s="7" t="n">
        <v>117.2053228285934</v>
      </c>
      <c r="I29" s="7" t="n">
        <v>103.1312183217571</v>
      </c>
      <c r="J29" s="7" t="n">
        <v>164.6371057267833</v>
      </c>
      <c r="K29" s="7" t="n">
        <v>164.8997178676253</v>
      </c>
      <c r="L29" s="7" t="n">
        <v>147.103098554447</v>
      </c>
      <c r="M29" s="7" t="n">
        <v>118.2253626579317</v>
      </c>
      <c r="N29" s="7" t="n">
        <v>159.2057398852023</v>
      </c>
      <c r="O29" s="8">
        <f>N29*$B$2/100</f>
        <v/>
      </c>
    </row>
    <row r="30">
      <c r="A30" s="6" t="n">
        <v>46238.50458393519</v>
      </c>
      <c r="B30" s="7" t="n">
        <v>141.9553994892375</v>
      </c>
      <c r="C30" s="7" t="n">
        <v>135.1437865972674</v>
      </c>
      <c r="D30" s="7" t="n">
        <v>140.2490205251155</v>
      </c>
      <c r="E30" s="7" t="n">
        <v>135.6232004429679</v>
      </c>
      <c r="F30" s="7" t="n">
        <v>141.6604002917105</v>
      </c>
      <c r="G30" s="7" t="n">
        <v>143.2966338431455</v>
      </c>
      <c r="H30" s="7" t="n">
        <v>135.7703613555514</v>
      </c>
      <c r="I30" s="7" t="n">
        <v>128.0488128594603</v>
      </c>
      <c r="J30" s="7" t="n">
        <v>164.4884434153871</v>
      </c>
      <c r="K30" s="7" t="n">
        <v>164.1093281312273</v>
      </c>
      <c r="L30" s="7" t="n">
        <v>148.7432781201849</v>
      </c>
      <c r="M30" s="7" t="n">
        <v>137.9134884854392</v>
      </c>
      <c r="N30" s="7" t="n">
        <v>157.7636541789677</v>
      </c>
      <c r="O30" s="8">
        <f>N30*$B$2/100</f>
        <v/>
      </c>
    </row>
    <row r="31">
      <c r="A31" s="6" t="n">
        <v>46238.50459571759</v>
      </c>
      <c r="B31" s="7" t="n">
        <v>151.134695593238</v>
      </c>
      <c r="C31" s="7" t="n">
        <v>152.0451525695633</v>
      </c>
      <c r="D31" s="7" t="n">
        <v>150.4066091285951</v>
      </c>
      <c r="E31" s="7" t="n">
        <v>151.723367244742</v>
      </c>
      <c r="F31" s="7" t="n">
        <v>151.8551409178704</v>
      </c>
      <c r="G31" s="7" t="n">
        <v>152.2457360991069</v>
      </c>
      <c r="H31" s="7" t="n">
        <v>150.6064192059095</v>
      </c>
      <c r="I31" s="7" t="n">
        <v>151.567586434385</v>
      </c>
      <c r="J31" s="7" t="n">
        <v>150.3987261556969</v>
      </c>
      <c r="K31" s="7" t="n">
        <v>150.6366411937926</v>
      </c>
      <c r="L31" s="7" t="n">
        <v>152.1618876357152</v>
      </c>
      <c r="M31" s="7" t="n">
        <v>151.9470250533026</v>
      </c>
      <c r="N31" s="7" t="n">
        <v>151.2442489171901</v>
      </c>
      <c r="O31" s="8">
        <f>N31*$B$2/100</f>
        <v/>
      </c>
    </row>
    <row r="32">
      <c r="A32" s="6" t="n">
        <v>46238.50460738426</v>
      </c>
      <c r="B32" s="7" t="n">
        <v>151.9979432936683</v>
      </c>
      <c r="C32" s="7" t="n">
        <v>152.8633706324095</v>
      </c>
      <c r="D32" s="7" t="n">
        <v>151.8762758123112</v>
      </c>
      <c r="E32" s="7" t="n">
        <v>150.8697049265566</v>
      </c>
      <c r="F32" s="7" t="n">
        <v>152.0206244568328</v>
      </c>
      <c r="G32" s="7" t="n">
        <v>153.2629229692174</v>
      </c>
      <c r="H32" s="7" t="n">
        <v>151.2379511428493</v>
      </c>
      <c r="I32" s="7" t="n">
        <v>151.9895256297643</v>
      </c>
      <c r="J32" s="7" t="n">
        <v>150.7743962978195</v>
      </c>
      <c r="K32" s="7" t="n">
        <v>154.4124675201001</v>
      </c>
      <c r="L32" s="7" t="n">
        <v>153.0576329725317</v>
      </c>
      <c r="M32" s="7" t="n">
        <v>153.0689588818235</v>
      </c>
      <c r="N32" s="7" t="n">
        <v>152.5523729151989</v>
      </c>
      <c r="O32" s="8">
        <f>N32*$B$2/100</f>
        <v/>
      </c>
    </row>
    <row r="33">
      <c r="A33" s="6" t="n">
        <v>46238.5046190625</v>
      </c>
      <c r="B33" s="7" t="n">
        <v>155.3398637329526</v>
      </c>
      <c r="C33" s="7" t="n">
        <v>161.7673163784334</v>
      </c>
      <c r="D33" s="7" t="n">
        <v>153.1528323303665</v>
      </c>
      <c r="E33" s="7" t="n">
        <v>153.088656174087</v>
      </c>
      <c r="F33" s="7" t="n">
        <v>137.5105140920219</v>
      </c>
      <c r="G33" s="7" t="n">
        <v>153.2897769181596</v>
      </c>
      <c r="H33" s="7" t="n">
        <v>139.0151568454999</v>
      </c>
      <c r="I33" s="7" t="n">
        <v>124.2107265902196</v>
      </c>
      <c r="J33" s="7" t="n">
        <v>133.1369122454111</v>
      </c>
      <c r="K33" s="7" t="n">
        <v>140.037350880515</v>
      </c>
      <c r="L33" s="7" t="n">
        <v>159.8169602595642</v>
      </c>
      <c r="M33" s="7" t="n">
        <v>158.1203509913171</v>
      </c>
      <c r="N33" s="7" t="n">
        <v>153.7535857376544</v>
      </c>
      <c r="O33" s="8">
        <f>N33*$B$2/100</f>
        <v/>
      </c>
    </row>
    <row r="34">
      <c r="A34" s="6" t="n">
        <v>46238.50463077546</v>
      </c>
      <c r="B34" s="7" t="n">
        <v>151.7084612987938</v>
      </c>
      <c r="C34" s="7" t="n">
        <v>151.3103287680684</v>
      </c>
      <c r="D34" s="7" t="n">
        <v>145.4666685072958</v>
      </c>
      <c r="E34" s="7" t="n">
        <v>150.8788316582915</v>
      </c>
      <c r="F34" s="7" t="n">
        <v>158.3000633284563</v>
      </c>
      <c r="G34" s="7" t="n">
        <v>141.8778050088075</v>
      </c>
      <c r="H34" s="7" t="n">
        <v>157.0954416884794</v>
      </c>
      <c r="I34" s="7" t="n">
        <v>150.671572686893</v>
      </c>
      <c r="J34" s="7" t="n">
        <v>149.9234519087906</v>
      </c>
      <c r="K34" s="7" t="n">
        <v>157.0244070313285</v>
      </c>
      <c r="L34" s="7" t="n">
        <v>158.9014282619765</v>
      </c>
      <c r="M34" s="7" t="n">
        <v>158.0833552162659</v>
      </c>
      <c r="N34" s="7" t="n">
        <v>155.3711969363644</v>
      </c>
      <c r="O34" s="8">
        <f>N34*$B$2/100</f>
        <v/>
      </c>
    </row>
    <row r="35">
      <c r="A35" s="6" t="n">
        <v>46238.50464253472</v>
      </c>
      <c r="B35" s="7" t="n">
        <v>155.5331597154062</v>
      </c>
      <c r="C35" s="7" t="n">
        <v>150.7351177387758</v>
      </c>
      <c r="D35" s="7" t="n">
        <v>148.2205345957272</v>
      </c>
      <c r="E35" s="7" t="n">
        <v>158.2894912927854</v>
      </c>
      <c r="F35" s="7" t="n">
        <v>153.060355133102</v>
      </c>
      <c r="G35" s="7" t="n">
        <v>151.6816642056805</v>
      </c>
      <c r="H35" s="7" t="n">
        <v>151.3045559968545</v>
      </c>
      <c r="I35" s="7" t="n">
        <v>149.956059596087</v>
      </c>
      <c r="J35" s="7" t="n">
        <v>148.703468175706</v>
      </c>
      <c r="K35" s="7" t="n">
        <v>137.4003032996915</v>
      </c>
      <c r="L35" s="7" t="n">
        <v>156.2566271313508</v>
      </c>
      <c r="M35" s="7" t="n">
        <v>158.7783528762588</v>
      </c>
      <c r="N35" s="7" t="n">
        <v>154.1966272600835</v>
      </c>
      <c r="O35" s="8">
        <f>N35*$B$2/100</f>
        <v/>
      </c>
    </row>
    <row r="36">
      <c r="A36" s="6" t="n">
        <v>46238.50465428241</v>
      </c>
      <c r="B36" s="7" t="n">
        <v>151.8325017287432</v>
      </c>
      <c r="C36" s="7" t="n">
        <v>161.1292079908411</v>
      </c>
      <c r="D36" s="7" t="n">
        <v>156.4401102624122</v>
      </c>
      <c r="E36" s="7" t="n">
        <v>156.4248946566698</v>
      </c>
      <c r="F36" s="7" t="n">
        <v>142.7546591013931</v>
      </c>
      <c r="G36" s="7" t="n">
        <v>147.4444379173275</v>
      </c>
      <c r="H36" s="7" t="n">
        <v>147.9505625741712</v>
      </c>
      <c r="I36" s="7" t="n">
        <v>134.2066890996227</v>
      </c>
      <c r="J36" s="7" t="n">
        <v>155.6526279684806</v>
      </c>
      <c r="K36" s="7" t="n">
        <v>156.1747919411692</v>
      </c>
      <c r="L36" s="7" t="n">
        <v>160.9025134409353</v>
      </c>
      <c r="M36" s="7" t="n">
        <v>158.2838492760647</v>
      </c>
      <c r="N36" s="7" t="n">
        <v>156.2359677910478</v>
      </c>
      <c r="O36" s="8">
        <f>N36*$B$2/100</f>
        <v/>
      </c>
    </row>
    <row r="37">
      <c r="A37" s="6" t="n">
        <v>46238.50466603009</v>
      </c>
      <c r="B37" s="7" t="n">
        <v>157.8611153337933</v>
      </c>
      <c r="C37" s="7" t="n">
        <v>154.735744724026</v>
      </c>
      <c r="D37" s="7" t="n">
        <v>153.1930525799678</v>
      </c>
      <c r="E37" s="7" t="n">
        <v>159.3901056691333</v>
      </c>
      <c r="F37" s="7" t="n">
        <v>160.4132147468915</v>
      </c>
      <c r="G37" s="7" t="n">
        <v>153.3411171259843</v>
      </c>
      <c r="H37" s="7" t="n">
        <v>150.7030057936098</v>
      </c>
      <c r="I37" s="7" t="n">
        <v>154.7625175823484</v>
      </c>
      <c r="J37" s="7" t="n">
        <v>150.0475270834483</v>
      </c>
      <c r="K37" s="7" t="n">
        <v>123.6546958196443</v>
      </c>
      <c r="L37" s="7" t="n">
        <v>156.8264664521189</v>
      </c>
      <c r="M37" s="7" t="n">
        <v>160.8215150226526</v>
      </c>
      <c r="N37" s="7" t="n">
        <v>157.3128919424242</v>
      </c>
      <c r="O37" s="8">
        <f>N37*$B$2/100</f>
        <v/>
      </c>
    </row>
    <row r="38">
      <c r="A38" s="6" t="n">
        <v>46238.50467775463</v>
      </c>
      <c r="B38" s="7" t="n">
        <v>161.7147677426611</v>
      </c>
      <c r="C38" s="7" t="n">
        <v>158.9417751884853</v>
      </c>
      <c r="D38" s="7" t="n">
        <v>161.6748738799789</v>
      </c>
      <c r="E38" s="7" t="n">
        <v>158.6872813688213</v>
      </c>
      <c r="F38" s="7" t="n">
        <v>147.4204992406246</v>
      </c>
      <c r="G38" s="7" t="n">
        <v>146.5052727826882</v>
      </c>
      <c r="H38" s="7" t="n">
        <v>154.8646774308272</v>
      </c>
      <c r="I38" s="7" t="n">
        <v>146.6418270135934</v>
      </c>
      <c r="J38" s="7" t="n">
        <v>151.4634424030693</v>
      </c>
      <c r="K38" s="7" t="n">
        <v>148.1451345936057</v>
      </c>
      <c r="L38" s="7" t="n">
        <v>155.0691845699125</v>
      </c>
      <c r="M38" s="7" t="n">
        <v>161.266831384936</v>
      </c>
      <c r="N38" s="7" t="n">
        <v>158.2173091555738</v>
      </c>
      <c r="O38" s="8">
        <f>N38*$B$2/100</f>
        <v/>
      </c>
    </row>
    <row r="39">
      <c r="A39" s="6" t="n">
        <v>46238.50468946759</v>
      </c>
      <c r="B39" s="7" t="n">
        <v>151.6654119191076</v>
      </c>
      <c r="C39" s="7" t="n">
        <v>151.9522233705662</v>
      </c>
      <c r="D39" s="7" t="n">
        <v>152.3751691265269</v>
      </c>
      <c r="E39" s="7" t="n">
        <v>152.9171118997658</v>
      </c>
      <c r="F39" s="7" t="n">
        <v>152.0950414143709</v>
      </c>
      <c r="G39" s="7" t="n">
        <v>152.3227402802763</v>
      </c>
      <c r="H39" s="7" t="n">
        <v>152.2885586090858</v>
      </c>
      <c r="I39" s="7" t="n">
        <v>152.3368504196149</v>
      </c>
      <c r="J39" s="7" t="n">
        <v>152.3732249574168</v>
      </c>
      <c r="K39" s="7" t="n">
        <v>152.4217957234594</v>
      </c>
      <c r="L39" s="7" t="n">
        <v>152.0592879358477</v>
      </c>
      <c r="M39" s="7" t="n">
        <v>152.4086378737541</v>
      </c>
      <c r="N39" s="7" t="n">
        <v>152.2277044215627</v>
      </c>
      <c r="O39" s="8">
        <f>N39*$B$2/100</f>
        <v/>
      </c>
    </row>
    <row r="40">
      <c r="A40" s="6" t="n">
        <v>46238.50470119213</v>
      </c>
      <c r="B40" s="7" t="n">
        <v>150.7000664037347</v>
      </c>
      <c r="C40" s="7" t="n">
        <v>151.8818775067926</v>
      </c>
      <c r="D40" s="7" t="n">
        <v>152.0512690074648</v>
      </c>
      <c r="E40" s="7" t="n">
        <v>152.6748486089261</v>
      </c>
      <c r="F40" s="7" t="n">
        <v>151.7530174393428</v>
      </c>
      <c r="G40" s="7" t="n">
        <v>152.5110497828552</v>
      </c>
      <c r="H40" s="7" t="n">
        <v>152.2830580900712</v>
      </c>
      <c r="I40" s="7" t="n">
        <v>152.8050774647887</v>
      </c>
      <c r="J40" s="7" t="n">
        <v>152.1275531462494</v>
      </c>
      <c r="K40" s="7" t="n">
        <v>152.4566446985071</v>
      </c>
      <c r="L40" s="7" t="n">
        <v>152.0960243300026</v>
      </c>
      <c r="M40" s="7" t="n">
        <v>152.2030594780619</v>
      </c>
      <c r="N40" s="7" t="n">
        <v>152.0752483433339</v>
      </c>
      <c r="O40" s="8">
        <f>N40*$B$2/100</f>
        <v/>
      </c>
    </row>
    <row r="41">
      <c r="A41" s="6" t="n">
        <v>46238.50471295139</v>
      </c>
      <c r="B41" s="7" t="n">
        <v>152.2485977897409</v>
      </c>
      <c r="C41" s="7" t="n">
        <v>152.856622265978</v>
      </c>
      <c r="D41" s="7" t="n">
        <v>152.309735996222</v>
      </c>
      <c r="E41" s="7" t="n">
        <v>152.7311036327735</v>
      </c>
      <c r="F41" s="7" t="n">
        <v>151.2822041644654</v>
      </c>
      <c r="G41" s="7" t="n">
        <v>152.2600023763317</v>
      </c>
      <c r="H41" s="7" t="n">
        <v>152.5929533523519</v>
      </c>
      <c r="I41" s="7" t="n">
        <v>152.7653351192843</v>
      </c>
      <c r="J41" s="7" t="n">
        <v>151.9028843848802</v>
      </c>
      <c r="K41" s="7" t="n">
        <v>152.7022895050671</v>
      </c>
      <c r="L41" s="7" t="n">
        <v>152.0664790147631</v>
      </c>
      <c r="M41" s="7" t="n">
        <v>152.3038331550559</v>
      </c>
      <c r="N41" s="7" t="n">
        <v>152.3429729277557</v>
      </c>
      <c r="O41" s="8">
        <f>N41*$B$2/100</f>
        <v/>
      </c>
    </row>
    <row r="42">
      <c r="A42" s="6" t="n">
        <v>46238.50472454861</v>
      </c>
      <c r="B42" s="7" t="n">
        <v>151.7628125761638</v>
      </c>
      <c r="C42" s="7" t="n">
        <v>151.7105789188593</v>
      </c>
      <c r="D42" s="7" t="n">
        <v>152.058297014341</v>
      </c>
      <c r="E42" s="7" t="n">
        <v>152.0787162629465</v>
      </c>
      <c r="F42" s="7" t="n">
        <v>151.597639528485</v>
      </c>
      <c r="G42" s="7" t="n">
        <v>152.0393200087579</v>
      </c>
      <c r="H42" s="7" t="n">
        <v>151.8953723471942</v>
      </c>
      <c r="I42" s="7" t="n">
        <v>152.1864832223621</v>
      </c>
      <c r="J42" s="7" t="n">
        <v>151.7674008576977</v>
      </c>
      <c r="K42" s="7" t="n">
        <v>151.9914628821628</v>
      </c>
      <c r="L42" s="7" t="n">
        <v>151.79046921636</v>
      </c>
      <c r="M42" s="7" t="n">
        <v>152.0456775223131</v>
      </c>
      <c r="N42" s="7" t="n">
        <v>151.9013719938266</v>
      </c>
      <c r="O42" s="8">
        <f>N42*$B$2/100</f>
        <v/>
      </c>
    </row>
    <row r="43">
      <c r="A43" s="6" t="n">
        <v>46238.50473627315</v>
      </c>
      <c r="B43" s="7" t="n">
        <v>151.9129946356835</v>
      </c>
      <c r="C43" s="7" t="n">
        <v>151.9843112115793</v>
      </c>
      <c r="D43" s="7" t="n">
        <v>152.0172099624372</v>
      </c>
      <c r="E43" s="7" t="n">
        <v>152.1627724662133</v>
      </c>
      <c r="F43" s="7" t="n">
        <v>151.3183232521388</v>
      </c>
      <c r="G43" s="7" t="n">
        <v>151.8911795593032</v>
      </c>
      <c r="H43" s="7" t="n">
        <v>152.0011449561277</v>
      </c>
      <c r="I43" s="7" t="n">
        <v>151.9499609269911</v>
      </c>
      <c r="J43" s="7" t="n">
        <v>151.7580274047009</v>
      </c>
      <c r="K43" s="7" t="n">
        <v>152.0361411700808</v>
      </c>
      <c r="L43" s="7" t="n">
        <v>151.7933507273877</v>
      </c>
      <c r="M43" s="7" t="n">
        <v>152.0215119652351</v>
      </c>
      <c r="N43" s="7" t="n">
        <v>151.9143159727259</v>
      </c>
      <c r="O43" s="8">
        <f>N43*$B$2/100</f>
        <v/>
      </c>
    </row>
    <row r="44">
      <c r="A44" s="6" t="n">
        <v>46238.50474802083</v>
      </c>
      <c r="B44" s="7" t="n">
        <v>151.6015273085586</v>
      </c>
      <c r="C44" s="7" t="n">
        <v>151.2877429368736</v>
      </c>
      <c r="D44" s="7" t="n">
        <v>152.4138410022164</v>
      </c>
      <c r="E44" s="7" t="n">
        <v>152.7924354013232</v>
      </c>
      <c r="F44" s="7" t="n">
        <v>151.4656881669152</v>
      </c>
      <c r="G44" s="7" t="n">
        <v>152.9418348942409</v>
      </c>
      <c r="H44" s="7" t="n">
        <v>152.2850544155164</v>
      </c>
      <c r="I44" s="7" t="n">
        <v>152.6813327835306</v>
      </c>
      <c r="J44" s="7" t="n">
        <v>152.3138122464978</v>
      </c>
      <c r="K44" s="7" t="n">
        <v>152.3219476015796</v>
      </c>
      <c r="L44" s="7" t="n">
        <v>152.212899103948</v>
      </c>
      <c r="M44" s="7" t="n">
        <v>152.8246145642449</v>
      </c>
      <c r="N44" s="7" t="n">
        <v>152.2083835667254</v>
      </c>
      <c r="O44" s="8">
        <f>N44*$B$2/100</f>
        <v/>
      </c>
    </row>
    <row r="45">
      <c r="A45" s="6" t="n">
        <v>46238.50475979166</v>
      </c>
      <c r="B45" s="7" t="n">
        <v>152.0683166020608</v>
      </c>
      <c r="C45" s="7" t="n">
        <v>151.7973020683162</v>
      </c>
      <c r="D45" s="7" t="n">
        <v>152.457806228403</v>
      </c>
      <c r="E45" s="7" t="n">
        <v>152.7343090500466</v>
      </c>
      <c r="F45" s="7" t="n">
        <v>151.9403271906469</v>
      </c>
      <c r="G45" s="7" t="n">
        <v>152.3489622342114</v>
      </c>
      <c r="H45" s="7" t="n">
        <v>152.4639226492266</v>
      </c>
      <c r="I45" s="7" t="n">
        <v>153.0565304019237</v>
      </c>
      <c r="J45" s="7" t="n">
        <v>151.6924467174897</v>
      </c>
      <c r="K45" s="7" t="n">
        <v>152.0800333257593</v>
      </c>
      <c r="L45" s="7" t="n">
        <v>152.9444693099032</v>
      </c>
      <c r="M45" s="7" t="n">
        <v>152.5638963994212</v>
      </c>
      <c r="N45" s="7" t="n">
        <v>152.3423937115942</v>
      </c>
      <c r="O45" s="8">
        <f>N45*$B$2/100</f>
        <v/>
      </c>
    </row>
    <row r="46">
      <c r="A46" s="6" t="n">
        <v>46238.50477140046</v>
      </c>
      <c r="B46" s="7" t="n">
        <v>151.8431128500077</v>
      </c>
      <c r="C46" s="7" t="n">
        <v>152.2290868607546</v>
      </c>
      <c r="D46" s="7" t="n">
        <v>151.9705832184661</v>
      </c>
      <c r="E46" s="7" t="n">
        <v>152.6101638327809</v>
      </c>
      <c r="F46" s="7" t="n">
        <v>151.7307555608894</v>
      </c>
      <c r="G46" s="7" t="n">
        <v>151.8957668151509</v>
      </c>
      <c r="H46" s="7" t="n">
        <v>152.2506728430205</v>
      </c>
      <c r="I46" s="7" t="n">
        <v>152.6196797126762</v>
      </c>
      <c r="J46" s="7" t="n">
        <v>151.857456776815</v>
      </c>
      <c r="K46" s="7" t="n">
        <v>151.8224131795441</v>
      </c>
      <c r="L46" s="7" t="n">
        <v>152.5278463438999</v>
      </c>
      <c r="M46" s="7" t="n">
        <v>152.565626626892</v>
      </c>
      <c r="N46" s="7" t="n">
        <v>152.1567701689925</v>
      </c>
      <c r="O46" s="8">
        <f>N46*$B$2/100</f>
        <v/>
      </c>
    </row>
    <row r="47">
      <c r="A47" s="6" t="n">
        <v>46238.50478315973</v>
      </c>
      <c r="B47" s="7" t="n">
        <v>151.3590742651652</v>
      </c>
      <c r="C47" s="7" t="n">
        <v>151.7560682324728</v>
      </c>
      <c r="D47" s="7" t="n">
        <v>151.9687700344881</v>
      </c>
      <c r="E47" s="7" t="n">
        <v>152.3561892186173</v>
      </c>
      <c r="F47" s="7" t="n">
        <v>151.9321585640002</v>
      </c>
      <c r="G47" s="7" t="n">
        <v>152.2000441098454</v>
      </c>
      <c r="H47" s="7" t="n">
        <v>152.2149685473336</v>
      </c>
      <c r="I47" s="7" t="n">
        <v>152.2999832089018</v>
      </c>
      <c r="J47" s="7" t="n">
        <v>151.9465375381675</v>
      </c>
      <c r="K47" s="7" t="n">
        <v>152.4357743681213</v>
      </c>
      <c r="L47" s="7" t="n">
        <v>152.1698312192141</v>
      </c>
      <c r="M47" s="7" t="n">
        <v>152.0268445111416</v>
      </c>
      <c r="N47" s="7" t="n">
        <v>152.0770200074337</v>
      </c>
      <c r="O47" s="8">
        <f>N47*$B$2/100</f>
        <v/>
      </c>
    </row>
    <row r="48">
      <c r="A48" s="6" t="n">
        <v>46238.50479491898</v>
      </c>
      <c r="B48" s="7" t="n">
        <v>151.464294918245</v>
      </c>
      <c r="C48" s="7" t="n">
        <v>151.8854517014749</v>
      </c>
      <c r="D48" s="7" t="n">
        <v>152.0216912119516</v>
      </c>
      <c r="E48" s="7" t="n">
        <v>151.634822985243</v>
      </c>
      <c r="F48" s="7" t="n">
        <v>151.7488921065333</v>
      </c>
      <c r="G48" s="7" t="n">
        <v>152.0832168614077</v>
      </c>
      <c r="H48" s="7" t="n">
        <v>152.065655262879</v>
      </c>
      <c r="I48" s="7" t="n">
        <v>152.306143375536</v>
      </c>
      <c r="J48" s="7" t="n">
        <v>151.9158367994092</v>
      </c>
      <c r="K48" s="7" t="n">
        <v>152.1203532900266</v>
      </c>
      <c r="L48" s="7" t="n">
        <v>151.9134560293481</v>
      </c>
      <c r="M48" s="7" t="n">
        <v>152.302881024804</v>
      </c>
      <c r="N48" s="7" t="n">
        <v>151.9081320748379</v>
      </c>
      <c r="O48" s="8">
        <f>N48*$B$2/100</f>
        <v/>
      </c>
    </row>
    <row r="49">
      <c r="A49" s="6" t="n">
        <v>46238.50480663194</v>
      </c>
      <c r="B49" s="7" t="n">
        <v>150.6646404404175</v>
      </c>
      <c r="C49" s="7" t="n">
        <v>152.7727344401144</v>
      </c>
      <c r="D49" s="7" t="n">
        <v>151.9972037674268</v>
      </c>
      <c r="E49" s="7" t="n">
        <v>152.4066759881053</v>
      </c>
      <c r="F49" s="7" t="n">
        <v>152.8486241510863</v>
      </c>
      <c r="G49" s="7" t="n">
        <v>153.0083806792723</v>
      </c>
      <c r="H49" s="7" t="n">
        <v>152.7410795317472</v>
      </c>
      <c r="I49" s="7" t="n">
        <v>152.9043343267807</v>
      </c>
      <c r="J49" s="7" t="n">
        <v>152.2911695243816</v>
      </c>
      <c r="K49" s="7" t="n">
        <v>153.0556754125465</v>
      </c>
      <c r="L49" s="7" t="n">
        <v>152.52750013213</v>
      </c>
      <c r="M49" s="7" t="n">
        <v>152.8604503682918</v>
      </c>
      <c r="N49" s="7" t="n">
        <v>152.5240416588243</v>
      </c>
      <c r="O49" s="8">
        <f>N49*$B$2/100</f>
        <v/>
      </c>
    </row>
    <row r="50">
      <c r="A50" s="6" t="n">
        <v>46238.50481837963</v>
      </c>
      <c r="B50" s="7" t="n">
        <v>152.1545742840669</v>
      </c>
      <c r="C50" s="7" t="n">
        <v>152.6987494248453</v>
      </c>
      <c r="D50" s="7" t="n">
        <v>151.9954106256353</v>
      </c>
      <c r="E50" s="7" t="n">
        <v>152.6687167880339</v>
      </c>
      <c r="F50" s="7" t="n">
        <v>152.3549708646464</v>
      </c>
      <c r="G50" s="7" t="n">
        <v>151.8673736730209</v>
      </c>
      <c r="H50" s="7" t="n">
        <v>152.2734965901217</v>
      </c>
      <c r="I50" s="7" t="n">
        <v>152.6028053596437</v>
      </c>
      <c r="J50" s="7" t="n">
        <v>151.6463080292215</v>
      </c>
      <c r="K50" s="7" t="n">
        <v>152.0185393860566</v>
      </c>
      <c r="L50" s="7" t="n">
        <v>152.8711391293439</v>
      </c>
      <c r="M50" s="7" t="n">
        <v>152.4266127495713</v>
      </c>
      <c r="N50" s="7" t="n">
        <v>152.2812674909683</v>
      </c>
      <c r="O50" s="8">
        <f>N50*$B$2/100</f>
        <v/>
      </c>
    </row>
    <row r="51">
      <c r="A51" s="6" t="n">
        <v>46238.50483013889</v>
      </c>
      <c r="B51" s="7" t="n">
        <v>151.8070712737086</v>
      </c>
      <c r="C51" s="7" t="n">
        <v>151.5945791095749</v>
      </c>
      <c r="D51" s="7" t="n">
        <v>151.670197552497</v>
      </c>
      <c r="E51" s="7" t="n">
        <v>151.9300455780327</v>
      </c>
      <c r="F51" s="7" t="n">
        <v>151.9883861213258</v>
      </c>
      <c r="G51" s="7" t="n">
        <v>151.1072254151379</v>
      </c>
      <c r="H51" s="7" t="n">
        <v>151.8347447552214</v>
      </c>
      <c r="I51" s="7" t="n">
        <v>152.0315107402805</v>
      </c>
      <c r="J51" s="7" t="n">
        <v>151.767453415037</v>
      </c>
      <c r="K51" s="7" t="n">
        <v>152.0516751462186</v>
      </c>
      <c r="L51" s="7" t="n">
        <v>152.0457619708086</v>
      </c>
      <c r="M51" s="7" t="n">
        <v>152.428836567158</v>
      </c>
      <c r="N51" s="7" t="n">
        <v>151.8859903381642</v>
      </c>
      <c r="O51" s="8">
        <f>N51*$B$2/100</f>
        <v/>
      </c>
    </row>
    <row r="52">
      <c r="A52" s="6" t="n">
        <v>46238.50484188658</v>
      </c>
      <c r="B52" s="7" t="n">
        <v>151.3455179705097</v>
      </c>
      <c r="C52" s="7" t="n">
        <v>150.3300885276392</v>
      </c>
      <c r="D52" s="7" t="n">
        <v>152.0333897641913</v>
      </c>
      <c r="E52" s="7" t="n">
        <v>151.9865677002275</v>
      </c>
      <c r="F52" s="7" t="n">
        <v>152.1632583037666</v>
      </c>
      <c r="G52" s="7" t="n">
        <v>152.2038336442037</v>
      </c>
      <c r="H52" s="7" t="n">
        <v>152.1322628827483</v>
      </c>
      <c r="I52" s="7" t="n">
        <v>152.5422584324589</v>
      </c>
      <c r="J52" s="7" t="n">
        <v>151.9798498735851</v>
      </c>
      <c r="K52" s="7" t="n">
        <v>152.4409141826329</v>
      </c>
      <c r="L52" s="7" t="n">
        <v>152.3041234411602</v>
      </c>
      <c r="M52" s="7" t="n">
        <v>152.3085729898379</v>
      </c>
      <c r="N52" s="7" t="n">
        <v>151.9480680042225</v>
      </c>
      <c r="O52" s="8">
        <f>N52*$B$2/100</f>
        <v/>
      </c>
    </row>
    <row r="53">
      <c r="A53" s="6" t="n">
        <v>46238.50485364583</v>
      </c>
      <c r="B53" s="7" t="n">
        <v>151.7956932378234</v>
      </c>
      <c r="C53" s="7" t="n">
        <v>150.7205230843002</v>
      </c>
      <c r="D53" s="7" t="n">
        <v>151.9595454327039</v>
      </c>
      <c r="E53" s="7" t="n">
        <v>152.0899170716073</v>
      </c>
      <c r="F53" s="7" t="n">
        <v>151.8284629935589</v>
      </c>
      <c r="G53" s="7" t="n">
        <v>152.1304871942286</v>
      </c>
      <c r="H53" s="7" t="n">
        <v>151.6006395817234</v>
      </c>
      <c r="I53" s="7" t="n">
        <v>151.9885173461881</v>
      </c>
      <c r="J53" s="7" t="n">
        <v>151.746996229019</v>
      </c>
      <c r="K53" s="7" t="n">
        <v>152.0470533935101</v>
      </c>
      <c r="L53" s="7" t="n">
        <v>151.9029212609098</v>
      </c>
      <c r="M53" s="7" t="n">
        <v>152.0650923191787</v>
      </c>
      <c r="N53" s="7" t="n">
        <v>151.8802259213448</v>
      </c>
      <c r="O53" s="8">
        <f>N53*$B$2/100</f>
        <v/>
      </c>
    </row>
    <row r="54">
      <c r="A54" s="6" t="n">
        <v>46238.50486535879</v>
      </c>
      <c r="B54" s="7" t="n">
        <v>151.7116638831521</v>
      </c>
      <c r="C54" s="7" t="n">
        <v>151.8727512926224</v>
      </c>
      <c r="D54" s="7" t="n">
        <v>151.7702324429214</v>
      </c>
      <c r="E54" s="7" t="n">
        <v>151.8550599173431</v>
      </c>
      <c r="F54" s="7" t="n">
        <v>151.5424729412083</v>
      </c>
      <c r="G54" s="7" t="n">
        <v>151.6403656503196</v>
      </c>
      <c r="H54" s="7" t="n">
        <v>152.0244504157304</v>
      </c>
      <c r="I54" s="7" t="n">
        <v>151.9044958811428</v>
      </c>
      <c r="J54" s="7" t="n">
        <v>150.7662369899404</v>
      </c>
      <c r="K54" s="7" t="n">
        <v>151.921593287958</v>
      </c>
      <c r="L54" s="7" t="n">
        <v>151.4712504776955</v>
      </c>
      <c r="M54" s="7" t="n">
        <v>151.9621098052575</v>
      </c>
      <c r="N54" s="7" t="n">
        <v>151.7199601255263</v>
      </c>
      <c r="O54" s="8">
        <f>N54*$B$2/100</f>
        <v/>
      </c>
    </row>
    <row r="55">
      <c r="A55" s="6" t="n">
        <v>46238.50487707176</v>
      </c>
      <c r="B55" s="7" t="n">
        <v>151.7136945727874</v>
      </c>
      <c r="C55" s="7" t="n">
        <v>151.8748811145902</v>
      </c>
      <c r="D55" s="7" t="n">
        <v>151.7515400700803</v>
      </c>
      <c r="E55" s="7" t="n">
        <v>151.8412508084359</v>
      </c>
      <c r="F55" s="7" t="n">
        <v>151.8225230361332</v>
      </c>
      <c r="G55" s="7" t="n">
        <v>151.834697616742</v>
      </c>
      <c r="H55" s="7" t="n">
        <v>151.8369460751101</v>
      </c>
      <c r="I55" s="7" t="n">
        <v>151.8718782478579</v>
      </c>
      <c r="J55" s="7" t="n">
        <v>151.7172259489727</v>
      </c>
      <c r="K55" s="7" t="n">
        <v>151.8364986978421</v>
      </c>
      <c r="L55" s="7" t="n">
        <v>151.8106687711812</v>
      </c>
      <c r="M55" s="7" t="n">
        <v>151.8619557874093</v>
      </c>
      <c r="N55" s="7" t="n">
        <v>151.8172847098448</v>
      </c>
      <c r="O55" s="8">
        <f>N55*$B$2/100</f>
        <v/>
      </c>
    </row>
    <row r="56">
      <c r="A56" s="6" t="n">
        <v>46238.50488873843</v>
      </c>
      <c r="B56" s="7" t="n">
        <v>151.4381252127806</v>
      </c>
      <c r="C56" s="7" t="n">
        <v>151.4937849690004</v>
      </c>
      <c r="D56" s="7" t="n">
        <v>151.4783826138279</v>
      </c>
      <c r="E56" s="7" t="n">
        <v>151.5171341035469</v>
      </c>
      <c r="F56" s="7" t="n">
        <v>151.4194247651779</v>
      </c>
      <c r="G56" s="7" t="n">
        <v>151.5040790981385</v>
      </c>
      <c r="H56" s="7" t="n">
        <v>151.4874475112446</v>
      </c>
      <c r="I56" s="7" t="n">
        <v>151.5129548619533</v>
      </c>
      <c r="J56" s="7" t="n">
        <v>151.3918962052252</v>
      </c>
      <c r="K56" s="7" t="n">
        <v>151.4759479664112</v>
      </c>
      <c r="L56" s="7" t="n">
        <v>151.4790042754314</v>
      </c>
      <c r="M56" s="7" t="n">
        <v>151.5128597338461</v>
      </c>
      <c r="N56" s="7" t="n">
        <v>151.4790689070879</v>
      </c>
      <c r="O56" s="8">
        <f>N56*$B$2/100</f>
        <v/>
      </c>
    </row>
    <row r="57">
      <c r="A57" s="6" t="n">
        <v>46238.50490042824</v>
      </c>
      <c r="B57" s="7" t="n">
        <v>151.7588162772225</v>
      </c>
      <c r="C57" s="7" t="n">
        <v>151.834446646903</v>
      </c>
      <c r="D57" s="7" t="n">
        <v>151.7612726336836</v>
      </c>
      <c r="E57" s="7" t="n">
        <v>151.8365341429977</v>
      </c>
      <c r="F57" s="7" t="n">
        <v>151.735951554481</v>
      </c>
      <c r="G57" s="7" t="n">
        <v>151.8173310054663</v>
      </c>
      <c r="H57" s="7" t="n">
        <v>151.7749672447533</v>
      </c>
      <c r="I57" s="7" t="n">
        <v>151.8371512850013</v>
      </c>
      <c r="J57" s="7" t="n">
        <v>151.7075529908829</v>
      </c>
      <c r="K57" s="7" t="n">
        <v>151.8238115774742</v>
      </c>
      <c r="L57" s="7" t="n">
        <v>151.7240258504954</v>
      </c>
      <c r="M57" s="7" t="n">
        <v>151.8291533255842</v>
      </c>
      <c r="N57" s="7" t="n">
        <v>151.7846349725372</v>
      </c>
      <c r="O57" s="8">
        <f>N57*$B$2/100</f>
        <v/>
      </c>
    </row>
    <row r="58">
      <c r="A58" s="6" t="n">
        <v>46238.50491217593</v>
      </c>
      <c r="B58" s="7" t="n">
        <v>151.683298836042</v>
      </c>
      <c r="C58" s="7" t="n">
        <v>151.8329788098979</v>
      </c>
      <c r="D58" s="7" t="n">
        <v>151.8143108191099</v>
      </c>
      <c r="E58" s="7" t="n">
        <v>151.8299862196318</v>
      </c>
      <c r="F58" s="7" t="n">
        <v>151.7904511018979</v>
      </c>
      <c r="G58" s="7" t="n">
        <v>151.827747003146</v>
      </c>
      <c r="H58" s="7" t="n">
        <v>151.7770582857065</v>
      </c>
      <c r="I58" s="7" t="n">
        <v>151.8300319161525</v>
      </c>
      <c r="J58" s="7" t="n">
        <v>151.6740887398868</v>
      </c>
      <c r="K58" s="7" t="n">
        <v>151.7965192430442</v>
      </c>
      <c r="L58" s="7" t="n">
        <v>151.7731406332505</v>
      </c>
      <c r="M58" s="7" t="n">
        <v>151.8309956728412</v>
      </c>
      <c r="N58" s="7" t="n">
        <v>151.8004970391084</v>
      </c>
      <c r="O58" s="8">
        <f>N58*$B$2/100</f>
        <v/>
      </c>
    </row>
    <row r="59">
      <c r="A59" s="6" t="n">
        <v>46238.50492378472</v>
      </c>
      <c r="B59" s="7" t="n">
        <v>151.6932212405509</v>
      </c>
      <c r="C59" s="7" t="n">
        <v>151.8311389964298</v>
      </c>
      <c r="D59" s="7" t="n">
        <v>151.7785283649306</v>
      </c>
      <c r="E59" s="7" t="n">
        <v>151.7921738284697</v>
      </c>
      <c r="F59" s="7" t="n">
        <v>151.7665847619656</v>
      </c>
      <c r="G59" s="7" t="n">
        <v>151.8106758450209</v>
      </c>
      <c r="H59" s="7" t="n">
        <v>151.7752064737088</v>
      </c>
      <c r="I59" s="7" t="n">
        <v>151.8384705394708</v>
      </c>
      <c r="J59" s="7" t="n">
        <v>151.6897888317471</v>
      </c>
      <c r="K59" s="7" t="n">
        <v>151.7801879236809</v>
      </c>
      <c r="L59" s="7" t="n">
        <v>151.7943458931127</v>
      </c>
      <c r="M59" s="7" t="n">
        <v>151.8216192913422</v>
      </c>
      <c r="N59" s="7" t="n">
        <v>151.782651173891</v>
      </c>
      <c r="O59" s="8">
        <f>N59*$B$2/100</f>
        <v/>
      </c>
    </row>
    <row r="60">
      <c r="A60" s="6" t="n">
        <v>46238.50493553241</v>
      </c>
      <c r="B60" s="7" t="n">
        <v>151.7493678912379</v>
      </c>
      <c r="C60" s="7" t="n">
        <v>151.8420950468423</v>
      </c>
      <c r="D60" s="7" t="n">
        <v>151.745421905615</v>
      </c>
      <c r="E60" s="7" t="n">
        <v>151.8130155752657</v>
      </c>
      <c r="F60" s="7" t="n">
        <v>151.8073681573962</v>
      </c>
      <c r="G60" s="7" t="n">
        <v>151.8204203958071</v>
      </c>
      <c r="H60" s="7" t="n">
        <v>151.7793709965524</v>
      </c>
      <c r="I60" s="7" t="n">
        <v>151.8340528986008</v>
      </c>
      <c r="J60" s="7" t="n">
        <v>151.6903989291984</v>
      </c>
      <c r="K60" s="7" t="n">
        <v>151.815036107773</v>
      </c>
      <c r="L60" s="7" t="n">
        <v>151.7682584397458</v>
      </c>
      <c r="M60" s="7" t="n">
        <v>151.8030295502597</v>
      </c>
      <c r="N60" s="7" t="n">
        <v>151.7865066625621</v>
      </c>
      <c r="O60" s="8">
        <f>N60*$B$2/100</f>
        <v/>
      </c>
    </row>
    <row r="61">
      <c r="A61" s="6" t="n">
        <v>46238.50494730324</v>
      </c>
      <c r="B61" s="7" t="n">
        <v>151.7139022564222</v>
      </c>
      <c r="C61" s="7" t="n">
        <v>151.831000947368</v>
      </c>
      <c r="D61" s="7" t="n">
        <v>151.7444036759013</v>
      </c>
      <c r="E61" s="7" t="n">
        <v>151.8204686591562</v>
      </c>
      <c r="F61" s="7" t="n">
        <v>151.7821934354486</v>
      </c>
      <c r="G61" s="7" t="n">
        <v>151.7958219889768</v>
      </c>
      <c r="H61" s="7" t="n">
        <v>151.7783148273694</v>
      </c>
      <c r="I61" s="7" t="n">
        <v>151.8419779187641</v>
      </c>
      <c r="J61" s="7" t="n">
        <v>151.6507144030885</v>
      </c>
      <c r="K61" s="7" t="n">
        <v>151.8377930928272</v>
      </c>
      <c r="L61" s="7" t="n">
        <v>151.8073450002798</v>
      </c>
      <c r="M61" s="7" t="n">
        <v>151.8203493369913</v>
      </c>
      <c r="N61" s="7" t="n">
        <v>151.7838245829495</v>
      </c>
      <c r="O61" s="8">
        <f>N61*$B$2/100</f>
        <v/>
      </c>
    </row>
    <row r="62">
      <c r="A62" s="6" t="n">
        <v>46238.50495902778</v>
      </c>
      <c r="B62" s="7" t="n">
        <v>151.7279364049319</v>
      </c>
      <c r="C62" s="7" t="n">
        <v>151.8400988208612</v>
      </c>
      <c r="D62" s="7" t="n">
        <v>151.7763426168837</v>
      </c>
      <c r="E62" s="7" t="n">
        <v>151.8212225649093</v>
      </c>
      <c r="F62" s="7" t="n">
        <v>151.7759073567989</v>
      </c>
      <c r="G62" s="7" t="n">
        <v>151.7972825769473</v>
      </c>
      <c r="H62" s="7" t="n">
        <v>151.8055088874702</v>
      </c>
      <c r="I62" s="7" t="n">
        <v>151.8425296256692</v>
      </c>
      <c r="J62" s="7" t="n">
        <v>151.6985040623572</v>
      </c>
      <c r="K62" s="7" t="n">
        <v>151.8179403250525</v>
      </c>
      <c r="L62" s="7" t="n">
        <v>151.7725400649273</v>
      </c>
      <c r="M62" s="7" t="n">
        <v>151.8165970142823</v>
      </c>
      <c r="N62" s="7" t="n">
        <v>151.7900207299022</v>
      </c>
      <c r="O62" s="8">
        <f>N62*$B$2/100</f>
        <v/>
      </c>
    </row>
    <row r="63">
      <c r="A63" s="6" t="n">
        <v>46238.50497064815</v>
      </c>
      <c r="B63" s="7" t="n">
        <v>151.6231144107252</v>
      </c>
      <c r="C63" s="7" t="n">
        <v>151.8429556680923</v>
      </c>
      <c r="D63" s="7" t="n">
        <v>151.7745444242504</v>
      </c>
      <c r="E63" s="7" t="n">
        <v>151.7843853340893</v>
      </c>
      <c r="F63" s="7" t="n">
        <v>151.7968768775232</v>
      </c>
      <c r="G63" s="7" t="n">
        <v>151.8117566646464</v>
      </c>
      <c r="H63" s="7" t="n">
        <v>151.8052168148362</v>
      </c>
      <c r="I63" s="7" t="n">
        <v>151.8448465619847</v>
      </c>
      <c r="J63" s="7" t="n">
        <v>151.7251090462664</v>
      </c>
      <c r="K63" s="7" t="n">
        <v>151.8068706767337</v>
      </c>
      <c r="L63" s="7" t="n">
        <v>151.7854722972949</v>
      </c>
      <c r="M63" s="7" t="n">
        <v>151.8406541138295</v>
      </c>
      <c r="N63" s="7" t="n">
        <v>151.7869840551641</v>
      </c>
      <c r="O63" s="8">
        <f>N63*$B$2/100</f>
        <v/>
      </c>
    </row>
    <row r="64">
      <c r="A64" s="6" t="n">
        <v>46238.50498225694</v>
      </c>
      <c r="B64" s="7" t="n">
        <v>151.6576278224547</v>
      </c>
      <c r="C64" s="7" t="n">
        <v>151.8302515262315</v>
      </c>
      <c r="D64" s="7" t="n">
        <v>151.7467062143127</v>
      </c>
      <c r="E64" s="7" t="n">
        <v>151.7847505066019</v>
      </c>
      <c r="F64" s="7" t="n">
        <v>151.8123615750005</v>
      </c>
      <c r="G64" s="7" t="n">
        <v>151.819685851302</v>
      </c>
      <c r="H64" s="7" t="n">
        <v>151.7683219290346</v>
      </c>
      <c r="I64" s="7" t="n">
        <v>151.8189235324357</v>
      </c>
      <c r="J64" s="7" t="n">
        <v>151.7309557916518</v>
      </c>
      <c r="K64" s="7" t="n">
        <v>151.8289093214839</v>
      </c>
      <c r="L64" s="7" t="n">
        <v>151.7793677158645</v>
      </c>
      <c r="M64" s="7" t="n">
        <v>151.8361460371688</v>
      </c>
      <c r="N64" s="7" t="n">
        <v>151.7868303426471</v>
      </c>
      <c r="O64" s="8">
        <f>N64*$B$2/100</f>
        <v/>
      </c>
    </row>
    <row r="65">
      <c r="A65" s="6" t="n">
        <v>46238.50499398148</v>
      </c>
      <c r="B65" s="7" t="n">
        <v>151.5261910149894</v>
      </c>
      <c r="C65" s="7" t="n">
        <v>151.7903988226529</v>
      </c>
      <c r="D65" s="7" t="n">
        <v>151.6760371129697</v>
      </c>
      <c r="E65" s="7" t="n">
        <v>151.7565789714445</v>
      </c>
      <c r="F65" s="7" t="n">
        <v>151.627329104075</v>
      </c>
      <c r="G65" s="7" t="n">
        <v>151.7422885386552</v>
      </c>
      <c r="H65" s="7" t="n">
        <v>151.7215141135152</v>
      </c>
      <c r="I65" s="7" t="n">
        <v>151.7764816878019</v>
      </c>
      <c r="J65" s="7" t="n">
        <v>151.5969243229247</v>
      </c>
      <c r="K65" s="7" t="n">
        <v>151.7630172030493</v>
      </c>
      <c r="L65" s="7" t="n">
        <v>151.679534150613</v>
      </c>
      <c r="M65" s="7" t="n">
        <v>151.7867589246428</v>
      </c>
      <c r="N65" s="7" t="n">
        <v>151.7169927944094</v>
      </c>
      <c r="O65" s="8">
        <f>N65*$B$2/100</f>
        <v/>
      </c>
    </row>
    <row r="66">
      <c r="A66" s="6" t="n">
        <v>46238.50500570602</v>
      </c>
      <c r="B66" s="7" t="n">
        <v>151.6784102509619</v>
      </c>
      <c r="C66" s="7" t="n">
        <v>151.7962557502613</v>
      </c>
      <c r="D66" s="7" t="n">
        <v>151.772847858737</v>
      </c>
      <c r="E66" s="7" t="n">
        <v>151.7982468614147</v>
      </c>
      <c r="F66" s="7" t="n">
        <v>151.7159586023724</v>
      </c>
      <c r="G66" s="7" t="n">
        <v>151.7824038506205</v>
      </c>
      <c r="H66" s="7" t="n">
        <v>151.7666148617492</v>
      </c>
      <c r="I66" s="7" t="n">
        <v>151.7962721557579</v>
      </c>
      <c r="J66" s="7" t="n">
        <v>151.7142718300775</v>
      </c>
      <c r="K66" s="7" t="n">
        <v>151.7995726360501</v>
      </c>
      <c r="L66" s="7" t="n">
        <v>151.725194832882</v>
      </c>
      <c r="M66" s="7" t="n">
        <v>151.7958344867538</v>
      </c>
      <c r="N66" s="7" t="n">
        <v>151.7517810280563</v>
      </c>
      <c r="O66" s="8">
        <f>N66*$B$2/100</f>
        <v/>
      </c>
    </row>
    <row r="67">
      <c r="A67" s="6" t="n">
        <v>46238.50501744213</v>
      </c>
      <c r="B67" s="7" t="n">
        <v>146.0129845549819</v>
      </c>
      <c r="C67" s="7" t="n">
        <v>149.4107194308675</v>
      </c>
      <c r="D67" s="7" t="n">
        <v>153.2577748821394</v>
      </c>
      <c r="E67" s="7" t="n">
        <v>149.8990589694003</v>
      </c>
      <c r="F67" s="7" t="n">
        <v>149.4099418342598</v>
      </c>
      <c r="G67" s="7" t="n">
        <v>148.8422632149467</v>
      </c>
      <c r="H67" s="7" t="n">
        <v>150.6102775411109</v>
      </c>
      <c r="I67" s="7" t="n">
        <v>149.6539916639949</v>
      </c>
      <c r="J67" s="7" t="n">
        <v>151.1064187296964</v>
      </c>
      <c r="K67" s="7" t="n">
        <v>149.5114864255648</v>
      </c>
      <c r="L67" s="7" t="n">
        <v>147.5963826809185</v>
      </c>
      <c r="M67" s="7" t="n">
        <v>148.4713610630234</v>
      </c>
      <c r="N67" s="7" t="n">
        <v>149.6885170362912</v>
      </c>
      <c r="O67" s="8">
        <f>N67*$B$2/100</f>
        <v/>
      </c>
    </row>
    <row r="68">
      <c r="A68" s="6" t="n">
        <v>46238.50502930555</v>
      </c>
      <c r="B68" s="7" t="n">
        <v>145.3920698666023</v>
      </c>
      <c r="C68" s="7" t="n">
        <v>148.1864728143043</v>
      </c>
      <c r="D68" s="7" t="n">
        <v>145.3520330978597</v>
      </c>
      <c r="E68" s="7" t="n">
        <v>145.9458662381689</v>
      </c>
      <c r="F68" s="7" t="n">
        <v>146.2124417164985</v>
      </c>
      <c r="G68" s="7" t="n">
        <v>144.9272807720364</v>
      </c>
      <c r="H68" s="7" t="n">
        <v>145.2721889682693</v>
      </c>
      <c r="I68" s="7" t="n">
        <v>145.0818714902111</v>
      </c>
      <c r="J68" s="7" t="n">
        <v>144.0422225226849</v>
      </c>
      <c r="K68" s="7" t="n">
        <v>146.0511210288642</v>
      </c>
      <c r="L68" s="7" t="n">
        <v>145.9957731527399</v>
      </c>
      <c r="M68" s="7" t="n">
        <v>148.3594303521548</v>
      </c>
      <c r="N68" s="7" t="n">
        <v>145.9097209179313</v>
      </c>
      <c r="O68" s="8">
        <f>N68*$B$2/100</f>
        <v/>
      </c>
    </row>
    <row r="69">
      <c r="A69" s="6" t="n">
        <v>46238.50504100695</v>
      </c>
      <c r="B69" s="7" t="n">
        <v>152.9140561370904</v>
      </c>
      <c r="C69" s="7" t="n">
        <v>153.96454646577</v>
      </c>
      <c r="D69" s="7" t="n">
        <v>124.7316286434813</v>
      </c>
      <c r="E69" s="7" t="n">
        <v>161.571529148663</v>
      </c>
      <c r="F69" s="7" t="n">
        <v>142.5679813612914</v>
      </c>
      <c r="G69" s="7" t="n">
        <v>139.5388511641895</v>
      </c>
      <c r="H69" s="7" t="n">
        <v>143.0654619060537</v>
      </c>
      <c r="I69" s="7" t="n">
        <v>102.8427684117125</v>
      </c>
      <c r="J69" s="7" t="n">
        <v>144.2433526359028</v>
      </c>
      <c r="K69" s="7" t="n">
        <v>120.1051009650474</v>
      </c>
      <c r="L69" s="7" t="n">
        <v>128.0430471247857</v>
      </c>
      <c r="M69" s="7" t="n">
        <v>137.8324342985371</v>
      </c>
      <c r="N69" s="7" t="n">
        <v>146.9696264401257</v>
      </c>
      <c r="O69" s="8">
        <f>N69*$B$2/100</f>
        <v/>
      </c>
    </row>
    <row r="70">
      <c r="A70" s="6" t="n">
        <v>46238.50505269676</v>
      </c>
      <c r="B70" s="7" t="n">
        <v>136.9371583553524</v>
      </c>
      <c r="C70" s="7" t="n">
        <v>145.3565926755829</v>
      </c>
      <c r="D70" s="7" t="n">
        <v>139.8739360554827</v>
      </c>
      <c r="E70" s="7" t="n">
        <v>123.9125387554979</v>
      </c>
      <c r="F70" s="7" t="n">
        <v>161.4464545290566</v>
      </c>
      <c r="G70" s="7" t="n">
        <v>127.0178553747648</v>
      </c>
      <c r="H70" s="7" t="n">
        <v>150.3346874777279</v>
      </c>
      <c r="I70" s="7" t="n">
        <v>127.6870563840817</v>
      </c>
      <c r="J70" s="7" t="n">
        <v>142.3503471709263</v>
      </c>
      <c r="K70" s="7" t="n">
        <v>117.8021565869667</v>
      </c>
      <c r="L70" s="7" t="n">
        <v>140.7628680210422</v>
      </c>
      <c r="M70" s="7" t="n">
        <v>121.8444301588759</v>
      </c>
      <c r="N70" s="7" t="n">
        <v>147.8564299231323</v>
      </c>
      <c r="O70" s="8">
        <f>N70*$B$2/100</f>
        <v/>
      </c>
    </row>
    <row r="71">
      <c r="A71" s="6" t="n">
        <v>46238.50506439814</v>
      </c>
      <c r="B71" s="7" t="n">
        <v>136.721784714925</v>
      </c>
      <c r="C71" s="7" t="n">
        <v>161.0395211285425</v>
      </c>
      <c r="D71" s="7" t="n">
        <v>157.0142394619954</v>
      </c>
      <c r="E71" s="7" t="n">
        <v>145.014490000814</v>
      </c>
      <c r="F71" s="7" t="n">
        <v>122.4668515762414</v>
      </c>
      <c r="G71" s="7" t="n">
        <v>131.4554945646324</v>
      </c>
      <c r="H71" s="7" t="n">
        <v>149.5219143500213</v>
      </c>
      <c r="I71" s="7" t="n">
        <v>137.5475157595066</v>
      </c>
      <c r="J71" s="7" t="n">
        <v>143.8445272045507</v>
      </c>
      <c r="K71" s="7" t="n">
        <v>105.9170262606337</v>
      </c>
      <c r="L71" s="7" t="n">
        <v>130.6773204097908</v>
      </c>
      <c r="M71" s="7" t="n">
        <v>135.1618688060406</v>
      </c>
      <c r="N71" s="7" t="n">
        <v>148.2148739705515</v>
      </c>
      <c r="O71" s="8">
        <f>N71*$B$2/100</f>
        <v/>
      </c>
    </row>
    <row r="72">
      <c r="A72" s="6" t="n">
        <v>46238.50507611111</v>
      </c>
      <c r="B72" s="7" t="n">
        <v>122.9698542884565</v>
      </c>
      <c r="C72" s="7" t="n">
        <v>155.0118204874869</v>
      </c>
      <c r="D72" s="7" t="n">
        <v>147.9910243360785</v>
      </c>
      <c r="E72" s="7" t="n">
        <v>120.8153692321266</v>
      </c>
      <c r="F72" s="7" t="n">
        <v>150.8434567490098</v>
      </c>
      <c r="G72" s="7" t="n">
        <v>97.50929648241205</v>
      </c>
      <c r="H72" s="7" t="n">
        <v>148.6817388033637</v>
      </c>
      <c r="I72" s="7" t="n">
        <v>136.5834836587436</v>
      </c>
      <c r="J72" s="7" t="n">
        <v>142.3419805088829</v>
      </c>
      <c r="K72" s="7" t="n">
        <v>93.58596635207222</v>
      </c>
      <c r="L72" s="7" t="n">
        <v>117.6939910313901</v>
      </c>
      <c r="M72" s="7" t="n">
        <v>86.12695785050299</v>
      </c>
      <c r="N72" s="7" t="n">
        <v>140.8796929419291</v>
      </c>
      <c r="O72" s="8">
        <f>N72*$B$2/100</f>
        <v/>
      </c>
    </row>
    <row r="73">
      <c r="A73" s="6" t="n">
        <v>46238.50508780093</v>
      </c>
      <c r="B73" s="7" t="n">
        <v>143.6738040160955</v>
      </c>
      <c r="C73" s="7" t="n">
        <v>157.4490074372309</v>
      </c>
      <c r="D73" s="7" t="n">
        <v>112.8962096158738</v>
      </c>
      <c r="E73" s="7" t="n">
        <v>121.5347561753327</v>
      </c>
      <c r="F73" s="7" t="n">
        <v>156.2112372222918</v>
      </c>
      <c r="G73" s="7" t="n">
        <v>101.2215094775774</v>
      </c>
      <c r="H73" s="7" t="n">
        <v>139.2778302629507</v>
      </c>
      <c r="I73" s="7" t="n">
        <v>97.23688381676969</v>
      </c>
      <c r="J73" s="7" t="n">
        <v>150.7555399437977</v>
      </c>
      <c r="K73" s="7" t="n">
        <v>77.9762312633833</v>
      </c>
      <c r="L73" s="7" t="n">
        <v>94.01692466460268</v>
      </c>
      <c r="M73" s="7" t="n">
        <v>140.2573878250929</v>
      </c>
      <c r="N73" s="7" t="n">
        <v>143.3716498367626</v>
      </c>
      <c r="O73" s="8">
        <f>N73*$B$2/100</f>
        <v/>
      </c>
    </row>
    <row r="74">
      <c r="A74" s="6" t="n">
        <v>46238.50509949074</v>
      </c>
      <c r="B74" s="7" t="n">
        <v>154.2805632991742</v>
      </c>
      <c r="C74" s="7" t="n">
        <v>102.8941466376201</v>
      </c>
      <c r="D74" s="7" t="n">
        <v>129.4262833962792</v>
      </c>
      <c r="E74" s="7" t="n">
        <v>157.378930768801</v>
      </c>
      <c r="F74" s="7" t="n">
        <v>112.6902496317235</v>
      </c>
      <c r="G74" s="7" t="n">
        <v>128.597428288823</v>
      </c>
      <c r="H74" s="7" t="n">
        <v>136.8372821803333</v>
      </c>
      <c r="I74" s="7" t="n">
        <v>113.0636968353155</v>
      </c>
      <c r="J74" s="7" t="n">
        <v>147.6595452141724</v>
      </c>
      <c r="K74" s="7" t="n">
        <v>140.1325743665075</v>
      </c>
      <c r="L74" s="7" t="n">
        <v>95.26503827925629</v>
      </c>
      <c r="M74" s="7" t="n">
        <v>96.6425635667015</v>
      </c>
      <c r="N74" s="7" t="n">
        <v>144.1464336769242</v>
      </c>
      <c r="O74" s="8">
        <f>N74*$B$2/100</f>
        <v/>
      </c>
    </row>
    <row r="75">
      <c r="A75" s="6" t="n">
        <v>46238.50511125</v>
      </c>
      <c r="B75" s="7" t="n">
        <v>136.5210177219724</v>
      </c>
      <c r="C75" s="7" t="n">
        <v>113.0062744254419</v>
      </c>
      <c r="D75" s="7" t="n">
        <v>101.0111542192047</v>
      </c>
      <c r="E75" s="7" t="n">
        <v>152.3394298565917</v>
      </c>
      <c r="F75" s="7" t="n">
        <v>133.6435970076579</v>
      </c>
      <c r="G75" s="7" t="n">
        <v>112.310059982862</v>
      </c>
      <c r="H75" s="7" t="n">
        <v>133.0294496949166</v>
      </c>
      <c r="I75" s="7" t="n">
        <v>105.4331764142663</v>
      </c>
      <c r="J75" s="7" t="n">
        <v>122.316643741403</v>
      </c>
      <c r="K75" s="7" t="n">
        <v>97.05504128096072</v>
      </c>
      <c r="L75" s="7" t="n">
        <v>79.51096939403639</v>
      </c>
      <c r="M75" s="7" t="n">
        <v>79.35601019396857</v>
      </c>
      <c r="N75" s="7" t="n">
        <v>128.2631980868552</v>
      </c>
      <c r="O75" s="8">
        <f>N75*$B$2/100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9" customWidth="1" min="4" max="4"/>
    <col width="56" customWidth="1" min="5" max="5"/>
    <col width="11" customWidth="1" min="6" max="6"/>
    <col width="12" customWidth="1" min="7" max="7"/>
    <col width="13" customWidth="1" min="8" max="8"/>
  </cols>
  <sheetData>
    <row r="1">
      <c r="A1" s="1" t="inlineStr">
        <is>
          <t>테스트 구간별 시각 경계와 실행 스레드, 그 구간의 평균 클럭</t>
        </is>
      </c>
    </row>
    <row r="2">
      <c r="A2" s="4" t="inlineStr">
        <is>
          <t>시각 경계 출처: 전체·워밍업·워커 읽기는 프로브의 [구간 시각] 출력, 측정 회차는 IMPLOG의 시작시각ms(첫 스캔 시작)와 마지막 스캔 시작+바퀴 시간이다.</t>
        </is>
      </c>
    </row>
    <row r="3">
      <c r="A3" s="4" t="inlineStr">
        <is>
          <t>클럭은 논리 프로세서별 값이고 스레드가 어느 프로세서에서 돌았는지는 기록되지 않으므로, 스레드별 대응은 구간 단위까지다. 각 표본이 직전 간격의 평균이라 경계 표본에는 이웃 구간의 몫이 섞일 수 있다.</t>
        </is>
      </c>
    </row>
    <row r="5">
      <c r="A5" s="5" t="inlineStr">
        <is>
          <t>구간</t>
        </is>
      </c>
      <c r="B5" s="5" t="inlineStr">
        <is>
          <t>시작 시각</t>
        </is>
      </c>
      <c r="C5" s="5" t="inlineStr">
        <is>
          <t>끝 시각</t>
        </is>
      </c>
      <c r="D5" s="5" t="inlineStr">
        <is>
          <t>길이(초)</t>
        </is>
      </c>
      <c r="E5" s="5" t="inlineStr">
        <is>
          <t>실행 스레드</t>
        </is>
      </c>
      <c r="F5" s="5" t="inlineStr">
        <is>
          <t>표본 수(개)</t>
        </is>
      </c>
      <c r="G5" s="5" t="inlineStr">
        <is>
          <t>평균 클럭(%)</t>
        </is>
      </c>
      <c r="H5" s="5" t="inlineStr">
        <is>
          <t>평균 클럭(GHz)</t>
        </is>
      </c>
    </row>
    <row r="6">
      <c r="A6" s="9" t="inlineStr">
        <is>
          <t>순차 전체</t>
        </is>
      </c>
      <c r="B6" s="10" t="n">
        <v>46238.50436397194</v>
      </c>
      <c r="C6" s="10" t="n">
        <v>46238.50467729242</v>
      </c>
      <c r="D6" s="11">
        <f>(C6-B6)*86400</f>
        <v/>
      </c>
      <c r="E6" s="12" t="inlineStr">
        <is>
          <t>main (improveSequential, 워밍업+측정)</t>
        </is>
      </c>
      <c r="F6" s="13">
        <f>COUNTIFS('클럭 정리'!$A$6:$A$75,"&gt;="&amp;B6,'클럭 정리'!$A$6:$A$75,"&lt;="&amp;C6)</f>
        <v/>
      </c>
      <c r="G6" s="14">
        <f>AVERAGEIFS('클럭 정리'!$N$6:$N$75,'클럭 정리'!$A$6:$A$75,"&gt;="&amp;B6,'클럭 정리'!$A$6:$A$75,"&lt;="&amp;C6)</f>
        <v/>
      </c>
      <c r="H6" s="15">
        <f>G6*'클럭 정리'!$B$2/100</f>
        <v/>
      </c>
    </row>
    <row r="7">
      <c r="A7" s="9" t="inlineStr">
        <is>
          <t>병렬도 6 분할 10 전체</t>
        </is>
      </c>
      <c r="B7" s="10" t="n">
        <v>46238.50467730407</v>
      </c>
      <c r="C7" s="10" t="n">
        <v>46238.50486501672</v>
      </c>
      <c r="D7" s="11">
        <f>(C7-B7)*86400</f>
        <v/>
      </c>
      <c r="E7" s="12" t="inlineStr">
        <is>
          <t>워커(호출마다 새 풀)+main</t>
        </is>
      </c>
      <c r="F7" s="13">
        <f>COUNTIFS('클럭 정리'!$A$6:$A$75,"&gt;="&amp;B7,'클럭 정리'!$A$6:$A$75,"&lt;="&amp;C7)</f>
        <v/>
      </c>
      <c r="G7" s="14">
        <f>AVERAGEIFS('클럭 정리'!$N$6:$N$75,'클럭 정리'!$A$6:$A$75,"&gt;="&amp;B7,'클럭 정리'!$A$6:$A$75,"&lt;="&amp;C7)</f>
        <v/>
      </c>
      <c r="H7" s="15">
        <f>G7*'클럭 정리'!$B$2/100</f>
        <v/>
      </c>
    </row>
    <row r="8">
      <c r="A8" s="13" t="inlineStr">
        <is>
          <t>병렬도 6 분할 10 워밍업</t>
        </is>
      </c>
      <c r="B8" s="10" t="n">
        <v>46238.50467730407</v>
      </c>
      <c r="C8" s="10" t="n">
        <v>46238.50472385417</v>
      </c>
      <c r="D8" s="11">
        <f>(C8-B8)*86400</f>
        <v/>
      </c>
      <c r="E8" s="12" t="inlineStr">
        <is>
          <t>워커 (IMPLOG 기록 없음)</t>
        </is>
      </c>
      <c r="F8" s="13">
        <f>COUNTIFS('클럭 정리'!$A$6:$A$75,"&gt;="&amp;B8,'클럭 정리'!$A$6:$A$75,"&lt;="&amp;C8)</f>
        <v/>
      </c>
      <c r="G8" s="14">
        <f>AVERAGEIFS('클럭 정리'!$N$6:$N$75,'클럭 정리'!$A$6:$A$75,"&gt;="&amp;B8,'클럭 정리'!$A$6:$A$75,"&lt;="&amp;C8)</f>
        <v/>
      </c>
      <c r="H8" s="15">
        <f>G8*'클럭 정리'!$B$2/100</f>
        <v/>
      </c>
    </row>
    <row r="9">
      <c r="A9" s="13" t="inlineStr">
        <is>
          <t>병렬도 6 분할 10 측정 1회차</t>
        </is>
      </c>
      <c r="B9" s="10" t="n">
        <v>46238.50472385417</v>
      </c>
      <c r="C9" s="10" t="n">
        <v>46238.50474748044</v>
      </c>
      <c r="D9" s="11">
        <f>(C9-B9)*86400</f>
        <v/>
      </c>
      <c r="E9" s="12" t="inlineStr">
        <is>
          <t>ForkJoinPool-3-worker-1, ForkJoinPool-3-worker-2, ForkJoinPool-3-worker-3, ForkJoinPool-3-worker-4, ForkJoinPool-3-worker-5, ForkJoinPool-3-worker-6 + main(스캔 사이 순차 구간)</t>
        </is>
      </c>
      <c r="F9" s="13">
        <f>COUNTIFS('클럭 정리'!$A$6:$A$75,"&gt;="&amp;B9,'클럭 정리'!$A$6:$A$75,"&lt;="&amp;C9)</f>
        <v/>
      </c>
      <c r="G9" s="14">
        <f>AVERAGEIFS('클럭 정리'!$N$6:$N$75,'클럭 정리'!$A$6:$A$75,"&gt;="&amp;B9,'클럭 정리'!$A$6:$A$75,"&lt;="&amp;C9)</f>
        <v/>
      </c>
      <c r="H9" s="15">
        <f>G9*'클럭 정리'!$B$2/100</f>
        <v/>
      </c>
    </row>
    <row r="10">
      <c r="A10" s="13" t="inlineStr">
        <is>
          <t>병렬도 6 분할 10 측정 2회차</t>
        </is>
      </c>
      <c r="B10" s="10" t="n">
        <v>46238.5047475</v>
      </c>
      <c r="C10" s="10" t="n">
        <v>46238.50477080529</v>
      </c>
      <c r="D10" s="11">
        <f>(C10-B10)*86400</f>
        <v/>
      </c>
      <c r="E10" s="12" t="inlineStr">
        <is>
          <t>ForkJoinPool-4-worker-1, ForkJoinPool-4-worker-2, ForkJoinPool-4-worker-3, ForkJoinPool-4-worker-4, ForkJoinPool-4-worker-5, ForkJoinPool-4-worker-6 + main(스캔 사이 순차 구간)</t>
        </is>
      </c>
      <c r="F10" s="13">
        <f>COUNTIFS('클럭 정리'!$A$6:$A$75,"&gt;="&amp;B10,'클럭 정리'!$A$6:$A$75,"&lt;="&amp;C10)</f>
        <v/>
      </c>
      <c r="G10" s="14">
        <f>AVERAGEIFS('클럭 정리'!$N$6:$N$75,'클럭 정리'!$A$6:$A$75,"&gt;="&amp;B10,'클럭 정리'!$A$6:$A$75,"&lt;="&amp;C10)</f>
        <v/>
      </c>
      <c r="H10" s="15">
        <f>G10*'클럭 정리'!$B$2/100</f>
        <v/>
      </c>
    </row>
    <row r="11">
      <c r="A11" s="13" t="inlineStr">
        <is>
          <t>병렬도 6 분할 10 측정 3회차</t>
        </is>
      </c>
      <c r="B11" s="10" t="n">
        <v>46238.50477081018</v>
      </c>
      <c r="C11" s="10" t="n">
        <v>46238.50479435908</v>
      </c>
      <c r="D11" s="11">
        <f>(C11-B11)*86400</f>
        <v/>
      </c>
      <c r="E11" s="12" t="inlineStr">
        <is>
          <t>ForkJoinPool-5-worker-1, ForkJoinPool-5-worker-2, ForkJoinPool-5-worker-3, ForkJoinPool-5-worker-4, ForkJoinPool-5-worker-5, ForkJoinPool-5-worker-6 + main(스캔 사이 순차 구간)</t>
        </is>
      </c>
      <c r="F11" s="13">
        <f>COUNTIFS('클럭 정리'!$A$6:$A$75,"&gt;="&amp;B11,'클럭 정리'!$A$6:$A$75,"&lt;="&amp;C11)</f>
        <v/>
      </c>
      <c r="G11" s="14">
        <f>AVERAGEIFS('클럭 정리'!$N$6:$N$75,'클럭 정리'!$A$6:$A$75,"&gt;="&amp;B11,'클럭 정리'!$A$6:$A$75,"&lt;="&amp;C11)</f>
        <v/>
      </c>
      <c r="H11" s="15">
        <f>G11*'클럭 정리'!$B$2/100</f>
        <v/>
      </c>
    </row>
    <row r="12">
      <c r="A12" s="13" t="inlineStr">
        <is>
          <t>병렬도 6 분할 10 측정 4회차</t>
        </is>
      </c>
      <c r="B12" s="10" t="n">
        <v>46238.50479436343</v>
      </c>
      <c r="C12" s="10" t="n">
        <v>46238.50481782151</v>
      </c>
      <c r="D12" s="11">
        <f>(C12-B12)*86400</f>
        <v/>
      </c>
      <c r="E12" s="12" t="inlineStr">
        <is>
          <t>ForkJoinPool-6-worker-1, ForkJoinPool-6-worker-2, ForkJoinPool-6-worker-3, ForkJoinPool-6-worker-4, ForkJoinPool-6-worker-5, ForkJoinPool-6-worker-6 + main(스캔 사이 순차 구간)</t>
        </is>
      </c>
      <c r="F12" s="13">
        <f>COUNTIFS('클럭 정리'!$A$6:$A$75,"&gt;="&amp;B12,'클럭 정리'!$A$6:$A$75,"&lt;="&amp;C12)</f>
        <v/>
      </c>
      <c r="G12" s="14">
        <f>AVERAGEIFS('클럭 정리'!$N$6:$N$75,'클럭 정리'!$A$6:$A$75,"&gt;="&amp;B12,'클럭 정리'!$A$6:$A$75,"&lt;="&amp;C12)</f>
        <v/>
      </c>
      <c r="H12" s="15">
        <f>G12*'클럭 정리'!$B$2/100</f>
        <v/>
      </c>
    </row>
    <row r="13">
      <c r="A13" s="13" t="inlineStr">
        <is>
          <t>병렬도 6 분할 10 측정 5회차</t>
        </is>
      </c>
      <c r="B13" s="10" t="n">
        <v>46238.50481782408</v>
      </c>
      <c r="C13" s="10" t="n">
        <v>46238.50484131049</v>
      </c>
      <c r="D13" s="11">
        <f>(C13-B13)*86400</f>
        <v/>
      </c>
      <c r="E13" s="12" t="inlineStr">
        <is>
          <t>ForkJoinPool-7-worker-1, ForkJoinPool-7-worker-2, ForkJoinPool-7-worker-3, ForkJoinPool-7-worker-4, ForkJoinPool-7-worker-5, ForkJoinPool-7-worker-6 + main(스캔 사이 순차 구간)</t>
        </is>
      </c>
      <c r="F13" s="13">
        <f>COUNTIFS('클럭 정리'!$A$6:$A$75,"&gt;="&amp;B13,'클럭 정리'!$A$6:$A$75,"&lt;="&amp;C13)</f>
        <v/>
      </c>
      <c r="G13" s="14">
        <f>AVERAGEIFS('클럭 정리'!$N$6:$N$75,'클럭 정리'!$A$6:$A$75,"&gt;="&amp;B13,'클럭 정리'!$A$6:$A$75,"&lt;="&amp;C13)</f>
        <v/>
      </c>
      <c r="H13" s="15">
        <f>G13*'클럭 정리'!$B$2/100</f>
        <v/>
      </c>
    </row>
    <row r="14">
      <c r="A14" s="13" t="inlineStr">
        <is>
          <t>병렬도 6 분할 10 워커별 CPU 읽기 실행</t>
        </is>
      </c>
      <c r="B14" s="10" t="n">
        <v>46238.50484131049</v>
      </c>
      <c r="C14" s="10" t="n">
        <v>46238.50486501672</v>
      </c>
      <c r="D14" s="11">
        <f>(C14-B14)*86400</f>
        <v/>
      </c>
      <c r="E14" s="12" t="inlineStr">
        <is>
          <t>ForkJoinPool-8-worker-1, ForkJoinPool-8-worker-3, ForkJoinPool-8-worker-2, ForkJoinPool-8-worker-5, ForkJoinPool-8-worker-6, ForkJoinPool-8-worker-4 + main</t>
        </is>
      </c>
      <c r="F14" s="13">
        <f>COUNTIFS('클럭 정리'!$A$6:$A$75,"&gt;="&amp;B14,'클럭 정리'!$A$6:$A$75,"&lt;="&amp;C14)</f>
        <v/>
      </c>
      <c r="G14" s="14">
        <f>AVERAGEIFS('클럭 정리'!$N$6:$N$75,'클럭 정리'!$A$6:$A$75,"&gt;="&amp;B14,'클럭 정리'!$A$6:$A$75,"&lt;="&amp;C14)</f>
        <v/>
      </c>
      <c r="H14" s="15">
        <f>G14*'클럭 정리'!$B$2/100</f>
        <v/>
      </c>
    </row>
    <row r="15">
      <c r="A15" s="9" t="inlineStr">
        <is>
          <t>병렬도 12 분할 10 전체</t>
        </is>
      </c>
      <c r="B15" s="10" t="n">
        <v>46238.50486501672</v>
      </c>
      <c r="C15" s="10" t="n">
        <v>46238.50500817929</v>
      </c>
      <c r="D15" s="11">
        <f>(C15-B15)*86400</f>
        <v/>
      </c>
      <c r="E15" s="12" t="inlineStr">
        <is>
          <t>워커(호출마다 새 풀)+main</t>
        </is>
      </c>
      <c r="F15" s="13">
        <f>COUNTIFS('클럭 정리'!$A$6:$A$75,"&gt;="&amp;B15,'클럭 정리'!$A$6:$A$75,"&lt;="&amp;C15)</f>
        <v/>
      </c>
      <c r="G15" s="14">
        <f>AVERAGEIFS('클럭 정리'!$N$6:$N$75,'클럭 정리'!$A$6:$A$75,"&gt;="&amp;B15,'클럭 정리'!$A$6:$A$75,"&lt;="&amp;C15)</f>
        <v/>
      </c>
      <c r="H15" s="15">
        <f>G15*'클럭 정리'!$B$2/100</f>
        <v/>
      </c>
    </row>
    <row r="16">
      <c r="A16" s="13" t="inlineStr">
        <is>
          <t>병렬도 12 분할 10 워밍업</t>
        </is>
      </c>
      <c r="B16" s="10" t="n">
        <v>46238.50486501672</v>
      </c>
      <c r="C16" s="10" t="n">
        <v>46238.50490077546</v>
      </c>
      <c r="D16" s="11">
        <f>(C16-B16)*86400</f>
        <v/>
      </c>
      <c r="E16" s="12" t="inlineStr">
        <is>
          <t>워커 (IMPLOG 기록 없음)</t>
        </is>
      </c>
      <c r="F16" s="13">
        <f>COUNTIFS('클럭 정리'!$A$6:$A$75,"&gt;="&amp;B16,'클럭 정리'!$A$6:$A$75,"&lt;="&amp;C16)</f>
        <v/>
      </c>
      <c r="G16" s="14">
        <f>AVERAGEIFS('클럭 정리'!$N$6:$N$75,'클럭 정리'!$A$6:$A$75,"&gt;="&amp;B16,'클럭 정리'!$A$6:$A$75,"&lt;="&amp;C16)</f>
        <v/>
      </c>
      <c r="H16" s="15">
        <f>G16*'클럭 정리'!$B$2/100</f>
        <v/>
      </c>
    </row>
    <row r="17">
      <c r="A17" s="13" t="inlineStr">
        <is>
          <t>병렬도 12 분할 10 측정 1회차</t>
        </is>
      </c>
      <c r="B17" s="10" t="n">
        <v>46238.50490077546</v>
      </c>
      <c r="C17" s="10" t="n">
        <v>46238.50491853694</v>
      </c>
      <c r="D17" s="11">
        <f>(C17-B17)*86400</f>
        <v/>
      </c>
      <c r="E17" s="12" t="inlineStr">
        <is>
          <t>ForkJoinPool-11-worker-1, ForkJoinPool-11-worker-10, ForkJoinPool-11-worker-2, ForkJoinPool-11-worker-3, ForkJoinPool-11-worker-4, ForkJoinPool-11-worker-5, ForkJoinPool-11-worker-6, ForkJoinPool-11-worker-7, ForkJoinPool-11-worker-8, ForkJoinPool-11-worker-9 + main(스캔 사이 순차 구간)</t>
        </is>
      </c>
      <c r="F17" s="13">
        <f>COUNTIFS('클럭 정리'!$A$6:$A$75,"&gt;="&amp;B17,'클럭 정리'!$A$6:$A$75,"&lt;="&amp;C17)</f>
        <v/>
      </c>
      <c r="G17" s="14">
        <f>AVERAGEIFS('클럭 정리'!$N$6:$N$75,'클럭 정리'!$A$6:$A$75,"&gt;="&amp;B17,'클럭 정리'!$A$6:$A$75,"&lt;="&amp;C17)</f>
        <v/>
      </c>
      <c r="H17" s="15">
        <f>G17*'클럭 정리'!$B$2/100</f>
        <v/>
      </c>
    </row>
    <row r="18">
      <c r="A18" s="13" t="inlineStr">
        <is>
          <t>병렬도 12 분할 10 측정 2회차</t>
        </is>
      </c>
      <c r="B18" s="10" t="n">
        <v>46238.50491855324</v>
      </c>
      <c r="C18" s="10" t="n">
        <v>46238.50493641552</v>
      </c>
      <c r="D18" s="11">
        <f>(C18-B18)*86400</f>
        <v/>
      </c>
      <c r="E18" s="12" t="inlineStr">
        <is>
          <t>ForkJoinPool-12-worker-1, ForkJoinPool-12-worker-10, ForkJoinPool-12-worker-12, ForkJoinPool-12-worker-2, ForkJoinPool-12-worker-3, ForkJoinPool-12-worker-4, ForkJoinPool-12-worker-5, ForkJoinPool-12-worker-6, ForkJoinPool-12-worker-7, ForkJoinPool-12-worker-8, ForkJoinPool-12-worker-9 + main(스캔 사이 순차 구간)</t>
        </is>
      </c>
      <c r="F18" s="13">
        <f>COUNTIFS('클럭 정리'!$A$6:$A$75,"&gt;="&amp;B18,'클럭 정리'!$A$6:$A$75,"&lt;="&amp;C18)</f>
        <v/>
      </c>
      <c r="G18" s="14">
        <f>AVERAGEIFS('클럭 정리'!$N$6:$N$75,'클럭 정리'!$A$6:$A$75,"&gt;="&amp;B18,'클럭 정리'!$A$6:$A$75,"&lt;="&amp;C18)</f>
        <v/>
      </c>
      <c r="H18" s="15">
        <f>G18*'클럭 정리'!$B$2/100</f>
        <v/>
      </c>
    </row>
    <row r="19">
      <c r="A19" s="13" t="inlineStr">
        <is>
          <t>병렬도 12 분할 10 측정 3회차</t>
        </is>
      </c>
      <c r="B19" s="10" t="n">
        <v>46238.50493642361</v>
      </c>
      <c r="C19" s="10" t="n">
        <v>46238.50495439467</v>
      </c>
      <c r="D19" s="11">
        <f>(C19-B19)*86400</f>
        <v/>
      </c>
      <c r="E19" s="12" t="inlineStr">
        <is>
          <t>ForkJoinPool-13-worker-1, ForkJoinPool-13-worker-10, ForkJoinPool-13-worker-12, ForkJoinPool-13-worker-2, ForkJoinPool-13-worker-3, ForkJoinPool-13-worker-4, ForkJoinPool-13-worker-5, ForkJoinPool-13-worker-6, ForkJoinPool-13-worker-7, ForkJoinPool-13-worker-8, ForkJoinPool-13-worker-9 + main(스캔 사이 순차 구간)</t>
        </is>
      </c>
      <c r="F19" s="13">
        <f>COUNTIFS('클럭 정리'!$A$6:$A$75,"&gt;="&amp;B19,'클럭 정리'!$A$6:$A$75,"&lt;="&amp;C19)</f>
        <v/>
      </c>
      <c r="G19" s="14">
        <f>AVERAGEIFS('클럭 정리'!$N$6:$N$75,'클럭 정리'!$A$6:$A$75,"&gt;="&amp;B19,'클럭 정리'!$A$6:$A$75,"&lt;="&amp;C19)</f>
        <v/>
      </c>
      <c r="H19" s="15">
        <f>G19*'클럭 정리'!$B$2/100</f>
        <v/>
      </c>
    </row>
    <row r="20">
      <c r="A20" s="13" t="inlineStr">
        <is>
          <t>병렬도 12 분할 10 측정 4회차</t>
        </is>
      </c>
      <c r="B20" s="10" t="n">
        <v>46238.50495439815</v>
      </c>
      <c r="C20" s="10" t="n">
        <v>46238.50497207998</v>
      </c>
      <c r="D20" s="11">
        <f>(C20-B20)*86400</f>
        <v/>
      </c>
      <c r="E20" s="12" t="inlineStr">
        <is>
          <t>ForkJoinPool-14-worker-1, ForkJoinPool-14-worker-10, ForkJoinPool-14-worker-11, ForkJoinPool-14-worker-12, ForkJoinPool-14-worker-2, ForkJoinPool-14-worker-3, ForkJoinPool-14-worker-4, ForkJoinPool-14-worker-5, ForkJoinPool-14-worker-6, ForkJoinPool-14-worker-7, ForkJoinPool-14-worker-8, ForkJoinPool-14-worker-9 + main(스캔 사이 순차 구간)</t>
        </is>
      </c>
      <c r="F20" s="13">
        <f>COUNTIFS('클럭 정리'!$A$6:$A$75,"&gt;="&amp;B20,'클럭 정리'!$A$6:$A$75,"&lt;="&amp;C20)</f>
        <v/>
      </c>
      <c r="G20" s="14">
        <f>AVERAGEIFS('클럭 정리'!$N$6:$N$75,'클럭 정리'!$A$6:$A$75,"&gt;="&amp;B20,'클럭 정리'!$A$6:$A$75,"&lt;="&amp;C20)</f>
        <v/>
      </c>
      <c r="H20" s="15">
        <f>G20*'클럭 정리'!$B$2/100</f>
        <v/>
      </c>
    </row>
    <row r="21">
      <c r="A21" s="13" t="inlineStr">
        <is>
          <t>병렬도 12 분할 10 측정 5회차</t>
        </is>
      </c>
      <c r="B21" s="10" t="n">
        <v>46238.50497209491</v>
      </c>
      <c r="C21" s="10" t="n">
        <v>46238.50499001906</v>
      </c>
      <c r="D21" s="11">
        <f>(C21-B21)*86400</f>
        <v/>
      </c>
      <c r="E21" s="12" t="inlineStr">
        <is>
          <t>ForkJoinPool-15-worker-1, ForkJoinPool-15-worker-10, ForkJoinPool-15-worker-12, ForkJoinPool-15-worker-2, ForkJoinPool-15-worker-3, ForkJoinPool-15-worker-4, ForkJoinPool-15-worker-5, ForkJoinPool-15-worker-6, ForkJoinPool-15-worker-7, ForkJoinPool-15-worker-8, ForkJoinPool-15-worker-9 + main(스캔 사이 순차 구간)</t>
        </is>
      </c>
      <c r="F21" s="13">
        <f>COUNTIFS('클럭 정리'!$A$6:$A$75,"&gt;="&amp;B21,'클럭 정리'!$A$6:$A$75,"&lt;="&amp;C21)</f>
        <v/>
      </c>
      <c r="G21" s="14">
        <f>AVERAGEIFS('클럭 정리'!$N$6:$N$75,'클럭 정리'!$A$6:$A$75,"&gt;="&amp;B21,'클럭 정리'!$A$6:$A$75,"&lt;="&amp;C21)</f>
        <v/>
      </c>
      <c r="H21" s="15">
        <f>G21*'클럭 정리'!$B$2/100</f>
        <v/>
      </c>
    </row>
    <row r="22">
      <c r="A22" s="13" t="inlineStr">
        <is>
          <t>병렬도 12 분할 10 워커별 CPU 읽기 실행</t>
        </is>
      </c>
      <c r="B22" s="10" t="n">
        <v>46238.50499001906</v>
      </c>
      <c r="C22" s="10" t="n">
        <v>46238.50500817929</v>
      </c>
      <c r="D22" s="11">
        <f>(C22-B22)*86400</f>
        <v/>
      </c>
      <c r="E22" s="12" t="inlineStr">
        <is>
          <t>ForkJoinPool-16-worker-5, ForkJoinPool-16-worker-7, ForkJoinPool-16-worker-2, ForkJoinPool-16-worker-3, ForkJoinPool-16-worker-4, ForkJoinPool-16-worker-1, ForkJoinPool-16-worker-8, ForkJoinPool-16-worker-9, ForkJoinPool-16-worker-10, ForkJoinPool-16-worker-12, ForkJoinPool-16-worker-6, ForkJoinPool-16-worker-11 + main</t>
        </is>
      </c>
      <c r="F22" s="13">
        <f>COUNTIFS('클럭 정리'!$A$6:$A$75,"&gt;="&amp;B22,'클럭 정리'!$A$6:$A$75,"&lt;="&amp;C22)</f>
        <v/>
      </c>
      <c r="G22" s="14">
        <f>AVERAGEIFS('클럭 정리'!$N$6:$N$75,'클럭 정리'!$A$6:$A$75,"&gt;="&amp;B22,'클럭 정리'!$A$6:$A$75,"&lt;="&amp;C22)</f>
        <v/>
      </c>
      <c r="H22" s="15">
        <f>G22*'클럭 정리'!$B$2/100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26" customWidth="1" min="3" max="3"/>
    <col width="40" customWidth="1" min="4" max="4"/>
    <col width="14" customWidth="1" min="5" max="5"/>
    <col width="14" customWidth="1" min="6" max="6"/>
    <col width="17" customWidth="1" min="7" max="7"/>
    <col width="15" customWidth="1" min="8" max="8"/>
    <col width="11" customWidth="1" min="9" max="9"/>
    <col width="12" customWidth="1" min="10" max="10"/>
    <col width="13" customWidth="1" min="11" max="11"/>
  </cols>
  <sheetData>
    <row r="1">
      <c r="A1" s="1" t="inlineStr">
        <is>
          <t>측정 회차 구간 안의 스레드별 활동 창과 클럭, 그리고 풀별 클럭 표본 매핑</t>
        </is>
      </c>
    </row>
    <row r="2">
      <c r="A2" s="4" t="inlineStr">
        <is>
          <t>활동 창의 출처: 워커는 IMPLOG leaf(첫 말단 시작 ~ 마지막 말단 시작+4중 루프), main은 IMPLOG scan이다. 활동 시간 합은 워커가 4중 루프 경과 시간 합이고, main은 그 회차의 mainCPU(IMPLOG run 레코드, CPU 시간)다. 말단이 2개 이상 겹치면 경과 시간 뺄셈으로는 main 몫이 나오지 않아 실측 CPU 시간으로 바꿨다(2026-08-04). run 레코드가 없는 옛 로그는 main의 이 칸이 빈 칸이고, mainCPU는 Windows 해상도(15.625ms) 계단이라 0으로 찍힐 수 있다.</t>
        </is>
      </c>
    </row>
    <row r="3">
      <c r="A3" s="4" t="inlineStr">
        <is>
          <t>클럭 값은 그 창에 걸린 표본의 전체 프로세서 평균이다. 스레드가 어느 논리 프로세서에서 돌았는지는 기록되지 않으므로 특정 코어의 클럭이 아니다. 워커별 CPU 읽기 실행의 풀은 IMPLOG가 꺼져 있어 이 시트에 없다.</t>
        </is>
      </c>
    </row>
    <row r="5">
      <c r="A5" s="5" t="inlineStr">
        <is>
          <t>구간</t>
        </is>
      </c>
      <c r="B5" s="5" t="inlineStr">
        <is>
          <t>회차</t>
        </is>
      </c>
      <c r="C5" s="5" t="inlineStr">
        <is>
          <t>스레드</t>
        </is>
      </c>
      <c r="D5" s="5" t="inlineStr">
        <is>
          <t>역할</t>
        </is>
      </c>
      <c r="E5" s="5" t="inlineStr">
        <is>
          <t>활동 시작</t>
        </is>
      </c>
      <c r="F5" s="5" t="inlineStr">
        <is>
          <t>활동 끝</t>
        </is>
      </c>
      <c r="G5" s="5" t="inlineStr">
        <is>
          <t>처리 수(말단/스캔)</t>
        </is>
      </c>
      <c r="H5" s="5" t="inlineStr">
        <is>
          <t>활동 시간 합(ms)</t>
        </is>
      </c>
      <c r="I5" s="5" t="inlineStr">
        <is>
          <t>표본 수(개)</t>
        </is>
      </c>
      <c r="J5" s="5" t="inlineStr">
        <is>
          <t>평균 클럭(%)</t>
        </is>
      </c>
      <c r="K5" s="5" t="inlineStr">
        <is>
          <t>평균 클럭(GHz)</t>
        </is>
      </c>
    </row>
    <row r="6">
      <c r="A6" s="13" t="inlineStr">
        <is>
          <t>병렬도 6 분할 10</t>
        </is>
      </c>
      <c r="B6" s="13" t="n">
        <v>1</v>
      </c>
      <c r="C6" s="13" t="inlineStr">
        <is>
          <t>ForkJoinPool-3-worker-1</t>
        </is>
      </c>
      <c r="D6" s="12" t="inlineStr">
        <is>
          <t>워커</t>
        </is>
      </c>
      <c r="E6" s="10" t="n">
        <v>46238.50472385417</v>
      </c>
      <c r="F6" s="10" t="n">
        <v>46238.50474746169</v>
      </c>
      <c r="G6" s="13" t="n">
        <v>84</v>
      </c>
      <c r="H6" s="14" t="n">
        <v>1786.848298</v>
      </c>
      <c r="I6" s="13">
        <f>COUNTIFS('클럭 정리'!$A$6:$A$75,"&gt;="&amp;E6,'클럭 정리'!$A$6:$A$75,"&lt;="&amp;F6)</f>
        <v/>
      </c>
      <c r="J6" s="14">
        <f>AVERAGEIFS('클럭 정리'!$N$6:$N$75,'클럭 정리'!$A$6:$A$75,"&gt;="&amp;E6,'클럭 정리'!$A$6:$A$75,"&lt;="&amp;F6)</f>
        <v/>
      </c>
      <c r="K6" s="15">
        <f>J6*'클럭 정리'!$B$2/100</f>
        <v/>
      </c>
    </row>
    <row r="7">
      <c r="A7" s="13" t="inlineStr">
        <is>
          <t>병렬도 6 분할 10</t>
        </is>
      </c>
      <c r="B7" s="13" t="n">
        <v>1</v>
      </c>
      <c r="C7" s="13" t="inlineStr">
        <is>
          <t>ForkJoinPool-3-worker-2</t>
        </is>
      </c>
      <c r="D7" s="12" t="inlineStr">
        <is>
          <t>워커</t>
        </is>
      </c>
      <c r="E7" s="10" t="n">
        <v>46238.50472386574</v>
      </c>
      <c r="F7" s="10" t="n">
        <v>46238.50474728196</v>
      </c>
      <c r="G7" s="13" t="n">
        <v>73</v>
      </c>
      <c r="H7" s="14" t="n">
        <v>1682.616194</v>
      </c>
      <c r="I7" s="13">
        <f>COUNTIFS('클럭 정리'!$A$6:$A$75,"&gt;="&amp;E7,'클럭 정리'!$A$6:$A$75,"&lt;="&amp;F7)</f>
        <v/>
      </c>
      <c r="J7" s="14">
        <f>AVERAGEIFS('클럭 정리'!$N$6:$N$75,'클럭 정리'!$A$6:$A$75,"&gt;="&amp;E7,'클럭 정리'!$A$6:$A$75,"&lt;="&amp;F7)</f>
        <v/>
      </c>
      <c r="K7" s="15">
        <f>J7*'클럭 정리'!$B$2/100</f>
        <v/>
      </c>
    </row>
    <row r="8">
      <c r="A8" s="13" t="inlineStr">
        <is>
          <t>병렬도 6 분할 10</t>
        </is>
      </c>
      <c r="B8" s="13" t="n">
        <v>1</v>
      </c>
      <c r="C8" s="13" t="inlineStr">
        <is>
          <t>ForkJoinPool-3-worker-3</t>
        </is>
      </c>
      <c r="D8" s="12" t="inlineStr">
        <is>
          <t>워커</t>
        </is>
      </c>
      <c r="E8" s="10" t="n">
        <v>46238.50472386574</v>
      </c>
      <c r="F8" s="10" t="n">
        <v>46238.50474747362</v>
      </c>
      <c r="G8" s="13" t="n">
        <v>80</v>
      </c>
      <c r="H8" s="14" t="n">
        <v>1749.812505</v>
      </c>
      <c r="I8" s="13">
        <f>COUNTIFS('클럭 정리'!$A$6:$A$75,"&gt;="&amp;E8,'클럭 정리'!$A$6:$A$75,"&lt;="&amp;F8)</f>
        <v/>
      </c>
      <c r="J8" s="14">
        <f>AVERAGEIFS('클럭 정리'!$N$6:$N$75,'클럭 정리'!$A$6:$A$75,"&gt;="&amp;E8,'클럭 정리'!$A$6:$A$75,"&lt;="&amp;F8)</f>
        <v/>
      </c>
      <c r="K8" s="15">
        <f>J8*'클럭 정리'!$B$2/100</f>
        <v/>
      </c>
    </row>
    <row r="9">
      <c r="A9" s="13" t="inlineStr">
        <is>
          <t>병렬도 6 분할 10</t>
        </is>
      </c>
      <c r="B9" s="13" t="n">
        <v>1</v>
      </c>
      <c r="C9" s="13" t="inlineStr">
        <is>
          <t>ForkJoinPool-3-worker-4</t>
        </is>
      </c>
      <c r="D9" s="12" t="inlineStr">
        <is>
          <t>워커</t>
        </is>
      </c>
      <c r="E9" s="10" t="n">
        <v>46238.50472386574</v>
      </c>
      <c r="F9" s="10" t="n">
        <v>46238.50474748179</v>
      </c>
      <c r="G9" s="13" t="n">
        <v>72</v>
      </c>
      <c r="H9" s="14" t="n">
        <v>1642.070905</v>
      </c>
      <c r="I9" s="13">
        <f>COUNTIFS('클럭 정리'!$A$6:$A$75,"&gt;="&amp;E9,'클럭 정리'!$A$6:$A$75,"&lt;="&amp;F9)</f>
        <v/>
      </c>
      <c r="J9" s="14">
        <f>AVERAGEIFS('클럭 정리'!$N$6:$N$75,'클럭 정리'!$A$6:$A$75,"&gt;="&amp;E9,'클럭 정리'!$A$6:$A$75,"&lt;="&amp;F9)</f>
        <v/>
      </c>
      <c r="K9" s="15">
        <f>J9*'클럭 정리'!$B$2/100</f>
        <v/>
      </c>
    </row>
    <row r="10">
      <c r="A10" s="13" t="inlineStr">
        <is>
          <t>병렬도 6 분할 10</t>
        </is>
      </c>
      <c r="B10" s="13" t="n">
        <v>1</v>
      </c>
      <c r="C10" s="13" t="inlineStr">
        <is>
          <t>ForkJoinPool-3-worker-5</t>
        </is>
      </c>
      <c r="D10" s="12" t="inlineStr">
        <is>
          <t>워커</t>
        </is>
      </c>
      <c r="E10" s="10" t="n">
        <v>46238.50472386574</v>
      </c>
      <c r="F10" s="10" t="n">
        <v>46238.50474747964</v>
      </c>
      <c r="G10" s="13" t="n">
        <v>68</v>
      </c>
      <c r="H10" s="14" t="n">
        <v>1553.823204</v>
      </c>
      <c r="I10" s="13">
        <f>COUNTIFS('클럭 정리'!$A$6:$A$75,"&gt;="&amp;E10,'클럭 정리'!$A$6:$A$75,"&lt;="&amp;F10)</f>
        <v/>
      </c>
      <c r="J10" s="14">
        <f>AVERAGEIFS('클럭 정리'!$N$6:$N$75,'클럭 정리'!$A$6:$A$75,"&gt;="&amp;E10,'클럭 정리'!$A$6:$A$75,"&lt;="&amp;F10)</f>
        <v/>
      </c>
      <c r="K10" s="15">
        <f>J10*'클럭 정리'!$B$2/100</f>
        <v/>
      </c>
    </row>
    <row r="11">
      <c r="A11" s="13" t="inlineStr">
        <is>
          <t>병렬도 6 분할 10</t>
        </is>
      </c>
      <c r="B11" s="13" t="n">
        <v>1</v>
      </c>
      <c r="C11" s="13" t="inlineStr">
        <is>
          <t>ForkJoinPool-3-worker-6</t>
        </is>
      </c>
      <c r="D11" s="12" t="inlineStr">
        <is>
          <t>워커</t>
        </is>
      </c>
      <c r="E11" s="10" t="n">
        <v>46238.50472386574</v>
      </c>
      <c r="F11" s="10" t="n">
        <v>46238.50474728349</v>
      </c>
      <c r="G11" s="13" t="n">
        <v>73</v>
      </c>
      <c r="H11" s="14" t="n">
        <v>1681.571798</v>
      </c>
      <c r="I11" s="13">
        <f>COUNTIFS('클럭 정리'!$A$6:$A$75,"&gt;="&amp;E11,'클럭 정리'!$A$6:$A$75,"&lt;="&amp;F11)</f>
        <v/>
      </c>
      <c r="J11" s="14">
        <f>AVERAGEIFS('클럭 정리'!$N$6:$N$75,'클럭 정리'!$A$6:$A$75,"&gt;="&amp;E11,'클럭 정리'!$A$6:$A$75,"&lt;="&amp;F11)</f>
        <v/>
      </c>
      <c r="K11" s="15">
        <f>J11*'클럭 정리'!$B$2/100</f>
        <v/>
      </c>
    </row>
    <row r="12">
      <c r="A12" s="13" t="inlineStr">
        <is>
          <t>병렬도 6 분할 10</t>
        </is>
      </c>
      <c r="B12" s="13" t="n">
        <v>1</v>
      </c>
      <c r="C12" s="13" t="inlineStr">
        <is>
          <t>main</t>
        </is>
      </c>
      <c r="D12" s="12" t="inlineStr">
        <is>
          <t>main (활동 시간 합 = 그 회차 mainCPU, 창은 워커와 겹침)</t>
        </is>
      </c>
      <c r="E12" s="10" t="n">
        <v>46238.50472385417</v>
      </c>
      <c r="F12" s="10" t="n">
        <v>46238.50474748044</v>
      </c>
      <c r="G12" s="13" t="n">
        <v>45</v>
      </c>
      <c r="H12" s="14" t="n">
        <v>15.625</v>
      </c>
      <c r="I12" s="13">
        <f>COUNTIFS('클럭 정리'!$A$6:$A$75,"&gt;="&amp;E12,'클럭 정리'!$A$6:$A$75,"&lt;="&amp;F12)</f>
        <v/>
      </c>
      <c r="J12" s="14">
        <f>AVERAGEIFS('클럭 정리'!$N$6:$N$75,'클럭 정리'!$A$6:$A$75,"&gt;="&amp;E12,'클럭 정리'!$A$6:$A$75,"&lt;="&amp;F12)</f>
        <v/>
      </c>
      <c r="K12" s="15">
        <f>J12*'클럭 정리'!$B$2/100</f>
        <v/>
      </c>
    </row>
    <row r="13">
      <c r="A13" s="13" t="inlineStr">
        <is>
          <t>병렬도 6 분할 10</t>
        </is>
      </c>
      <c r="B13" s="13" t="n">
        <v>2</v>
      </c>
      <c r="C13" s="13" t="inlineStr">
        <is>
          <t>ForkJoinPool-4-worker-1</t>
        </is>
      </c>
      <c r="D13" s="12" t="inlineStr">
        <is>
          <t>워커</t>
        </is>
      </c>
      <c r="E13" s="10" t="n">
        <v>46238.5047475</v>
      </c>
      <c r="F13" s="10" t="n">
        <v>46238.50477078342</v>
      </c>
      <c r="G13" s="13" t="n">
        <v>88</v>
      </c>
      <c r="H13" s="14" t="n">
        <v>1868.070194</v>
      </c>
      <c r="I13" s="13">
        <f>COUNTIFS('클럭 정리'!$A$6:$A$75,"&gt;="&amp;E13,'클럭 정리'!$A$6:$A$75,"&lt;="&amp;F13)</f>
        <v/>
      </c>
      <c r="J13" s="14">
        <f>AVERAGEIFS('클럭 정리'!$N$6:$N$75,'클럭 정리'!$A$6:$A$75,"&gt;="&amp;E13,'클럭 정리'!$A$6:$A$75,"&lt;="&amp;F13)</f>
        <v/>
      </c>
      <c r="K13" s="15">
        <f>J13*'클럭 정리'!$B$2/100</f>
        <v/>
      </c>
    </row>
    <row r="14">
      <c r="A14" s="13" t="inlineStr">
        <is>
          <t>병렬도 6 분할 10</t>
        </is>
      </c>
      <c r="B14" s="13" t="n">
        <v>2</v>
      </c>
      <c r="C14" s="13" t="inlineStr">
        <is>
          <t>ForkJoinPool-4-worker-2</t>
        </is>
      </c>
      <c r="D14" s="12" t="inlineStr">
        <is>
          <t>워커</t>
        </is>
      </c>
      <c r="E14" s="10" t="n">
        <v>46238.50474751157</v>
      </c>
      <c r="F14" s="10" t="n">
        <v>46238.50477079101</v>
      </c>
      <c r="G14" s="13" t="n">
        <v>76</v>
      </c>
      <c r="H14" s="14" t="n">
        <v>1709.470496</v>
      </c>
      <c r="I14" s="13">
        <f>COUNTIFS('클럭 정리'!$A$6:$A$75,"&gt;="&amp;E14,'클럭 정리'!$A$6:$A$75,"&lt;="&amp;F14)</f>
        <v/>
      </c>
      <c r="J14" s="14">
        <f>AVERAGEIFS('클럭 정리'!$N$6:$N$75,'클럭 정리'!$A$6:$A$75,"&gt;="&amp;E14,'클럭 정리'!$A$6:$A$75,"&lt;="&amp;F14)</f>
        <v/>
      </c>
      <c r="K14" s="15">
        <f>J14*'클럭 정리'!$B$2/100</f>
        <v/>
      </c>
    </row>
    <row r="15">
      <c r="A15" s="13" t="inlineStr">
        <is>
          <t>병렬도 6 분할 10</t>
        </is>
      </c>
      <c r="B15" s="13" t="n">
        <v>2</v>
      </c>
      <c r="C15" s="13" t="inlineStr">
        <is>
          <t>ForkJoinPool-4-worker-3</t>
        </is>
      </c>
      <c r="D15" s="12" t="inlineStr">
        <is>
          <t>워커</t>
        </is>
      </c>
      <c r="E15" s="10" t="n">
        <v>46238.50474752315</v>
      </c>
      <c r="F15" s="10" t="n">
        <v>46238.50477080602</v>
      </c>
      <c r="G15" s="13" t="n">
        <v>78</v>
      </c>
      <c r="H15" s="14" t="n">
        <v>1722.821197</v>
      </c>
      <c r="I15" s="13">
        <f>COUNTIFS('클럭 정리'!$A$6:$A$75,"&gt;="&amp;E15,'클럭 정리'!$A$6:$A$75,"&lt;="&amp;F15)</f>
        <v/>
      </c>
      <c r="J15" s="14">
        <f>AVERAGEIFS('클럭 정리'!$N$6:$N$75,'클럭 정리'!$A$6:$A$75,"&gt;="&amp;E15,'클럭 정리'!$A$6:$A$75,"&lt;="&amp;F15)</f>
        <v/>
      </c>
      <c r="K15" s="15">
        <f>J15*'클럭 정리'!$B$2/100</f>
        <v/>
      </c>
    </row>
    <row r="16">
      <c r="A16" s="13" t="inlineStr">
        <is>
          <t>병렬도 6 분할 10</t>
        </is>
      </c>
      <c r="B16" s="13" t="n">
        <v>2</v>
      </c>
      <c r="C16" s="13" t="inlineStr">
        <is>
          <t>ForkJoinPool-4-worker-4</t>
        </is>
      </c>
      <c r="D16" s="12" t="inlineStr">
        <is>
          <t>워커</t>
        </is>
      </c>
      <c r="E16" s="10" t="n">
        <v>46238.50474752315</v>
      </c>
      <c r="F16" s="10" t="n">
        <v>46238.5047707815</v>
      </c>
      <c r="G16" s="13" t="n">
        <v>68</v>
      </c>
      <c r="H16" s="14" t="n">
        <v>1588.526602</v>
      </c>
      <c r="I16" s="13">
        <f>COUNTIFS('클럭 정리'!$A$6:$A$75,"&gt;="&amp;E16,'클럭 정리'!$A$6:$A$75,"&lt;="&amp;F16)</f>
        <v/>
      </c>
      <c r="J16" s="14">
        <f>AVERAGEIFS('클럭 정리'!$N$6:$N$75,'클럭 정리'!$A$6:$A$75,"&gt;="&amp;E16,'클럭 정리'!$A$6:$A$75,"&lt;="&amp;F16)</f>
        <v/>
      </c>
      <c r="K16" s="15">
        <f>J16*'클럭 정리'!$B$2/100</f>
        <v/>
      </c>
    </row>
    <row r="17">
      <c r="A17" s="13" t="inlineStr">
        <is>
          <t>병렬도 6 분할 10</t>
        </is>
      </c>
      <c r="B17" s="13" t="n">
        <v>2</v>
      </c>
      <c r="C17" s="13" t="inlineStr">
        <is>
          <t>ForkJoinPool-4-worker-5</t>
        </is>
      </c>
      <c r="D17" s="12" t="inlineStr">
        <is>
          <t>워커</t>
        </is>
      </c>
      <c r="E17" s="10" t="n">
        <v>46238.50474752315</v>
      </c>
      <c r="F17" s="10" t="n">
        <v>46238.50477061316</v>
      </c>
      <c r="G17" s="13" t="n">
        <v>64</v>
      </c>
      <c r="H17" s="14" t="n">
        <v>1529.290397</v>
      </c>
      <c r="I17" s="13">
        <f>COUNTIFS('클럭 정리'!$A$6:$A$75,"&gt;="&amp;E17,'클럭 정리'!$A$6:$A$75,"&lt;="&amp;F17)</f>
        <v/>
      </c>
      <c r="J17" s="14">
        <f>AVERAGEIFS('클럭 정리'!$N$6:$N$75,'클럭 정리'!$A$6:$A$75,"&gt;="&amp;E17,'클럭 정리'!$A$6:$A$75,"&lt;="&amp;F17)</f>
        <v/>
      </c>
      <c r="K17" s="15">
        <f>J17*'클럭 정리'!$B$2/100</f>
        <v/>
      </c>
    </row>
    <row r="18">
      <c r="A18" s="13" t="inlineStr">
        <is>
          <t>병렬도 6 분할 10</t>
        </is>
      </c>
      <c r="B18" s="13" t="n">
        <v>2</v>
      </c>
      <c r="C18" s="13" t="inlineStr">
        <is>
          <t>ForkJoinPool-4-worker-6</t>
        </is>
      </c>
      <c r="D18" s="12" t="inlineStr">
        <is>
          <t>워커</t>
        </is>
      </c>
      <c r="E18" s="10" t="n">
        <v>46238.50474752315</v>
      </c>
      <c r="F18" s="10" t="n">
        <v>46238.50477061058</v>
      </c>
      <c r="G18" s="13" t="n">
        <v>76</v>
      </c>
      <c r="H18" s="14" t="n">
        <v>1667.372507</v>
      </c>
      <c r="I18" s="13">
        <f>COUNTIFS('클럭 정리'!$A$6:$A$75,"&gt;="&amp;E18,'클럭 정리'!$A$6:$A$75,"&lt;="&amp;F18)</f>
        <v/>
      </c>
      <c r="J18" s="14">
        <f>AVERAGEIFS('클럭 정리'!$N$6:$N$75,'클럭 정리'!$A$6:$A$75,"&gt;="&amp;E18,'클럭 정리'!$A$6:$A$75,"&lt;="&amp;F18)</f>
        <v/>
      </c>
      <c r="K18" s="15">
        <f>J18*'클럭 정리'!$B$2/100</f>
        <v/>
      </c>
    </row>
    <row r="19">
      <c r="A19" s="13" t="inlineStr">
        <is>
          <t>병렬도 6 분할 10</t>
        </is>
      </c>
      <c r="B19" s="13" t="n">
        <v>2</v>
      </c>
      <c r="C19" s="13" t="inlineStr">
        <is>
          <t>main</t>
        </is>
      </c>
      <c r="D19" s="12" t="inlineStr">
        <is>
          <t>main (활동 시간 합 = 그 회차 mainCPU, 창은 워커와 겹침)</t>
        </is>
      </c>
      <c r="E19" s="10" t="n">
        <v>46238.5047475</v>
      </c>
      <c r="F19" s="10" t="n">
        <v>46238.50477080529</v>
      </c>
      <c r="G19" s="13" t="n">
        <v>45</v>
      </c>
      <c r="H19" s="14" t="n">
        <v>0</v>
      </c>
      <c r="I19" s="13">
        <f>COUNTIFS('클럭 정리'!$A$6:$A$75,"&gt;="&amp;E19,'클럭 정리'!$A$6:$A$75,"&lt;="&amp;F19)</f>
        <v/>
      </c>
      <c r="J19" s="14">
        <f>AVERAGEIFS('클럭 정리'!$N$6:$N$75,'클럭 정리'!$A$6:$A$75,"&gt;="&amp;E19,'클럭 정리'!$A$6:$A$75,"&lt;="&amp;F19)</f>
        <v/>
      </c>
      <c r="K19" s="15">
        <f>J19*'클럭 정리'!$B$2/100</f>
        <v/>
      </c>
    </row>
    <row r="20">
      <c r="A20" s="13" t="inlineStr">
        <is>
          <t>병렬도 6 분할 10</t>
        </is>
      </c>
      <c r="B20" s="13" t="n">
        <v>3</v>
      </c>
      <c r="C20" s="13" t="inlineStr">
        <is>
          <t>ForkJoinPool-5-worker-1</t>
        </is>
      </c>
      <c r="D20" s="12" t="inlineStr">
        <is>
          <t>워커</t>
        </is>
      </c>
      <c r="E20" s="10" t="n">
        <v>46238.50477082176</v>
      </c>
      <c r="F20" s="10" t="n">
        <v>46238.50479434762</v>
      </c>
      <c r="G20" s="13" t="n">
        <v>78</v>
      </c>
      <c r="H20" s="14" t="n">
        <v>1760.640101</v>
      </c>
      <c r="I20" s="13">
        <f>COUNTIFS('클럭 정리'!$A$6:$A$75,"&gt;="&amp;E20,'클럭 정리'!$A$6:$A$75,"&lt;="&amp;F20)</f>
        <v/>
      </c>
      <c r="J20" s="14">
        <f>AVERAGEIFS('클럭 정리'!$N$6:$N$75,'클럭 정리'!$A$6:$A$75,"&gt;="&amp;E20,'클럭 정리'!$A$6:$A$75,"&lt;="&amp;F20)</f>
        <v/>
      </c>
      <c r="K20" s="15">
        <f>J20*'클럭 정리'!$B$2/100</f>
        <v/>
      </c>
    </row>
    <row r="21">
      <c r="A21" s="13" t="inlineStr">
        <is>
          <t>병렬도 6 분할 10</t>
        </is>
      </c>
      <c r="B21" s="13" t="n">
        <v>3</v>
      </c>
      <c r="C21" s="13" t="inlineStr">
        <is>
          <t>ForkJoinPool-5-worker-2</t>
        </is>
      </c>
      <c r="D21" s="12" t="inlineStr">
        <is>
          <t>워커</t>
        </is>
      </c>
      <c r="E21" s="10" t="n">
        <v>46238.50477082176</v>
      </c>
      <c r="F21" s="10" t="n">
        <v>46238.50479433616</v>
      </c>
      <c r="G21" s="13" t="n">
        <v>77</v>
      </c>
      <c r="H21" s="14" t="n">
        <v>1756.311104</v>
      </c>
      <c r="I21" s="13">
        <f>COUNTIFS('클럭 정리'!$A$6:$A$75,"&gt;="&amp;E21,'클럭 정리'!$A$6:$A$75,"&lt;="&amp;F21)</f>
        <v/>
      </c>
      <c r="J21" s="14">
        <f>AVERAGEIFS('클럭 정리'!$N$6:$N$75,'클럭 정리'!$A$6:$A$75,"&gt;="&amp;E21,'클럭 정리'!$A$6:$A$75,"&lt;="&amp;F21)</f>
        <v/>
      </c>
      <c r="K21" s="15">
        <f>J21*'클럭 정리'!$B$2/100</f>
        <v/>
      </c>
    </row>
    <row r="22">
      <c r="A22" s="13" t="inlineStr">
        <is>
          <t>병렬도 6 분할 10</t>
        </is>
      </c>
      <c r="B22" s="13" t="n">
        <v>3</v>
      </c>
      <c r="C22" s="13" t="inlineStr">
        <is>
          <t>ForkJoinPool-5-worker-3</t>
        </is>
      </c>
      <c r="D22" s="12" t="inlineStr">
        <is>
          <t>워커</t>
        </is>
      </c>
      <c r="E22" s="10" t="n">
        <v>46238.50477082176</v>
      </c>
      <c r="F22" s="10" t="n">
        <v>46238.50479435537</v>
      </c>
      <c r="G22" s="13" t="n">
        <v>75</v>
      </c>
      <c r="H22" s="14" t="n">
        <v>1685.865195</v>
      </c>
      <c r="I22" s="13">
        <f>COUNTIFS('클럭 정리'!$A$6:$A$75,"&gt;="&amp;E22,'클럭 정리'!$A$6:$A$75,"&lt;="&amp;F22)</f>
        <v/>
      </c>
      <c r="J22" s="14">
        <f>AVERAGEIFS('클럭 정리'!$N$6:$N$75,'클럭 정리'!$A$6:$A$75,"&gt;="&amp;E22,'클럭 정리'!$A$6:$A$75,"&lt;="&amp;F22)</f>
        <v/>
      </c>
      <c r="K22" s="15">
        <f>J22*'클럭 정리'!$B$2/100</f>
        <v/>
      </c>
    </row>
    <row r="23">
      <c r="A23" s="13" t="inlineStr">
        <is>
          <t>병렬도 6 분할 10</t>
        </is>
      </c>
      <c r="B23" s="13" t="n">
        <v>3</v>
      </c>
      <c r="C23" s="13" t="inlineStr">
        <is>
          <t>ForkJoinPool-5-worker-4</t>
        </is>
      </c>
      <c r="D23" s="12" t="inlineStr">
        <is>
          <t>워커</t>
        </is>
      </c>
      <c r="E23" s="10" t="n">
        <v>46238.50477082176</v>
      </c>
      <c r="F23" s="10" t="n">
        <v>46238.5047941494</v>
      </c>
      <c r="G23" s="13" t="n">
        <v>74</v>
      </c>
      <c r="H23" s="14" t="n">
        <v>1666.819301</v>
      </c>
      <c r="I23" s="13">
        <f>COUNTIFS('클럭 정리'!$A$6:$A$75,"&gt;="&amp;E23,'클럭 정리'!$A$6:$A$75,"&lt;="&amp;F23)</f>
        <v/>
      </c>
      <c r="J23" s="14">
        <f>AVERAGEIFS('클럭 정리'!$N$6:$N$75,'클럭 정리'!$A$6:$A$75,"&gt;="&amp;E23,'클럭 정리'!$A$6:$A$75,"&lt;="&amp;F23)</f>
        <v/>
      </c>
      <c r="K23" s="15">
        <f>J23*'클럭 정리'!$B$2/100</f>
        <v/>
      </c>
    </row>
    <row r="24">
      <c r="A24" s="13" t="inlineStr">
        <is>
          <t>병렬도 6 분할 10</t>
        </is>
      </c>
      <c r="B24" s="13" t="n">
        <v>3</v>
      </c>
      <c r="C24" s="13" t="inlineStr">
        <is>
          <t>ForkJoinPool-5-worker-5</t>
        </is>
      </c>
      <c r="D24" s="12" t="inlineStr">
        <is>
          <t>워커</t>
        </is>
      </c>
      <c r="E24" s="10" t="n">
        <v>46238.50477082176</v>
      </c>
      <c r="F24" s="10" t="n">
        <v>46238.50479415106</v>
      </c>
      <c r="G24" s="13" t="n">
        <v>62</v>
      </c>
      <c r="H24" s="14" t="n">
        <v>1520.753196</v>
      </c>
      <c r="I24" s="13">
        <f>COUNTIFS('클럭 정리'!$A$6:$A$75,"&gt;="&amp;E24,'클럭 정리'!$A$6:$A$75,"&lt;="&amp;F24)</f>
        <v/>
      </c>
      <c r="J24" s="14">
        <f>AVERAGEIFS('클럭 정리'!$N$6:$N$75,'클럭 정리'!$A$6:$A$75,"&gt;="&amp;E24,'클럭 정리'!$A$6:$A$75,"&lt;="&amp;F24)</f>
        <v/>
      </c>
      <c r="K24" s="15">
        <f>J24*'클럭 정리'!$B$2/100</f>
        <v/>
      </c>
    </row>
    <row r="25">
      <c r="A25" s="13" t="inlineStr">
        <is>
          <t>병렬도 6 분할 10</t>
        </is>
      </c>
      <c r="B25" s="13" t="n">
        <v>3</v>
      </c>
      <c r="C25" s="13" t="inlineStr">
        <is>
          <t>ForkJoinPool-5-worker-6</t>
        </is>
      </c>
      <c r="D25" s="12" t="inlineStr">
        <is>
          <t>워커</t>
        </is>
      </c>
      <c r="E25" s="10" t="n">
        <v>46238.50477083334</v>
      </c>
      <c r="F25" s="10" t="n">
        <v>46238.50479434118</v>
      </c>
      <c r="G25" s="13" t="n">
        <v>84</v>
      </c>
      <c r="H25" s="14" t="n">
        <v>1839.2874</v>
      </c>
      <c r="I25" s="13">
        <f>COUNTIFS('클럭 정리'!$A$6:$A$75,"&gt;="&amp;E25,'클럭 정리'!$A$6:$A$75,"&lt;="&amp;F25)</f>
        <v/>
      </c>
      <c r="J25" s="14">
        <f>AVERAGEIFS('클럭 정리'!$N$6:$N$75,'클럭 정리'!$A$6:$A$75,"&gt;="&amp;E25,'클럭 정리'!$A$6:$A$75,"&lt;="&amp;F25)</f>
        <v/>
      </c>
      <c r="K25" s="15">
        <f>J25*'클럭 정리'!$B$2/100</f>
        <v/>
      </c>
    </row>
    <row r="26">
      <c r="A26" s="13" t="inlineStr">
        <is>
          <t>병렬도 6 분할 10</t>
        </is>
      </c>
      <c r="B26" s="13" t="n">
        <v>3</v>
      </c>
      <c r="C26" s="13" t="inlineStr">
        <is>
          <t>main</t>
        </is>
      </c>
      <c r="D26" s="12" t="inlineStr">
        <is>
          <t>main (활동 시간 합 = 그 회차 mainCPU, 창은 워커와 겹침)</t>
        </is>
      </c>
      <c r="E26" s="10" t="n">
        <v>46238.50477081018</v>
      </c>
      <c r="F26" s="10" t="n">
        <v>46238.50479435908</v>
      </c>
      <c r="G26" s="13" t="n">
        <v>45</v>
      </c>
      <c r="H26" s="14" t="n">
        <v>0</v>
      </c>
      <c r="I26" s="13">
        <f>COUNTIFS('클럭 정리'!$A$6:$A$75,"&gt;="&amp;E26,'클럭 정리'!$A$6:$A$75,"&lt;="&amp;F26)</f>
        <v/>
      </c>
      <c r="J26" s="14">
        <f>AVERAGEIFS('클럭 정리'!$N$6:$N$75,'클럭 정리'!$A$6:$A$75,"&gt;="&amp;E26,'클럭 정리'!$A$6:$A$75,"&lt;="&amp;F26)</f>
        <v/>
      </c>
      <c r="K26" s="15">
        <f>J26*'클럭 정리'!$B$2/100</f>
        <v/>
      </c>
    </row>
    <row r="27">
      <c r="A27" s="13" t="inlineStr">
        <is>
          <t>병렬도 6 분할 10</t>
        </is>
      </c>
      <c r="B27" s="13" t="n">
        <v>4</v>
      </c>
      <c r="C27" s="13" t="inlineStr">
        <is>
          <t>ForkJoinPool-6-worker-1</t>
        </is>
      </c>
      <c r="D27" s="12" t="inlineStr">
        <is>
          <t>워커</t>
        </is>
      </c>
      <c r="E27" s="10" t="n">
        <v>46238.504794375</v>
      </c>
      <c r="F27" s="10" t="n">
        <v>46238.5048178084</v>
      </c>
      <c r="G27" s="13" t="n">
        <v>82</v>
      </c>
      <c r="H27" s="14" t="n">
        <v>1792.534096</v>
      </c>
      <c r="I27" s="13">
        <f>COUNTIFS('클럭 정리'!$A$6:$A$75,"&gt;="&amp;E27,'클럭 정리'!$A$6:$A$75,"&lt;="&amp;F27)</f>
        <v/>
      </c>
      <c r="J27" s="14">
        <f>AVERAGEIFS('클럭 정리'!$N$6:$N$75,'클럭 정리'!$A$6:$A$75,"&gt;="&amp;E27,'클럭 정리'!$A$6:$A$75,"&lt;="&amp;F27)</f>
        <v/>
      </c>
      <c r="K27" s="15">
        <f>J27*'클럭 정리'!$B$2/100</f>
        <v/>
      </c>
    </row>
    <row r="28">
      <c r="A28" s="13" t="inlineStr">
        <is>
          <t>병렬도 6 분할 10</t>
        </is>
      </c>
      <c r="B28" s="13" t="n">
        <v>4</v>
      </c>
      <c r="C28" s="13" t="inlineStr">
        <is>
          <t>ForkJoinPool-6-worker-2</t>
        </is>
      </c>
      <c r="D28" s="12" t="inlineStr">
        <is>
          <t>워커</t>
        </is>
      </c>
      <c r="E28" s="10" t="n">
        <v>46238.504794375</v>
      </c>
      <c r="F28" s="10" t="n">
        <v>46238.50481780634</v>
      </c>
      <c r="G28" s="13" t="n">
        <v>73</v>
      </c>
      <c r="H28" s="14" t="n">
        <v>1651.023304</v>
      </c>
      <c r="I28" s="13">
        <f>COUNTIFS('클럭 정리'!$A$6:$A$75,"&gt;="&amp;E28,'클럭 정리'!$A$6:$A$75,"&lt;="&amp;F28)</f>
        <v/>
      </c>
      <c r="J28" s="14">
        <f>AVERAGEIFS('클럭 정리'!$N$6:$N$75,'클럭 정리'!$A$6:$A$75,"&gt;="&amp;E28,'클럭 정리'!$A$6:$A$75,"&lt;="&amp;F28)</f>
        <v/>
      </c>
      <c r="K28" s="15">
        <f>J28*'클럭 정리'!$B$2/100</f>
        <v/>
      </c>
    </row>
    <row r="29">
      <c r="A29" s="13" t="inlineStr">
        <is>
          <t>병렬도 6 분할 10</t>
        </is>
      </c>
      <c r="B29" s="13" t="n">
        <v>4</v>
      </c>
      <c r="C29" s="13" t="inlineStr">
        <is>
          <t>ForkJoinPool-6-worker-3</t>
        </is>
      </c>
      <c r="D29" s="12" t="inlineStr">
        <is>
          <t>워커</t>
        </is>
      </c>
      <c r="E29" s="10" t="n">
        <v>46238.504794375</v>
      </c>
      <c r="F29" s="10" t="n">
        <v>46238.50481779416</v>
      </c>
      <c r="G29" s="13" t="n">
        <v>77</v>
      </c>
      <c r="H29" s="14" t="n">
        <v>1720.388194</v>
      </c>
      <c r="I29" s="13">
        <f>COUNTIFS('클럭 정리'!$A$6:$A$75,"&gt;="&amp;E29,'클럭 정리'!$A$6:$A$75,"&lt;="&amp;F29)</f>
        <v/>
      </c>
      <c r="J29" s="14">
        <f>AVERAGEIFS('클럭 정리'!$N$6:$N$75,'클럭 정리'!$A$6:$A$75,"&gt;="&amp;E29,'클럭 정리'!$A$6:$A$75,"&lt;="&amp;F29)</f>
        <v/>
      </c>
      <c r="K29" s="15">
        <f>J29*'클럭 정리'!$B$2/100</f>
        <v/>
      </c>
    </row>
    <row r="30">
      <c r="A30" s="13" t="inlineStr">
        <is>
          <t>병렬도 6 분할 10</t>
        </is>
      </c>
      <c r="B30" s="13" t="n">
        <v>4</v>
      </c>
      <c r="C30" s="13" t="inlineStr">
        <is>
          <t>ForkJoinPool-6-worker-4</t>
        </is>
      </c>
      <c r="D30" s="12" t="inlineStr">
        <is>
          <t>워커</t>
        </is>
      </c>
      <c r="E30" s="10" t="n">
        <v>46238.504794375</v>
      </c>
      <c r="F30" s="10" t="n">
        <v>46238.50481780797</v>
      </c>
      <c r="G30" s="13" t="n">
        <v>70</v>
      </c>
      <c r="H30" s="14" t="n">
        <v>1624.580592</v>
      </c>
      <c r="I30" s="13">
        <f>COUNTIFS('클럭 정리'!$A$6:$A$75,"&gt;="&amp;E30,'클럭 정리'!$A$6:$A$75,"&lt;="&amp;F30)</f>
        <v/>
      </c>
      <c r="J30" s="14">
        <f>AVERAGEIFS('클럭 정리'!$N$6:$N$75,'클럭 정리'!$A$6:$A$75,"&gt;="&amp;E30,'클럭 정리'!$A$6:$A$75,"&lt;="&amp;F30)</f>
        <v/>
      </c>
      <c r="K30" s="15">
        <f>J30*'클럭 정리'!$B$2/100</f>
        <v/>
      </c>
    </row>
    <row r="31">
      <c r="A31" s="13" t="inlineStr">
        <is>
          <t>병렬도 6 분할 10</t>
        </is>
      </c>
      <c r="B31" s="13" t="n">
        <v>4</v>
      </c>
      <c r="C31" s="13" t="inlineStr">
        <is>
          <t>ForkJoinPool-6-worker-5</t>
        </is>
      </c>
      <c r="D31" s="12" t="inlineStr">
        <is>
          <t>워커</t>
        </is>
      </c>
      <c r="E31" s="10" t="n">
        <v>46238.504794375</v>
      </c>
      <c r="F31" s="10" t="n">
        <v>46238.50481762292</v>
      </c>
      <c r="G31" s="13" t="n">
        <v>71</v>
      </c>
      <c r="H31" s="14" t="n">
        <v>1667.273201</v>
      </c>
      <c r="I31" s="13">
        <f>COUNTIFS('클럭 정리'!$A$6:$A$75,"&gt;="&amp;E31,'클럭 정리'!$A$6:$A$75,"&lt;="&amp;F31)</f>
        <v/>
      </c>
      <c r="J31" s="14">
        <f>AVERAGEIFS('클럭 정리'!$N$6:$N$75,'클럭 정리'!$A$6:$A$75,"&gt;="&amp;E31,'클럭 정리'!$A$6:$A$75,"&lt;="&amp;F31)</f>
        <v/>
      </c>
      <c r="K31" s="15">
        <f>J31*'클럭 정리'!$B$2/100</f>
        <v/>
      </c>
    </row>
    <row r="32">
      <c r="A32" s="13" t="inlineStr">
        <is>
          <t>병렬도 6 분할 10</t>
        </is>
      </c>
      <c r="B32" s="13" t="n">
        <v>4</v>
      </c>
      <c r="C32" s="13" t="inlineStr">
        <is>
          <t>ForkJoinPool-6-worker-6</t>
        </is>
      </c>
      <c r="D32" s="12" t="inlineStr">
        <is>
          <t>워커</t>
        </is>
      </c>
      <c r="E32" s="10" t="n">
        <v>46238.504794375</v>
      </c>
      <c r="F32" s="10" t="n">
        <v>46238.50481757466</v>
      </c>
      <c r="G32" s="13" t="n">
        <v>77</v>
      </c>
      <c r="H32" s="14" t="n">
        <v>1688.3706</v>
      </c>
      <c r="I32" s="13">
        <f>COUNTIFS('클럭 정리'!$A$6:$A$75,"&gt;="&amp;E32,'클럭 정리'!$A$6:$A$75,"&lt;="&amp;F32)</f>
        <v/>
      </c>
      <c r="J32" s="14">
        <f>AVERAGEIFS('클럭 정리'!$N$6:$N$75,'클럭 정리'!$A$6:$A$75,"&gt;="&amp;E32,'클럭 정리'!$A$6:$A$75,"&lt;="&amp;F32)</f>
        <v/>
      </c>
      <c r="K32" s="15">
        <f>J32*'클럭 정리'!$B$2/100</f>
        <v/>
      </c>
    </row>
    <row r="33">
      <c r="A33" s="13" t="inlineStr">
        <is>
          <t>병렬도 6 분할 10</t>
        </is>
      </c>
      <c r="B33" s="13" t="n">
        <v>4</v>
      </c>
      <c r="C33" s="13" t="inlineStr">
        <is>
          <t>main</t>
        </is>
      </c>
      <c r="D33" s="12" t="inlineStr">
        <is>
          <t>main (활동 시간 합 = 그 회차 mainCPU, 창은 워커와 겹침)</t>
        </is>
      </c>
      <c r="E33" s="10" t="n">
        <v>46238.50479436343</v>
      </c>
      <c r="F33" s="10" t="n">
        <v>46238.50481782151</v>
      </c>
      <c r="G33" s="13" t="n">
        <v>45</v>
      </c>
      <c r="H33" s="14" t="n">
        <v>0</v>
      </c>
      <c r="I33" s="13">
        <f>COUNTIFS('클럭 정리'!$A$6:$A$75,"&gt;="&amp;E33,'클럭 정리'!$A$6:$A$75,"&lt;="&amp;F33)</f>
        <v/>
      </c>
      <c r="J33" s="14">
        <f>AVERAGEIFS('클럭 정리'!$N$6:$N$75,'클럭 정리'!$A$6:$A$75,"&gt;="&amp;E33,'클럭 정리'!$A$6:$A$75,"&lt;="&amp;F33)</f>
        <v/>
      </c>
      <c r="K33" s="15">
        <f>J33*'클럭 정리'!$B$2/100</f>
        <v/>
      </c>
    </row>
    <row r="34">
      <c r="A34" s="13" t="inlineStr">
        <is>
          <t>병렬도 6 분할 10</t>
        </is>
      </c>
      <c r="B34" s="13" t="n">
        <v>5</v>
      </c>
      <c r="C34" s="13" t="inlineStr">
        <is>
          <t>ForkJoinPool-7-worker-1</t>
        </is>
      </c>
      <c r="D34" s="12" t="inlineStr">
        <is>
          <t>워커</t>
        </is>
      </c>
      <c r="E34" s="10" t="n">
        <v>46238.50481783564</v>
      </c>
      <c r="F34" s="10" t="n">
        <v>46238.50484131388</v>
      </c>
      <c r="G34" s="13" t="n">
        <v>87</v>
      </c>
      <c r="H34" s="14" t="n">
        <v>1888.633096</v>
      </c>
      <c r="I34" s="13">
        <f>COUNTIFS('클럭 정리'!$A$6:$A$75,"&gt;="&amp;E34,'클럭 정리'!$A$6:$A$75,"&lt;="&amp;F34)</f>
        <v/>
      </c>
      <c r="J34" s="14">
        <f>AVERAGEIFS('클럭 정리'!$N$6:$N$75,'클럭 정리'!$A$6:$A$75,"&gt;="&amp;E34,'클럭 정리'!$A$6:$A$75,"&lt;="&amp;F34)</f>
        <v/>
      </c>
      <c r="K34" s="15">
        <f>J34*'클럭 정리'!$B$2/100</f>
        <v/>
      </c>
    </row>
    <row r="35">
      <c r="A35" s="13" t="inlineStr">
        <is>
          <t>병렬도 6 분할 10</t>
        </is>
      </c>
      <c r="B35" s="13" t="n">
        <v>5</v>
      </c>
      <c r="C35" s="13" t="inlineStr">
        <is>
          <t>ForkJoinPool-7-worker-2</t>
        </is>
      </c>
      <c r="D35" s="12" t="inlineStr">
        <is>
          <t>워커</t>
        </is>
      </c>
      <c r="E35" s="10" t="n">
        <v>46238.50481783564</v>
      </c>
      <c r="F35" s="10" t="n">
        <v>46238.50484129893</v>
      </c>
      <c r="G35" s="13" t="n">
        <v>75</v>
      </c>
      <c r="H35" s="14" t="n">
        <v>1696.289494</v>
      </c>
      <c r="I35" s="13">
        <f>COUNTIFS('클럭 정리'!$A$6:$A$75,"&gt;="&amp;E35,'클럭 정리'!$A$6:$A$75,"&lt;="&amp;F35)</f>
        <v/>
      </c>
      <c r="J35" s="14">
        <f>AVERAGEIFS('클럭 정리'!$N$6:$N$75,'클럭 정리'!$A$6:$A$75,"&gt;="&amp;E35,'클럭 정리'!$A$6:$A$75,"&lt;="&amp;F35)</f>
        <v/>
      </c>
      <c r="K35" s="15">
        <f>J35*'클럭 정리'!$B$2/100</f>
        <v/>
      </c>
    </row>
    <row r="36">
      <c r="A36" s="13" t="inlineStr">
        <is>
          <t>병렬도 6 분할 10</t>
        </is>
      </c>
      <c r="B36" s="13" t="n">
        <v>5</v>
      </c>
      <c r="C36" s="13" t="inlineStr">
        <is>
          <t>ForkJoinPool-7-worker-3</t>
        </is>
      </c>
      <c r="D36" s="12" t="inlineStr">
        <is>
          <t>워커</t>
        </is>
      </c>
      <c r="E36" s="10" t="n">
        <v>46238.50481784722</v>
      </c>
      <c r="F36" s="10" t="n">
        <v>46238.50484131167</v>
      </c>
      <c r="G36" s="13" t="n">
        <v>77</v>
      </c>
      <c r="H36" s="14" t="n">
        <v>1737.431003</v>
      </c>
      <c r="I36" s="13">
        <f>COUNTIFS('클럭 정리'!$A$6:$A$75,"&gt;="&amp;E36,'클럭 정리'!$A$6:$A$75,"&lt;="&amp;F36)</f>
        <v/>
      </c>
      <c r="J36" s="14">
        <f>AVERAGEIFS('클럭 정리'!$N$6:$N$75,'클럭 정리'!$A$6:$A$75,"&gt;="&amp;E36,'클럭 정리'!$A$6:$A$75,"&lt;="&amp;F36)</f>
        <v/>
      </c>
      <c r="K36" s="15">
        <f>J36*'클럭 정리'!$B$2/100</f>
        <v/>
      </c>
    </row>
    <row r="37">
      <c r="A37" s="13" t="inlineStr">
        <is>
          <t>병렬도 6 분할 10</t>
        </is>
      </c>
      <c r="B37" s="13" t="n">
        <v>5</v>
      </c>
      <c r="C37" s="13" t="inlineStr">
        <is>
          <t>ForkJoinPool-7-worker-4</t>
        </is>
      </c>
      <c r="D37" s="12" t="inlineStr">
        <is>
          <t>워커</t>
        </is>
      </c>
      <c r="E37" s="10" t="n">
        <v>46238.50481784722</v>
      </c>
      <c r="F37" s="10" t="n">
        <v>46238.50484129245</v>
      </c>
      <c r="G37" s="13" t="n">
        <v>71</v>
      </c>
      <c r="H37" s="14" t="n">
        <v>1649.136498</v>
      </c>
      <c r="I37" s="13">
        <f>COUNTIFS('클럭 정리'!$A$6:$A$75,"&gt;="&amp;E37,'클럭 정리'!$A$6:$A$75,"&lt;="&amp;F37)</f>
        <v/>
      </c>
      <c r="J37" s="14">
        <f>AVERAGEIFS('클럭 정리'!$N$6:$N$75,'클럭 정리'!$A$6:$A$75,"&gt;="&amp;E37,'클럭 정리'!$A$6:$A$75,"&lt;="&amp;F37)</f>
        <v/>
      </c>
      <c r="K37" s="15">
        <f>J37*'클럭 정리'!$B$2/100</f>
        <v/>
      </c>
    </row>
    <row r="38">
      <c r="A38" s="13" t="inlineStr">
        <is>
          <t>병렬도 6 분할 10</t>
        </is>
      </c>
      <c r="B38" s="13" t="n">
        <v>5</v>
      </c>
      <c r="C38" s="13" t="inlineStr">
        <is>
          <t>ForkJoinPool-7-worker-5</t>
        </is>
      </c>
      <c r="D38" s="12" t="inlineStr">
        <is>
          <t>워커</t>
        </is>
      </c>
      <c r="E38" s="10" t="n">
        <v>46238.50481784722</v>
      </c>
      <c r="F38" s="10" t="n">
        <v>46238.50484111023</v>
      </c>
      <c r="G38" s="13" t="n">
        <v>62</v>
      </c>
      <c r="H38" s="14" t="n">
        <v>1524.201</v>
      </c>
      <c r="I38" s="13">
        <f>COUNTIFS('클럭 정리'!$A$6:$A$75,"&gt;="&amp;E38,'클럭 정리'!$A$6:$A$75,"&lt;="&amp;F38)</f>
        <v/>
      </c>
      <c r="J38" s="14">
        <f>AVERAGEIFS('클럭 정리'!$N$6:$N$75,'클럭 정리'!$A$6:$A$75,"&gt;="&amp;E38,'클럭 정리'!$A$6:$A$75,"&lt;="&amp;F38)</f>
        <v/>
      </c>
      <c r="K38" s="15">
        <f>J38*'클럭 정리'!$B$2/100</f>
        <v/>
      </c>
    </row>
    <row r="39">
      <c r="A39" s="13" t="inlineStr">
        <is>
          <t>병렬도 6 분할 10</t>
        </is>
      </c>
      <c r="B39" s="13" t="n">
        <v>5</v>
      </c>
      <c r="C39" s="13" t="inlineStr">
        <is>
          <t>ForkJoinPool-7-worker-6</t>
        </is>
      </c>
      <c r="D39" s="12" t="inlineStr">
        <is>
          <t>워커</t>
        </is>
      </c>
      <c r="E39" s="10" t="n">
        <v>46238.50481784722</v>
      </c>
      <c r="F39" s="10" t="n">
        <v>46238.50484108684</v>
      </c>
      <c r="G39" s="13" t="n">
        <v>78</v>
      </c>
      <c r="H39" s="14" t="n">
        <v>1721.941689</v>
      </c>
      <c r="I39" s="13">
        <f>COUNTIFS('클럭 정리'!$A$6:$A$75,"&gt;="&amp;E39,'클럭 정리'!$A$6:$A$75,"&lt;="&amp;F39)</f>
        <v/>
      </c>
      <c r="J39" s="14">
        <f>AVERAGEIFS('클럭 정리'!$N$6:$N$75,'클럭 정리'!$A$6:$A$75,"&gt;="&amp;E39,'클럭 정리'!$A$6:$A$75,"&lt;="&amp;F39)</f>
        <v/>
      </c>
      <c r="K39" s="15">
        <f>J39*'클럭 정리'!$B$2/100</f>
        <v/>
      </c>
    </row>
    <row r="40">
      <c r="A40" s="13" t="inlineStr">
        <is>
          <t>병렬도 6 분할 10</t>
        </is>
      </c>
      <c r="B40" s="13" t="n">
        <v>5</v>
      </c>
      <c r="C40" s="13" t="inlineStr">
        <is>
          <t>main</t>
        </is>
      </c>
      <c r="D40" s="12" t="inlineStr">
        <is>
          <t>main (활동 시간 합 = 그 회차 mainCPU, 창은 워커와 겹침)</t>
        </is>
      </c>
      <c r="E40" s="10" t="n">
        <v>46238.50481782408</v>
      </c>
      <c r="F40" s="10" t="n">
        <v>46238.50484131049</v>
      </c>
      <c r="G40" s="13" t="n">
        <v>45</v>
      </c>
      <c r="H40" s="14" t="n">
        <v>0</v>
      </c>
      <c r="I40" s="13">
        <f>COUNTIFS('클럭 정리'!$A$6:$A$75,"&gt;="&amp;E40,'클럭 정리'!$A$6:$A$75,"&lt;="&amp;F40)</f>
        <v/>
      </c>
      <c r="J40" s="14">
        <f>AVERAGEIFS('클럭 정리'!$N$6:$N$75,'클럭 정리'!$A$6:$A$75,"&gt;="&amp;E40,'클럭 정리'!$A$6:$A$75,"&lt;="&amp;F40)</f>
        <v/>
      </c>
      <c r="K40" s="15">
        <f>J40*'클럭 정리'!$B$2/100</f>
        <v/>
      </c>
    </row>
    <row r="41">
      <c r="A41" s="13" t="inlineStr">
        <is>
          <t>병렬도 12 분할 10</t>
        </is>
      </c>
      <c r="B41" s="13" t="n">
        <v>1</v>
      </c>
      <c r="C41" s="13" t="inlineStr">
        <is>
          <t>ForkJoinPool-11-worker-1</t>
        </is>
      </c>
      <c r="D41" s="12" t="inlineStr">
        <is>
          <t>워커</t>
        </is>
      </c>
      <c r="E41" s="10" t="n">
        <v>46238.50490078704</v>
      </c>
      <c r="F41" s="10" t="n">
        <v>46238.50491852953</v>
      </c>
      <c r="G41" s="13" t="n">
        <v>45</v>
      </c>
      <c r="H41" s="14" t="n">
        <v>1457.650096</v>
      </c>
      <c r="I41" s="13">
        <f>COUNTIFS('클럭 정리'!$A$6:$A$75,"&gt;="&amp;E41,'클럭 정리'!$A$6:$A$75,"&lt;="&amp;F41)</f>
        <v/>
      </c>
      <c r="J41" s="14">
        <f>AVERAGEIFS('클럭 정리'!$N$6:$N$75,'클럭 정리'!$A$6:$A$75,"&gt;="&amp;E41,'클럭 정리'!$A$6:$A$75,"&lt;="&amp;F41)</f>
        <v/>
      </c>
      <c r="K41" s="15">
        <f>J41*'클럭 정리'!$B$2/100</f>
        <v/>
      </c>
    </row>
    <row r="42">
      <c r="A42" s="13" t="inlineStr">
        <is>
          <t>병렬도 12 분할 10</t>
        </is>
      </c>
      <c r="B42" s="13" t="n">
        <v>1</v>
      </c>
      <c r="C42" s="13" t="inlineStr">
        <is>
          <t>ForkJoinPool-11-worker-10</t>
        </is>
      </c>
      <c r="D42" s="12" t="inlineStr">
        <is>
          <t>워커</t>
        </is>
      </c>
      <c r="E42" s="10" t="n">
        <v>46238.50490079861</v>
      </c>
      <c r="F42" s="10" t="n">
        <v>46238.50491853118</v>
      </c>
      <c r="G42" s="13" t="n">
        <v>45</v>
      </c>
      <c r="H42" s="14" t="n">
        <v>1461.6982</v>
      </c>
      <c r="I42" s="13">
        <f>COUNTIFS('클럭 정리'!$A$6:$A$75,"&gt;="&amp;E42,'클럭 정리'!$A$6:$A$75,"&lt;="&amp;F42)</f>
        <v/>
      </c>
      <c r="J42" s="14">
        <f>AVERAGEIFS('클럭 정리'!$N$6:$N$75,'클럭 정리'!$A$6:$A$75,"&gt;="&amp;E42,'클럭 정리'!$A$6:$A$75,"&lt;="&amp;F42)</f>
        <v/>
      </c>
      <c r="K42" s="15">
        <f>J42*'클럭 정리'!$B$2/100</f>
        <v/>
      </c>
    </row>
    <row r="43">
      <c r="A43" s="13" t="inlineStr">
        <is>
          <t>병렬도 12 분할 10</t>
        </is>
      </c>
      <c r="B43" s="13" t="n">
        <v>1</v>
      </c>
      <c r="C43" s="13" t="inlineStr">
        <is>
          <t>ForkJoinPool-11-worker-2</t>
        </is>
      </c>
      <c r="D43" s="12" t="inlineStr">
        <is>
          <t>워커</t>
        </is>
      </c>
      <c r="E43" s="10" t="n">
        <v>46238.50490078704</v>
      </c>
      <c r="F43" s="10" t="n">
        <v>46238.50491851878</v>
      </c>
      <c r="G43" s="13" t="n">
        <v>45</v>
      </c>
      <c r="H43" s="14" t="n">
        <v>1461.7613</v>
      </c>
      <c r="I43" s="13">
        <f>COUNTIFS('클럭 정리'!$A$6:$A$75,"&gt;="&amp;E43,'클럭 정리'!$A$6:$A$75,"&lt;="&amp;F43)</f>
        <v/>
      </c>
      <c r="J43" s="14">
        <f>AVERAGEIFS('클럭 정리'!$N$6:$N$75,'클럭 정리'!$A$6:$A$75,"&gt;="&amp;E43,'클럭 정리'!$A$6:$A$75,"&lt;="&amp;F43)</f>
        <v/>
      </c>
      <c r="K43" s="15">
        <f>J43*'클럭 정리'!$B$2/100</f>
        <v/>
      </c>
    </row>
    <row r="44">
      <c r="A44" s="13" t="inlineStr">
        <is>
          <t>병렬도 12 분할 10</t>
        </is>
      </c>
      <c r="B44" s="13" t="n">
        <v>1</v>
      </c>
      <c r="C44" s="13" t="inlineStr">
        <is>
          <t>ForkJoinPool-11-worker-3</t>
        </is>
      </c>
      <c r="D44" s="12" t="inlineStr">
        <is>
          <t>워커</t>
        </is>
      </c>
      <c r="E44" s="10" t="n">
        <v>46238.50490078704</v>
      </c>
      <c r="F44" s="10" t="n">
        <v>46238.50491851423</v>
      </c>
      <c r="G44" s="13" t="n">
        <v>45</v>
      </c>
      <c r="H44" s="14" t="n">
        <v>1469.897504</v>
      </c>
      <c r="I44" s="13">
        <f>COUNTIFS('클럭 정리'!$A$6:$A$75,"&gt;="&amp;E44,'클럭 정리'!$A$6:$A$75,"&lt;="&amp;F44)</f>
        <v/>
      </c>
      <c r="J44" s="14">
        <f>AVERAGEIFS('클럭 정리'!$N$6:$N$75,'클럭 정리'!$A$6:$A$75,"&gt;="&amp;E44,'클럭 정리'!$A$6:$A$75,"&lt;="&amp;F44)</f>
        <v/>
      </c>
      <c r="K44" s="15">
        <f>J44*'클럭 정리'!$B$2/100</f>
        <v/>
      </c>
    </row>
    <row r="45">
      <c r="A45" s="13" t="inlineStr">
        <is>
          <t>병렬도 12 분할 10</t>
        </is>
      </c>
      <c r="B45" s="13" t="n">
        <v>1</v>
      </c>
      <c r="C45" s="13" t="inlineStr">
        <is>
          <t>ForkJoinPool-11-worker-4</t>
        </is>
      </c>
      <c r="D45" s="12" t="inlineStr">
        <is>
          <t>워커</t>
        </is>
      </c>
      <c r="E45" s="10" t="n">
        <v>46238.50490078704</v>
      </c>
      <c r="F45" s="10" t="n">
        <v>46238.50491851188</v>
      </c>
      <c r="G45" s="13" t="n">
        <v>45</v>
      </c>
      <c r="H45" s="14" t="n">
        <v>1461.722303</v>
      </c>
      <c r="I45" s="13">
        <f>COUNTIFS('클럭 정리'!$A$6:$A$75,"&gt;="&amp;E45,'클럭 정리'!$A$6:$A$75,"&lt;="&amp;F45)</f>
        <v/>
      </c>
      <c r="J45" s="14">
        <f>AVERAGEIFS('클럭 정리'!$N$6:$N$75,'클럭 정리'!$A$6:$A$75,"&gt;="&amp;E45,'클럭 정리'!$A$6:$A$75,"&lt;="&amp;F45)</f>
        <v/>
      </c>
      <c r="K45" s="15">
        <f>J45*'클럭 정리'!$B$2/100</f>
        <v/>
      </c>
    </row>
    <row r="46">
      <c r="A46" s="13" t="inlineStr">
        <is>
          <t>병렬도 12 분할 10</t>
        </is>
      </c>
      <c r="B46" s="13" t="n">
        <v>1</v>
      </c>
      <c r="C46" s="13" t="inlineStr">
        <is>
          <t>ForkJoinPool-11-worker-5</t>
        </is>
      </c>
      <c r="D46" s="12" t="inlineStr">
        <is>
          <t>워커</t>
        </is>
      </c>
      <c r="E46" s="10" t="n">
        <v>46238.50490078704</v>
      </c>
      <c r="F46" s="10" t="n">
        <v>46238.50491848763</v>
      </c>
      <c r="G46" s="13" t="n">
        <v>45</v>
      </c>
      <c r="H46" s="14" t="n">
        <v>1471.844901</v>
      </c>
      <c r="I46" s="13">
        <f>COUNTIFS('클럭 정리'!$A$6:$A$75,"&gt;="&amp;E46,'클럭 정리'!$A$6:$A$75,"&lt;="&amp;F46)</f>
        <v/>
      </c>
      <c r="J46" s="14">
        <f>AVERAGEIFS('클럭 정리'!$N$6:$N$75,'클럭 정리'!$A$6:$A$75,"&gt;="&amp;E46,'클럭 정리'!$A$6:$A$75,"&lt;="&amp;F46)</f>
        <v/>
      </c>
      <c r="K46" s="15">
        <f>J46*'클럭 정리'!$B$2/100</f>
        <v/>
      </c>
    </row>
    <row r="47">
      <c r="A47" s="13" t="inlineStr">
        <is>
          <t>병렬도 12 분할 10</t>
        </is>
      </c>
      <c r="B47" s="13" t="n">
        <v>1</v>
      </c>
      <c r="C47" s="13" t="inlineStr">
        <is>
          <t>ForkJoinPool-11-worker-6</t>
        </is>
      </c>
      <c r="D47" s="12" t="inlineStr">
        <is>
          <t>워커</t>
        </is>
      </c>
      <c r="E47" s="10" t="n">
        <v>46238.50490078704</v>
      </c>
      <c r="F47" s="10" t="n">
        <v>46238.50491852904</v>
      </c>
      <c r="G47" s="13" t="n">
        <v>45</v>
      </c>
      <c r="H47" s="14" t="n">
        <v>1473.108104</v>
      </c>
      <c r="I47" s="13">
        <f>COUNTIFS('클럭 정리'!$A$6:$A$75,"&gt;="&amp;E47,'클럭 정리'!$A$6:$A$75,"&lt;="&amp;F47)</f>
        <v/>
      </c>
      <c r="J47" s="14">
        <f>AVERAGEIFS('클럭 정리'!$N$6:$N$75,'클럭 정리'!$A$6:$A$75,"&gt;="&amp;E47,'클럭 정리'!$A$6:$A$75,"&lt;="&amp;F47)</f>
        <v/>
      </c>
      <c r="K47" s="15">
        <f>J47*'클럭 정리'!$B$2/100</f>
        <v/>
      </c>
    </row>
    <row r="48">
      <c r="A48" s="13" t="inlineStr">
        <is>
          <t>병렬도 12 분할 10</t>
        </is>
      </c>
      <c r="B48" s="13" t="n">
        <v>1</v>
      </c>
      <c r="C48" s="13" t="inlineStr">
        <is>
          <t>ForkJoinPool-11-worker-7</t>
        </is>
      </c>
      <c r="D48" s="12" t="inlineStr">
        <is>
          <t>워커</t>
        </is>
      </c>
      <c r="E48" s="10" t="n">
        <v>46238.50490079861</v>
      </c>
      <c r="F48" s="10" t="n">
        <v>46238.50491853053</v>
      </c>
      <c r="G48" s="13" t="n">
        <v>45</v>
      </c>
      <c r="H48" s="14" t="n">
        <v>1446.777601</v>
      </c>
      <c r="I48" s="13">
        <f>COUNTIFS('클럭 정리'!$A$6:$A$75,"&gt;="&amp;E48,'클럭 정리'!$A$6:$A$75,"&lt;="&amp;F48)</f>
        <v/>
      </c>
      <c r="J48" s="14">
        <f>AVERAGEIFS('클럭 정리'!$N$6:$N$75,'클럭 정리'!$A$6:$A$75,"&gt;="&amp;E48,'클럭 정리'!$A$6:$A$75,"&lt;="&amp;F48)</f>
        <v/>
      </c>
      <c r="K48" s="15">
        <f>J48*'클럭 정리'!$B$2/100</f>
        <v/>
      </c>
    </row>
    <row r="49">
      <c r="A49" s="13" t="inlineStr">
        <is>
          <t>병렬도 12 분할 10</t>
        </is>
      </c>
      <c r="B49" s="13" t="n">
        <v>1</v>
      </c>
      <c r="C49" s="13" t="inlineStr">
        <is>
          <t>ForkJoinPool-11-worker-8</t>
        </is>
      </c>
      <c r="D49" s="12" t="inlineStr">
        <is>
          <t>워커</t>
        </is>
      </c>
      <c r="E49" s="10" t="n">
        <v>46238.50490079861</v>
      </c>
      <c r="F49" s="10" t="n">
        <v>46238.50491851546</v>
      </c>
      <c r="G49" s="13" t="n">
        <v>45</v>
      </c>
      <c r="H49" s="14" t="n">
        <v>1456.776496</v>
      </c>
      <c r="I49" s="13">
        <f>COUNTIFS('클럭 정리'!$A$6:$A$75,"&gt;="&amp;E49,'클럭 정리'!$A$6:$A$75,"&lt;="&amp;F49)</f>
        <v/>
      </c>
      <c r="J49" s="14">
        <f>AVERAGEIFS('클럭 정리'!$N$6:$N$75,'클럭 정리'!$A$6:$A$75,"&gt;="&amp;E49,'클럭 정리'!$A$6:$A$75,"&lt;="&amp;F49)</f>
        <v/>
      </c>
      <c r="K49" s="15">
        <f>J49*'클럭 정리'!$B$2/100</f>
        <v/>
      </c>
    </row>
    <row r="50">
      <c r="A50" s="13" t="inlineStr">
        <is>
          <t>병렬도 12 분할 10</t>
        </is>
      </c>
      <c r="B50" s="13" t="n">
        <v>1</v>
      </c>
      <c r="C50" s="13" t="inlineStr">
        <is>
          <t>ForkJoinPool-11-worker-9</t>
        </is>
      </c>
      <c r="D50" s="12" t="inlineStr">
        <is>
          <t>워커</t>
        </is>
      </c>
      <c r="E50" s="10" t="n">
        <v>46238.50490079861</v>
      </c>
      <c r="F50" s="10" t="n">
        <v>46238.50491853567</v>
      </c>
      <c r="G50" s="13" t="n">
        <v>45</v>
      </c>
      <c r="H50" s="14" t="n">
        <v>1470.990102</v>
      </c>
      <c r="I50" s="13">
        <f>COUNTIFS('클럭 정리'!$A$6:$A$75,"&gt;="&amp;E50,'클럭 정리'!$A$6:$A$75,"&lt;="&amp;F50)</f>
        <v/>
      </c>
      <c r="J50" s="14">
        <f>AVERAGEIFS('클럭 정리'!$N$6:$N$75,'클럭 정리'!$A$6:$A$75,"&gt;="&amp;E50,'클럭 정리'!$A$6:$A$75,"&lt;="&amp;F50)</f>
        <v/>
      </c>
      <c r="K50" s="15">
        <f>J50*'클럭 정리'!$B$2/100</f>
        <v/>
      </c>
    </row>
    <row r="51">
      <c r="A51" s="13" t="inlineStr">
        <is>
          <t>병렬도 12 분할 10</t>
        </is>
      </c>
      <c r="B51" s="13" t="n">
        <v>1</v>
      </c>
      <c r="C51" s="13" t="inlineStr">
        <is>
          <t>main</t>
        </is>
      </c>
      <c r="D51" s="12" t="inlineStr">
        <is>
          <t>main (활동 시간 합 = 그 회차 mainCPU, 창은 워커와 겹침)</t>
        </is>
      </c>
      <c r="E51" s="10" t="n">
        <v>46238.50490077546</v>
      </c>
      <c r="F51" s="10" t="n">
        <v>46238.50491853694</v>
      </c>
      <c r="G51" s="13" t="n">
        <v>45</v>
      </c>
      <c r="H51" s="14" t="n">
        <v>0</v>
      </c>
      <c r="I51" s="13">
        <f>COUNTIFS('클럭 정리'!$A$6:$A$75,"&gt;="&amp;E51,'클럭 정리'!$A$6:$A$75,"&lt;="&amp;F51)</f>
        <v/>
      </c>
      <c r="J51" s="14">
        <f>AVERAGEIFS('클럭 정리'!$N$6:$N$75,'클럭 정리'!$A$6:$A$75,"&gt;="&amp;E51,'클럭 정리'!$A$6:$A$75,"&lt;="&amp;F51)</f>
        <v/>
      </c>
      <c r="K51" s="15">
        <f>J51*'클럭 정리'!$B$2/100</f>
        <v/>
      </c>
    </row>
    <row r="52">
      <c r="A52" s="13" t="inlineStr">
        <is>
          <t>병렬도 12 분할 10</t>
        </is>
      </c>
      <c r="B52" s="13" t="n">
        <v>2</v>
      </c>
      <c r="C52" s="13" t="inlineStr">
        <is>
          <t>ForkJoinPool-12-worker-1</t>
        </is>
      </c>
      <c r="D52" s="12" t="inlineStr">
        <is>
          <t>워커</t>
        </is>
      </c>
      <c r="E52" s="10" t="n">
        <v>46238.50491855324</v>
      </c>
      <c r="F52" s="10" t="n">
        <v>46238.50493640822</v>
      </c>
      <c r="G52" s="13" t="n">
        <v>45</v>
      </c>
      <c r="H52" s="14" t="n">
        <v>1432.409499</v>
      </c>
      <c r="I52" s="13">
        <f>COUNTIFS('클럭 정리'!$A$6:$A$75,"&gt;="&amp;E52,'클럭 정리'!$A$6:$A$75,"&lt;="&amp;F52)</f>
        <v/>
      </c>
      <c r="J52" s="14">
        <f>AVERAGEIFS('클럭 정리'!$N$6:$N$75,'클럭 정리'!$A$6:$A$75,"&gt;="&amp;E52,'클럭 정리'!$A$6:$A$75,"&lt;="&amp;F52)</f>
        <v/>
      </c>
      <c r="K52" s="15">
        <f>J52*'클럭 정리'!$B$2/100</f>
        <v/>
      </c>
    </row>
    <row r="53">
      <c r="A53" s="13" t="inlineStr">
        <is>
          <t>병렬도 12 분할 10</t>
        </is>
      </c>
      <c r="B53" s="13" t="n">
        <v>2</v>
      </c>
      <c r="C53" s="13" t="inlineStr">
        <is>
          <t>ForkJoinPool-12-worker-10</t>
        </is>
      </c>
      <c r="D53" s="12" t="inlineStr">
        <is>
          <t>워커</t>
        </is>
      </c>
      <c r="E53" s="10" t="n">
        <v>46238.50491857639</v>
      </c>
      <c r="F53" s="10" t="n">
        <v>46238.50493641327</v>
      </c>
      <c r="G53" s="13" t="n">
        <v>45</v>
      </c>
      <c r="H53" s="14" t="n">
        <v>1491.045501</v>
      </c>
      <c r="I53" s="13">
        <f>COUNTIFS('클럭 정리'!$A$6:$A$75,"&gt;="&amp;E53,'클럭 정리'!$A$6:$A$75,"&lt;="&amp;F53)</f>
        <v/>
      </c>
      <c r="J53" s="14">
        <f>AVERAGEIFS('클럭 정리'!$N$6:$N$75,'클럭 정리'!$A$6:$A$75,"&gt;="&amp;E53,'클럭 정리'!$A$6:$A$75,"&lt;="&amp;F53)</f>
        <v/>
      </c>
      <c r="K53" s="15">
        <f>J53*'클럭 정리'!$B$2/100</f>
        <v/>
      </c>
    </row>
    <row r="54">
      <c r="A54" s="13" t="inlineStr">
        <is>
          <t>병렬도 12 분할 10</t>
        </is>
      </c>
      <c r="B54" s="13" t="n">
        <v>2</v>
      </c>
      <c r="C54" s="13" t="inlineStr">
        <is>
          <t>ForkJoinPool-12-worker-12</t>
        </is>
      </c>
      <c r="D54" s="12" t="inlineStr">
        <is>
          <t>워커</t>
        </is>
      </c>
      <c r="E54" s="10" t="n">
        <v>46238.50493325231</v>
      </c>
      <c r="F54" s="10" t="n">
        <v>46238.50493636446</v>
      </c>
      <c r="G54" s="13" t="n">
        <v>8</v>
      </c>
      <c r="H54" s="14" t="n">
        <v>250.700403</v>
      </c>
      <c r="I54" s="13">
        <f>COUNTIFS('클럭 정리'!$A$6:$A$75,"&gt;="&amp;E54,'클럭 정리'!$A$6:$A$75,"&lt;="&amp;F54)</f>
        <v/>
      </c>
      <c r="J54" s="14">
        <f>AVERAGEIFS('클럭 정리'!$N$6:$N$75,'클럭 정리'!$A$6:$A$75,"&gt;="&amp;E54,'클럭 정리'!$A$6:$A$75,"&lt;="&amp;F54)</f>
        <v/>
      </c>
      <c r="K54" s="15">
        <f>J54*'클럭 정리'!$B$2/100</f>
        <v/>
      </c>
    </row>
    <row r="55">
      <c r="A55" s="13" t="inlineStr">
        <is>
          <t>병렬도 12 분할 10</t>
        </is>
      </c>
      <c r="B55" s="13" t="n">
        <v>2</v>
      </c>
      <c r="C55" s="13" t="inlineStr">
        <is>
          <t>ForkJoinPool-12-worker-2</t>
        </is>
      </c>
      <c r="D55" s="12" t="inlineStr">
        <is>
          <t>워커</t>
        </is>
      </c>
      <c r="E55" s="10" t="n">
        <v>46238.50491856482</v>
      </c>
      <c r="F55" s="10" t="n">
        <v>46238.50493641457</v>
      </c>
      <c r="G55" s="13" t="n">
        <v>45</v>
      </c>
      <c r="H55" s="14" t="n">
        <v>1448.717604</v>
      </c>
      <c r="I55" s="13">
        <f>COUNTIFS('클럭 정리'!$A$6:$A$75,"&gt;="&amp;E55,'클럭 정리'!$A$6:$A$75,"&lt;="&amp;F55)</f>
        <v/>
      </c>
      <c r="J55" s="14">
        <f>AVERAGEIFS('클럭 정리'!$N$6:$N$75,'클럭 정리'!$A$6:$A$75,"&gt;="&amp;E55,'클럭 정리'!$A$6:$A$75,"&lt;="&amp;F55)</f>
        <v/>
      </c>
      <c r="K55" s="15">
        <f>J55*'클럭 정리'!$B$2/100</f>
        <v/>
      </c>
    </row>
    <row r="56">
      <c r="A56" s="13" t="inlineStr">
        <is>
          <t>병렬도 12 분할 10</t>
        </is>
      </c>
      <c r="B56" s="13" t="n">
        <v>2</v>
      </c>
      <c r="C56" s="13" t="inlineStr">
        <is>
          <t>ForkJoinPool-12-worker-3</t>
        </is>
      </c>
      <c r="D56" s="12" t="inlineStr">
        <is>
          <t>워커</t>
        </is>
      </c>
      <c r="E56" s="10" t="n">
        <v>46238.50491856482</v>
      </c>
      <c r="F56" s="10" t="n">
        <v>46238.50493639344</v>
      </c>
      <c r="G56" s="13" t="n">
        <v>45</v>
      </c>
      <c r="H56" s="14" t="n">
        <v>1452.420302</v>
      </c>
      <c r="I56" s="13">
        <f>COUNTIFS('클럭 정리'!$A$6:$A$75,"&gt;="&amp;E56,'클럭 정리'!$A$6:$A$75,"&lt;="&amp;F56)</f>
        <v/>
      </c>
      <c r="J56" s="14">
        <f>AVERAGEIFS('클럭 정리'!$N$6:$N$75,'클럭 정리'!$A$6:$A$75,"&gt;="&amp;E56,'클럭 정리'!$A$6:$A$75,"&lt;="&amp;F56)</f>
        <v/>
      </c>
      <c r="K56" s="15">
        <f>J56*'클럭 정리'!$B$2/100</f>
        <v/>
      </c>
    </row>
    <row r="57">
      <c r="A57" s="13" t="inlineStr">
        <is>
          <t>병렬도 12 분할 10</t>
        </is>
      </c>
      <c r="B57" s="13" t="n">
        <v>2</v>
      </c>
      <c r="C57" s="13" t="inlineStr">
        <is>
          <t>ForkJoinPool-12-worker-4</t>
        </is>
      </c>
      <c r="D57" s="12" t="inlineStr">
        <is>
          <t>워커</t>
        </is>
      </c>
      <c r="E57" s="10" t="n">
        <v>46238.50491856482</v>
      </c>
      <c r="F57" s="10" t="n">
        <v>46238.50493641235</v>
      </c>
      <c r="G57" s="13" t="n">
        <v>45</v>
      </c>
      <c r="H57" s="14" t="n">
        <v>1444.791902</v>
      </c>
      <c r="I57" s="13">
        <f>COUNTIFS('클럭 정리'!$A$6:$A$75,"&gt;="&amp;E57,'클럭 정리'!$A$6:$A$75,"&lt;="&amp;F57)</f>
        <v/>
      </c>
      <c r="J57" s="14">
        <f>AVERAGEIFS('클럭 정리'!$N$6:$N$75,'클럭 정리'!$A$6:$A$75,"&gt;="&amp;E57,'클럭 정리'!$A$6:$A$75,"&lt;="&amp;F57)</f>
        <v/>
      </c>
      <c r="K57" s="15">
        <f>J57*'클럭 정리'!$B$2/100</f>
        <v/>
      </c>
    </row>
    <row r="58">
      <c r="A58" s="13" t="inlineStr">
        <is>
          <t>병렬도 12 분할 10</t>
        </is>
      </c>
      <c r="B58" s="13" t="n">
        <v>2</v>
      </c>
      <c r="C58" s="13" t="inlineStr">
        <is>
          <t>ForkJoinPool-12-worker-5</t>
        </is>
      </c>
      <c r="D58" s="12" t="inlineStr">
        <is>
          <t>워커</t>
        </is>
      </c>
      <c r="E58" s="10" t="n">
        <v>46238.50491856482</v>
      </c>
      <c r="F58" s="10" t="n">
        <v>46238.50493322455</v>
      </c>
      <c r="G58" s="13" t="n">
        <v>37</v>
      </c>
      <c r="H58" s="14" t="n">
        <v>1199.8448</v>
      </c>
      <c r="I58" s="13">
        <f>COUNTIFS('클럭 정리'!$A$6:$A$75,"&gt;="&amp;E58,'클럭 정리'!$A$6:$A$75,"&lt;="&amp;F58)</f>
        <v/>
      </c>
      <c r="J58" s="14">
        <f>AVERAGEIFS('클럭 정리'!$N$6:$N$75,'클럭 정리'!$A$6:$A$75,"&gt;="&amp;E58,'클럭 정리'!$A$6:$A$75,"&lt;="&amp;F58)</f>
        <v/>
      </c>
      <c r="K58" s="15">
        <f>J58*'클럭 정리'!$B$2/100</f>
        <v/>
      </c>
    </row>
    <row r="59">
      <c r="A59" s="13" t="inlineStr">
        <is>
          <t>병렬도 12 분할 10</t>
        </is>
      </c>
      <c r="B59" s="13" t="n">
        <v>2</v>
      </c>
      <c r="C59" s="13" t="inlineStr">
        <is>
          <t>ForkJoinPool-12-worker-6</t>
        </is>
      </c>
      <c r="D59" s="12" t="inlineStr">
        <is>
          <t>워커</t>
        </is>
      </c>
      <c r="E59" s="10" t="n">
        <v>46238.50491856482</v>
      </c>
      <c r="F59" s="10" t="n">
        <v>46238.50493638671</v>
      </c>
      <c r="G59" s="13" t="n">
        <v>45</v>
      </c>
      <c r="H59" s="14" t="n">
        <v>1451.825104</v>
      </c>
      <c r="I59" s="13">
        <f>COUNTIFS('클럭 정리'!$A$6:$A$75,"&gt;="&amp;E59,'클럭 정리'!$A$6:$A$75,"&lt;="&amp;F59)</f>
        <v/>
      </c>
      <c r="J59" s="14">
        <f>AVERAGEIFS('클럭 정리'!$N$6:$N$75,'클럭 정리'!$A$6:$A$75,"&gt;="&amp;E59,'클럭 정리'!$A$6:$A$75,"&lt;="&amp;F59)</f>
        <v/>
      </c>
      <c r="K59" s="15">
        <f>J59*'클럭 정리'!$B$2/100</f>
        <v/>
      </c>
    </row>
    <row r="60">
      <c r="A60" s="13" t="inlineStr">
        <is>
          <t>병렬도 12 분할 10</t>
        </is>
      </c>
      <c r="B60" s="13" t="n">
        <v>2</v>
      </c>
      <c r="C60" s="13" t="inlineStr">
        <is>
          <t>ForkJoinPool-12-worker-7</t>
        </is>
      </c>
      <c r="D60" s="12" t="inlineStr">
        <is>
          <t>워커</t>
        </is>
      </c>
      <c r="E60" s="10" t="n">
        <v>46238.50491856482</v>
      </c>
      <c r="F60" s="10" t="n">
        <v>46238.50493636777</v>
      </c>
      <c r="G60" s="13" t="n">
        <v>45</v>
      </c>
      <c r="H60" s="14" t="n">
        <v>1494.1261</v>
      </c>
      <c r="I60" s="13">
        <f>COUNTIFS('클럭 정리'!$A$6:$A$75,"&gt;="&amp;E60,'클럭 정리'!$A$6:$A$75,"&lt;="&amp;F60)</f>
        <v/>
      </c>
      <c r="J60" s="14">
        <f>AVERAGEIFS('클럭 정리'!$N$6:$N$75,'클럭 정리'!$A$6:$A$75,"&gt;="&amp;E60,'클럭 정리'!$A$6:$A$75,"&lt;="&amp;F60)</f>
        <v/>
      </c>
      <c r="K60" s="15">
        <f>J60*'클럭 정리'!$B$2/100</f>
        <v/>
      </c>
    </row>
    <row r="61">
      <c r="A61" s="13" t="inlineStr">
        <is>
          <t>병렬도 12 분할 10</t>
        </is>
      </c>
      <c r="B61" s="13" t="n">
        <v>2</v>
      </c>
      <c r="C61" s="13" t="inlineStr">
        <is>
          <t>ForkJoinPool-12-worker-8</t>
        </is>
      </c>
      <c r="D61" s="12" t="inlineStr">
        <is>
          <t>워커</t>
        </is>
      </c>
      <c r="E61" s="10" t="n">
        <v>46238.50491856482</v>
      </c>
      <c r="F61" s="10" t="n">
        <v>46238.50493641305</v>
      </c>
      <c r="G61" s="13" t="n">
        <v>45</v>
      </c>
      <c r="H61" s="14" t="n">
        <v>1440.602097</v>
      </c>
      <c r="I61" s="13">
        <f>COUNTIFS('클럭 정리'!$A$6:$A$75,"&gt;="&amp;E61,'클럭 정리'!$A$6:$A$75,"&lt;="&amp;F61)</f>
        <v/>
      </c>
      <c r="J61" s="14">
        <f>AVERAGEIFS('클럭 정리'!$N$6:$N$75,'클럭 정리'!$A$6:$A$75,"&gt;="&amp;E61,'클럭 정리'!$A$6:$A$75,"&lt;="&amp;F61)</f>
        <v/>
      </c>
      <c r="K61" s="15">
        <f>J61*'클럭 정리'!$B$2/100</f>
        <v/>
      </c>
    </row>
    <row r="62">
      <c r="A62" s="13" t="inlineStr">
        <is>
          <t>병렬도 12 분할 10</t>
        </is>
      </c>
      <c r="B62" s="13" t="n">
        <v>2</v>
      </c>
      <c r="C62" s="13" t="inlineStr">
        <is>
          <t>ForkJoinPool-12-worker-9</t>
        </is>
      </c>
      <c r="D62" s="12" t="inlineStr">
        <is>
          <t>워커</t>
        </is>
      </c>
      <c r="E62" s="10" t="n">
        <v>46238.50491856482</v>
      </c>
      <c r="F62" s="10" t="n">
        <v>46238.50493640731</v>
      </c>
      <c r="G62" s="13" t="n">
        <v>45</v>
      </c>
      <c r="H62" s="14" t="n">
        <v>1473.495496</v>
      </c>
      <c r="I62" s="13">
        <f>COUNTIFS('클럭 정리'!$A$6:$A$75,"&gt;="&amp;E62,'클럭 정리'!$A$6:$A$75,"&lt;="&amp;F62)</f>
        <v/>
      </c>
      <c r="J62" s="14">
        <f>AVERAGEIFS('클럭 정리'!$N$6:$N$75,'클럭 정리'!$A$6:$A$75,"&gt;="&amp;E62,'클럭 정리'!$A$6:$A$75,"&lt;="&amp;F62)</f>
        <v/>
      </c>
      <c r="K62" s="15">
        <f>J62*'클럭 정리'!$B$2/100</f>
        <v/>
      </c>
    </row>
    <row r="63">
      <c r="A63" s="13" t="inlineStr">
        <is>
          <t>병렬도 12 분할 10</t>
        </is>
      </c>
      <c r="B63" s="13" t="n">
        <v>2</v>
      </c>
      <c r="C63" s="13" t="inlineStr">
        <is>
          <t>main</t>
        </is>
      </c>
      <c r="D63" s="12" t="inlineStr">
        <is>
          <t>main (활동 시간 합 = 그 회차 mainCPU, 창은 워커와 겹침)</t>
        </is>
      </c>
      <c r="E63" s="10" t="n">
        <v>46238.50491855324</v>
      </c>
      <c r="F63" s="10" t="n">
        <v>46238.50493641552</v>
      </c>
      <c r="G63" s="13" t="n">
        <v>45</v>
      </c>
      <c r="H63" s="14" t="n">
        <v>0</v>
      </c>
      <c r="I63" s="13">
        <f>COUNTIFS('클럭 정리'!$A$6:$A$75,"&gt;="&amp;E63,'클럭 정리'!$A$6:$A$75,"&lt;="&amp;F63)</f>
        <v/>
      </c>
      <c r="J63" s="14">
        <f>AVERAGEIFS('클럭 정리'!$N$6:$N$75,'클럭 정리'!$A$6:$A$75,"&gt;="&amp;E63,'클럭 정리'!$A$6:$A$75,"&lt;="&amp;F63)</f>
        <v/>
      </c>
      <c r="K63" s="15">
        <f>J63*'클럭 정리'!$B$2/100</f>
        <v/>
      </c>
    </row>
    <row r="64">
      <c r="A64" s="13" t="inlineStr">
        <is>
          <t>병렬도 12 분할 10</t>
        </is>
      </c>
      <c r="B64" s="13" t="n">
        <v>3</v>
      </c>
      <c r="C64" s="13" t="inlineStr">
        <is>
          <t>ForkJoinPool-13-worker-1</t>
        </is>
      </c>
      <c r="D64" s="12" t="inlineStr">
        <is>
          <t>워커</t>
        </is>
      </c>
      <c r="E64" s="10" t="n">
        <v>46238.50493643519</v>
      </c>
      <c r="F64" s="10" t="n">
        <v>46238.50495437087</v>
      </c>
      <c r="G64" s="13" t="n">
        <v>45</v>
      </c>
      <c r="H64" s="14" t="n">
        <v>1461.934998</v>
      </c>
      <c r="I64" s="13">
        <f>COUNTIFS('클럭 정리'!$A$6:$A$75,"&gt;="&amp;E64,'클럭 정리'!$A$6:$A$75,"&lt;="&amp;F64)</f>
        <v/>
      </c>
      <c r="J64" s="14">
        <f>AVERAGEIFS('클럭 정리'!$N$6:$N$75,'클럭 정리'!$A$6:$A$75,"&gt;="&amp;E64,'클럭 정리'!$A$6:$A$75,"&lt;="&amp;F64)</f>
        <v/>
      </c>
      <c r="K64" s="15">
        <f>J64*'클럭 정리'!$B$2/100</f>
        <v/>
      </c>
    </row>
    <row r="65">
      <c r="A65" s="13" t="inlineStr">
        <is>
          <t>병렬도 12 분할 10</t>
        </is>
      </c>
      <c r="B65" s="13" t="n">
        <v>3</v>
      </c>
      <c r="C65" s="13" t="inlineStr">
        <is>
          <t>ForkJoinPool-13-worker-10</t>
        </is>
      </c>
      <c r="D65" s="12" t="inlineStr">
        <is>
          <t>워커</t>
        </is>
      </c>
      <c r="E65" s="10" t="n">
        <v>46238.50493644676</v>
      </c>
      <c r="F65" s="10" t="n">
        <v>46238.50495431779</v>
      </c>
      <c r="G65" s="13" t="n">
        <v>45</v>
      </c>
      <c r="H65" s="14" t="n">
        <v>1484.122403</v>
      </c>
      <c r="I65" s="13">
        <f>COUNTIFS('클럭 정리'!$A$6:$A$75,"&gt;="&amp;E65,'클럭 정리'!$A$6:$A$75,"&lt;="&amp;F65)</f>
        <v/>
      </c>
      <c r="J65" s="14">
        <f>AVERAGEIFS('클럭 정리'!$N$6:$N$75,'클럭 정리'!$A$6:$A$75,"&gt;="&amp;E65,'클럭 정리'!$A$6:$A$75,"&lt;="&amp;F65)</f>
        <v/>
      </c>
      <c r="K65" s="15">
        <f>J65*'클럭 정리'!$B$2/100</f>
        <v/>
      </c>
    </row>
    <row r="66">
      <c r="A66" s="13" t="inlineStr">
        <is>
          <t>병렬도 12 분할 10</t>
        </is>
      </c>
      <c r="B66" s="13" t="n">
        <v>3</v>
      </c>
      <c r="C66" s="13" t="inlineStr">
        <is>
          <t>ForkJoinPool-13-worker-12</t>
        </is>
      </c>
      <c r="D66" s="12" t="inlineStr">
        <is>
          <t>워커</t>
        </is>
      </c>
      <c r="E66" s="10" t="n">
        <v>46238.5049380787</v>
      </c>
      <c r="F66" s="10" t="n">
        <v>46238.50495438712</v>
      </c>
      <c r="G66" s="13" t="n">
        <v>41</v>
      </c>
      <c r="H66" s="14" t="n">
        <v>1336.251904</v>
      </c>
      <c r="I66" s="13">
        <f>COUNTIFS('클럭 정리'!$A$6:$A$75,"&gt;="&amp;E66,'클럭 정리'!$A$6:$A$75,"&lt;="&amp;F66)</f>
        <v/>
      </c>
      <c r="J66" s="14">
        <f>AVERAGEIFS('클럭 정리'!$N$6:$N$75,'클럭 정리'!$A$6:$A$75,"&gt;="&amp;E66,'클럭 정리'!$A$6:$A$75,"&lt;="&amp;F66)</f>
        <v/>
      </c>
      <c r="K66" s="15">
        <f>J66*'클럭 정리'!$B$2/100</f>
        <v/>
      </c>
    </row>
    <row r="67">
      <c r="A67" s="13" t="inlineStr">
        <is>
          <t>병렬도 12 분할 10</t>
        </is>
      </c>
      <c r="B67" s="13" t="n">
        <v>3</v>
      </c>
      <c r="C67" s="13" t="inlineStr">
        <is>
          <t>ForkJoinPool-13-worker-2</t>
        </is>
      </c>
      <c r="D67" s="12" t="inlineStr">
        <is>
          <t>워커</t>
        </is>
      </c>
      <c r="E67" s="10" t="n">
        <v>46238.50493643519</v>
      </c>
      <c r="F67" s="10" t="n">
        <v>46238.50495438432</v>
      </c>
      <c r="G67" s="13" t="n">
        <v>45</v>
      </c>
      <c r="H67" s="14" t="n">
        <v>1454.731997</v>
      </c>
      <c r="I67" s="13">
        <f>COUNTIFS('클럭 정리'!$A$6:$A$75,"&gt;="&amp;E67,'클럭 정리'!$A$6:$A$75,"&lt;="&amp;F67)</f>
        <v/>
      </c>
      <c r="J67" s="14">
        <f>AVERAGEIFS('클럭 정리'!$N$6:$N$75,'클럭 정리'!$A$6:$A$75,"&gt;="&amp;E67,'클럭 정리'!$A$6:$A$75,"&lt;="&amp;F67)</f>
        <v/>
      </c>
      <c r="K67" s="15">
        <f>J67*'클럭 정리'!$B$2/100</f>
        <v/>
      </c>
    </row>
    <row r="68">
      <c r="A68" s="13" t="inlineStr">
        <is>
          <t>병렬도 12 분할 10</t>
        </is>
      </c>
      <c r="B68" s="13" t="n">
        <v>3</v>
      </c>
      <c r="C68" s="13" t="inlineStr">
        <is>
          <t>ForkJoinPool-13-worker-3</t>
        </is>
      </c>
      <c r="D68" s="12" t="inlineStr">
        <is>
          <t>워커</t>
        </is>
      </c>
      <c r="E68" s="10" t="n">
        <v>46238.50493643519</v>
      </c>
      <c r="F68" s="10" t="n">
        <v>46238.50495437795</v>
      </c>
      <c r="G68" s="13" t="n">
        <v>45</v>
      </c>
      <c r="H68" s="14" t="n">
        <v>1464.428997</v>
      </c>
      <c r="I68" s="13">
        <f>COUNTIFS('클럭 정리'!$A$6:$A$75,"&gt;="&amp;E68,'클럭 정리'!$A$6:$A$75,"&lt;="&amp;F68)</f>
        <v/>
      </c>
      <c r="J68" s="14">
        <f>AVERAGEIFS('클럭 정리'!$N$6:$N$75,'클럭 정리'!$A$6:$A$75,"&gt;="&amp;E68,'클럭 정리'!$A$6:$A$75,"&lt;="&amp;F68)</f>
        <v/>
      </c>
      <c r="K68" s="15">
        <f>J68*'클럭 정리'!$B$2/100</f>
        <v/>
      </c>
    </row>
    <row r="69">
      <c r="A69" s="13" t="inlineStr">
        <is>
          <t>병렬도 12 분할 10</t>
        </is>
      </c>
      <c r="B69" s="13" t="n">
        <v>3</v>
      </c>
      <c r="C69" s="13" t="inlineStr">
        <is>
          <t>ForkJoinPool-13-worker-4</t>
        </is>
      </c>
      <c r="D69" s="12" t="inlineStr">
        <is>
          <t>워커</t>
        </is>
      </c>
      <c r="E69" s="10" t="n">
        <v>46238.50493643519</v>
      </c>
      <c r="F69" s="10" t="n">
        <v>46238.5049543846</v>
      </c>
      <c r="G69" s="13" t="n">
        <v>45</v>
      </c>
      <c r="H69" s="14" t="n">
        <v>1480.1206</v>
      </c>
      <c r="I69" s="13">
        <f>COUNTIFS('클럭 정리'!$A$6:$A$75,"&gt;="&amp;E69,'클럭 정리'!$A$6:$A$75,"&lt;="&amp;F69)</f>
        <v/>
      </c>
      <c r="J69" s="14">
        <f>AVERAGEIFS('클럭 정리'!$N$6:$N$75,'클럭 정리'!$A$6:$A$75,"&gt;="&amp;E69,'클럭 정리'!$A$6:$A$75,"&lt;="&amp;F69)</f>
        <v/>
      </c>
      <c r="K69" s="15">
        <f>J69*'클럭 정리'!$B$2/100</f>
        <v/>
      </c>
    </row>
    <row r="70">
      <c r="A70" s="13" t="inlineStr">
        <is>
          <t>병렬도 12 분할 10</t>
        </is>
      </c>
      <c r="B70" s="13" t="n">
        <v>3</v>
      </c>
      <c r="C70" s="13" t="inlineStr">
        <is>
          <t>ForkJoinPool-13-worker-5</t>
        </is>
      </c>
      <c r="D70" s="12" t="inlineStr">
        <is>
          <t>워커</t>
        </is>
      </c>
      <c r="E70" s="10" t="n">
        <v>46238.50493644676</v>
      </c>
      <c r="F70" s="10" t="n">
        <v>46238.50495436505</v>
      </c>
      <c r="G70" s="13" t="n">
        <v>45</v>
      </c>
      <c r="H70" s="14" t="n">
        <v>1442.077807</v>
      </c>
      <c r="I70" s="13">
        <f>COUNTIFS('클럭 정리'!$A$6:$A$75,"&gt;="&amp;E70,'클럭 정리'!$A$6:$A$75,"&lt;="&amp;F70)</f>
        <v/>
      </c>
      <c r="J70" s="14">
        <f>AVERAGEIFS('클럭 정리'!$N$6:$N$75,'클럭 정리'!$A$6:$A$75,"&gt;="&amp;E70,'클럭 정리'!$A$6:$A$75,"&lt;="&amp;F70)</f>
        <v/>
      </c>
      <c r="K70" s="15">
        <f>J70*'클럭 정리'!$B$2/100</f>
        <v/>
      </c>
    </row>
    <row r="71">
      <c r="A71" s="13" t="inlineStr">
        <is>
          <t>병렬도 12 분할 10</t>
        </is>
      </c>
      <c r="B71" s="13" t="n">
        <v>3</v>
      </c>
      <c r="C71" s="13" t="inlineStr">
        <is>
          <t>ForkJoinPool-13-worker-6</t>
        </is>
      </c>
      <c r="D71" s="12" t="inlineStr">
        <is>
          <t>워커</t>
        </is>
      </c>
      <c r="E71" s="10" t="n">
        <v>46238.50493643519</v>
      </c>
      <c r="F71" s="10" t="n">
        <v>46238.50495439242</v>
      </c>
      <c r="G71" s="13" t="n">
        <v>45</v>
      </c>
      <c r="H71" s="14" t="n">
        <v>1458.5086</v>
      </c>
      <c r="I71" s="13">
        <f>COUNTIFS('클럭 정리'!$A$6:$A$75,"&gt;="&amp;E71,'클럭 정리'!$A$6:$A$75,"&lt;="&amp;F71)</f>
        <v/>
      </c>
      <c r="J71" s="14">
        <f>AVERAGEIFS('클럭 정리'!$N$6:$N$75,'클럭 정리'!$A$6:$A$75,"&gt;="&amp;E71,'클럭 정리'!$A$6:$A$75,"&lt;="&amp;F71)</f>
        <v/>
      </c>
      <c r="K71" s="15">
        <f>J71*'클럭 정리'!$B$2/100</f>
        <v/>
      </c>
    </row>
    <row r="72">
      <c r="A72" s="13" t="inlineStr">
        <is>
          <t>병렬도 12 분할 10</t>
        </is>
      </c>
      <c r="B72" s="13" t="n">
        <v>3</v>
      </c>
      <c r="C72" s="13" t="inlineStr">
        <is>
          <t>ForkJoinPool-13-worker-7</t>
        </is>
      </c>
      <c r="D72" s="12" t="inlineStr">
        <is>
          <t>워커</t>
        </is>
      </c>
      <c r="E72" s="10" t="n">
        <v>46238.50493644676</v>
      </c>
      <c r="F72" s="10" t="n">
        <v>46238.50495439222</v>
      </c>
      <c r="G72" s="13" t="n">
        <v>45</v>
      </c>
      <c r="H72" s="14" t="n">
        <v>1456.1922</v>
      </c>
      <c r="I72" s="13">
        <f>COUNTIFS('클럭 정리'!$A$6:$A$75,"&gt;="&amp;E72,'클럭 정리'!$A$6:$A$75,"&lt;="&amp;F72)</f>
        <v/>
      </c>
      <c r="J72" s="14">
        <f>AVERAGEIFS('클럭 정리'!$N$6:$N$75,'클럭 정리'!$A$6:$A$75,"&gt;="&amp;E72,'클럭 정리'!$A$6:$A$75,"&lt;="&amp;F72)</f>
        <v/>
      </c>
      <c r="K72" s="15">
        <f>J72*'클럭 정리'!$B$2/100</f>
        <v/>
      </c>
    </row>
    <row r="73">
      <c r="A73" s="13" t="inlineStr">
        <is>
          <t>병렬도 12 분할 10</t>
        </is>
      </c>
      <c r="B73" s="13" t="n">
        <v>3</v>
      </c>
      <c r="C73" s="13" t="inlineStr">
        <is>
          <t>ForkJoinPool-13-worker-8</t>
        </is>
      </c>
      <c r="D73" s="12" t="inlineStr">
        <is>
          <t>워커</t>
        </is>
      </c>
      <c r="E73" s="10" t="n">
        <v>46238.50493644676</v>
      </c>
      <c r="F73" s="10" t="n">
        <v>46238.50493803722</v>
      </c>
      <c r="G73" s="13" t="n">
        <v>4</v>
      </c>
      <c r="H73" s="14" t="n">
        <v>135.5106</v>
      </c>
      <c r="I73" s="13">
        <f>COUNTIFS('클럭 정리'!$A$6:$A$75,"&gt;="&amp;E73,'클럭 정리'!$A$6:$A$75,"&lt;="&amp;F73)</f>
        <v/>
      </c>
      <c r="J73" s="14">
        <f>AVERAGEIFS('클럭 정리'!$N$6:$N$75,'클럭 정리'!$A$6:$A$75,"&gt;="&amp;E73,'클럭 정리'!$A$6:$A$75,"&lt;="&amp;F73)</f>
        <v/>
      </c>
      <c r="K73" s="15">
        <f>J73*'클럭 정리'!$B$2/100</f>
        <v/>
      </c>
    </row>
    <row r="74">
      <c r="A74" s="13" t="inlineStr">
        <is>
          <t>병렬도 12 분할 10</t>
        </is>
      </c>
      <c r="B74" s="13" t="n">
        <v>3</v>
      </c>
      <c r="C74" s="13" t="inlineStr">
        <is>
          <t>ForkJoinPool-13-worker-9</t>
        </is>
      </c>
      <c r="D74" s="12" t="inlineStr">
        <is>
          <t>워커</t>
        </is>
      </c>
      <c r="E74" s="10" t="n">
        <v>46238.50493644676</v>
      </c>
      <c r="F74" s="10" t="n">
        <v>46238.50495438503</v>
      </c>
      <c r="G74" s="13" t="n">
        <v>45</v>
      </c>
      <c r="H74" s="14" t="n">
        <v>1460.648896</v>
      </c>
      <c r="I74" s="13">
        <f>COUNTIFS('클럭 정리'!$A$6:$A$75,"&gt;="&amp;E74,'클럭 정리'!$A$6:$A$75,"&lt;="&amp;F74)</f>
        <v/>
      </c>
      <c r="J74" s="14">
        <f>AVERAGEIFS('클럭 정리'!$N$6:$N$75,'클럭 정리'!$A$6:$A$75,"&gt;="&amp;E74,'클럭 정리'!$A$6:$A$75,"&lt;="&amp;F74)</f>
        <v/>
      </c>
      <c r="K74" s="15">
        <f>J74*'클럭 정리'!$B$2/100</f>
        <v/>
      </c>
    </row>
    <row r="75">
      <c r="A75" s="13" t="inlineStr">
        <is>
          <t>병렬도 12 분할 10</t>
        </is>
      </c>
      <c r="B75" s="13" t="n">
        <v>3</v>
      </c>
      <c r="C75" s="13" t="inlineStr">
        <is>
          <t>main</t>
        </is>
      </c>
      <c r="D75" s="12" t="inlineStr">
        <is>
          <t>main (활동 시간 합 = 그 회차 mainCPU, 창은 워커와 겹침)</t>
        </is>
      </c>
      <c r="E75" s="10" t="n">
        <v>46238.50493642361</v>
      </c>
      <c r="F75" s="10" t="n">
        <v>46238.50495439467</v>
      </c>
      <c r="G75" s="13" t="n">
        <v>45</v>
      </c>
      <c r="H75" s="14" t="n">
        <v>0</v>
      </c>
      <c r="I75" s="13">
        <f>COUNTIFS('클럭 정리'!$A$6:$A$75,"&gt;="&amp;E75,'클럭 정리'!$A$6:$A$75,"&lt;="&amp;F75)</f>
        <v/>
      </c>
      <c r="J75" s="14">
        <f>AVERAGEIFS('클럭 정리'!$N$6:$N$75,'클럭 정리'!$A$6:$A$75,"&gt;="&amp;E75,'클럭 정리'!$A$6:$A$75,"&lt;="&amp;F75)</f>
        <v/>
      </c>
      <c r="K75" s="15">
        <f>J75*'클럭 정리'!$B$2/100</f>
        <v/>
      </c>
    </row>
    <row r="76">
      <c r="A76" s="13" t="inlineStr">
        <is>
          <t>병렬도 12 분할 10</t>
        </is>
      </c>
      <c r="B76" s="13" t="n">
        <v>4</v>
      </c>
      <c r="C76" s="13" t="inlineStr">
        <is>
          <t>ForkJoinPool-14-worker-1</t>
        </is>
      </c>
      <c r="D76" s="12" t="inlineStr">
        <is>
          <t>워커</t>
        </is>
      </c>
      <c r="E76" s="10" t="n">
        <v>46238.50495440972</v>
      </c>
      <c r="F76" s="10" t="n">
        <v>46238.50497204431</v>
      </c>
      <c r="G76" s="13" t="n">
        <v>45</v>
      </c>
      <c r="H76" s="14" t="n">
        <v>1451.332401</v>
      </c>
      <c r="I76" s="13">
        <f>COUNTIFS('클럭 정리'!$A$6:$A$75,"&gt;="&amp;E76,'클럭 정리'!$A$6:$A$75,"&lt;="&amp;F76)</f>
        <v/>
      </c>
      <c r="J76" s="14">
        <f>AVERAGEIFS('클럭 정리'!$N$6:$N$75,'클럭 정리'!$A$6:$A$75,"&gt;="&amp;E76,'클럭 정리'!$A$6:$A$75,"&lt;="&amp;F76)</f>
        <v/>
      </c>
      <c r="K76" s="15">
        <f>J76*'클럭 정리'!$B$2/100</f>
        <v/>
      </c>
    </row>
    <row r="77">
      <c r="A77" s="13" t="inlineStr">
        <is>
          <t>병렬도 12 분할 10</t>
        </is>
      </c>
      <c r="B77" s="13" t="n">
        <v>4</v>
      </c>
      <c r="C77" s="13" t="inlineStr">
        <is>
          <t>ForkJoinPool-14-worker-10</t>
        </is>
      </c>
      <c r="D77" s="12" t="inlineStr">
        <is>
          <t>워커</t>
        </is>
      </c>
      <c r="E77" s="10" t="n">
        <v>46238.5049544213</v>
      </c>
      <c r="F77" s="10" t="n">
        <v>46238.50495475138</v>
      </c>
      <c r="G77" s="13" t="n">
        <v>1</v>
      </c>
      <c r="H77" s="14" t="n">
        <v>28.518799</v>
      </c>
      <c r="I77" s="13">
        <f>COUNTIFS('클럭 정리'!$A$6:$A$75,"&gt;="&amp;E77,'클럭 정리'!$A$6:$A$75,"&lt;="&amp;F77)</f>
        <v/>
      </c>
      <c r="J77" s="14">
        <f>AVERAGEIFS('클럭 정리'!$N$6:$N$75,'클럭 정리'!$A$6:$A$75,"&gt;="&amp;E77,'클럭 정리'!$A$6:$A$75,"&lt;="&amp;F77)</f>
        <v/>
      </c>
      <c r="K77" s="15">
        <f>J77*'클럭 정리'!$B$2/100</f>
        <v/>
      </c>
    </row>
    <row r="78">
      <c r="A78" s="13" t="inlineStr">
        <is>
          <t>병렬도 12 분할 10</t>
        </is>
      </c>
      <c r="B78" s="13" t="n">
        <v>4</v>
      </c>
      <c r="C78" s="13" t="inlineStr">
        <is>
          <t>ForkJoinPool-14-worker-11</t>
        </is>
      </c>
      <c r="D78" s="12" t="inlineStr">
        <is>
          <t>워커</t>
        </is>
      </c>
      <c r="E78" s="10" t="n">
        <v>46238.50495481482</v>
      </c>
      <c r="F78" s="10" t="n">
        <v>46238.50497200357</v>
      </c>
      <c r="G78" s="13" t="n">
        <v>44</v>
      </c>
      <c r="H78" s="14" t="n">
        <v>1424.194398</v>
      </c>
      <c r="I78" s="13">
        <f>COUNTIFS('클럭 정리'!$A$6:$A$75,"&gt;="&amp;E78,'클럭 정리'!$A$6:$A$75,"&lt;="&amp;F78)</f>
        <v/>
      </c>
      <c r="J78" s="14">
        <f>AVERAGEIFS('클럭 정리'!$N$6:$N$75,'클럭 정리'!$A$6:$A$75,"&gt;="&amp;E78,'클럭 정리'!$A$6:$A$75,"&lt;="&amp;F78)</f>
        <v/>
      </c>
      <c r="K78" s="15">
        <f>J78*'클럭 정리'!$B$2/100</f>
        <v/>
      </c>
    </row>
    <row r="79">
      <c r="A79" s="13" t="inlineStr">
        <is>
          <t>병렬도 12 분할 10</t>
        </is>
      </c>
      <c r="B79" s="13" t="n">
        <v>4</v>
      </c>
      <c r="C79" s="13" t="inlineStr">
        <is>
          <t>ForkJoinPool-14-worker-12</t>
        </is>
      </c>
      <c r="D79" s="12" t="inlineStr">
        <is>
          <t>워커</t>
        </is>
      </c>
      <c r="E79" s="10" t="n">
        <v>46238.50495481482</v>
      </c>
      <c r="F79" s="10" t="n">
        <v>46238.5049720672</v>
      </c>
      <c r="G79" s="13" t="n">
        <v>44</v>
      </c>
      <c r="H79" s="14" t="n">
        <v>1416.912299</v>
      </c>
      <c r="I79" s="13">
        <f>COUNTIFS('클럭 정리'!$A$6:$A$75,"&gt;="&amp;E79,'클럭 정리'!$A$6:$A$75,"&lt;="&amp;F79)</f>
        <v/>
      </c>
      <c r="J79" s="14">
        <f>AVERAGEIFS('클럭 정리'!$N$6:$N$75,'클럭 정리'!$A$6:$A$75,"&gt;="&amp;E79,'클럭 정리'!$A$6:$A$75,"&lt;="&amp;F79)</f>
        <v/>
      </c>
      <c r="K79" s="15">
        <f>J79*'클럭 정리'!$B$2/100</f>
        <v/>
      </c>
    </row>
    <row r="80">
      <c r="A80" s="13" t="inlineStr">
        <is>
          <t>병렬도 12 분할 10</t>
        </is>
      </c>
      <c r="B80" s="13" t="n">
        <v>4</v>
      </c>
      <c r="C80" s="13" t="inlineStr">
        <is>
          <t>ForkJoinPool-14-worker-2</t>
        </is>
      </c>
      <c r="D80" s="12" t="inlineStr">
        <is>
          <t>워커</t>
        </is>
      </c>
      <c r="E80" s="10" t="n">
        <v>46238.50495440972</v>
      </c>
      <c r="F80" s="10" t="n">
        <v>46238.50497205779</v>
      </c>
      <c r="G80" s="13" t="n">
        <v>45</v>
      </c>
      <c r="H80" s="14" t="n">
        <v>1456.075495</v>
      </c>
      <c r="I80" s="13">
        <f>COUNTIFS('클럭 정리'!$A$6:$A$75,"&gt;="&amp;E80,'클럭 정리'!$A$6:$A$75,"&lt;="&amp;F80)</f>
        <v/>
      </c>
      <c r="J80" s="14">
        <f>AVERAGEIFS('클럭 정리'!$N$6:$N$75,'클럭 정리'!$A$6:$A$75,"&gt;="&amp;E80,'클럭 정리'!$A$6:$A$75,"&lt;="&amp;F80)</f>
        <v/>
      </c>
      <c r="K80" s="15">
        <f>J80*'클럭 정리'!$B$2/100</f>
        <v/>
      </c>
    </row>
    <row r="81">
      <c r="A81" s="13" t="inlineStr">
        <is>
          <t>병렬도 12 분할 10</t>
        </is>
      </c>
      <c r="B81" s="13" t="n">
        <v>4</v>
      </c>
      <c r="C81" s="13" t="inlineStr">
        <is>
          <t>ForkJoinPool-14-worker-3</t>
        </is>
      </c>
      <c r="D81" s="12" t="inlineStr">
        <is>
          <t>워커</t>
        </is>
      </c>
      <c r="E81" s="10" t="n">
        <v>46238.5049544213</v>
      </c>
      <c r="F81" s="10" t="n">
        <v>46238.50497207808</v>
      </c>
      <c r="G81" s="13" t="n">
        <v>45</v>
      </c>
      <c r="H81" s="14" t="n">
        <v>1466.412205</v>
      </c>
      <c r="I81" s="13">
        <f>COUNTIFS('클럭 정리'!$A$6:$A$75,"&gt;="&amp;E81,'클럭 정리'!$A$6:$A$75,"&lt;="&amp;F81)</f>
        <v/>
      </c>
      <c r="J81" s="14">
        <f>AVERAGEIFS('클럭 정리'!$N$6:$N$75,'클럭 정리'!$A$6:$A$75,"&gt;="&amp;E81,'클럭 정리'!$A$6:$A$75,"&lt;="&amp;F81)</f>
        <v/>
      </c>
      <c r="K81" s="15">
        <f>J81*'클럭 정리'!$B$2/100</f>
        <v/>
      </c>
    </row>
    <row r="82">
      <c r="A82" s="13" t="inlineStr">
        <is>
          <t>병렬도 12 분할 10</t>
        </is>
      </c>
      <c r="B82" s="13" t="n">
        <v>4</v>
      </c>
      <c r="C82" s="13" t="inlineStr">
        <is>
          <t>ForkJoinPool-14-worker-4</t>
        </is>
      </c>
      <c r="D82" s="12" t="inlineStr">
        <is>
          <t>워커</t>
        </is>
      </c>
      <c r="E82" s="10" t="n">
        <v>46238.50495440972</v>
      </c>
      <c r="F82" s="10" t="n">
        <v>46238.50495477193</v>
      </c>
      <c r="G82" s="13" t="n">
        <v>1</v>
      </c>
      <c r="H82" s="14" t="n">
        <v>31.2952</v>
      </c>
      <c r="I82" s="13">
        <f>COUNTIFS('클럭 정리'!$A$6:$A$75,"&gt;="&amp;E82,'클럭 정리'!$A$6:$A$75,"&lt;="&amp;F82)</f>
        <v/>
      </c>
      <c r="J82" s="14">
        <f>AVERAGEIFS('클럭 정리'!$N$6:$N$75,'클럭 정리'!$A$6:$A$75,"&gt;="&amp;E82,'클럭 정리'!$A$6:$A$75,"&lt;="&amp;F82)</f>
        <v/>
      </c>
      <c r="K82" s="15">
        <f>J82*'클럭 정리'!$B$2/100</f>
        <v/>
      </c>
    </row>
    <row r="83">
      <c r="A83" s="13" t="inlineStr">
        <is>
          <t>병렬도 12 분할 10</t>
        </is>
      </c>
      <c r="B83" s="13" t="n">
        <v>4</v>
      </c>
      <c r="C83" s="13" t="inlineStr">
        <is>
          <t>ForkJoinPool-14-worker-5</t>
        </is>
      </c>
      <c r="D83" s="12" t="inlineStr">
        <is>
          <t>워커</t>
        </is>
      </c>
      <c r="E83" s="10" t="n">
        <v>46238.50495440972</v>
      </c>
      <c r="F83" s="10" t="n">
        <v>46238.50497207308</v>
      </c>
      <c r="G83" s="13" t="n">
        <v>45</v>
      </c>
      <c r="H83" s="14" t="n">
        <v>1453.2487</v>
      </c>
      <c r="I83" s="13">
        <f>COUNTIFS('클럭 정리'!$A$6:$A$75,"&gt;="&amp;E83,'클럭 정리'!$A$6:$A$75,"&lt;="&amp;F83)</f>
        <v/>
      </c>
      <c r="J83" s="14">
        <f>AVERAGEIFS('클럭 정리'!$N$6:$N$75,'클럭 정리'!$A$6:$A$75,"&gt;="&amp;E83,'클럭 정리'!$A$6:$A$75,"&lt;="&amp;F83)</f>
        <v/>
      </c>
      <c r="K83" s="15">
        <f>J83*'클럭 정리'!$B$2/100</f>
        <v/>
      </c>
    </row>
    <row r="84">
      <c r="A84" s="13" t="inlineStr">
        <is>
          <t>병렬도 12 분할 10</t>
        </is>
      </c>
      <c r="B84" s="13" t="n">
        <v>4</v>
      </c>
      <c r="C84" s="13" t="inlineStr">
        <is>
          <t>ForkJoinPool-14-worker-6</t>
        </is>
      </c>
      <c r="D84" s="12" t="inlineStr">
        <is>
          <t>워커</t>
        </is>
      </c>
      <c r="E84" s="10" t="n">
        <v>46238.5049544213</v>
      </c>
      <c r="F84" s="10" t="n">
        <v>46238.5049720727</v>
      </c>
      <c r="G84" s="13" t="n">
        <v>45</v>
      </c>
      <c r="H84" s="14" t="n">
        <v>1459.229901</v>
      </c>
      <c r="I84" s="13">
        <f>COUNTIFS('클럭 정리'!$A$6:$A$75,"&gt;="&amp;E84,'클럭 정리'!$A$6:$A$75,"&lt;="&amp;F84)</f>
        <v/>
      </c>
      <c r="J84" s="14">
        <f>AVERAGEIFS('클럭 정리'!$N$6:$N$75,'클럭 정리'!$A$6:$A$75,"&gt;="&amp;E84,'클럭 정리'!$A$6:$A$75,"&lt;="&amp;F84)</f>
        <v/>
      </c>
      <c r="K84" s="15">
        <f>J84*'클럭 정리'!$B$2/100</f>
        <v/>
      </c>
    </row>
    <row r="85">
      <c r="A85" s="13" t="inlineStr">
        <is>
          <t>병렬도 12 분할 10</t>
        </is>
      </c>
      <c r="B85" s="13" t="n">
        <v>4</v>
      </c>
      <c r="C85" s="13" t="inlineStr">
        <is>
          <t>ForkJoinPool-14-worker-7</t>
        </is>
      </c>
      <c r="D85" s="12" t="inlineStr">
        <is>
          <t>워커</t>
        </is>
      </c>
      <c r="E85" s="10" t="n">
        <v>46238.5049544213</v>
      </c>
      <c r="F85" s="10" t="n">
        <v>46238.50497206214</v>
      </c>
      <c r="G85" s="13" t="n">
        <v>45</v>
      </c>
      <c r="H85" s="14" t="n">
        <v>1468.867898</v>
      </c>
      <c r="I85" s="13">
        <f>COUNTIFS('클럭 정리'!$A$6:$A$75,"&gt;="&amp;E85,'클럭 정리'!$A$6:$A$75,"&lt;="&amp;F85)</f>
        <v/>
      </c>
      <c r="J85" s="14">
        <f>AVERAGEIFS('클럭 정리'!$N$6:$N$75,'클럭 정리'!$A$6:$A$75,"&gt;="&amp;E85,'클럭 정리'!$A$6:$A$75,"&lt;="&amp;F85)</f>
        <v/>
      </c>
      <c r="K85" s="15">
        <f>J85*'클럭 정리'!$B$2/100</f>
        <v/>
      </c>
    </row>
    <row r="86">
      <c r="A86" s="13" t="inlineStr">
        <is>
          <t>병렬도 12 분할 10</t>
        </is>
      </c>
      <c r="B86" s="13" t="n">
        <v>4</v>
      </c>
      <c r="C86" s="13" t="inlineStr">
        <is>
          <t>ForkJoinPool-14-worker-8</t>
        </is>
      </c>
      <c r="D86" s="12" t="inlineStr">
        <is>
          <t>워커</t>
        </is>
      </c>
      <c r="E86" s="10" t="n">
        <v>46238.5049544213</v>
      </c>
      <c r="F86" s="10" t="n">
        <v>46238.50497207574</v>
      </c>
      <c r="G86" s="13" t="n">
        <v>45</v>
      </c>
      <c r="H86" s="14" t="n">
        <v>1438.162996</v>
      </c>
      <c r="I86" s="13">
        <f>COUNTIFS('클럭 정리'!$A$6:$A$75,"&gt;="&amp;E86,'클럭 정리'!$A$6:$A$75,"&lt;="&amp;F86)</f>
        <v/>
      </c>
      <c r="J86" s="14">
        <f>AVERAGEIFS('클럭 정리'!$N$6:$N$75,'클럭 정리'!$A$6:$A$75,"&gt;="&amp;E86,'클럭 정리'!$A$6:$A$75,"&lt;="&amp;F86)</f>
        <v/>
      </c>
      <c r="K86" s="15">
        <f>J86*'클럭 정리'!$B$2/100</f>
        <v/>
      </c>
    </row>
    <row r="87">
      <c r="A87" s="13" t="inlineStr">
        <is>
          <t>병렬도 12 분할 10</t>
        </is>
      </c>
      <c r="B87" s="13" t="n">
        <v>4</v>
      </c>
      <c r="C87" s="13" t="inlineStr">
        <is>
          <t>ForkJoinPool-14-worker-9</t>
        </is>
      </c>
      <c r="D87" s="12" t="inlineStr">
        <is>
          <t>워커</t>
        </is>
      </c>
      <c r="E87" s="10" t="n">
        <v>46238.5049544213</v>
      </c>
      <c r="F87" s="10" t="n">
        <v>46238.50497206183</v>
      </c>
      <c r="G87" s="13" t="n">
        <v>45</v>
      </c>
      <c r="H87" s="14" t="n">
        <v>1461.069903</v>
      </c>
      <c r="I87" s="13">
        <f>COUNTIFS('클럭 정리'!$A$6:$A$75,"&gt;="&amp;E87,'클럭 정리'!$A$6:$A$75,"&lt;="&amp;F87)</f>
        <v/>
      </c>
      <c r="J87" s="14">
        <f>AVERAGEIFS('클럭 정리'!$N$6:$N$75,'클럭 정리'!$A$6:$A$75,"&gt;="&amp;E87,'클럭 정리'!$A$6:$A$75,"&lt;="&amp;F87)</f>
        <v/>
      </c>
      <c r="K87" s="15">
        <f>J87*'클럭 정리'!$B$2/100</f>
        <v/>
      </c>
    </row>
    <row r="88">
      <c r="A88" s="13" t="inlineStr">
        <is>
          <t>병렬도 12 분할 10</t>
        </is>
      </c>
      <c r="B88" s="13" t="n">
        <v>4</v>
      </c>
      <c r="C88" s="13" t="inlineStr">
        <is>
          <t>main</t>
        </is>
      </c>
      <c r="D88" s="12" t="inlineStr">
        <is>
          <t>main (활동 시간 합 = 그 회차 mainCPU, 창은 워커와 겹침)</t>
        </is>
      </c>
      <c r="E88" s="10" t="n">
        <v>46238.50495439815</v>
      </c>
      <c r="F88" s="10" t="n">
        <v>46238.50497207998</v>
      </c>
      <c r="G88" s="13" t="n">
        <v>45</v>
      </c>
      <c r="H88" s="14" t="n">
        <v>15.625</v>
      </c>
      <c r="I88" s="13">
        <f>COUNTIFS('클럭 정리'!$A$6:$A$75,"&gt;="&amp;E88,'클럭 정리'!$A$6:$A$75,"&lt;="&amp;F88)</f>
        <v/>
      </c>
      <c r="J88" s="14">
        <f>AVERAGEIFS('클럭 정리'!$N$6:$N$75,'클럭 정리'!$A$6:$A$75,"&gt;="&amp;E88,'클럭 정리'!$A$6:$A$75,"&lt;="&amp;F88)</f>
        <v/>
      </c>
      <c r="K88" s="15">
        <f>J88*'클럭 정리'!$B$2/100</f>
        <v/>
      </c>
    </row>
    <row r="89">
      <c r="A89" s="13" t="inlineStr">
        <is>
          <t>병렬도 12 분할 10</t>
        </is>
      </c>
      <c r="B89" s="13" t="n">
        <v>5</v>
      </c>
      <c r="C89" s="13" t="inlineStr">
        <is>
          <t>ForkJoinPool-15-worker-1</t>
        </is>
      </c>
      <c r="D89" s="12" t="inlineStr">
        <is>
          <t>워커</t>
        </is>
      </c>
      <c r="E89" s="10" t="n">
        <v>46238.50497209491</v>
      </c>
      <c r="F89" s="10" t="n">
        <v>46238.5049899256</v>
      </c>
      <c r="G89" s="13" t="n">
        <v>45</v>
      </c>
      <c r="H89" s="14" t="n">
        <v>1478.084503</v>
      </c>
      <c r="I89" s="13">
        <f>COUNTIFS('클럭 정리'!$A$6:$A$75,"&gt;="&amp;E89,'클럭 정리'!$A$6:$A$75,"&lt;="&amp;F89)</f>
        <v/>
      </c>
      <c r="J89" s="14">
        <f>AVERAGEIFS('클럭 정리'!$N$6:$N$75,'클럭 정리'!$A$6:$A$75,"&gt;="&amp;E89,'클럭 정리'!$A$6:$A$75,"&lt;="&amp;F89)</f>
        <v/>
      </c>
      <c r="K89" s="15">
        <f>J89*'클럭 정리'!$B$2/100</f>
        <v/>
      </c>
    </row>
    <row r="90">
      <c r="A90" s="13" t="inlineStr">
        <is>
          <t>병렬도 12 분할 10</t>
        </is>
      </c>
      <c r="B90" s="13" t="n">
        <v>5</v>
      </c>
      <c r="C90" s="13" t="inlineStr">
        <is>
          <t>ForkJoinPool-15-worker-10</t>
        </is>
      </c>
      <c r="D90" s="12" t="inlineStr">
        <is>
          <t>워커</t>
        </is>
      </c>
      <c r="E90" s="10" t="n">
        <v>46238.50497211805</v>
      </c>
      <c r="F90" s="10" t="n">
        <v>46238.50498996294</v>
      </c>
      <c r="G90" s="13" t="n">
        <v>45</v>
      </c>
      <c r="H90" s="14" t="n">
        <v>1460.548198</v>
      </c>
      <c r="I90" s="13">
        <f>COUNTIFS('클럭 정리'!$A$6:$A$75,"&gt;="&amp;E90,'클럭 정리'!$A$6:$A$75,"&lt;="&amp;F90)</f>
        <v/>
      </c>
      <c r="J90" s="14">
        <f>AVERAGEIFS('클럭 정리'!$N$6:$N$75,'클럭 정리'!$A$6:$A$75,"&gt;="&amp;E90,'클럭 정리'!$A$6:$A$75,"&lt;="&amp;F90)</f>
        <v/>
      </c>
      <c r="K90" s="15">
        <f>J90*'클럭 정리'!$B$2/100</f>
        <v/>
      </c>
    </row>
    <row r="91">
      <c r="A91" s="13" t="inlineStr">
        <is>
          <t>병렬도 12 분할 10</t>
        </is>
      </c>
      <c r="B91" s="13" t="n">
        <v>5</v>
      </c>
      <c r="C91" s="13" t="inlineStr">
        <is>
          <t>ForkJoinPool-15-worker-12</t>
        </is>
      </c>
      <c r="D91" s="12" t="inlineStr">
        <is>
          <t>워커</t>
        </is>
      </c>
      <c r="E91" s="10" t="n">
        <v>46238.5049725</v>
      </c>
      <c r="F91" s="10" t="n">
        <v>46238.50499000469</v>
      </c>
      <c r="G91" s="13" t="n">
        <v>44</v>
      </c>
      <c r="H91" s="14" t="n">
        <v>1441.131204</v>
      </c>
      <c r="I91" s="13">
        <f>COUNTIFS('클럭 정리'!$A$6:$A$75,"&gt;="&amp;E91,'클럭 정리'!$A$6:$A$75,"&lt;="&amp;F91)</f>
        <v/>
      </c>
      <c r="J91" s="14">
        <f>AVERAGEIFS('클럭 정리'!$N$6:$N$75,'클럭 정리'!$A$6:$A$75,"&gt;="&amp;E91,'클럭 정리'!$A$6:$A$75,"&lt;="&amp;F91)</f>
        <v/>
      </c>
      <c r="K91" s="15">
        <f>J91*'클럭 정리'!$B$2/100</f>
        <v/>
      </c>
    </row>
    <row r="92">
      <c r="A92" s="13" t="inlineStr">
        <is>
          <t>병렬도 12 분할 10</t>
        </is>
      </c>
      <c r="B92" s="13" t="n">
        <v>5</v>
      </c>
      <c r="C92" s="13" t="inlineStr">
        <is>
          <t>ForkJoinPool-15-worker-2</t>
        </is>
      </c>
      <c r="D92" s="12" t="inlineStr">
        <is>
          <t>워커</t>
        </is>
      </c>
      <c r="E92" s="10" t="n">
        <v>46238.50497210648</v>
      </c>
      <c r="F92" s="10" t="n">
        <v>46238.50498997058</v>
      </c>
      <c r="G92" s="13" t="n">
        <v>45</v>
      </c>
      <c r="H92" s="14" t="n">
        <v>1413.681704</v>
      </c>
      <c r="I92" s="13">
        <f>COUNTIFS('클럭 정리'!$A$6:$A$75,"&gt;="&amp;E92,'클럭 정리'!$A$6:$A$75,"&lt;="&amp;F92)</f>
        <v/>
      </c>
      <c r="J92" s="14">
        <f>AVERAGEIFS('클럭 정리'!$N$6:$N$75,'클럭 정리'!$A$6:$A$75,"&gt;="&amp;E92,'클럭 정리'!$A$6:$A$75,"&lt;="&amp;F92)</f>
        <v/>
      </c>
      <c r="K92" s="15">
        <f>J92*'클럭 정리'!$B$2/100</f>
        <v/>
      </c>
    </row>
    <row r="93">
      <c r="A93" s="13" t="inlineStr">
        <is>
          <t>병렬도 12 분할 10</t>
        </is>
      </c>
      <c r="B93" s="13" t="n">
        <v>5</v>
      </c>
      <c r="C93" s="13" t="inlineStr">
        <is>
          <t>ForkJoinPool-15-worker-3</t>
        </is>
      </c>
      <c r="D93" s="12" t="inlineStr">
        <is>
          <t>워커</t>
        </is>
      </c>
      <c r="E93" s="10" t="n">
        <v>46238.50497210648</v>
      </c>
      <c r="F93" s="10" t="n">
        <v>46238.5049900139</v>
      </c>
      <c r="G93" s="13" t="n">
        <v>45</v>
      </c>
      <c r="H93" s="14" t="n">
        <v>1456.578203</v>
      </c>
      <c r="I93" s="13">
        <f>COUNTIFS('클럭 정리'!$A$6:$A$75,"&gt;="&amp;E93,'클럭 정리'!$A$6:$A$75,"&lt;="&amp;F93)</f>
        <v/>
      </c>
      <c r="J93" s="14">
        <f>AVERAGEIFS('클럭 정리'!$N$6:$N$75,'클럭 정리'!$A$6:$A$75,"&gt;="&amp;E93,'클럭 정리'!$A$6:$A$75,"&lt;="&amp;F93)</f>
        <v/>
      </c>
      <c r="K93" s="15">
        <f>J93*'클럭 정리'!$B$2/100</f>
        <v/>
      </c>
    </row>
    <row r="94">
      <c r="A94" s="13" t="inlineStr">
        <is>
          <t>병렬도 12 분할 10</t>
        </is>
      </c>
      <c r="B94" s="13" t="n">
        <v>5</v>
      </c>
      <c r="C94" s="13" t="inlineStr">
        <is>
          <t>ForkJoinPool-15-worker-4</t>
        </is>
      </c>
      <c r="D94" s="12" t="inlineStr">
        <is>
          <t>워커</t>
        </is>
      </c>
      <c r="E94" s="10" t="n">
        <v>46238.50497210648</v>
      </c>
      <c r="F94" s="10" t="n">
        <v>46238.50499001397</v>
      </c>
      <c r="G94" s="13" t="n">
        <v>45</v>
      </c>
      <c r="H94" s="14" t="n">
        <v>1467.294107</v>
      </c>
      <c r="I94" s="13">
        <f>COUNTIFS('클럭 정리'!$A$6:$A$75,"&gt;="&amp;E94,'클럭 정리'!$A$6:$A$75,"&lt;="&amp;F94)</f>
        <v/>
      </c>
      <c r="J94" s="14">
        <f>AVERAGEIFS('클럭 정리'!$N$6:$N$75,'클럭 정리'!$A$6:$A$75,"&gt;="&amp;E94,'클럭 정리'!$A$6:$A$75,"&lt;="&amp;F94)</f>
        <v/>
      </c>
      <c r="K94" s="15">
        <f>J94*'클럭 정리'!$B$2/100</f>
        <v/>
      </c>
    </row>
    <row r="95">
      <c r="A95" s="13" t="inlineStr">
        <is>
          <t>병렬도 12 분할 10</t>
        </is>
      </c>
      <c r="B95" s="13" t="n">
        <v>5</v>
      </c>
      <c r="C95" s="13" t="inlineStr">
        <is>
          <t>ForkJoinPool-15-worker-5</t>
        </is>
      </c>
      <c r="D95" s="12" t="inlineStr">
        <is>
          <t>워커</t>
        </is>
      </c>
      <c r="E95" s="10" t="n">
        <v>46238.50497210648</v>
      </c>
      <c r="F95" s="10" t="n">
        <v>46238.50498999737</v>
      </c>
      <c r="G95" s="13" t="n">
        <v>45</v>
      </c>
      <c r="H95" s="14" t="n">
        <v>1454.2556</v>
      </c>
      <c r="I95" s="13">
        <f>COUNTIFS('클럭 정리'!$A$6:$A$75,"&gt;="&amp;E95,'클럭 정리'!$A$6:$A$75,"&lt;="&amp;F95)</f>
        <v/>
      </c>
      <c r="J95" s="14">
        <f>AVERAGEIFS('클럭 정리'!$N$6:$N$75,'클럭 정리'!$A$6:$A$75,"&gt;="&amp;E95,'클럭 정리'!$A$6:$A$75,"&lt;="&amp;F95)</f>
        <v/>
      </c>
      <c r="K95" s="15">
        <f>J95*'클럭 정리'!$B$2/100</f>
        <v/>
      </c>
    </row>
    <row r="96">
      <c r="A96" s="13" t="inlineStr">
        <is>
          <t>병렬도 12 분할 10</t>
        </is>
      </c>
      <c r="B96" s="13" t="n">
        <v>5</v>
      </c>
      <c r="C96" s="13" t="inlineStr">
        <is>
          <t>ForkJoinPool-15-worker-6</t>
        </is>
      </c>
      <c r="D96" s="12" t="inlineStr">
        <is>
          <t>워커</t>
        </is>
      </c>
      <c r="E96" s="10" t="n">
        <v>46238.50497210648</v>
      </c>
      <c r="F96" s="10" t="n">
        <v>46238.50499001799</v>
      </c>
      <c r="G96" s="13" t="n">
        <v>45</v>
      </c>
      <c r="H96" s="14" t="n">
        <v>1489.617706</v>
      </c>
      <c r="I96" s="13">
        <f>COUNTIFS('클럭 정리'!$A$6:$A$75,"&gt;="&amp;E96,'클럭 정리'!$A$6:$A$75,"&lt;="&amp;F96)</f>
        <v/>
      </c>
      <c r="J96" s="14">
        <f>AVERAGEIFS('클럭 정리'!$N$6:$N$75,'클럭 정리'!$A$6:$A$75,"&gt;="&amp;E96,'클럭 정리'!$A$6:$A$75,"&lt;="&amp;F96)</f>
        <v/>
      </c>
      <c r="K96" s="15">
        <f>J96*'클럭 정리'!$B$2/100</f>
        <v/>
      </c>
    </row>
    <row r="97">
      <c r="A97" s="13" t="inlineStr">
        <is>
          <t>병렬도 12 분할 10</t>
        </is>
      </c>
      <c r="B97" s="13" t="n">
        <v>5</v>
      </c>
      <c r="C97" s="13" t="inlineStr">
        <is>
          <t>ForkJoinPool-15-worker-7</t>
        </is>
      </c>
      <c r="D97" s="12" t="inlineStr">
        <is>
          <t>워커</t>
        </is>
      </c>
      <c r="E97" s="10" t="n">
        <v>46238.50497210648</v>
      </c>
      <c r="F97" s="10" t="n">
        <v>46238.50499000352</v>
      </c>
      <c r="G97" s="13" t="n">
        <v>45</v>
      </c>
      <c r="H97" s="14" t="n">
        <v>1496.798801</v>
      </c>
      <c r="I97" s="13">
        <f>COUNTIFS('클럭 정리'!$A$6:$A$75,"&gt;="&amp;E97,'클럭 정리'!$A$6:$A$75,"&lt;="&amp;F97)</f>
        <v/>
      </c>
      <c r="J97" s="14">
        <f>AVERAGEIFS('클럭 정리'!$N$6:$N$75,'클럭 정리'!$A$6:$A$75,"&gt;="&amp;E97,'클럭 정리'!$A$6:$A$75,"&lt;="&amp;F97)</f>
        <v/>
      </c>
      <c r="K97" s="15">
        <f>J97*'클럭 정리'!$B$2/100</f>
        <v/>
      </c>
    </row>
    <row r="98">
      <c r="A98" s="13" t="inlineStr">
        <is>
          <t>병렬도 12 분할 10</t>
        </is>
      </c>
      <c r="B98" s="13" t="n">
        <v>5</v>
      </c>
      <c r="C98" s="13" t="inlineStr">
        <is>
          <t>ForkJoinPool-15-worker-8</t>
        </is>
      </c>
      <c r="D98" s="12" t="inlineStr">
        <is>
          <t>워커</t>
        </is>
      </c>
      <c r="E98" s="10" t="n">
        <v>46238.50497210648</v>
      </c>
      <c r="F98" s="10" t="n">
        <v>46238.5049724733</v>
      </c>
      <c r="G98" s="13" t="n">
        <v>1</v>
      </c>
      <c r="H98" s="14" t="n">
        <v>31.6934</v>
      </c>
      <c r="I98" s="13">
        <f>COUNTIFS('클럭 정리'!$A$6:$A$75,"&gt;="&amp;E98,'클럭 정리'!$A$6:$A$75,"&lt;="&amp;F98)</f>
        <v/>
      </c>
      <c r="J98" s="14">
        <f>AVERAGEIFS('클럭 정리'!$N$6:$N$75,'클럭 정리'!$A$6:$A$75,"&gt;="&amp;E98,'클럭 정리'!$A$6:$A$75,"&lt;="&amp;F98)</f>
        <v/>
      </c>
      <c r="K98" s="15">
        <f>J98*'클럭 정리'!$B$2/100</f>
        <v/>
      </c>
    </row>
    <row r="99">
      <c r="A99" s="13" t="inlineStr">
        <is>
          <t>병렬도 12 분할 10</t>
        </is>
      </c>
      <c r="B99" s="13" t="n">
        <v>5</v>
      </c>
      <c r="C99" s="13" t="inlineStr">
        <is>
          <t>ForkJoinPool-15-worker-9</t>
        </is>
      </c>
      <c r="D99" s="12" t="inlineStr">
        <is>
          <t>워커</t>
        </is>
      </c>
      <c r="E99" s="10" t="n">
        <v>46238.50497210648</v>
      </c>
      <c r="F99" s="10" t="n">
        <v>46238.50499001646</v>
      </c>
      <c r="G99" s="13" t="n">
        <v>45</v>
      </c>
      <c r="H99" s="14" t="n">
        <v>1493.855496</v>
      </c>
      <c r="I99" s="13">
        <f>COUNTIFS('클럭 정리'!$A$6:$A$75,"&gt;="&amp;E99,'클럭 정리'!$A$6:$A$75,"&lt;="&amp;F99)</f>
        <v/>
      </c>
      <c r="J99" s="14">
        <f>AVERAGEIFS('클럭 정리'!$N$6:$N$75,'클럭 정리'!$A$6:$A$75,"&gt;="&amp;E99,'클럭 정리'!$A$6:$A$75,"&lt;="&amp;F99)</f>
        <v/>
      </c>
      <c r="K99" s="15">
        <f>J99*'클럭 정리'!$B$2/100</f>
        <v/>
      </c>
    </row>
    <row r="100">
      <c r="A100" s="13" t="inlineStr">
        <is>
          <t>병렬도 12 분할 10</t>
        </is>
      </c>
      <c r="B100" s="13" t="n">
        <v>5</v>
      </c>
      <c r="C100" s="13" t="inlineStr">
        <is>
          <t>main</t>
        </is>
      </c>
      <c r="D100" s="12" t="inlineStr">
        <is>
          <t>main (활동 시간 합 = 그 회차 mainCPU, 창은 워커와 겹침)</t>
        </is>
      </c>
      <c r="E100" s="10" t="n">
        <v>46238.50497209491</v>
      </c>
      <c r="F100" s="10" t="n">
        <v>46238.50499001906</v>
      </c>
      <c r="G100" s="13" t="n">
        <v>45</v>
      </c>
      <c r="H100" s="14" t="n">
        <v>15.625</v>
      </c>
      <c r="I100" s="13">
        <f>COUNTIFS('클럭 정리'!$A$6:$A$75,"&gt;="&amp;E100,'클럭 정리'!$A$6:$A$75,"&lt;="&amp;F100)</f>
        <v/>
      </c>
      <c r="J100" s="14">
        <f>AVERAGEIFS('클럭 정리'!$N$6:$N$75,'클럭 정리'!$A$6:$A$75,"&gt;="&amp;E100,'클럭 정리'!$A$6:$A$75,"&lt;="&amp;F100)</f>
        <v/>
      </c>
      <c r="K100" s="15">
        <f>J100*'클럭 정리'!$B$2/100</f>
        <v/>
      </c>
    </row>
    <row r="103">
      <c r="A103" s="1" t="inlineStr">
        <is>
          <t>풀·main별 클럭 표본 매핑</t>
        </is>
      </c>
    </row>
    <row r="104">
      <c r="A104" s="4" t="inlineStr">
        <is>
          <t>행 하나가 (풀 또는 main, 그 활동 창에 걸린 클럭 표본 1개)다. 표본 값은 클럭 정리 시트의 해당 행을 참조한다. main의 창은 그 회차 스캔 전체라 같은 회차 풀과 같은 표본에 걸린다.</t>
        </is>
      </c>
    </row>
    <row r="105">
      <c r="A105" s="5" t="inlineStr">
        <is>
          <t>구간</t>
        </is>
      </c>
      <c r="B105" s="5" t="inlineStr">
        <is>
          <t>회차</t>
        </is>
      </c>
      <c r="C105" s="5" t="inlineStr">
        <is>
          <t>풀/스레드</t>
        </is>
      </c>
      <c r="D105" s="5" t="inlineStr">
        <is>
          <t>활동 시작</t>
        </is>
      </c>
      <c r="E105" s="5" t="inlineStr">
        <is>
          <t>활동 끝</t>
        </is>
      </c>
      <c r="F105" s="5" t="inlineStr">
        <is>
          <t>표본 시각</t>
        </is>
      </c>
      <c r="G105" s="5" t="inlineStr">
        <is>
          <t>표본 클럭(%)</t>
        </is>
      </c>
      <c r="H105" s="5" t="inlineStr">
        <is>
          <t>표본 클럭(GHz)</t>
        </is>
      </c>
    </row>
    <row r="106">
      <c r="A106" s="13" t="inlineStr">
        <is>
          <t>병렬도 6 분할 10</t>
        </is>
      </c>
      <c r="B106" s="13" t="n">
        <v>1</v>
      </c>
      <c r="C106" s="13" t="inlineStr">
        <is>
          <t>ForkJoinPool-3</t>
        </is>
      </c>
      <c r="D106" s="10" t="n">
        <v>46238.50472385417</v>
      </c>
      <c r="E106" s="10" t="n">
        <v>46238.50474748179</v>
      </c>
      <c r="F106" s="16">
        <f>'클럭 정리'!A42</f>
        <v/>
      </c>
      <c r="G106" s="17">
        <f>'클럭 정리'!N42</f>
        <v/>
      </c>
      <c r="H106" s="15">
        <f>'클럭 정리'!O42</f>
        <v/>
      </c>
    </row>
    <row r="107">
      <c r="A107" s="13" t="inlineStr">
        <is>
          <t>병렬도 6 분할 10</t>
        </is>
      </c>
      <c r="B107" s="13" t="n">
        <v>1</v>
      </c>
      <c r="C107" s="13" t="inlineStr">
        <is>
          <t>ForkJoinPool-3</t>
        </is>
      </c>
      <c r="D107" s="10" t="n">
        <v>46238.50472385417</v>
      </c>
      <c r="E107" s="10" t="n">
        <v>46238.50474748179</v>
      </c>
      <c r="F107" s="16">
        <f>'클럭 정리'!A43</f>
        <v/>
      </c>
      <c r="G107" s="17">
        <f>'클럭 정리'!N43</f>
        <v/>
      </c>
      <c r="H107" s="15">
        <f>'클럭 정리'!O43</f>
        <v/>
      </c>
    </row>
    <row r="108">
      <c r="A108" s="13" t="inlineStr">
        <is>
          <t>병렬도 6 분할 10</t>
        </is>
      </c>
      <c r="B108" s="13" t="n">
        <v>1</v>
      </c>
      <c r="C108" s="13" t="inlineStr">
        <is>
          <t>main</t>
        </is>
      </c>
      <c r="D108" s="10" t="n">
        <v>46238.50472385417</v>
      </c>
      <c r="E108" s="10" t="n">
        <v>46238.50474748044</v>
      </c>
      <c r="F108" s="16">
        <f>'클럭 정리'!A42</f>
        <v/>
      </c>
      <c r="G108" s="17">
        <f>'클럭 정리'!N42</f>
        <v/>
      </c>
      <c r="H108" s="15">
        <f>'클럭 정리'!O42</f>
        <v/>
      </c>
    </row>
    <row r="109">
      <c r="A109" s="13" t="inlineStr">
        <is>
          <t>병렬도 6 분할 10</t>
        </is>
      </c>
      <c r="B109" s="13" t="n">
        <v>1</v>
      </c>
      <c r="C109" s="13" t="inlineStr">
        <is>
          <t>main</t>
        </is>
      </c>
      <c r="D109" s="10" t="n">
        <v>46238.50472385417</v>
      </c>
      <c r="E109" s="10" t="n">
        <v>46238.50474748044</v>
      </c>
      <c r="F109" s="16">
        <f>'클럭 정리'!A43</f>
        <v/>
      </c>
      <c r="G109" s="17">
        <f>'클럭 정리'!N43</f>
        <v/>
      </c>
      <c r="H109" s="15">
        <f>'클럭 정리'!O43</f>
        <v/>
      </c>
    </row>
    <row r="110">
      <c r="A110" s="13" t="inlineStr">
        <is>
          <t>병렬도 6 분할 10</t>
        </is>
      </c>
      <c r="B110" s="13" t="n">
        <v>2</v>
      </c>
      <c r="C110" s="13" t="inlineStr">
        <is>
          <t>ForkJoinPool-4</t>
        </is>
      </c>
      <c r="D110" s="10" t="n">
        <v>46238.5047475</v>
      </c>
      <c r="E110" s="10" t="n">
        <v>46238.50477080602</v>
      </c>
      <c r="F110" s="16">
        <f>'클럭 정리'!A44</f>
        <v/>
      </c>
      <c r="G110" s="17">
        <f>'클럭 정리'!N44</f>
        <v/>
      </c>
      <c r="H110" s="15">
        <f>'클럭 정리'!O44</f>
        <v/>
      </c>
    </row>
    <row r="111">
      <c r="A111" s="13" t="inlineStr">
        <is>
          <t>병렬도 6 분할 10</t>
        </is>
      </c>
      <c r="B111" s="13" t="n">
        <v>2</v>
      </c>
      <c r="C111" s="13" t="inlineStr">
        <is>
          <t>ForkJoinPool-4</t>
        </is>
      </c>
      <c r="D111" s="10" t="n">
        <v>46238.5047475</v>
      </c>
      <c r="E111" s="10" t="n">
        <v>46238.50477080602</v>
      </c>
      <c r="F111" s="16">
        <f>'클럭 정리'!A45</f>
        <v/>
      </c>
      <c r="G111" s="17">
        <f>'클럭 정리'!N45</f>
        <v/>
      </c>
      <c r="H111" s="15">
        <f>'클럭 정리'!O45</f>
        <v/>
      </c>
    </row>
    <row r="112">
      <c r="A112" s="13" t="inlineStr">
        <is>
          <t>병렬도 6 분할 10</t>
        </is>
      </c>
      <c r="B112" s="13" t="n">
        <v>2</v>
      </c>
      <c r="C112" s="13" t="inlineStr">
        <is>
          <t>main</t>
        </is>
      </c>
      <c r="D112" s="10" t="n">
        <v>46238.5047475</v>
      </c>
      <c r="E112" s="10" t="n">
        <v>46238.50477080529</v>
      </c>
      <c r="F112" s="16">
        <f>'클럭 정리'!A44</f>
        <v/>
      </c>
      <c r="G112" s="17">
        <f>'클럭 정리'!N44</f>
        <v/>
      </c>
      <c r="H112" s="15">
        <f>'클럭 정리'!O44</f>
        <v/>
      </c>
    </row>
    <row r="113">
      <c r="A113" s="13" t="inlineStr">
        <is>
          <t>병렬도 6 분할 10</t>
        </is>
      </c>
      <c r="B113" s="13" t="n">
        <v>2</v>
      </c>
      <c r="C113" s="13" t="inlineStr">
        <is>
          <t>main</t>
        </is>
      </c>
      <c r="D113" s="10" t="n">
        <v>46238.5047475</v>
      </c>
      <c r="E113" s="10" t="n">
        <v>46238.50477080529</v>
      </c>
      <c r="F113" s="16">
        <f>'클럭 정리'!A45</f>
        <v/>
      </c>
      <c r="G113" s="17">
        <f>'클럭 정리'!N45</f>
        <v/>
      </c>
      <c r="H113" s="15">
        <f>'클럭 정리'!O45</f>
        <v/>
      </c>
    </row>
    <row r="114">
      <c r="A114" s="13" t="inlineStr">
        <is>
          <t>병렬도 6 분할 10</t>
        </is>
      </c>
      <c r="B114" s="13" t="n">
        <v>3</v>
      </c>
      <c r="C114" s="13" t="inlineStr">
        <is>
          <t>ForkJoinPool-5</t>
        </is>
      </c>
      <c r="D114" s="10" t="n">
        <v>46238.50477082176</v>
      </c>
      <c r="E114" s="10" t="n">
        <v>46238.50479435537</v>
      </c>
      <c r="F114" s="16">
        <f>'클럭 정리'!A46</f>
        <v/>
      </c>
      <c r="G114" s="17">
        <f>'클럭 정리'!N46</f>
        <v/>
      </c>
      <c r="H114" s="15">
        <f>'클럭 정리'!O46</f>
        <v/>
      </c>
    </row>
    <row r="115">
      <c r="A115" s="13" t="inlineStr">
        <is>
          <t>병렬도 6 분할 10</t>
        </is>
      </c>
      <c r="B115" s="13" t="n">
        <v>3</v>
      </c>
      <c r="C115" s="13" t="inlineStr">
        <is>
          <t>ForkJoinPool-5</t>
        </is>
      </c>
      <c r="D115" s="10" t="n">
        <v>46238.50477082176</v>
      </c>
      <c r="E115" s="10" t="n">
        <v>46238.50479435537</v>
      </c>
      <c r="F115" s="16">
        <f>'클럭 정리'!A47</f>
        <v/>
      </c>
      <c r="G115" s="17">
        <f>'클럭 정리'!N47</f>
        <v/>
      </c>
      <c r="H115" s="15">
        <f>'클럭 정리'!O47</f>
        <v/>
      </c>
    </row>
    <row r="116">
      <c r="A116" s="13" t="inlineStr">
        <is>
          <t>병렬도 6 분할 10</t>
        </is>
      </c>
      <c r="B116" s="13" t="n">
        <v>3</v>
      </c>
      <c r="C116" s="13" t="inlineStr">
        <is>
          <t>main</t>
        </is>
      </c>
      <c r="D116" s="10" t="n">
        <v>46238.50477081018</v>
      </c>
      <c r="E116" s="10" t="n">
        <v>46238.50479435908</v>
      </c>
      <c r="F116" s="16">
        <f>'클럭 정리'!A46</f>
        <v/>
      </c>
      <c r="G116" s="17">
        <f>'클럭 정리'!N46</f>
        <v/>
      </c>
      <c r="H116" s="15">
        <f>'클럭 정리'!O46</f>
        <v/>
      </c>
    </row>
    <row r="117">
      <c r="A117" s="13" t="inlineStr">
        <is>
          <t>병렬도 6 분할 10</t>
        </is>
      </c>
      <c r="B117" s="13" t="n">
        <v>3</v>
      </c>
      <c r="C117" s="13" t="inlineStr">
        <is>
          <t>main</t>
        </is>
      </c>
      <c r="D117" s="10" t="n">
        <v>46238.50477081018</v>
      </c>
      <c r="E117" s="10" t="n">
        <v>46238.50479435908</v>
      </c>
      <c r="F117" s="16">
        <f>'클럭 정리'!A47</f>
        <v/>
      </c>
      <c r="G117" s="17">
        <f>'클럭 정리'!N47</f>
        <v/>
      </c>
      <c r="H117" s="15">
        <f>'클럭 정리'!O47</f>
        <v/>
      </c>
    </row>
    <row r="118">
      <c r="A118" s="13" t="inlineStr">
        <is>
          <t>병렬도 6 분할 10</t>
        </is>
      </c>
      <c r="B118" s="13" t="n">
        <v>4</v>
      </c>
      <c r="C118" s="13" t="inlineStr">
        <is>
          <t>ForkJoinPool-6</t>
        </is>
      </c>
      <c r="D118" s="10" t="n">
        <v>46238.504794375</v>
      </c>
      <c r="E118" s="10" t="n">
        <v>46238.5048178084</v>
      </c>
      <c r="F118" s="16">
        <f>'클럭 정리'!A48</f>
        <v/>
      </c>
      <c r="G118" s="17">
        <f>'클럭 정리'!N48</f>
        <v/>
      </c>
      <c r="H118" s="15">
        <f>'클럭 정리'!O48</f>
        <v/>
      </c>
    </row>
    <row r="119">
      <c r="A119" s="13" t="inlineStr">
        <is>
          <t>병렬도 6 분할 10</t>
        </is>
      </c>
      <c r="B119" s="13" t="n">
        <v>4</v>
      </c>
      <c r="C119" s="13" t="inlineStr">
        <is>
          <t>ForkJoinPool-6</t>
        </is>
      </c>
      <c r="D119" s="10" t="n">
        <v>46238.504794375</v>
      </c>
      <c r="E119" s="10" t="n">
        <v>46238.5048178084</v>
      </c>
      <c r="F119" s="16">
        <f>'클럭 정리'!A49</f>
        <v/>
      </c>
      <c r="G119" s="17">
        <f>'클럭 정리'!N49</f>
        <v/>
      </c>
      <c r="H119" s="15">
        <f>'클럭 정리'!O49</f>
        <v/>
      </c>
    </row>
    <row r="120">
      <c r="A120" s="13" t="inlineStr">
        <is>
          <t>병렬도 6 분할 10</t>
        </is>
      </c>
      <c r="B120" s="13" t="n">
        <v>4</v>
      </c>
      <c r="C120" s="13" t="inlineStr">
        <is>
          <t>main</t>
        </is>
      </c>
      <c r="D120" s="10" t="n">
        <v>46238.50479436343</v>
      </c>
      <c r="E120" s="10" t="n">
        <v>46238.50481782151</v>
      </c>
      <c r="F120" s="16">
        <f>'클럭 정리'!A48</f>
        <v/>
      </c>
      <c r="G120" s="17">
        <f>'클럭 정리'!N48</f>
        <v/>
      </c>
      <c r="H120" s="15">
        <f>'클럭 정리'!O48</f>
        <v/>
      </c>
    </row>
    <row r="121">
      <c r="A121" s="13" t="inlineStr">
        <is>
          <t>병렬도 6 분할 10</t>
        </is>
      </c>
      <c r="B121" s="13" t="n">
        <v>4</v>
      </c>
      <c r="C121" s="13" t="inlineStr">
        <is>
          <t>main</t>
        </is>
      </c>
      <c r="D121" s="10" t="n">
        <v>46238.50479436343</v>
      </c>
      <c r="E121" s="10" t="n">
        <v>46238.50481782151</v>
      </c>
      <c r="F121" s="16">
        <f>'클럭 정리'!A49</f>
        <v/>
      </c>
      <c r="G121" s="17">
        <f>'클럭 정리'!N49</f>
        <v/>
      </c>
      <c r="H121" s="15">
        <f>'클럭 정리'!O49</f>
        <v/>
      </c>
    </row>
    <row r="122">
      <c r="A122" s="13" t="inlineStr">
        <is>
          <t>병렬도 6 분할 10</t>
        </is>
      </c>
      <c r="B122" s="13" t="n">
        <v>5</v>
      </c>
      <c r="C122" s="13" t="inlineStr">
        <is>
          <t>ForkJoinPool-7</t>
        </is>
      </c>
      <c r="D122" s="10" t="n">
        <v>46238.50481783564</v>
      </c>
      <c r="E122" s="10" t="n">
        <v>46238.50484131388</v>
      </c>
      <c r="F122" s="16">
        <f>'클럭 정리'!A50</f>
        <v/>
      </c>
      <c r="G122" s="17">
        <f>'클럭 정리'!N50</f>
        <v/>
      </c>
      <c r="H122" s="15">
        <f>'클럭 정리'!O50</f>
        <v/>
      </c>
    </row>
    <row r="123">
      <c r="A123" s="13" t="inlineStr">
        <is>
          <t>병렬도 6 분할 10</t>
        </is>
      </c>
      <c r="B123" s="13" t="n">
        <v>5</v>
      </c>
      <c r="C123" s="13" t="inlineStr">
        <is>
          <t>ForkJoinPool-7</t>
        </is>
      </c>
      <c r="D123" s="10" t="n">
        <v>46238.50481783564</v>
      </c>
      <c r="E123" s="10" t="n">
        <v>46238.50484131388</v>
      </c>
      <c r="F123" s="16">
        <f>'클럭 정리'!A51</f>
        <v/>
      </c>
      <c r="G123" s="17">
        <f>'클럭 정리'!N51</f>
        <v/>
      </c>
      <c r="H123" s="15">
        <f>'클럭 정리'!O51</f>
        <v/>
      </c>
    </row>
    <row r="124">
      <c r="A124" s="13" t="inlineStr">
        <is>
          <t>병렬도 6 분할 10</t>
        </is>
      </c>
      <c r="B124" s="13" t="n">
        <v>5</v>
      </c>
      <c r="C124" s="13" t="inlineStr">
        <is>
          <t>main</t>
        </is>
      </c>
      <c r="D124" s="10" t="n">
        <v>46238.50481782408</v>
      </c>
      <c r="E124" s="10" t="n">
        <v>46238.50484131049</v>
      </c>
      <c r="F124" s="16">
        <f>'클럭 정리'!A50</f>
        <v/>
      </c>
      <c r="G124" s="17">
        <f>'클럭 정리'!N50</f>
        <v/>
      </c>
      <c r="H124" s="15">
        <f>'클럭 정리'!O50</f>
        <v/>
      </c>
    </row>
    <row r="125">
      <c r="A125" s="13" t="inlineStr">
        <is>
          <t>병렬도 6 분할 10</t>
        </is>
      </c>
      <c r="B125" s="13" t="n">
        <v>5</v>
      </c>
      <c r="C125" s="13" t="inlineStr">
        <is>
          <t>main</t>
        </is>
      </c>
      <c r="D125" s="10" t="n">
        <v>46238.50481782408</v>
      </c>
      <c r="E125" s="10" t="n">
        <v>46238.50484131049</v>
      </c>
      <c r="F125" s="16">
        <f>'클럭 정리'!A51</f>
        <v/>
      </c>
      <c r="G125" s="17">
        <f>'클럭 정리'!N51</f>
        <v/>
      </c>
      <c r="H125" s="15">
        <f>'클럭 정리'!O51</f>
        <v/>
      </c>
    </row>
    <row r="126">
      <c r="A126" s="13" t="inlineStr">
        <is>
          <t>병렬도 12 분할 10</t>
        </is>
      </c>
      <c r="B126" s="13" t="n">
        <v>1</v>
      </c>
      <c r="C126" s="13" t="inlineStr">
        <is>
          <t>ForkJoinPool-11</t>
        </is>
      </c>
      <c r="D126" s="10" t="n">
        <v>46238.50490078704</v>
      </c>
      <c r="E126" s="10" t="n">
        <v>46238.50491853567</v>
      </c>
      <c r="F126" s="16">
        <f>'클럭 정리'!A58</f>
        <v/>
      </c>
      <c r="G126" s="17">
        <f>'클럭 정리'!N58</f>
        <v/>
      </c>
      <c r="H126" s="15">
        <f>'클럭 정리'!O58</f>
        <v/>
      </c>
    </row>
    <row r="127">
      <c r="A127" s="13" t="inlineStr">
        <is>
          <t>병렬도 12 분할 10</t>
        </is>
      </c>
      <c r="B127" s="13" t="n">
        <v>1</v>
      </c>
      <c r="C127" s="13" t="inlineStr">
        <is>
          <t>main</t>
        </is>
      </c>
      <c r="D127" s="10" t="n">
        <v>46238.50490077546</v>
      </c>
      <c r="E127" s="10" t="n">
        <v>46238.50491853694</v>
      </c>
      <c r="F127" s="16">
        <f>'클럭 정리'!A58</f>
        <v/>
      </c>
      <c r="G127" s="17">
        <f>'클럭 정리'!N58</f>
        <v/>
      </c>
      <c r="H127" s="15">
        <f>'클럭 정리'!O58</f>
        <v/>
      </c>
    </row>
    <row r="128">
      <c r="A128" s="13" t="inlineStr">
        <is>
          <t>병렬도 12 분할 10</t>
        </is>
      </c>
      <c r="B128" s="13" t="n">
        <v>2</v>
      </c>
      <c r="C128" s="13" t="inlineStr">
        <is>
          <t>ForkJoinPool-12</t>
        </is>
      </c>
      <c r="D128" s="10" t="n">
        <v>46238.50491855324</v>
      </c>
      <c r="E128" s="10" t="n">
        <v>46238.50493641457</v>
      </c>
      <c r="F128" s="16">
        <f>'클럭 정리'!A59</f>
        <v/>
      </c>
      <c r="G128" s="17">
        <f>'클럭 정리'!N59</f>
        <v/>
      </c>
      <c r="H128" s="15">
        <f>'클럭 정리'!O59</f>
        <v/>
      </c>
    </row>
    <row r="129">
      <c r="A129" s="13" t="inlineStr">
        <is>
          <t>병렬도 12 분할 10</t>
        </is>
      </c>
      <c r="B129" s="13" t="n">
        <v>2</v>
      </c>
      <c r="C129" s="13" t="inlineStr">
        <is>
          <t>ForkJoinPool-12</t>
        </is>
      </c>
      <c r="D129" s="10" t="n">
        <v>46238.50491855324</v>
      </c>
      <c r="E129" s="10" t="n">
        <v>46238.50493641457</v>
      </c>
      <c r="F129" s="16">
        <f>'클럭 정리'!A60</f>
        <v/>
      </c>
      <c r="G129" s="17">
        <f>'클럭 정리'!N60</f>
        <v/>
      </c>
      <c r="H129" s="15">
        <f>'클럭 정리'!O60</f>
        <v/>
      </c>
    </row>
    <row r="130">
      <c r="A130" s="13" t="inlineStr">
        <is>
          <t>병렬도 12 분할 10</t>
        </is>
      </c>
      <c r="B130" s="13" t="n">
        <v>2</v>
      </c>
      <c r="C130" s="13" t="inlineStr">
        <is>
          <t>main</t>
        </is>
      </c>
      <c r="D130" s="10" t="n">
        <v>46238.50491855324</v>
      </c>
      <c r="E130" s="10" t="n">
        <v>46238.50493641552</v>
      </c>
      <c r="F130" s="16">
        <f>'클럭 정리'!A59</f>
        <v/>
      </c>
      <c r="G130" s="17">
        <f>'클럭 정리'!N59</f>
        <v/>
      </c>
      <c r="H130" s="15">
        <f>'클럭 정리'!O59</f>
        <v/>
      </c>
    </row>
    <row r="131">
      <c r="A131" s="13" t="inlineStr">
        <is>
          <t>병렬도 12 분할 10</t>
        </is>
      </c>
      <c r="B131" s="13" t="n">
        <v>2</v>
      </c>
      <c r="C131" s="13" t="inlineStr">
        <is>
          <t>main</t>
        </is>
      </c>
      <c r="D131" s="10" t="n">
        <v>46238.50491855324</v>
      </c>
      <c r="E131" s="10" t="n">
        <v>46238.50493641552</v>
      </c>
      <c r="F131" s="16">
        <f>'클럭 정리'!A60</f>
        <v/>
      </c>
      <c r="G131" s="17">
        <f>'클럭 정리'!N60</f>
        <v/>
      </c>
      <c r="H131" s="15">
        <f>'클럭 정리'!O60</f>
        <v/>
      </c>
    </row>
    <row r="132">
      <c r="A132" s="13" t="inlineStr">
        <is>
          <t>병렬도 12 분할 10</t>
        </is>
      </c>
      <c r="B132" s="13" t="n">
        <v>3</v>
      </c>
      <c r="C132" s="13" t="inlineStr">
        <is>
          <t>ForkJoinPool-13</t>
        </is>
      </c>
      <c r="D132" s="10" t="n">
        <v>46238.50493643519</v>
      </c>
      <c r="E132" s="10" t="n">
        <v>46238.50495439242</v>
      </c>
      <c r="F132" s="16">
        <f>'클럭 정리'!A61</f>
        <v/>
      </c>
      <c r="G132" s="17">
        <f>'클럭 정리'!N61</f>
        <v/>
      </c>
      <c r="H132" s="15">
        <f>'클럭 정리'!O61</f>
        <v/>
      </c>
    </row>
    <row r="133">
      <c r="A133" s="13" t="inlineStr">
        <is>
          <t>병렬도 12 분할 10</t>
        </is>
      </c>
      <c r="B133" s="13" t="n">
        <v>3</v>
      </c>
      <c r="C133" s="13" t="inlineStr">
        <is>
          <t>main</t>
        </is>
      </c>
      <c r="D133" s="10" t="n">
        <v>46238.50493642361</v>
      </c>
      <c r="E133" s="10" t="n">
        <v>46238.50495439467</v>
      </c>
      <c r="F133" s="16">
        <f>'클럭 정리'!A61</f>
        <v/>
      </c>
      <c r="G133" s="17">
        <f>'클럭 정리'!N61</f>
        <v/>
      </c>
      <c r="H133" s="15">
        <f>'클럭 정리'!O61</f>
        <v/>
      </c>
    </row>
    <row r="134">
      <c r="A134" s="13" t="inlineStr">
        <is>
          <t>병렬도 12 분할 10</t>
        </is>
      </c>
      <c r="B134" s="13" t="n">
        <v>4</v>
      </c>
      <c r="C134" s="13" t="inlineStr">
        <is>
          <t>ForkJoinPool-14</t>
        </is>
      </c>
      <c r="D134" s="10" t="n">
        <v>46238.50495440972</v>
      </c>
      <c r="E134" s="10" t="n">
        <v>46238.50497207808</v>
      </c>
      <c r="F134" s="16">
        <f>'클럭 정리'!A62</f>
        <v/>
      </c>
      <c r="G134" s="17">
        <f>'클럭 정리'!N62</f>
        <v/>
      </c>
      <c r="H134" s="15">
        <f>'클럭 정리'!O62</f>
        <v/>
      </c>
    </row>
    <row r="135">
      <c r="A135" s="13" t="inlineStr">
        <is>
          <t>병렬도 12 분할 10</t>
        </is>
      </c>
      <c r="B135" s="13" t="n">
        <v>4</v>
      </c>
      <c r="C135" s="13" t="inlineStr">
        <is>
          <t>ForkJoinPool-14</t>
        </is>
      </c>
      <c r="D135" s="10" t="n">
        <v>46238.50495440972</v>
      </c>
      <c r="E135" s="10" t="n">
        <v>46238.50497207808</v>
      </c>
      <c r="F135" s="16">
        <f>'클럭 정리'!A63</f>
        <v/>
      </c>
      <c r="G135" s="17">
        <f>'클럭 정리'!N63</f>
        <v/>
      </c>
      <c r="H135" s="15">
        <f>'클럭 정리'!O63</f>
        <v/>
      </c>
    </row>
    <row r="136">
      <c r="A136" s="13" t="inlineStr">
        <is>
          <t>병렬도 12 분할 10</t>
        </is>
      </c>
      <c r="B136" s="13" t="n">
        <v>4</v>
      </c>
      <c r="C136" s="13" t="inlineStr">
        <is>
          <t>main</t>
        </is>
      </c>
      <c r="D136" s="10" t="n">
        <v>46238.50495439815</v>
      </c>
      <c r="E136" s="10" t="n">
        <v>46238.50497207998</v>
      </c>
      <c r="F136" s="16">
        <f>'클럭 정리'!A62</f>
        <v/>
      </c>
      <c r="G136" s="17">
        <f>'클럭 정리'!N62</f>
        <v/>
      </c>
      <c r="H136" s="15">
        <f>'클럭 정리'!O62</f>
        <v/>
      </c>
    </row>
    <row r="137">
      <c r="A137" s="13" t="inlineStr">
        <is>
          <t>병렬도 12 분할 10</t>
        </is>
      </c>
      <c r="B137" s="13" t="n">
        <v>4</v>
      </c>
      <c r="C137" s="13" t="inlineStr">
        <is>
          <t>main</t>
        </is>
      </c>
      <c r="D137" s="10" t="n">
        <v>46238.50495439815</v>
      </c>
      <c r="E137" s="10" t="n">
        <v>46238.50497207998</v>
      </c>
      <c r="F137" s="16">
        <f>'클럭 정리'!A63</f>
        <v/>
      </c>
      <c r="G137" s="17">
        <f>'클럭 정리'!N63</f>
        <v/>
      </c>
      <c r="H137" s="15">
        <f>'클럭 정리'!O63</f>
        <v/>
      </c>
    </row>
    <row r="138">
      <c r="A138" s="13" t="inlineStr">
        <is>
          <t>병렬도 12 분할 10</t>
        </is>
      </c>
      <c r="B138" s="13" t="n">
        <v>5</v>
      </c>
      <c r="C138" s="13" t="inlineStr">
        <is>
          <t>ForkJoinPool-15</t>
        </is>
      </c>
      <c r="D138" s="10" t="n">
        <v>46238.50497209491</v>
      </c>
      <c r="E138" s="10" t="n">
        <v>46238.50499001799</v>
      </c>
      <c r="F138" s="16">
        <f>'클럭 정리'!A64</f>
        <v/>
      </c>
      <c r="G138" s="17">
        <f>'클럭 정리'!N64</f>
        <v/>
      </c>
      <c r="H138" s="15">
        <f>'클럭 정리'!O64</f>
        <v/>
      </c>
    </row>
    <row r="139">
      <c r="A139" s="13" t="inlineStr">
        <is>
          <t>병렬도 12 분할 10</t>
        </is>
      </c>
      <c r="B139" s="13" t="n">
        <v>5</v>
      </c>
      <c r="C139" s="13" t="inlineStr">
        <is>
          <t>main</t>
        </is>
      </c>
      <c r="D139" s="10" t="n">
        <v>46238.50497209491</v>
      </c>
      <c r="E139" s="10" t="n">
        <v>46238.50499001906</v>
      </c>
      <c r="F139" s="16">
        <f>'클럭 정리'!A64</f>
        <v/>
      </c>
      <c r="G139" s="17">
        <f>'클럭 정리'!N64</f>
        <v/>
      </c>
      <c r="H139" s="15">
        <f>'클럭 정리'!O64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6" customWidth="1" min="4" max="4"/>
    <col width="12" customWidth="1" min="5" max="5"/>
    <col width="12" customWidth="1" min="6" max="6"/>
    <col width="11" customWidth="1" min="7" max="7"/>
    <col width="11" customWidth="1" min="8" max="8"/>
    <col width="13" customWidth="1" min="9" max="9"/>
    <col width="12" customWidth="1" min="10" max="10"/>
    <col width="12" customWidth="1" min="11" max="11"/>
    <col width="8" customWidth="1" min="12" max="12"/>
    <col width="11" customWidth="1" min="13" max="13"/>
  </cols>
  <sheetData>
    <row r="1">
      <c r="A1" s="1" t="inlineStr">
        <is>
          <t>측정 회차별 원값 (IMPLOG run 레코드). 프로브 표의 행은 5회 평균이고, 이 시트는 그 5회 각각이다</t>
        </is>
      </c>
    </row>
    <row r="2">
      <c r="A2" s="4" t="inlineStr">
        <is>
          <t>busyCore와 speedup은 파생값이라 로그에 없고 여기서 수식으로 계산한다. busyCore는 procCPU를 elapsed로 나눈 값, speedup은 순차 elapsed의 5회 평균을 그 행의 elapsed로 나눈 값이다. 스레드 CPU 시간(mainCPU 등)은 Windows 해상도(15.625ms) 계단이라 작은 값은 0으로 찍힌다.</t>
        </is>
      </c>
    </row>
    <row r="4">
      <c r="A4" s="5" t="inlineStr">
        <is>
          <t>구현</t>
        </is>
      </c>
      <c r="B4" s="5" t="inlineStr">
        <is>
          <t>병렬도</t>
        </is>
      </c>
      <c r="C4" s="5" t="inlineStr">
        <is>
          <t>분할</t>
        </is>
      </c>
      <c r="D4" s="5" t="inlineStr">
        <is>
          <t>회차</t>
        </is>
      </c>
      <c r="E4" s="5" t="inlineStr">
        <is>
          <t>elapsed(ms)</t>
        </is>
      </c>
      <c r="F4" s="5" t="inlineStr">
        <is>
          <t>procCPU(ms)</t>
        </is>
      </c>
      <c r="G4" s="5" t="inlineStr">
        <is>
          <t>busyCore(개)</t>
        </is>
      </c>
      <c r="H4" s="5" t="inlineStr">
        <is>
          <t>mainCPU(ms)</t>
        </is>
      </c>
      <c r="I4" s="5" t="inlineStr">
        <is>
          <t>workerCPU(ms)</t>
        </is>
      </c>
      <c r="J4" s="5" t="inlineStr">
        <is>
          <t>기타 자바(ms)</t>
        </is>
      </c>
      <c r="K4" s="5" t="inlineStr">
        <is>
          <t>자바 아닌(ms)</t>
        </is>
      </c>
      <c r="L4" s="5" t="inlineStr">
        <is>
          <t>GC(ms)</t>
        </is>
      </c>
      <c r="M4" s="5" t="inlineStr">
        <is>
          <t>speedup(배)</t>
        </is>
      </c>
    </row>
    <row r="5">
      <c r="A5" s="13" t="inlineStr">
        <is>
          <t>순차</t>
        </is>
      </c>
      <c r="B5" s="13" t="inlineStr">
        <is>
          <t>-</t>
        </is>
      </c>
      <c r="C5" s="13" t="inlineStr">
        <is>
          <t>-</t>
        </is>
      </c>
      <c r="D5" s="13" t="n">
        <v>1</v>
      </c>
      <c r="E5" s="14" t="n">
        <v>3321.2298</v>
      </c>
      <c r="F5" s="14" t="n">
        <v>3296.875</v>
      </c>
      <c r="G5" s="11">
        <f>F5/E5</f>
        <v/>
      </c>
      <c r="H5" s="14" t="n">
        <v>3281.25</v>
      </c>
      <c r="I5" s="14" t="n">
        <v>0</v>
      </c>
      <c r="J5" s="14" t="n">
        <v>0</v>
      </c>
      <c r="K5" s="14" t="n">
        <v>15.625</v>
      </c>
      <c r="L5" s="13" t="n">
        <v>16</v>
      </c>
      <c r="M5" s="13" t="n"/>
    </row>
    <row r="6">
      <c r="A6" s="13" t="inlineStr">
        <is>
          <t>순차</t>
        </is>
      </c>
      <c r="B6" s="13" t="inlineStr">
        <is>
          <t>-</t>
        </is>
      </c>
      <c r="C6" s="13" t="inlineStr">
        <is>
          <t>-</t>
        </is>
      </c>
      <c r="D6" s="13" t="n">
        <v>2</v>
      </c>
      <c r="E6" s="14" t="n">
        <v>4029.3109</v>
      </c>
      <c r="F6" s="14" t="n">
        <v>4078.125</v>
      </c>
      <c r="G6" s="11">
        <f>F6/E6</f>
        <v/>
      </c>
      <c r="H6" s="14" t="n">
        <v>4015.625</v>
      </c>
      <c r="I6" s="14" t="n">
        <v>0</v>
      </c>
      <c r="J6" s="14" t="n">
        <v>0</v>
      </c>
      <c r="K6" s="14" t="n">
        <v>62.5</v>
      </c>
      <c r="L6" s="13" t="n">
        <v>17</v>
      </c>
      <c r="M6" s="13" t="n"/>
    </row>
    <row r="7">
      <c r="A7" s="13" t="inlineStr">
        <is>
          <t>순차</t>
        </is>
      </c>
      <c r="B7" s="13" t="inlineStr">
        <is>
          <t>-</t>
        </is>
      </c>
      <c r="C7" s="13" t="inlineStr">
        <is>
          <t>-</t>
        </is>
      </c>
      <c r="D7" s="13" t="n">
        <v>3</v>
      </c>
      <c r="E7" s="14" t="n">
        <v>4373.069901</v>
      </c>
      <c r="F7" s="14" t="n">
        <v>4250</v>
      </c>
      <c r="G7" s="11">
        <f>F7/E7</f>
        <v/>
      </c>
      <c r="H7" s="14" t="n">
        <v>4250</v>
      </c>
      <c r="I7" s="14" t="n">
        <v>0</v>
      </c>
      <c r="J7" s="14" t="n">
        <v>0</v>
      </c>
      <c r="K7" s="14" t="n">
        <v>0</v>
      </c>
      <c r="L7" s="13" t="n">
        <v>17</v>
      </c>
      <c r="M7" s="13" t="n"/>
    </row>
    <row r="8">
      <c r="A8" s="13" t="inlineStr">
        <is>
          <t>순차</t>
        </is>
      </c>
      <c r="B8" s="13" t="inlineStr">
        <is>
          <t>-</t>
        </is>
      </c>
      <c r="C8" s="13" t="inlineStr">
        <is>
          <t>-</t>
        </is>
      </c>
      <c r="D8" s="13" t="n">
        <v>4</v>
      </c>
      <c r="E8" s="14" t="n">
        <v>4466.0759</v>
      </c>
      <c r="F8" s="14" t="n">
        <v>4406.25</v>
      </c>
      <c r="G8" s="11">
        <f>F8/E8</f>
        <v/>
      </c>
      <c r="H8" s="14" t="n">
        <v>4234.375</v>
      </c>
      <c r="I8" s="14" t="n">
        <v>0</v>
      </c>
      <c r="J8" s="14" t="n">
        <v>0</v>
      </c>
      <c r="K8" s="14" t="n">
        <v>156.25</v>
      </c>
      <c r="L8" s="13" t="n">
        <v>19</v>
      </c>
      <c r="M8" s="13" t="n"/>
    </row>
    <row r="9">
      <c r="A9" s="13" t="inlineStr">
        <is>
          <t>순차</t>
        </is>
      </c>
      <c r="B9" s="13" t="inlineStr">
        <is>
          <t>-</t>
        </is>
      </c>
      <c r="C9" s="13" t="inlineStr">
        <is>
          <t>-</t>
        </is>
      </c>
      <c r="D9" s="13" t="n">
        <v>5</v>
      </c>
      <c r="E9" s="14" t="n">
        <v>4078.588399</v>
      </c>
      <c r="F9" s="14" t="n">
        <v>4093.75</v>
      </c>
      <c r="G9" s="11">
        <f>F9/E9</f>
        <v/>
      </c>
      <c r="H9" s="14" t="n">
        <v>4046.875</v>
      </c>
      <c r="I9" s="14" t="n">
        <v>0</v>
      </c>
      <c r="J9" s="14" t="n">
        <v>0</v>
      </c>
      <c r="K9" s="14" t="n">
        <v>46.875</v>
      </c>
      <c r="L9" s="13" t="n">
        <v>18</v>
      </c>
      <c r="M9" s="13" t="n"/>
    </row>
    <row r="10">
      <c r="A10" s="13" t="inlineStr">
        <is>
          <t>병렬</t>
        </is>
      </c>
      <c r="B10" s="13" t="n">
        <v>6</v>
      </c>
      <c r="C10" s="13" t="n">
        <v>10</v>
      </c>
      <c r="D10" s="13" t="n">
        <v>1</v>
      </c>
      <c r="E10" s="14" t="n">
        <v>2041.8846</v>
      </c>
      <c r="F10" s="14" t="n">
        <v>10531.25</v>
      </c>
      <c r="G10" s="11">
        <f>F10/E10</f>
        <v/>
      </c>
      <c r="H10" s="14" t="n">
        <v>15.625</v>
      </c>
      <c r="I10" s="14" t="n">
        <v>9734.375</v>
      </c>
      <c r="J10" s="14" t="n">
        <v>0</v>
      </c>
      <c r="K10" s="14" t="n">
        <v>781.25</v>
      </c>
      <c r="L10" s="13" t="n">
        <v>18</v>
      </c>
      <c r="M10" s="11">
        <f>AVERAGEIFS($E$5:$E$19,$A$5:$A$19,"순차")/E10</f>
        <v/>
      </c>
    </row>
    <row r="11">
      <c r="A11" s="13" t="inlineStr">
        <is>
          <t>병렬</t>
        </is>
      </c>
      <c r="B11" s="13" t="n">
        <v>6</v>
      </c>
      <c r="C11" s="13" t="n">
        <v>10</v>
      </c>
      <c r="D11" s="13" t="n">
        <v>2</v>
      </c>
      <c r="E11" s="14" t="n">
        <v>2013.6863</v>
      </c>
      <c r="F11" s="14" t="n">
        <v>10250</v>
      </c>
      <c r="G11" s="11">
        <f>F11/E11</f>
        <v/>
      </c>
      <c r="H11" s="14" t="n">
        <v>0</v>
      </c>
      <c r="I11" s="14" t="n">
        <v>10125</v>
      </c>
      <c r="J11" s="14" t="n">
        <v>0</v>
      </c>
      <c r="K11" s="14" t="n">
        <v>125</v>
      </c>
      <c r="L11" s="13" t="n">
        <v>18</v>
      </c>
      <c r="M11" s="11">
        <f>AVERAGEIFS($E$5:$E$19,$A$5:$A$19,"순차")/E11</f>
        <v/>
      </c>
    </row>
    <row r="12">
      <c r="A12" s="13" t="inlineStr">
        <is>
          <t>병렬</t>
        </is>
      </c>
      <c r="B12" s="13" t="n">
        <v>6</v>
      </c>
      <c r="C12" s="13" t="n">
        <v>10</v>
      </c>
      <c r="D12" s="13" t="n">
        <v>3</v>
      </c>
      <c r="E12" s="14" t="n">
        <v>2034.147</v>
      </c>
      <c r="F12" s="14" t="n">
        <v>10171.875</v>
      </c>
      <c r="G12" s="11">
        <f>F12/E12</f>
        <v/>
      </c>
      <c r="H12" s="14" t="n">
        <v>0</v>
      </c>
      <c r="I12" s="14" t="n">
        <v>10156.25</v>
      </c>
      <c r="J12" s="14" t="n">
        <v>0</v>
      </c>
      <c r="K12" s="14" t="n">
        <v>15.625</v>
      </c>
      <c r="L12" s="13" t="n">
        <v>18</v>
      </c>
      <c r="M12" s="11">
        <f>AVERAGEIFS($E$5:$E$19,$A$5:$A$19,"순차")/E12</f>
        <v/>
      </c>
    </row>
    <row r="13">
      <c r="A13" s="13" t="inlineStr">
        <is>
          <t>병렬</t>
        </is>
      </c>
      <c r="B13" s="13" t="n">
        <v>6</v>
      </c>
      <c r="C13" s="13" t="n">
        <v>10</v>
      </c>
      <c r="D13" s="13" t="n">
        <v>4</v>
      </c>
      <c r="E13" s="14" t="n">
        <v>2026.652601</v>
      </c>
      <c r="F13" s="14" t="n">
        <v>10000</v>
      </c>
      <c r="G13" s="11">
        <f>F13/E13</f>
        <v/>
      </c>
      <c r="H13" s="14" t="n">
        <v>0</v>
      </c>
      <c r="I13" s="14" t="n">
        <v>10000</v>
      </c>
      <c r="J13" s="14" t="n">
        <v>0</v>
      </c>
      <c r="K13" s="14" t="n">
        <v>0</v>
      </c>
      <c r="L13" s="13" t="n">
        <v>19</v>
      </c>
      <c r="M13" s="11">
        <f>AVERAGEIFS($E$5:$E$19,$A$5:$A$19,"순차")/E13</f>
        <v/>
      </c>
    </row>
    <row r="14">
      <c r="A14" s="13" t="inlineStr">
        <is>
          <t>병렬</t>
        </is>
      </c>
      <c r="B14" s="13" t="n">
        <v>6</v>
      </c>
      <c r="C14" s="13" t="n">
        <v>10</v>
      </c>
      <c r="D14" s="13" t="n">
        <v>5</v>
      </c>
      <c r="E14" s="14" t="n">
        <v>2028.4161</v>
      </c>
      <c r="F14" s="14" t="n">
        <v>10156.25</v>
      </c>
      <c r="G14" s="11">
        <f>F14/E14</f>
        <v/>
      </c>
      <c r="H14" s="14" t="n">
        <v>0</v>
      </c>
      <c r="I14" s="14" t="n">
        <v>10140.625</v>
      </c>
      <c r="J14" s="14" t="n">
        <v>0</v>
      </c>
      <c r="K14" s="14" t="n">
        <v>15.625</v>
      </c>
      <c r="L14" s="13" t="n">
        <v>18</v>
      </c>
      <c r="M14" s="11">
        <f>AVERAGEIFS($E$5:$E$19,$A$5:$A$19,"순차")/E14</f>
        <v/>
      </c>
    </row>
    <row r="15">
      <c r="A15" s="13" t="inlineStr">
        <is>
          <t>병렬</t>
        </is>
      </c>
      <c r="B15" s="13" t="n">
        <v>12</v>
      </c>
      <c r="C15" s="13" t="n">
        <v>10</v>
      </c>
      <c r="D15" s="13" t="n">
        <v>1</v>
      </c>
      <c r="E15" s="14" t="n">
        <v>1535.167101</v>
      </c>
      <c r="F15" s="14" t="n">
        <v>14468.75</v>
      </c>
      <c r="G15" s="11">
        <f>F15/E15</f>
        <v/>
      </c>
      <c r="H15" s="14" t="n">
        <v>0</v>
      </c>
      <c r="I15" s="14" t="n">
        <v>14437.5</v>
      </c>
      <c r="J15" s="14" t="n">
        <v>0</v>
      </c>
      <c r="K15" s="14" t="n">
        <v>31.25</v>
      </c>
      <c r="L15" s="13" t="n">
        <v>17</v>
      </c>
      <c r="M15" s="11">
        <f>AVERAGEIFS($E$5:$E$19,$A$5:$A$19,"순차")/E15</f>
        <v/>
      </c>
    </row>
    <row r="16">
      <c r="A16" s="13" t="inlineStr">
        <is>
          <t>병렬</t>
        </is>
      </c>
      <c r="B16" s="13" t="n">
        <v>12</v>
      </c>
      <c r="C16" s="13" t="n">
        <v>10</v>
      </c>
      <c r="D16" s="13" t="n">
        <v>2</v>
      </c>
      <c r="E16" s="14" t="n">
        <v>1543.5399</v>
      </c>
      <c r="F16" s="14" t="n">
        <v>14406.25</v>
      </c>
      <c r="G16" s="11">
        <f>F16/E16</f>
        <v/>
      </c>
      <c r="H16" s="14" t="n">
        <v>0</v>
      </c>
      <c r="I16" s="14" t="n">
        <v>14359.375</v>
      </c>
      <c r="J16" s="14" t="n">
        <v>0</v>
      </c>
      <c r="K16" s="14" t="n">
        <v>46.875</v>
      </c>
      <c r="L16" s="13" t="n">
        <v>16</v>
      </c>
      <c r="M16" s="11">
        <f>AVERAGEIFS($E$5:$E$19,$A$5:$A$19,"순차")/E16</f>
        <v/>
      </c>
    </row>
    <row r="17">
      <c r="A17" s="13" t="inlineStr">
        <is>
          <t>병렬</t>
        </is>
      </c>
      <c r="B17" s="13" t="n">
        <v>12</v>
      </c>
      <c r="C17" s="13" t="n">
        <v>10</v>
      </c>
      <c r="D17" s="13" t="n">
        <v>3</v>
      </c>
      <c r="E17" s="14" t="n">
        <v>1552.0189</v>
      </c>
      <c r="F17" s="14" t="n">
        <v>13984.375</v>
      </c>
      <c r="G17" s="11">
        <f>F17/E17</f>
        <v/>
      </c>
      <c r="H17" s="14" t="n">
        <v>0</v>
      </c>
      <c r="I17" s="14" t="n">
        <v>13937.5</v>
      </c>
      <c r="J17" s="14" t="n">
        <v>0</v>
      </c>
      <c r="K17" s="14" t="n">
        <v>46.875</v>
      </c>
      <c r="L17" s="13" t="n">
        <v>15</v>
      </c>
      <c r="M17" s="11">
        <f>AVERAGEIFS($E$5:$E$19,$A$5:$A$19,"순차")/E17</f>
        <v/>
      </c>
    </row>
    <row r="18">
      <c r="A18" s="13" t="inlineStr">
        <is>
          <t>병렬</t>
        </is>
      </c>
      <c r="B18" s="13" t="n">
        <v>12</v>
      </c>
      <c r="C18" s="13" t="n">
        <v>10</v>
      </c>
      <c r="D18" s="13" t="n">
        <v>4</v>
      </c>
      <c r="E18" s="14" t="n">
        <v>1527.3984</v>
      </c>
      <c r="F18" s="14" t="n">
        <v>14093.75</v>
      </c>
      <c r="G18" s="11">
        <f>F18/E18</f>
        <v/>
      </c>
      <c r="H18" s="14" t="n">
        <v>15.625</v>
      </c>
      <c r="I18" s="14" t="n">
        <v>14031.25</v>
      </c>
      <c r="J18" s="14" t="n">
        <v>0</v>
      </c>
      <c r="K18" s="14" t="n">
        <v>46.875</v>
      </c>
      <c r="L18" s="13" t="n">
        <v>14</v>
      </c>
      <c r="M18" s="11">
        <f>AVERAGEIFS($E$5:$E$19,$A$5:$A$19,"순차")/E18</f>
        <v/>
      </c>
    </row>
    <row r="19">
      <c r="A19" s="13" t="inlineStr">
        <is>
          <t>병렬</t>
        </is>
      </c>
      <c r="B19" s="13" t="n">
        <v>12</v>
      </c>
      <c r="C19" s="13" t="n">
        <v>10</v>
      </c>
      <c r="D19" s="13" t="n">
        <v>5</v>
      </c>
      <c r="E19" s="14" t="n">
        <v>1547.925401</v>
      </c>
      <c r="F19" s="14" t="n">
        <v>14343.75</v>
      </c>
      <c r="G19" s="11">
        <f>F19/E19</f>
        <v/>
      </c>
      <c r="H19" s="14" t="n">
        <v>15.625</v>
      </c>
      <c r="I19" s="14" t="n">
        <v>14296.875</v>
      </c>
      <c r="J19" s="14" t="n">
        <v>0</v>
      </c>
      <c r="K19" s="14" t="n">
        <v>31.25</v>
      </c>
      <c r="L19" s="13" t="n">
        <v>14</v>
      </c>
      <c r="M19" s="11">
        <f>AVERAGEIFS($E$5:$E$19,$A$5:$A$19,"순차")/E19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8" t="inlineStr">
        <is>
          <t>이 시트의 값: '구간과 스레드 매핑' 시트의 평균 클럭(GHz) 열이다. 수식 참조로 그대로 가져왔다</t>
        </is>
      </c>
    </row>
    <row r="2">
      <c r="A2" s="18" t="inlineStr">
        <is>
          <t>차트: 전체 추이 선(전체 평균과 스레드별 선), 구간별 평균 막대, 측정 회차마다 스레드별 클럭 선 그래프다. 스레드별 선은 그 스레드의 활동 창에 걸린 표본만 그린다. 분할 1처럼 창이 겹치면 선도 겹친다. 그래프의 원천 표는 '차트 데이터' 시트에 있다</t>
        </is>
      </c>
    </row>
    <row r="3">
      <c r="A3" s="19" t="inlineStr">
        <is>
          <t>구간 종류</t>
        </is>
      </c>
      <c r="B3" s="19" t="inlineStr">
        <is>
          <t>순차</t>
        </is>
      </c>
      <c r="C3" s="19" t="inlineStr">
        <is>
          <t>병렬도 6 분할 10</t>
        </is>
      </c>
      <c r="D3" s="19" t="inlineStr">
        <is>
          <t>병렬도 12 분할 10</t>
        </is>
      </c>
    </row>
    <row r="4">
      <c r="A4" s="18" t="inlineStr">
        <is>
          <t>전체</t>
        </is>
      </c>
      <c r="B4" s="20">
        <f>'구간과 스레드 매핑'!H6</f>
        <v/>
      </c>
      <c r="C4" s="20">
        <f>'구간과 스레드 매핑'!H7</f>
        <v/>
      </c>
      <c r="D4" s="20">
        <f>'구간과 스레드 매핑'!H15</f>
        <v/>
      </c>
    </row>
    <row r="5">
      <c r="A5" s="18" t="inlineStr">
        <is>
          <t>워밍업</t>
        </is>
      </c>
      <c r="C5" s="20">
        <f>'구간과 스레드 매핑'!H8</f>
        <v/>
      </c>
      <c r="D5" s="20">
        <f>'구간과 스레드 매핑'!H16</f>
        <v/>
      </c>
    </row>
    <row r="6">
      <c r="A6" s="18" t="inlineStr">
        <is>
          <t>측정 1회차</t>
        </is>
      </c>
      <c r="C6" s="20">
        <f>'구간과 스레드 매핑'!H9</f>
        <v/>
      </c>
      <c r="D6" s="20">
        <f>'구간과 스레드 매핑'!H17</f>
        <v/>
      </c>
    </row>
    <row r="7">
      <c r="A7" s="18" t="inlineStr">
        <is>
          <t>측정 2회차</t>
        </is>
      </c>
      <c r="C7" s="20">
        <f>'구간과 스레드 매핑'!H10</f>
        <v/>
      </c>
      <c r="D7" s="20">
        <f>'구간과 스레드 매핑'!H18</f>
        <v/>
      </c>
    </row>
    <row r="8">
      <c r="A8" s="18" t="inlineStr">
        <is>
          <t>측정 3회차</t>
        </is>
      </c>
      <c r="C8" s="20">
        <f>'구간과 스레드 매핑'!H11</f>
        <v/>
      </c>
      <c r="D8" s="20">
        <f>'구간과 스레드 매핑'!H19</f>
        <v/>
      </c>
    </row>
    <row r="9">
      <c r="A9" s="18" t="inlineStr">
        <is>
          <t>측정 4회차</t>
        </is>
      </c>
      <c r="C9" s="20">
        <f>'구간과 스레드 매핑'!H12</f>
        <v/>
      </c>
      <c r="D9" s="20">
        <f>'구간과 스레드 매핑'!H20</f>
        <v/>
      </c>
    </row>
    <row r="10">
      <c r="A10" s="18" t="inlineStr">
        <is>
          <t>측정 5회차</t>
        </is>
      </c>
      <c r="C10" s="20">
        <f>'구간과 스레드 매핑'!H13</f>
        <v/>
      </c>
      <c r="D10" s="20">
        <f>'구간과 스레드 매핑'!H21</f>
        <v/>
      </c>
    </row>
    <row r="11">
      <c r="A11" s="18" t="inlineStr">
        <is>
          <t>워커별 CPU 읽기 실행</t>
        </is>
      </c>
      <c r="C11" s="20">
        <f>'구간과 스레드 매핑'!H14</f>
        <v/>
      </c>
      <c r="D11" s="20">
        <f>'구간과 스레드 매핑'!H22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Y7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4" customWidth="1" min="102" max="102"/>
    <col width="24" customWidth="1" min="103" max="103"/>
  </cols>
  <sheetData>
    <row r="1">
      <c r="A1" s="4" t="inlineStr">
        <is>
          <t>차트 시트 그래프들의 원천 표다. 값은 전부 '클럭 정리' 시트를 참조하는 수식이고, 여기서는 보기만 한다</t>
        </is>
      </c>
    </row>
    <row r="3">
      <c r="A3" s="2" t="inlineStr">
        <is>
          <t>병렬도 6 분할 10 측정 1회차 (스레드별 클럭, GHz)</t>
        </is>
      </c>
      <c r="P3" s="2" t="inlineStr">
        <is>
          <t>전체 추이 데이터 (스레드별 선용, GHz)</t>
        </is>
      </c>
    </row>
    <row r="4">
      <c r="A4" s="21" t="inlineStr">
        <is>
          <t>시각</t>
        </is>
      </c>
      <c r="B4" s="21" t="inlineStr">
        <is>
          <t>ForkJoinPool-3-worker-1</t>
        </is>
      </c>
      <c r="C4" s="21" t="inlineStr">
        <is>
          <t>ForkJoinPool-3-worker-2</t>
        </is>
      </c>
      <c r="D4" s="21" t="inlineStr">
        <is>
          <t>ForkJoinPool-3-worker-3</t>
        </is>
      </c>
      <c r="E4" s="21" t="inlineStr">
        <is>
          <t>ForkJoinPool-3-worker-4</t>
        </is>
      </c>
      <c r="F4" s="21" t="inlineStr">
        <is>
          <t>ForkJoinPool-3-worker-5</t>
        </is>
      </c>
      <c r="G4" s="21" t="inlineStr">
        <is>
          <t>ForkJoinPool-3-worker-6</t>
        </is>
      </c>
      <c r="H4" s="21" t="inlineStr">
        <is>
          <t>main</t>
        </is>
      </c>
      <c r="P4" s="21" t="inlineStr">
        <is>
          <t>시각</t>
        </is>
      </c>
      <c r="Q4" s="21" t="inlineStr">
        <is>
          <t>전체 평균</t>
        </is>
      </c>
      <c r="R4" s="21" t="inlineStr">
        <is>
          <t>ForkJoinPool-3-worker-1</t>
        </is>
      </c>
      <c r="S4" s="21" t="inlineStr">
        <is>
          <t>ForkJoinPool-3-worker-2</t>
        </is>
      </c>
      <c r="T4" s="21" t="inlineStr">
        <is>
          <t>ForkJoinPool-3-worker-3</t>
        </is>
      </c>
      <c r="U4" s="21" t="inlineStr">
        <is>
          <t>ForkJoinPool-3-worker-4</t>
        </is>
      </c>
      <c r="V4" s="21" t="inlineStr">
        <is>
          <t>ForkJoinPool-3-worker-5</t>
        </is>
      </c>
      <c r="W4" s="21" t="inlineStr">
        <is>
          <t>ForkJoinPool-3-worker-6</t>
        </is>
      </c>
      <c r="X4" s="21" t="inlineStr">
        <is>
          <t>main</t>
        </is>
      </c>
      <c r="Y4" s="21" t="inlineStr">
        <is>
          <t>ForkJoinPool-4-worker-1</t>
        </is>
      </c>
      <c r="Z4" s="21" t="inlineStr">
        <is>
          <t>ForkJoinPool-4-worker-2</t>
        </is>
      </c>
      <c r="AA4" s="21" t="inlineStr">
        <is>
          <t>ForkJoinPool-4-worker-3</t>
        </is>
      </c>
      <c r="AB4" s="21" t="inlineStr">
        <is>
          <t>ForkJoinPool-4-worker-4</t>
        </is>
      </c>
      <c r="AC4" s="21" t="inlineStr">
        <is>
          <t>ForkJoinPool-4-worker-5</t>
        </is>
      </c>
      <c r="AD4" s="21" t="inlineStr">
        <is>
          <t>ForkJoinPool-4-worker-6</t>
        </is>
      </c>
      <c r="AE4" s="21" t="inlineStr">
        <is>
          <t>ForkJoinPool-5-worker-1</t>
        </is>
      </c>
      <c r="AF4" s="21" t="inlineStr">
        <is>
          <t>ForkJoinPool-5-worker-2</t>
        </is>
      </c>
      <c r="AG4" s="21" t="inlineStr">
        <is>
          <t>ForkJoinPool-5-worker-3</t>
        </is>
      </c>
      <c r="AH4" s="21" t="inlineStr">
        <is>
          <t>ForkJoinPool-5-worker-4</t>
        </is>
      </c>
      <c r="AI4" s="21" t="inlineStr">
        <is>
          <t>ForkJoinPool-5-worker-5</t>
        </is>
      </c>
      <c r="AJ4" s="21" t="inlineStr">
        <is>
          <t>ForkJoinPool-5-worker-6</t>
        </is>
      </c>
      <c r="AK4" s="21" t="inlineStr">
        <is>
          <t>ForkJoinPool-6-worker-1</t>
        </is>
      </c>
      <c r="AL4" s="21" t="inlineStr">
        <is>
          <t>ForkJoinPool-6-worker-2</t>
        </is>
      </c>
      <c r="AM4" s="21" t="inlineStr">
        <is>
          <t>ForkJoinPool-6-worker-3</t>
        </is>
      </c>
      <c r="AN4" s="21" t="inlineStr">
        <is>
          <t>ForkJoinPool-6-worker-4</t>
        </is>
      </c>
      <c r="AO4" s="21" t="inlineStr">
        <is>
          <t>ForkJoinPool-6-worker-5</t>
        </is>
      </c>
      <c r="AP4" s="21" t="inlineStr">
        <is>
          <t>ForkJoinPool-6-worker-6</t>
        </is>
      </c>
      <c r="AQ4" s="21" t="inlineStr">
        <is>
          <t>ForkJoinPool-7-worker-1</t>
        </is>
      </c>
      <c r="AR4" s="21" t="inlineStr">
        <is>
          <t>ForkJoinPool-7-worker-2</t>
        </is>
      </c>
      <c r="AS4" s="21" t="inlineStr">
        <is>
          <t>ForkJoinPool-7-worker-3</t>
        </is>
      </c>
      <c r="AT4" s="21" t="inlineStr">
        <is>
          <t>ForkJoinPool-7-worker-4</t>
        </is>
      </c>
      <c r="AU4" s="21" t="inlineStr">
        <is>
          <t>ForkJoinPool-7-worker-5</t>
        </is>
      </c>
      <c r="AV4" s="21" t="inlineStr">
        <is>
          <t>ForkJoinPool-7-worker-6</t>
        </is>
      </c>
      <c r="AW4" s="21" t="inlineStr">
        <is>
          <t>ForkJoinPool-11-worker-1</t>
        </is>
      </c>
      <c r="AX4" s="21" t="inlineStr">
        <is>
          <t>ForkJoinPool-11-worker-10</t>
        </is>
      </c>
      <c r="AY4" s="21" t="inlineStr">
        <is>
          <t>ForkJoinPool-11-worker-2</t>
        </is>
      </c>
      <c r="AZ4" s="21" t="inlineStr">
        <is>
          <t>ForkJoinPool-11-worker-3</t>
        </is>
      </c>
      <c r="BA4" s="21" t="inlineStr">
        <is>
          <t>ForkJoinPool-11-worker-4</t>
        </is>
      </c>
      <c r="BB4" s="21" t="inlineStr">
        <is>
          <t>ForkJoinPool-11-worker-5</t>
        </is>
      </c>
      <c r="BC4" s="21" t="inlineStr">
        <is>
          <t>ForkJoinPool-11-worker-6</t>
        </is>
      </c>
      <c r="BD4" s="21" t="inlineStr">
        <is>
          <t>ForkJoinPool-11-worker-7</t>
        </is>
      </c>
      <c r="BE4" s="21" t="inlineStr">
        <is>
          <t>ForkJoinPool-11-worker-8</t>
        </is>
      </c>
      <c r="BF4" s="21" t="inlineStr">
        <is>
          <t>ForkJoinPool-11-worker-9</t>
        </is>
      </c>
      <c r="BG4" s="21" t="inlineStr">
        <is>
          <t>ForkJoinPool-12-worker-1</t>
        </is>
      </c>
      <c r="BH4" s="21" t="inlineStr">
        <is>
          <t>ForkJoinPool-12-worker-10</t>
        </is>
      </c>
      <c r="BI4" s="21" t="inlineStr">
        <is>
          <t>ForkJoinPool-12-worker-12</t>
        </is>
      </c>
      <c r="BJ4" s="21" t="inlineStr">
        <is>
          <t>ForkJoinPool-12-worker-2</t>
        </is>
      </c>
      <c r="BK4" s="21" t="inlineStr">
        <is>
          <t>ForkJoinPool-12-worker-3</t>
        </is>
      </c>
      <c r="BL4" s="21" t="inlineStr">
        <is>
          <t>ForkJoinPool-12-worker-4</t>
        </is>
      </c>
      <c r="BM4" s="21" t="inlineStr">
        <is>
          <t>ForkJoinPool-12-worker-5</t>
        </is>
      </c>
      <c r="BN4" s="21" t="inlineStr">
        <is>
          <t>ForkJoinPool-12-worker-6</t>
        </is>
      </c>
      <c r="BO4" s="21" t="inlineStr">
        <is>
          <t>ForkJoinPool-12-worker-7</t>
        </is>
      </c>
      <c r="BP4" s="21" t="inlineStr">
        <is>
          <t>ForkJoinPool-12-worker-8</t>
        </is>
      </c>
      <c r="BQ4" s="21" t="inlineStr">
        <is>
          <t>ForkJoinPool-12-worker-9</t>
        </is>
      </c>
      <c r="BR4" s="21" t="inlineStr">
        <is>
          <t>ForkJoinPool-13-worker-1</t>
        </is>
      </c>
      <c r="BS4" s="21" t="inlineStr">
        <is>
          <t>ForkJoinPool-13-worker-10</t>
        </is>
      </c>
      <c r="BT4" s="21" t="inlineStr">
        <is>
          <t>ForkJoinPool-13-worker-12</t>
        </is>
      </c>
      <c r="BU4" s="21" t="inlineStr">
        <is>
          <t>ForkJoinPool-13-worker-2</t>
        </is>
      </c>
      <c r="BV4" s="21" t="inlineStr">
        <is>
          <t>ForkJoinPool-13-worker-3</t>
        </is>
      </c>
      <c r="BW4" s="21" t="inlineStr">
        <is>
          <t>ForkJoinPool-13-worker-4</t>
        </is>
      </c>
      <c r="BX4" s="21" t="inlineStr">
        <is>
          <t>ForkJoinPool-13-worker-5</t>
        </is>
      </c>
      <c r="BY4" s="21" t="inlineStr">
        <is>
          <t>ForkJoinPool-13-worker-6</t>
        </is>
      </c>
      <c r="BZ4" s="21" t="inlineStr">
        <is>
          <t>ForkJoinPool-13-worker-7</t>
        </is>
      </c>
      <c r="CA4" s="21" t="inlineStr">
        <is>
          <t>ForkJoinPool-13-worker-8</t>
        </is>
      </c>
      <c r="CB4" s="21" t="inlineStr">
        <is>
          <t>ForkJoinPool-13-worker-9</t>
        </is>
      </c>
      <c r="CC4" s="21" t="inlineStr">
        <is>
          <t>ForkJoinPool-14-worker-1</t>
        </is>
      </c>
      <c r="CD4" s="21" t="inlineStr">
        <is>
          <t>ForkJoinPool-14-worker-10</t>
        </is>
      </c>
      <c r="CE4" s="21" t="inlineStr">
        <is>
          <t>ForkJoinPool-14-worker-11</t>
        </is>
      </c>
      <c r="CF4" s="21" t="inlineStr">
        <is>
          <t>ForkJoinPool-14-worker-12</t>
        </is>
      </c>
      <c r="CG4" s="21" t="inlineStr">
        <is>
          <t>ForkJoinPool-14-worker-2</t>
        </is>
      </c>
      <c r="CH4" s="21" t="inlineStr">
        <is>
          <t>ForkJoinPool-14-worker-3</t>
        </is>
      </c>
      <c r="CI4" s="21" t="inlineStr">
        <is>
          <t>ForkJoinPool-14-worker-4</t>
        </is>
      </c>
      <c r="CJ4" s="21" t="inlineStr">
        <is>
          <t>ForkJoinPool-14-worker-5</t>
        </is>
      </c>
      <c r="CK4" s="21" t="inlineStr">
        <is>
          <t>ForkJoinPool-14-worker-6</t>
        </is>
      </c>
      <c r="CL4" s="21" t="inlineStr">
        <is>
          <t>ForkJoinPool-14-worker-7</t>
        </is>
      </c>
      <c r="CM4" s="21" t="inlineStr">
        <is>
          <t>ForkJoinPool-14-worker-8</t>
        </is>
      </c>
      <c r="CN4" s="21" t="inlineStr">
        <is>
          <t>ForkJoinPool-14-worker-9</t>
        </is>
      </c>
      <c r="CO4" s="21" t="inlineStr">
        <is>
          <t>ForkJoinPool-15-worker-1</t>
        </is>
      </c>
      <c r="CP4" s="21" t="inlineStr">
        <is>
          <t>ForkJoinPool-15-worker-10</t>
        </is>
      </c>
      <c r="CQ4" s="21" t="inlineStr">
        <is>
          <t>ForkJoinPool-15-worker-12</t>
        </is>
      </c>
      <c r="CR4" s="21" t="inlineStr">
        <is>
          <t>ForkJoinPool-15-worker-2</t>
        </is>
      </c>
      <c r="CS4" s="21" t="inlineStr">
        <is>
          <t>ForkJoinPool-15-worker-3</t>
        </is>
      </c>
      <c r="CT4" s="21" t="inlineStr">
        <is>
          <t>ForkJoinPool-15-worker-4</t>
        </is>
      </c>
      <c r="CU4" s="21" t="inlineStr">
        <is>
          <t>ForkJoinPool-15-worker-5</t>
        </is>
      </c>
      <c r="CV4" s="21" t="inlineStr">
        <is>
          <t>ForkJoinPool-15-worker-6</t>
        </is>
      </c>
      <c r="CW4" s="21" t="inlineStr">
        <is>
          <t>ForkJoinPool-15-worker-7</t>
        </is>
      </c>
      <c r="CX4" s="21" t="inlineStr">
        <is>
          <t>ForkJoinPool-15-worker-8</t>
        </is>
      </c>
      <c r="CY4" s="21" t="inlineStr">
        <is>
          <t>ForkJoinPool-15-worker-9</t>
        </is>
      </c>
    </row>
    <row r="5">
      <c r="A5" s="22">
        <f>'클럭 정리'!A42</f>
        <v/>
      </c>
      <c r="B5" s="23">
        <f>'클럭 정리'!O42</f>
        <v/>
      </c>
      <c r="C5" s="23">
        <f>'클럭 정리'!O42</f>
        <v/>
      </c>
      <c r="D5" s="23">
        <f>'클럭 정리'!O42</f>
        <v/>
      </c>
      <c r="E5" s="23">
        <f>'클럭 정리'!O42</f>
        <v/>
      </c>
      <c r="F5" s="23">
        <f>'클럭 정리'!O42</f>
        <v/>
      </c>
      <c r="G5" s="23">
        <f>'클럭 정리'!O42</f>
        <v/>
      </c>
      <c r="H5" s="23">
        <f>'클럭 정리'!O42</f>
        <v/>
      </c>
      <c r="P5" s="24">
        <f>'클럭 정리'!A6</f>
        <v/>
      </c>
      <c r="Q5" s="23">
        <f>'클럭 정리'!O6</f>
        <v/>
      </c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  <c r="AD5" s="25" t="n"/>
      <c r="AE5" s="25" t="n"/>
      <c r="AF5" s="25" t="n"/>
      <c r="AG5" s="25" t="n"/>
      <c r="AH5" s="25" t="n"/>
      <c r="AI5" s="25" t="n"/>
      <c r="AJ5" s="25" t="n"/>
      <c r="AK5" s="25" t="n"/>
      <c r="AL5" s="25" t="n"/>
      <c r="AM5" s="25" t="n"/>
      <c r="AN5" s="25" t="n"/>
      <c r="AO5" s="25" t="n"/>
      <c r="AP5" s="25" t="n"/>
      <c r="AQ5" s="25" t="n"/>
      <c r="AR5" s="25" t="n"/>
      <c r="AS5" s="25" t="n"/>
      <c r="AT5" s="25" t="n"/>
      <c r="AU5" s="25" t="n"/>
      <c r="AV5" s="25" t="n"/>
      <c r="AW5" s="25" t="n"/>
      <c r="AX5" s="25" t="n"/>
      <c r="AY5" s="25" t="n"/>
      <c r="AZ5" s="25" t="n"/>
      <c r="BA5" s="25" t="n"/>
      <c r="BB5" s="25" t="n"/>
      <c r="BC5" s="25" t="n"/>
      <c r="BD5" s="25" t="n"/>
      <c r="BE5" s="25" t="n"/>
      <c r="BF5" s="25" t="n"/>
      <c r="BG5" s="25" t="n"/>
      <c r="BH5" s="25" t="n"/>
      <c r="BI5" s="25" t="n"/>
      <c r="BJ5" s="25" t="n"/>
      <c r="BK5" s="25" t="n"/>
      <c r="BL5" s="25" t="n"/>
      <c r="BM5" s="25" t="n"/>
      <c r="BN5" s="25" t="n"/>
      <c r="BO5" s="25" t="n"/>
      <c r="BP5" s="25" t="n"/>
      <c r="BQ5" s="25" t="n"/>
      <c r="BR5" s="25" t="n"/>
      <c r="BS5" s="25" t="n"/>
      <c r="BT5" s="25" t="n"/>
      <c r="BU5" s="25" t="n"/>
      <c r="BV5" s="25" t="n"/>
      <c r="BW5" s="25" t="n"/>
      <c r="BX5" s="25" t="n"/>
      <c r="BY5" s="25" t="n"/>
      <c r="BZ5" s="25" t="n"/>
      <c r="CA5" s="25" t="n"/>
      <c r="CB5" s="25" t="n"/>
      <c r="CC5" s="25" t="n"/>
      <c r="CD5" s="25" t="n"/>
      <c r="CE5" s="25" t="n"/>
      <c r="CF5" s="25" t="n"/>
      <c r="CG5" s="25" t="n"/>
      <c r="CH5" s="25" t="n"/>
      <c r="CI5" s="25" t="n"/>
      <c r="CJ5" s="25" t="n"/>
      <c r="CK5" s="25" t="n"/>
      <c r="CL5" s="25" t="n"/>
      <c r="CM5" s="25" t="n"/>
      <c r="CN5" s="25" t="n"/>
      <c r="CO5" s="25" t="n"/>
      <c r="CP5" s="25" t="n"/>
      <c r="CQ5" s="25" t="n"/>
      <c r="CR5" s="25" t="n"/>
      <c r="CS5" s="25" t="n"/>
      <c r="CT5" s="25" t="n"/>
      <c r="CU5" s="25" t="n"/>
      <c r="CV5" s="25" t="n"/>
      <c r="CW5" s="25" t="n"/>
      <c r="CX5" s="25" t="n"/>
      <c r="CY5" s="25" t="n"/>
    </row>
    <row r="6">
      <c r="A6" s="22">
        <f>'클럭 정리'!A43</f>
        <v/>
      </c>
      <c r="B6" s="23">
        <f>'클럭 정리'!O43</f>
        <v/>
      </c>
      <c r="C6" s="23">
        <f>'클럭 정리'!O43</f>
        <v/>
      </c>
      <c r="D6" s="23">
        <f>'클럭 정리'!O43</f>
        <v/>
      </c>
      <c r="E6" s="23">
        <f>'클럭 정리'!O43</f>
        <v/>
      </c>
      <c r="F6" s="23">
        <f>'클럭 정리'!O43</f>
        <v/>
      </c>
      <c r="G6" s="23">
        <f>'클럭 정리'!O43</f>
        <v/>
      </c>
      <c r="H6" s="23">
        <f>'클럭 정리'!O43</f>
        <v/>
      </c>
      <c r="P6" s="24">
        <f>'클럭 정리'!A7</f>
        <v/>
      </c>
      <c r="Q6" s="23">
        <f>'클럭 정리'!O7</f>
        <v/>
      </c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  <c r="AD6" s="25" t="n"/>
      <c r="AE6" s="25" t="n"/>
      <c r="AF6" s="25" t="n"/>
      <c r="AG6" s="25" t="n"/>
      <c r="AH6" s="25" t="n"/>
      <c r="AI6" s="25" t="n"/>
      <c r="AJ6" s="25" t="n"/>
      <c r="AK6" s="25" t="n"/>
      <c r="AL6" s="25" t="n"/>
      <c r="AM6" s="25" t="n"/>
      <c r="AN6" s="25" t="n"/>
      <c r="AO6" s="25" t="n"/>
      <c r="AP6" s="25" t="n"/>
      <c r="AQ6" s="25" t="n"/>
      <c r="AR6" s="25" t="n"/>
      <c r="AS6" s="25" t="n"/>
      <c r="AT6" s="25" t="n"/>
      <c r="AU6" s="25" t="n"/>
      <c r="AV6" s="25" t="n"/>
      <c r="AW6" s="25" t="n"/>
      <c r="AX6" s="25" t="n"/>
      <c r="AY6" s="25" t="n"/>
      <c r="AZ6" s="25" t="n"/>
      <c r="BA6" s="25" t="n"/>
      <c r="BB6" s="25" t="n"/>
      <c r="BC6" s="25" t="n"/>
      <c r="BD6" s="25" t="n"/>
      <c r="BE6" s="25" t="n"/>
      <c r="BF6" s="25" t="n"/>
      <c r="BG6" s="25" t="n"/>
      <c r="BH6" s="25" t="n"/>
      <c r="BI6" s="25" t="n"/>
      <c r="BJ6" s="25" t="n"/>
      <c r="BK6" s="25" t="n"/>
      <c r="BL6" s="25" t="n"/>
      <c r="BM6" s="25" t="n"/>
      <c r="BN6" s="25" t="n"/>
      <c r="BO6" s="25" t="n"/>
      <c r="BP6" s="25" t="n"/>
      <c r="BQ6" s="25" t="n"/>
      <c r="BR6" s="25" t="n"/>
      <c r="BS6" s="25" t="n"/>
      <c r="BT6" s="25" t="n"/>
      <c r="BU6" s="25" t="n"/>
      <c r="BV6" s="25" t="n"/>
      <c r="BW6" s="25" t="n"/>
      <c r="BX6" s="25" t="n"/>
      <c r="BY6" s="25" t="n"/>
      <c r="BZ6" s="25" t="n"/>
      <c r="CA6" s="25" t="n"/>
      <c r="CB6" s="25" t="n"/>
      <c r="CC6" s="25" t="n"/>
      <c r="CD6" s="25" t="n"/>
      <c r="CE6" s="25" t="n"/>
      <c r="CF6" s="25" t="n"/>
      <c r="CG6" s="25" t="n"/>
      <c r="CH6" s="25" t="n"/>
      <c r="CI6" s="25" t="n"/>
      <c r="CJ6" s="25" t="n"/>
      <c r="CK6" s="25" t="n"/>
      <c r="CL6" s="25" t="n"/>
      <c r="CM6" s="25" t="n"/>
      <c r="CN6" s="25" t="n"/>
      <c r="CO6" s="25" t="n"/>
      <c r="CP6" s="25" t="n"/>
      <c r="CQ6" s="25" t="n"/>
      <c r="CR6" s="25" t="n"/>
      <c r="CS6" s="25" t="n"/>
      <c r="CT6" s="25" t="n"/>
      <c r="CU6" s="25" t="n"/>
      <c r="CV6" s="25" t="n"/>
      <c r="CW6" s="25" t="n"/>
      <c r="CX6" s="25" t="n"/>
      <c r="CY6" s="25" t="n"/>
    </row>
    <row r="7">
      <c r="P7" s="24">
        <f>'클럭 정리'!A8</f>
        <v/>
      </c>
      <c r="Q7" s="23">
        <f>'클럭 정리'!O8</f>
        <v/>
      </c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  <c r="AD7" s="25" t="n"/>
      <c r="AE7" s="25" t="n"/>
      <c r="AF7" s="25" t="n"/>
      <c r="AG7" s="25" t="n"/>
      <c r="AH7" s="25" t="n"/>
      <c r="AI7" s="25" t="n"/>
      <c r="AJ7" s="25" t="n"/>
      <c r="AK7" s="25" t="n"/>
      <c r="AL7" s="25" t="n"/>
      <c r="AM7" s="25" t="n"/>
      <c r="AN7" s="25" t="n"/>
      <c r="AO7" s="25" t="n"/>
      <c r="AP7" s="25" t="n"/>
      <c r="AQ7" s="25" t="n"/>
      <c r="AR7" s="25" t="n"/>
      <c r="AS7" s="25" t="n"/>
      <c r="AT7" s="25" t="n"/>
      <c r="AU7" s="25" t="n"/>
      <c r="AV7" s="25" t="n"/>
      <c r="AW7" s="25" t="n"/>
      <c r="AX7" s="25" t="n"/>
      <c r="AY7" s="25" t="n"/>
      <c r="AZ7" s="25" t="n"/>
      <c r="BA7" s="25" t="n"/>
      <c r="BB7" s="25" t="n"/>
      <c r="BC7" s="25" t="n"/>
      <c r="BD7" s="25" t="n"/>
      <c r="BE7" s="25" t="n"/>
      <c r="BF7" s="25" t="n"/>
      <c r="BG7" s="25" t="n"/>
      <c r="BH7" s="25" t="n"/>
      <c r="BI7" s="25" t="n"/>
      <c r="BJ7" s="25" t="n"/>
      <c r="BK7" s="25" t="n"/>
      <c r="BL7" s="25" t="n"/>
      <c r="BM7" s="25" t="n"/>
      <c r="BN7" s="25" t="n"/>
      <c r="BO7" s="25" t="n"/>
      <c r="BP7" s="25" t="n"/>
      <c r="BQ7" s="25" t="n"/>
      <c r="BR7" s="25" t="n"/>
      <c r="BS7" s="25" t="n"/>
      <c r="BT7" s="25" t="n"/>
      <c r="BU7" s="25" t="n"/>
      <c r="BV7" s="25" t="n"/>
      <c r="BW7" s="25" t="n"/>
      <c r="BX7" s="25" t="n"/>
      <c r="BY7" s="25" t="n"/>
      <c r="BZ7" s="25" t="n"/>
      <c r="CA7" s="25" t="n"/>
      <c r="CB7" s="25" t="n"/>
      <c r="CC7" s="25" t="n"/>
      <c r="CD7" s="25" t="n"/>
      <c r="CE7" s="25" t="n"/>
      <c r="CF7" s="25" t="n"/>
      <c r="CG7" s="25" t="n"/>
      <c r="CH7" s="25" t="n"/>
      <c r="CI7" s="25" t="n"/>
      <c r="CJ7" s="25" t="n"/>
      <c r="CK7" s="25" t="n"/>
      <c r="CL7" s="25" t="n"/>
      <c r="CM7" s="25" t="n"/>
      <c r="CN7" s="25" t="n"/>
      <c r="CO7" s="25" t="n"/>
      <c r="CP7" s="25" t="n"/>
      <c r="CQ7" s="25" t="n"/>
      <c r="CR7" s="25" t="n"/>
      <c r="CS7" s="25" t="n"/>
      <c r="CT7" s="25" t="n"/>
      <c r="CU7" s="25" t="n"/>
      <c r="CV7" s="25" t="n"/>
      <c r="CW7" s="25" t="n"/>
      <c r="CX7" s="25" t="n"/>
      <c r="CY7" s="25" t="n"/>
    </row>
    <row r="8">
      <c r="A8" s="2" t="inlineStr">
        <is>
          <t>병렬도 6 분할 10 측정 2회차 (스레드별 클럭, GHz)</t>
        </is>
      </c>
      <c r="P8" s="24">
        <f>'클럭 정리'!A9</f>
        <v/>
      </c>
      <c r="Q8" s="23">
        <f>'클럭 정리'!O9</f>
        <v/>
      </c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5" t="n"/>
      <c r="AI8" s="25" t="n"/>
      <c r="AJ8" s="25" t="n"/>
      <c r="AK8" s="25" t="n"/>
      <c r="AL8" s="25" t="n"/>
      <c r="AM8" s="25" t="n"/>
      <c r="AN8" s="25" t="n"/>
      <c r="AO8" s="25" t="n"/>
      <c r="AP8" s="25" t="n"/>
      <c r="AQ8" s="25" t="n"/>
      <c r="AR8" s="25" t="n"/>
      <c r="AS8" s="25" t="n"/>
      <c r="AT8" s="25" t="n"/>
      <c r="AU8" s="25" t="n"/>
      <c r="AV8" s="25" t="n"/>
      <c r="AW8" s="25" t="n"/>
      <c r="AX8" s="25" t="n"/>
      <c r="AY8" s="25" t="n"/>
      <c r="AZ8" s="25" t="n"/>
      <c r="BA8" s="25" t="n"/>
      <c r="BB8" s="25" t="n"/>
      <c r="BC8" s="25" t="n"/>
      <c r="BD8" s="25" t="n"/>
      <c r="BE8" s="25" t="n"/>
      <c r="BF8" s="25" t="n"/>
      <c r="BG8" s="25" t="n"/>
      <c r="BH8" s="25" t="n"/>
      <c r="BI8" s="25" t="n"/>
      <c r="BJ8" s="25" t="n"/>
      <c r="BK8" s="25" t="n"/>
      <c r="BL8" s="25" t="n"/>
      <c r="BM8" s="25" t="n"/>
      <c r="BN8" s="25" t="n"/>
      <c r="BO8" s="25" t="n"/>
      <c r="BP8" s="25" t="n"/>
      <c r="BQ8" s="25" t="n"/>
      <c r="BR8" s="25" t="n"/>
      <c r="BS8" s="25" t="n"/>
      <c r="BT8" s="25" t="n"/>
      <c r="BU8" s="25" t="n"/>
      <c r="BV8" s="25" t="n"/>
      <c r="BW8" s="25" t="n"/>
      <c r="BX8" s="25" t="n"/>
      <c r="BY8" s="25" t="n"/>
      <c r="BZ8" s="25" t="n"/>
      <c r="CA8" s="25" t="n"/>
      <c r="CB8" s="25" t="n"/>
      <c r="CC8" s="25" t="n"/>
      <c r="CD8" s="25" t="n"/>
      <c r="CE8" s="25" t="n"/>
      <c r="CF8" s="25" t="n"/>
      <c r="CG8" s="25" t="n"/>
      <c r="CH8" s="25" t="n"/>
      <c r="CI8" s="25" t="n"/>
      <c r="CJ8" s="25" t="n"/>
      <c r="CK8" s="25" t="n"/>
      <c r="CL8" s="25" t="n"/>
      <c r="CM8" s="25" t="n"/>
      <c r="CN8" s="25" t="n"/>
      <c r="CO8" s="25" t="n"/>
      <c r="CP8" s="25" t="n"/>
      <c r="CQ8" s="25" t="n"/>
      <c r="CR8" s="25" t="n"/>
      <c r="CS8" s="25" t="n"/>
      <c r="CT8" s="25" t="n"/>
      <c r="CU8" s="25" t="n"/>
      <c r="CV8" s="25" t="n"/>
      <c r="CW8" s="25" t="n"/>
      <c r="CX8" s="25" t="n"/>
      <c r="CY8" s="25" t="n"/>
    </row>
    <row r="9">
      <c r="A9" s="21" t="inlineStr">
        <is>
          <t>시각</t>
        </is>
      </c>
      <c r="B9" s="21" t="inlineStr">
        <is>
          <t>ForkJoinPool-4-worker-1</t>
        </is>
      </c>
      <c r="C9" s="21" t="inlineStr">
        <is>
          <t>ForkJoinPool-4-worker-2</t>
        </is>
      </c>
      <c r="D9" s="21" t="inlineStr">
        <is>
          <t>ForkJoinPool-4-worker-3</t>
        </is>
      </c>
      <c r="E9" s="21" t="inlineStr">
        <is>
          <t>ForkJoinPool-4-worker-4</t>
        </is>
      </c>
      <c r="F9" s="21" t="inlineStr">
        <is>
          <t>ForkJoinPool-4-worker-5</t>
        </is>
      </c>
      <c r="G9" s="21" t="inlineStr">
        <is>
          <t>ForkJoinPool-4-worker-6</t>
        </is>
      </c>
      <c r="H9" s="21" t="inlineStr">
        <is>
          <t>main</t>
        </is>
      </c>
      <c r="P9" s="24">
        <f>'클럭 정리'!A10</f>
        <v/>
      </c>
      <c r="Q9" s="23">
        <f>'클럭 정리'!O10</f>
        <v/>
      </c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  <c r="AD9" s="25" t="n"/>
      <c r="AE9" s="25" t="n"/>
      <c r="AF9" s="25" t="n"/>
      <c r="AG9" s="25" t="n"/>
      <c r="AH9" s="25" t="n"/>
      <c r="AI9" s="25" t="n"/>
      <c r="AJ9" s="25" t="n"/>
      <c r="AK9" s="25" t="n"/>
      <c r="AL9" s="25" t="n"/>
      <c r="AM9" s="25" t="n"/>
      <c r="AN9" s="25" t="n"/>
      <c r="AO9" s="25" t="n"/>
      <c r="AP9" s="25" t="n"/>
      <c r="AQ9" s="25" t="n"/>
      <c r="AR9" s="25" t="n"/>
      <c r="AS9" s="25" t="n"/>
      <c r="AT9" s="25" t="n"/>
      <c r="AU9" s="25" t="n"/>
      <c r="AV9" s="25" t="n"/>
      <c r="AW9" s="25" t="n"/>
      <c r="AX9" s="25" t="n"/>
      <c r="AY9" s="25" t="n"/>
      <c r="AZ9" s="25" t="n"/>
      <c r="BA9" s="25" t="n"/>
      <c r="BB9" s="25" t="n"/>
      <c r="BC9" s="25" t="n"/>
      <c r="BD9" s="25" t="n"/>
      <c r="BE9" s="25" t="n"/>
      <c r="BF9" s="25" t="n"/>
      <c r="BG9" s="25" t="n"/>
      <c r="BH9" s="25" t="n"/>
      <c r="BI9" s="25" t="n"/>
      <c r="BJ9" s="25" t="n"/>
      <c r="BK9" s="25" t="n"/>
      <c r="BL9" s="25" t="n"/>
      <c r="BM9" s="25" t="n"/>
      <c r="BN9" s="25" t="n"/>
      <c r="BO9" s="25" t="n"/>
      <c r="BP9" s="25" t="n"/>
      <c r="BQ9" s="25" t="n"/>
      <c r="BR9" s="25" t="n"/>
      <c r="BS9" s="25" t="n"/>
      <c r="BT9" s="25" t="n"/>
      <c r="BU9" s="25" t="n"/>
      <c r="BV9" s="25" t="n"/>
      <c r="BW9" s="25" t="n"/>
      <c r="BX9" s="25" t="n"/>
      <c r="BY9" s="25" t="n"/>
      <c r="BZ9" s="25" t="n"/>
      <c r="CA9" s="25" t="n"/>
      <c r="CB9" s="25" t="n"/>
      <c r="CC9" s="25" t="n"/>
      <c r="CD9" s="25" t="n"/>
      <c r="CE9" s="25" t="n"/>
      <c r="CF9" s="25" t="n"/>
      <c r="CG9" s="25" t="n"/>
      <c r="CH9" s="25" t="n"/>
      <c r="CI9" s="25" t="n"/>
      <c r="CJ9" s="25" t="n"/>
      <c r="CK9" s="25" t="n"/>
      <c r="CL9" s="25" t="n"/>
      <c r="CM9" s="25" t="n"/>
      <c r="CN9" s="25" t="n"/>
      <c r="CO9" s="25" t="n"/>
      <c r="CP9" s="25" t="n"/>
      <c r="CQ9" s="25" t="n"/>
      <c r="CR9" s="25" t="n"/>
      <c r="CS9" s="25" t="n"/>
      <c r="CT9" s="25" t="n"/>
      <c r="CU9" s="25" t="n"/>
      <c r="CV9" s="25" t="n"/>
      <c r="CW9" s="25" t="n"/>
      <c r="CX9" s="25" t="n"/>
      <c r="CY9" s="25" t="n"/>
    </row>
    <row r="10">
      <c r="A10" s="22">
        <f>'클럭 정리'!A44</f>
        <v/>
      </c>
      <c r="B10" s="23">
        <f>'클럭 정리'!O44</f>
        <v/>
      </c>
      <c r="C10" s="23">
        <f>'클럭 정리'!O44</f>
        <v/>
      </c>
      <c r="D10" s="23">
        <f>'클럭 정리'!O44</f>
        <v/>
      </c>
      <c r="E10" s="23">
        <f>'클럭 정리'!O44</f>
        <v/>
      </c>
      <c r="F10" s="23">
        <f>'클럭 정리'!O44</f>
        <v/>
      </c>
      <c r="G10" s="23">
        <f>'클럭 정리'!O44</f>
        <v/>
      </c>
      <c r="H10" s="23">
        <f>'클럭 정리'!O44</f>
        <v/>
      </c>
      <c r="P10" s="24">
        <f>'클럭 정리'!A11</f>
        <v/>
      </c>
      <c r="Q10" s="23">
        <f>'클럭 정리'!O11</f>
        <v/>
      </c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25" t="n"/>
      <c r="BL10" s="25" t="n"/>
      <c r="BM10" s="25" t="n"/>
      <c r="BN10" s="25" t="n"/>
      <c r="BO10" s="25" t="n"/>
      <c r="BP10" s="25" t="n"/>
      <c r="BQ10" s="25" t="n"/>
      <c r="BR10" s="25" t="n"/>
      <c r="BS10" s="25" t="n"/>
      <c r="BT10" s="25" t="n"/>
      <c r="BU10" s="25" t="n"/>
      <c r="BV10" s="25" t="n"/>
      <c r="BW10" s="25" t="n"/>
      <c r="BX10" s="25" t="n"/>
      <c r="BY10" s="25" t="n"/>
      <c r="BZ10" s="25" t="n"/>
      <c r="CA10" s="25" t="n"/>
      <c r="CB10" s="25" t="n"/>
      <c r="CC10" s="25" t="n"/>
      <c r="CD10" s="25" t="n"/>
      <c r="CE10" s="25" t="n"/>
      <c r="CF10" s="25" t="n"/>
      <c r="CG10" s="25" t="n"/>
      <c r="CH10" s="25" t="n"/>
      <c r="CI10" s="25" t="n"/>
      <c r="CJ10" s="25" t="n"/>
      <c r="CK10" s="25" t="n"/>
      <c r="CL10" s="25" t="n"/>
      <c r="CM10" s="25" t="n"/>
      <c r="CN10" s="25" t="n"/>
      <c r="CO10" s="25" t="n"/>
      <c r="CP10" s="25" t="n"/>
      <c r="CQ10" s="25" t="n"/>
      <c r="CR10" s="25" t="n"/>
      <c r="CS10" s="25" t="n"/>
      <c r="CT10" s="25" t="n"/>
      <c r="CU10" s="25" t="n"/>
      <c r="CV10" s="25" t="n"/>
      <c r="CW10" s="25" t="n"/>
      <c r="CX10" s="25" t="n"/>
      <c r="CY10" s="25" t="n"/>
    </row>
    <row r="11">
      <c r="A11" s="22">
        <f>'클럭 정리'!A45</f>
        <v/>
      </c>
      <c r="B11" s="23">
        <f>'클럭 정리'!O45</f>
        <v/>
      </c>
      <c r="C11" s="23">
        <f>'클럭 정리'!O45</f>
        <v/>
      </c>
      <c r="D11" s="23">
        <f>'클럭 정리'!O45</f>
        <v/>
      </c>
      <c r="E11" s="23">
        <f>'클럭 정리'!O45</f>
        <v/>
      </c>
      <c r="F11" s="23">
        <f>'클럭 정리'!O45</f>
        <v/>
      </c>
      <c r="G11" s="23">
        <f>'클럭 정리'!O45</f>
        <v/>
      </c>
      <c r="H11" s="23">
        <f>'클럭 정리'!O45</f>
        <v/>
      </c>
      <c r="P11" s="24">
        <f>'클럭 정리'!A12</f>
        <v/>
      </c>
      <c r="Q11" s="23">
        <f>'클럭 정리'!O12</f>
        <v/>
      </c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  <c r="AD11" s="25" t="n"/>
      <c r="AE11" s="25" t="n"/>
      <c r="AF11" s="25" t="n"/>
      <c r="AG11" s="25" t="n"/>
      <c r="AH11" s="25" t="n"/>
      <c r="AI11" s="25" t="n"/>
      <c r="AJ11" s="25" t="n"/>
      <c r="AK11" s="25" t="n"/>
      <c r="AL11" s="25" t="n"/>
      <c r="AM11" s="25" t="n"/>
      <c r="AN11" s="25" t="n"/>
      <c r="AO11" s="25" t="n"/>
      <c r="AP11" s="25" t="n"/>
      <c r="AQ11" s="25" t="n"/>
      <c r="AR11" s="25" t="n"/>
      <c r="AS11" s="25" t="n"/>
      <c r="AT11" s="25" t="n"/>
      <c r="AU11" s="25" t="n"/>
      <c r="AV11" s="25" t="n"/>
      <c r="AW11" s="25" t="n"/>
      <c r="AX11" s="25" t="n"/>
      <c r="AY11" s="25" t="n"/>
      <c r="AZ11" s="25" t="n"/>
      <c r="BA11" s="25" t="n"/>
      <c r="BB11" s="25" t="n"/>
      <c r="BC11" s="25" t="n"/>
      <c r="BD11" s="25" t="n"/>
      <c r="BE11" s="25" t="n"/>
      <c r="BF11" s="25" t="n"/>
      <c r="BG11" s="25" t="n"/>
      <c r="BH11" s="25" t="n"/>
      <c r="BI11" s="25" t="n"/>
      <c r="BJ11" s="25" t="n"/>
      <c r="BK11" s="25" t="n"/>
      <c r="BL11" s="25" t="n"/>
      <c r="BM11" s="25" t="n"/>
      <c r="BN11" s="25" t="n"/>
      <c r="BO11" s="25" t="n"/>
      <c r="BP11" s="25" t="n"/>
      <c r="BQ11" s="25" t="n"/>
      <c r="BR11" s="25" t="n"/>
      <c r="BS11" s="25" t="n"/>
      <c r="BT11" s="25" t="n"/>
      <c r="BU11" s="25" t="n"/>
      <c r="BV11" s="25" t="n"/>
      <c r="BW11" s="25" t="n"/>
      <c r="BX11" s="25" t="n"/>
      <c r="BY11" s="25" t="n"/>
      <c r="BZ11" s="25" t="n"/>
      <c r="CA11" s="25" t="n"/>
      <c r="CB11" s="25" t="n"/>
      <c r="CC11" s="25" t="n"/>
      <c r="CD11" s="25" t="n"/>
      <c r="CE11" s="25" t="n"/>
      <c r="CF11" s="25" t="n"/>
      <c r="CG11" s="25" t="n"/>
      <c r="CH11" s="25" t="n"/>
      <c r="CI11" s="25" t="n"/>
      <c r="CJ11" s="25" t="n"/>
      <c r="CK11" s="25" t="n"/>
      <c r="CL11" s="25" t="n"/>
      <c r="CM11" s="25" t="n"/>
      <c r="CN11" s="25" t="n"/>
      <c r="CO11" s="25" t="n"/>
      <c r="CP11" s="25" t="n"/>
      <c r="CQ11" s="25" t="n"/>
      <c r="CR11" s="25" t="n"/>
      <c r="CS11" s="25" t="n"/>
      <c r="CT11" s="25" t="n"/>
      <c r="CU11" s="25" t="n"/>
      <c r="CV11" s="25" t="n"/>
      <c r="CW11" s="25" t="n"/>
      <c r="CX11" s="25" t="n"/>
      <c r="CY11" s="25" t="n"/>
    </row>
    <row r="12">
      <c r="P12" s="24">
        <f>'클럭 정리'!A13</f>
        <v/>
      </c>
      <c r="Q12" s="23">
        <f>'클럭 정리'!O13</f>
        <v/>
      </c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  <c r="AD12" s="25" t="n"/>
      <c r="AE12" s="25" t="n"/>
      <c r="AF12" s="25" t="n"/>
      <c r="AG12" s="25" t="n"/>
      <c r="AH12" s="25" t="n"/>
      <c r="AI12" s="25" t="n"/>
      <c r="AJ12" s="25" t="n"/>
      <c r="AK12" s="25" t="n"/>
      <c r="AL12" s="25" t="n"/>
      <c r="AM12" s="25" t="n"/>
      <c r="AN12" s="25" t="n"/>
      <c r="AO12" s="25" t="n"/>
      <c r="AP12" s="25" t="n"/>
      <c r="AQ12" s="25" t="n"/>
      <c r="AR12" s="25" t="n"/>
      <c r="AS12" s="25" t="n"/>
      <c r="AT12" s="25" t="n"/>
      <c r="AU12" s="25" t="n"/>
      <c r="AV12" s="25" t="n"/>
      <c r="AW12" s="25" t="n"/>
      <c r="AX12" s="25" t="n"/>
      <c r="AY12" s="25" t="n"/>
      <c r="AZ12" s="25" t="n"/>
      <c r="BA12" s="25" t="n"/>
      <c r="BB12" s="25" t="n"/>
      <c r="BC12" s="25" t="n"/>
      <c r="BD12" s="25" t="n"/>
      <c r="BE12" s="25" t="n"/>
      <c r="BF12" s="25" t="n"/>
      <c r="BG12" s="25" t="n"/>
      <c r="BH12" s="25" t="n"/>
      <c r="BI12" s="25" t="n"/>
      <c r="BJ12" s="25" t="n"/>
      <c r="BK12" s="25" t="n"/>
      <c r="BL12" s="25" t="n"/>
      <c r="BM12" s="25" t="n"/>
      <c r="BN12" s="25" t="n"/>
      <c r="BO12" s="25" t="n"/>
      <c r="BP12" s="25" t="n"/>
      <c r="BQ12" s="25" t="n"/>
      <c r="BR12" s="25" t="n"/>
      <c r="BS12" s="25" t="n"/>
      <c r="BT12" s="25" t="n"/>
      <c r="BU12" s="25" t="n"/>
      <c r="BV12" s="25" t="n"/>
      <c r="BW12" s="25" t="n"/>
      <c r="BX12" s="25" t="n"/>
      <c r="BY12" s="25" t="n"/>
      <c r="BZ12" s="25" t="n"/>
      <c r="CA12" s="25" t="n"/>
      <c r="CB12" s="25" t="n"/>
      <c r="CC12" s="25" t="n"/>
      <c r="CD12" s="25" t="n"/>
      <c r="CE12" s="25" t="n"/>
      <c r="CF12" s="25" t="n"/>
      <c r="CG12" s="25" t="n"/>
      <c r="CH12" s="25" t="n"/>
      <c r="CI12" s="25" t="n"/>
      <c r="CJ12" s="25" t="n"/>
      <c r="CK12" s="25" t="n"/>
      <c r="CL12" s="25" t="n"/>
      <c r="CM12" s="25" t="n"/>
      <c r="CN12" s="25" t="n"/>
      <c r="CO12" s="25" t="n"/>
      <c r="CP12" s="25" t="n"/>
      <c r="CQ12" s="25" t="n"/>
      <c r="CR12" s="25" t="n"/>
      <c r="CS12" s="25" t="n"/>
      <c r="CT12" s="25" t="n"/>
      <c r="CU12" s="25" t="n"/>
      <c r="CV12" s="25" t="n"/>
      <c r="CW12" s="25" t="n"/>
      <c r="CX12" s="25" t="n"/>
      <c r="CY12" s="25" t="n"/>
    </row>
    <row r="13">
      <c r="A13" s="2" t="inlineStr">
        <is>
          <t>병렬도 6 분할 10 측정 3회차 (스레드별 클럭, GHz)</t>
        </is>
      </c>
      <c r="P13" s="24">
        <f>'클럭 정리'!A14</f>
        <v/>
      </c>
      <c r="Q13" s="23">
        <f>'클럭 정리'!O14</f>
        <v/>
      </c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  <c r="AL13" s="25" t="n"/>
      <c r="AM13" s="25" t="n"/>
      <c r="AN13" s="25" t="n"/>
      <c r="AO13" s="25" t="n"/>
      <c r="AP13" s="25" t="n"/>
      <c r="AQ13" s="25" t="n"/>
      <c r="AR13" s="25" t="n"/>
      <c r="AS13" s="25" t="n"/>
      <c r="AT13" s="25" t="n"/>
      <c r="AU13" s="25" t="n"/>
      <c r="AV13" s="25" t="n"/>
      <c r="AW13" s="25" t="n"/>
      <c r="AX13" s="25" t="n"/>
      <c r="AY13" s="25" t="n"/>
      <c r="AZ13" s="25" t="n"/>
      <c r="BA13" s="25" t="n"/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25" t="n"/>
      <c r="BM13" s="25" t="n"/>
      <c r="BN13" s="25" t="n"/>
      <c r="BO13" s="25" t="n"/>
      <c r="BP13" s="25" t="n"/>
      <c r="BQ13" s="25" t="n"/>
      <c r="BR13" s="25" t="n"/>
      <c r="BS13" s="25" t="n"/>
      <c r="BT13" s="25" t="n"/>
      <c r="BU13" s="25" t="n"/>
      <c r="BV13" s="25" t="n"/>
      <c r="BW13" s="25" t="n"/>
      <c r="BX13" s="25" t="n"/>
      <c r="BY13" s="25" t="n"/>
      <c r="BZ13" s="25" t="n"/>
      <c r="CA13" s="25" t="n"/>
      <c r="CB13" s="25" t="n"/>
      <c r="CC13" s="25" t="n"/>
      <c r="CD13" s="25" t="n"/>
      <c r="CE13" s="25" t="n"/>
      <c r="CF13" s="25" t="n"/>
      <c r="CG13" s="25" t="n"/>
      <c r="CH13" s="25" t="n"/>
      <c r="CI13" s="25" t="n"/>
      <c r="CJ13" s="25" t="n"/>
      <c r="CK13" s="25" t="n"/>
      <c r="CL13" s="25" t="n"/>
      <c r="CM13" s="25" t="n"/>
      <c r="CN13" s="25" t="n"/>
      <c r="CO13" s="25" t="n"/>
      <c r="CP13" s="25" t="n"/>
      <c r="CQ13" s="25" t="n"/>
      <c r="CR13" s="25" t="n"/>
      <c r="CS13" s="25" t="n"/>
      <c r="CT13" s="25" t="n"/>
      <c r="CU13" s="25" t="n"/>
      <c r="CV13" s="25" t="n"/>
      <c r="CW13" s="25" t="n"/>
      <c r="CX13" s="25" t="n"/>
      <c r="CY13" s="25" t="n"/>
    </row>
    <row r="14">
      <c r="A14" s="21" t="inlineStr">
        <is>
          <t>시각</t>
        </is>
      </c>
      <c r="B14" s="21" t="inlineStr">
        <is>
          <t>ForkJoinPool-5-worker-1</t>
        </is>
      </c>
      <c r="C14" s="21" t="inlineStr">
        <is>
          <t>ForkJoinPool-5-worker-2</t>
        </is>
      </c>
      <c r="D14" s="21" t="inlineStr">
        <is>
          <t>ForkJoinPool-5-worker-3</t>
        </is>
      </c>
      <c r="E14" s="21" t="inlineStr">
        <is>
          <t>ForkJoinPool-5-worker-4</t>
        </is>
      </c>
      <c r="F14" s="21" t="inlineStr">
        <is>
          <t>ForkJoinPool-5-worker-5</t>
        </is>
      </c>
      <c r="G14" s="21" t="inlineStr">
        <is>
          <t>ForkJoinPool-5-worker-6</t>
        </is>
      </c>
      <c r="H14" s="21" t="inlineStr">
        <is>
          <t>main</t>
        </is>
      </c>
      <c r="P14" s="24">
        <f>'클럭 정리'!A15</f>
        <v/>
      </c>
      <c r="Q14" s="23">
        <f>'클럭 정리'!O15</f>
        <v/>
      </c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5" t="n"/>
      <c r="AK14" s="25" t="n"/>
      <c r="AL14" s="25" t="n"/>
      <c r="AM14" s="25" t="n"/>
      <c r="AN14" s="25" t="n"/>
      <c r="AO14" s="25" t="n"/>
      <c r="AP14" s="25" t="n"/>
      <c r="AQ14" s="25" t="n"/>
      <c r="AR14" s="25" t="n"/>
      <c r="AS14" s="25" t="n"/>
      <c r="AT14" s="25" t="n"/>
      <c r="AU14" s="25" t="n"/>
      <c r="AV14" s="25" t="n"/>
      <c r="AW14" s="25" t="n"/>
      <c r="AX14" s="25" t="n"/>
      <c r="AY14" s="25" t="n"/>
      <c r="AZ14" s="25" t="n"/>
      <c r="BA14" s="25" t="n"/>
      <c r="BB14" s="25" t="n"/>
      <c r="BC14" s="25" t="n"/>
      <c r="BD14" s="25" t="n"/>
      <c r="BE14" s="25" t="n"/>
      <c r="BF14" s="25" t="n"/>
      <c r="BG14" s="25" t="n"/>
      <c r="BH14" s="25" t="n"/>
      <c r="BI14" s="25" t="n"/>
      <c r="BJ14" s="25" t="n"/>
      <c r="BK14" s="25" t="n"/>
      <c r="BL14" s="25" t="n"/>
      <c r="BM14" s="25" t="n"/>
      <c r="BN14" s="25" t="n"/>
      <c r="BO14" s="25" t="n"/>
      <c r="BP14" s="25" t="n"/>
      <c r="BQ14" s="25" t="n"/>
      <c r="BR14" s="25" t="n"/>
      <c r="BS14" s="25" t="n"/>
      <c r="BT14" s="25" t="n"/>
      <c r="BU14" s="25" t="n"/>
      <c r="BV14" s="25" t="n"/>
      <c r="BW14" s="25" t="n"/>
      <c r="BX14" s="25" t="n"/>
      <c r="BY14" s="25" t="n"/>
      <c r="BZ14" s="25" t="n"/>
      <c r="CA14" s="25" t="n"/>
      <c r="CB14" s="25" t="n"/>
      <c r="CC14" s="25" t="n"/>
      <c r="CD14" s="25" t="n"/>
      <c r="CE14" s="25" t="n"/>
      <c r="CF14" s="25" t="n"/>
      <c r="CG14" s="25" t="n"/>
      <c r="CH14" s="25" t="n"/>
      <c r="CI14" s="25" t="n"/>
      <c r="CJ14" s="25" t="n"/>
      <c r="CK14" s="25" t="n"/>
      <c r="CL14" s="25" t="n"/>
      <c r="CM14" s="25" t="n"/>
      <c r="CN14" s="25" t="n"/>
      <c r="CO14" s="25" t="n"/>
      <c r="CP14" s="25" t="n"/>
      <c r="CQ14" s="25" t="n"/>
      <c r="CR14" s="25" t="n"/>
      <c r="CS14" s="25" t="n"/>
      <c r="CT14" s="25" t="n"/>
      <c r="CU14" s="25" t="n"/>
      <c r="CV14" s="25" t="n"/>
      <c r="CW14" s="25" t="n"/>
      <c r="CX14" s="25" t="n"/>
      <c r="CY14" s="25" t="n"/>
    </row>
    <row r="15">
      <c r="A15" s="22">
        <f>'클럭 정리'!A46</f>
        <v/>
      </c>
      <c r="B15" s="23">
        <f>'클럭 정리'!O46</f>
        <v/>
      </c>
      <c r="C15" s="23">
        <f>'클럭 정리'!O46</f>
        <v/>
      </c>
      <c r="D15" s="23">
        <f>'클럭 정리'!O46</f>
        <v/>
      </c>
      <c r="E15" s="23">
        <f>'클럭 정리'!O46</f>
        <v/>
      </c>
      <c r="F15" s="23">
        <f>'클럭 정리'!O46</f>
        <v/>
      </c>
      <c r="G15" s="23">
        <f>'클럭 정리'!O46</f>
        <v/>
      </c>
      <c r="H15" s="23">
        <f>'클럭 정리'!O46</f>
        <v/>
      </c>
      <c r="P15" s="24">
        <f>'클럭 정리'!A16</f>
        <v/>
      </c>
      <c r="Q15" s="23">
        <f>'클럭 정리'!O16</f>
        <v/>
      </c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5" t="n"/>
      <c r="AK15" s="25" t="n"/>
      <c r="AL15" s="25" t="n"/>
      <c r="AM15" s="25" t="n"/>
      <c r="AN15" s="25" t="n"/>
      <c r="AO15" s="25" t="n"/>
      <c r="AP15" s="25" t="n"/>
      <c r="AQ15" s="25" t="n"/>
      <c r="AR15" s="25" t="n"/>
      <c r="AS15" s="25" t="n"/>
      <c r="AT15" s="25" t="n"/>
      <c r="AU15" s="25" t="n"/>
      <c r="AV15" s="25" t="n"/>
      <c r="AW15" s="25" t="n"/>
      <c r="AX15" s="25" t="n"/>
      <c r="AY15" s="25" t="n"/>
      <c r="AZ15" s="25" t="n"/>
      <c r="BA15" s="25" t="n"/>
      <c r="BB15" s="25" t="n"/>
      <c r="BC15" s="25" t="n"/>
      <c r="BD15" s="25" t="n"/>
      <c r="BE15" s="25" t="n"/>
      <c r="BF15" s="25" t="n"/>
      <c r="BG15" s="25" t="n"/>
      <c r="BH15" s="25" t="n"/>
      <c r="BI15" s="25" t="n"/>
      <c r="BJ15" s="25" t="n"/>
      <c r="BK15" s="25" t="n"/>
      <c r="BL15" s="25" t="n"/>
      <c r="BM15" s="25" t="n"/>
      <c r="BN15" s="25" t="n"/>
      <c r="BO15" s="25" t="n"/>
      <c r="BP15" s="25" t="n"/>
      <c r="BQ15" s="25" t="n"/>
      <c r="BR15" s="25" t="n"/>
      <c r="BS15" s="25" t="n"/>
      <c r="BT15" s="25" t="n"/>
      <c r="BU15" s="25" t="n"/>
      <c r="BV15" s="25" t="n"/>
      <c r="BW15" s="25" t="n"/>
      <c r="BX15" s="25" t="n"/>
      <c r="BY15" s="25" t="n"/>
      <c r="BZ15" s="25" t="n"/>
      <c r="CA15" s="25" t="n"/>
      <c r="CB15" s="25" t="n"/>
      <c r="CC15" s="25" t="n"/>
      <c r="CD15" s="25" t="n"/>
      <c r="CE15" s="25" t="n"/>
      <c r="CF15" s="25" t="n"/>
      <c r="CG15" s="25" t="n"/>
      <c r="CH15" s="25" t="n"/>
      <c r="CI15" s="25" t="n"/>
      <c r="CJ15" s="25" t="n"/>
      <c r="CK15" s="25" t="n"/>
      <c r="CL15" s="25" t="n"/>
      <c r="CM15" s="25" t="n"/>
      <c r="CN15" s="25" t="n"/>
      <c r="CO15" s="25" t="n"/>
      <c r="CP15" s="25" t="n"/>
      <c r="CQ15" s="25" t="n"/>
      <c r="CR15" s="25" t="n"/>
      <c r="CS15" s="25" t="n"/>
      <c r="CT15" s="25" t="n"/>
      <c r="CU15" s="25" t="n"/>
      <c r="CV15" s="25" t="n"/>
      <c r="CW15" s="25" t="n"/>
      <c r="CX15" s="25" t="n"/>
      <c r="CY15" s="25" t="n"/>
    </row>
    <row r="16">
      <c r="A16" s="22">
        <f>'클럭 정리'!A47</f>
        <v/>
      </c>
      <c r="B16" s="23">
        <f>'클럭 정리'!O47</f>
        <v/>
      </c>
      <c r="C16" s="23">
        <f>'클럭 정리'!O47</f>
        <v/>
      </c>
      <c r="D16" s="23">
        <f>'클럭 정리'!O47</f>
        <v/>
      </c>
      <c r="E16" s="23">
        <f>'클럭 정리'!O47</f>
        <v/>
      </c>
      <c r="F16" s="23">
        <f>'클럭 정리'!O47</f>
        <v/>
      </c>
      <c r="G16" s="23">
        <f>'클럭 정리'!O47</f>
        <v/>
      </c>
      <c r="H16" s="23">
        <f>'클럭 정리'!O47</f>
        <v/>
      </c>
      <c r="P16" s="24">
        <f>'클럭 정리'!A17</f>
        <v/>
      </c>
      <c r="Q16" s="23">
        <f>'클럭 정리'!O17</f>
        <v/>
      </c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  <c r="AS16" s="25" t="n"/>
      <c r="AT16" s="25" t="n"/>
      <c r="AU16" s="25" t="n"/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  <c r="BE16" s="25" t="n"/>
      <c r="BF16" s="25" t="n"/>
      <c r="BG16" s="25" t="n"/>
      <c r="BH16" s="25" t="n"/>
      <c r="BI16" s="25" t="n"/>
      <c r="BJ16" s="25" t="n"/>
      <c r="BK16" s="25" t="n"/>
      <c r="BL16" s="25" t="n"/>
      <c r="BM16" s="25" t="n"/>
      <c r="BN16" s="25" t="n"/>
      <c r="BO16" s="25" t="n"/>
      <c r="BP16" s="25" t="n"/>
      <c r="BQ16" s="25" t="n"/>
      <c r="BR16" s="25" t="n"/>
      <c r="BS16" s="25" t="n"/>
      <c r="BT16" s="25" t="n"/>
      <c r="BU16" s="25" t="n"/>
      <c r="BV16" s="25" t="n"/>
      <c r="BW16" s="25" t="n"/>
      <c r="BX16" s="25" t="n"/>
      <c r="BY16" s="25" t="n"/>
      <c r="BZ16" s="25" t="n"/>
      <c r="CA16" s="25" t="n"/>
      <c r="CB16" s="25" t="n"/>
      <c r="CC16" s="25" t="n"/>
      <c r="CD16" s="25" t="n"/>
      <c r="CE16" s="25" t="n"/>
      <c r="CF16" s="25" t="n"/>
      <c r="CG16" s="25" t="n"/>
      <c r="CH16" s="25" t="n"/>
      <c r="CI16" s="25" t="n"/>
      <c r="CJ16" s="25" t="n"/>
      <c r="CK16" s="25" t="n"/>
      <c r="CL16" s="25" t="n"/>
      <c r="CM16" s="25" t="n"/>
      <c r="CN16" s="25" t="n"/>
      <c r="CO16" s="25" t="n"/>
      <c r="CP16" s="25" t="n"/>
      <c r="CQ16" s="25" t="n"/>
      <c r="CR16" s="25" t="n"/>
      <c r="CS16" s="25" t="n"/>
      <c r="CT16" s="25" t="n"/>
      <c r="CU16" s="25" t="n"/>
      <c r="CV16" s="25" t="n"/>
      <c r="CW16" s="25" t="n"/>
      <c r="CX16" s="25" t="n"/>
      <c r="CY16" s="25" t="n"/>
    </row>
    <row r="17">
      <c r="P17" s="24">
        <f>'클럭 정리'!A18</f>
        <v/>
      </c>
      <c r="Q17" s="23">
        <f>'클럭 정리'!O18</f>
        <v/>
      </c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5" t="n"/>
      <c r="AT17" s="25" t="n"/>
      <c r="AU17" s="25" t="n"/>
      <c r="AV17" s="25" t="n"/>
      <c r="AW17" s="25" t="n"/>
      <c r="AX17" s="25" t="n"/>
      <c r="AY17" s="25" t="n"/>
      <c r="AZ17" s="25" t="n"/>
      <c r="BA17" s="25" t="n"/>
      <c r="BB17" s="25" t="n"/>
      <c r="BC17" s="25" t="n"/>
      <c r="BD17" s="25" t="n"/>
      <c r="BE17" s="25" t="n"/>
      <c r="BF17" s="25" t="n"/>
      <c r="BG17" s="25" t="n"/>
      <c r="BH17" s="25" t="n"/>
      <c r="BI17" s="25" t="n"/>
      <c r="BJ17" s="25" t="n"/>
      <c r="BK17" s="25" t="n"/>
      <c r="BL17" s="25" t="n"/>
      <c r="BM17" s="25" t="n"/>
      <c r="BN17" s="25" t="n"/>
      <c r="BO17" s="25" t="n"/>
      <c r="BP17" s="25" t="n"/>
      <c r="BQ17" s="25" t="n"/>
      <c r="BR17" s="25" t="n"/>
      <c r="BS17" s="25" t="n"/>
      <c r="BT17" s="25" t="n"/>
      <c r="BU17" s="25" t="n"/>
      <c r="BV17" s="25" t="n"/>
      <c r="BW17" s="25" t="n"/>
      <c r="BX17" s="25" t="n"/>
      <c r="BY17" s="25" t="n"/>
      <c r="BZ17" s="25" t="n"/>
      <c r="CA17" s="25" t="n"/>
      <c r="CB17" s="25" t="n"/>
      <c r="CC17" s="25" t="n"/>
      <c r="CD17" s="25" t="n"/>
      <c r="CE17" s="25" t="n"/>
      <c r="CF17" s="25" t="n"/>
      <c r="CG17" s="25" t="n"/>
      <c r="CH17" s="25" t="n"/>
      <c r="CI17" s="25" t="n"/>
      <c r="CJ17" s="25" t="n"/>
      <c r="CK17" s="25" t="n"/>
      <c r="CL17" s="25" t="n"/>
      <c r="CM17" s="25" t="n"/>
      <c r="CN17" s="25" t="n"/>
      <c r="CO17" s="25" t="n"/>
      <c r="CP17" s="25" t="n"/>
      <c r="CQ17" s="25" t="n"/>
      <c r="CR17" s="25" t="n"/>
      <c r="CS17" s="25" t="n"/>
      <c r="CT17" s="25" t="n"/>
      <c r="CU17" s="25" t="n"/>
      <c r="CV17" s="25" t="n"/>
      <c r="CW17" s="25" t="n"/>
      <c r="CX17" s="25" t="n"/>
      <c r="CY17" s="25" t="n"/>
    </row>
    <row r="18">
      <c r="A18" s="2" t="inlineStr">
        <is>
          <t>병렬도 6 분할 10 측정 4회차 (스레드별 클럭, GHz)</t>
        </is>
      </c>
      <c r="P18" s="24">
        <f>'클럭 정리'!A19</f>
        <v/>
      </c>
      <c r="Q18" s="23">
        <f>'클럭 정리'!O19</f>
        <v/>
      </c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5" t="n"/>
      <c r="AS18" s="25" t="n"/>
      <c r="AT18" s="25" t="n"/>
      <c r="AU18" s="25" t="n"/>
      <c r="AV18" s="25" t="n"/>
      <c r="AW18" s="25" t="n"/>
      <c r="AX18" s="25" t="n"/>
      <c r="AY18" s="25" t="n"/>
      <c r="AZ18" s="25" t="n"/>
      <c r="BA18" s="25" t="n"/>
      <c r="BB18" s="25" t="n"/>
      <c r="BC18" s="25" t="n"/>
      <c r="BD18" s="25" t="n"/>
      <c r="BE18" s="25" t="n"/>
      <c r="BF18" s="25" t="n"/>
      <c r="BG18" s="25" t="n"/>
      <c r="BH18" s="25" t="n"/>
      <c r="BI18" s="25" t="n"/>
      <c r="BJ18" s="25" t="n"/>
      <c r="BK18" s="25" t="n"/>
      <c r="BL18" s="25" t="n"/>
      <c r="BM18" s="25" t="n"/>
      <c r="BN18" s="25" t="n"/>
      <c r="BO18" s="25" t="n"/>
      <c r="BP18" s="25" t="n"/>
      <c r="BQ18" s="25" t="n"/>
      <c r="BR18" s="25" t="n"/>
      <c r="BS18" s="25" t="n"/>
      <c r="BT18" s="25" t="n"/>
      <c r="BU18" s="25" t="n"/>
      <c r="BV18" s="25" t="n"/>
      <c r="BW18" s="25" t="n"/>
      <c r="BX18" s="25" t="n"/>
      <c r="BY18" s="25" t="n"/>
      <c r="BZ18" s="25" t="n"/>
      <c r="CA18" s="25" t="n"/>
      <c r="CB18" s="25" t="n"/>
      <c r="CC18" s="25" t="n"/>
      <c r="CD18" s="25" t="n"/>
      <c r="CE18" s="25" t="n"/>
      <c r="CF18" s="25" t="n"/>
      <c r="CG18" s="25" t="n"/>
      <c r="CH18" s="25" t="n"/>
      <c r="CI18" s="25" t="n"/>
      <c r="CJ18" s="25" t="n"/>
      <c r="CK18" s="25" t="n"/>
      <c r="CL18" s="25" t="n"/>
      <c r="CM18" s="25" t="n"/>
      <c r="CN18" s="25" t="n"/>
      <c r="CO18" s="25" t="n"/>
      <c r="CP18" s="25" t="n"/>
      <c r="CQ18" s="25" t="n"/>
      <c r="CR18" s="25" t="n"/>
      <c r="CS18" s="25" t="n"/>
      <c r="CT18" s="25" t="n"/>
      <c r="CU18" s="25" t="n"/>
      <c r="CV18" s="25" t="n"/>
      <c r="CW18" s="25" t="n"/>
      <c r="CX18" s="25" t="n"/>
      <c r="CY18" s="25" t="n"/>
    </row>
    <row r="19">
      <c r="A19" s="21" t="inlineStr">
        <is>
          <t>시각</t>
        </is>
      </c>
      <c r="B19" s="21" t="inlineStr">
        <is>
          <t>ForkJoinPool-6-worker-1</t>
        </is>
      </c>
      <c r="C19" s="21" t="inlineStr">
        <is>
          <t>ForkJoinPool-6-worker-2</t>
        </is>
      </c>
      <c r="D19" s="21" t="inlineStr">
        <is>
          <t>ForkJoinPool-6-worker-3</t>
        </is>
      </c>
      <c r="E19" s="21" t="inlineStr">
        <is>
          <t>ForkJoinPool-6-worker-4</t>
        </is>
      </c>
      <c r="F19" s="21" t="inlineStr">
        <is>
          <t>ForkJoinPool-6-worker-5</t>
        </is>
      </c>
      <c r="G19" s="21" t="inlineStr">
        <is>
          <t>ForkJoinPool-6-worker-6</t>
        </is>
      </c>
      <c r="H19" s="21" t="inlineStr">
        <is>
          <t>main</t>
        </is>
      </c>
      <c r="P19" s="24">
        <f>'클럭 정리'!A20</f>
        <v/>
      </c>
      <c r="Q19" s="23">
        <f>'클럭 정리'!O20</f>
        <v/>
      </c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  <c r="AD19" s="25" t="n"/>
      <c r="AE19" s="25" t="n"/>
      <c r="AF19" s="25" t="n"/>
      <c r="AG19" s="25" t="n"/>
      <c r="AH19" s="25" t="n"/>
      <c r="AI19" s="25" t="n"/>
      <c r="AJ19" s="25" t="n"/>
      <c r="AK19" s="25" t="n"/>
      <c r="AL19" s="25" t="n"/>
      <c r="AM19" s="25" t="n"/>
      <c r="AN19" s="25" t="n"/>
      <c r="AO19" s="25" t="n"/>
      <c r="AP19" s="25" t="n"/>
      <c r="AQ19" s="25" t="n"/>
      <c r="AR19" s="25" t="n"/>
      <c r="AS19" s="25" t="n"/>
      <c r="AT19" s="25" t="n"/>
      <c r="AU19" s="25" t="n"/>
      <c r="AV19" s="25" t="n"/>
      <c r="AW19" s="25" t="n"/>
      <c r="AX19" s="25" t="n"/>
      <c r="AY19" s="25" t="n"/>
      <c r="AZ19" s="25" t="n"/>
      <c r="BA19" s="25" t="n"/>
      <c r="BB19" s="25" t="n"/>
      <c r="BC19" s="25" t="n"/>
      <c r="BD19" s="25" t="n"/>
      <c r="BE19" s="25" t="n"/>
      <c r="BF19" s="25" t="n"/>
      <c r="BG19" s="25" t="n"/>
      <c r="BH19" s="25" t="n"/>
      <c r="BI19" s="25" t="n"/>
      <c r="BJ19" s="25" t="n"/>
      <c r="BK19" s="25" t="n"/>
      <c r="BL19" s="25" t="n"/>
      <c r="BM19" s="25" t="n"/>
      <c r="BN19" s="25" t="n"/>
      <c r="BO19" s="25" t="n"/>
      <c r="BP19" s="25" t="n"/>
      <c r="BQ19" s="25" t="n"/>
      <c r="BR19" s="25" t="n"/>
      <c r="BS19" s="25" t="n"/>
      <c r="BT19" s="25" t="n"/>
      <c r="BU19" s="25" t="n"/>
      <c r="BV19" s="25" t="n"/>
      <c r="BW19" s="25" t="n"/>
      <c r="BX19" s="25" t="n"/>
      <c r="BY19" s="25" t="n"/>
      <c r="BZ19" s="25" t="n"/>
      <c r="CA19" s="25" t="n"/>
      <c r="CB19" s="25" t="n"/>
      <c r="CC19" s="25" t="n"/>
      <c r="CD19" s="25" t="n"/>
      <c r="CE19" s="25" t="n"/>
      <c r="CF19" s="25" t="n"/>
      <c r="CG19" s="25" t="n"/>
      <c r="CH19" s="25" t="n"/>
      <c r="CI19" s="25" t="n"/>
      <c r="CJ19" s="25" t="n"/>
      <c r="CK19" s="25" t="n"/>
      <c r="CL19" s="25" t="n"/>
      <c r="CM19" s="25" t="n"/>
      <c r="CN19" s="25" t="n"/>
      <c r="CO19" s="25" t="n"/>
      <c r="CP19" s="25" t="n"/>
      <c r="CQ19" s="25" t="n"/>
      <c r="CR19" s="25" t="n"/>
      <c r="CS19" s="25" t="n"/>
      <c r="CT19" s="25" t="n"/>
      <c r="CU19" s="25" t="n"/>
      <c r="CV19" s="25" t="n"/>
      <c r="CW19" s="25" t="n"/>
      <c r="CX19" s="25" t="n"/>
      <c r="CY19" s="25" t="n"/>
    </row>
    <row r="20">
      <c r="A20" s="22">
        <f>'클럭 정리'!A48</f>
        <v/>
      </c>
      <c r="B20" s="23">
        <f>'클럭 정리'!O48</f>
        <v/>
      </c>
      <c r="C20" s="23">
        <f>'클럭 정리'!O48</f>
        <v/>
      </c>
      <c r="D20" s="23">
        <f>'클럭 정리'!O48</f>
        <v/>
      </c>
      <c r="E20" s="23">
        <f>'클럭 정리'!O48</f>
        <v/>
      </c>
      <c r="F20" s="23">
        <f>'클럭 정리'!O48</f>
        <v/>
      </c>
      <c r="G20" s="23">
        <f>'클럭 정리'!O48</f>
        <v/>
      </c>
      <c r="H20" s="23">
        <f>'클럭 정리'!O48</f>
        <v/>
      </c>
      <c r="P20" s="24">
        <f>'클럭 정리'!A21</f>
        <v/>
      </c>
      <c r="Q20" s="23">
        <f>'클럭 정리'!O21</f>
        <v/>
      </c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5" t="n"/>
      <c r="AS20" s="25" t="n"/>
      <c r="AT20" s="25" t="n"/>
      <c r="AU20" s="25" t="n"/>
      <c r="AV20" s="25" t="n"/>
      <c r="AW20" s="25" t="n"/>
      <c r="AX20" s="25" t="n"/>
      <c r="AY20" s="25" t="n"/>
      <c r="AZ20" s="25" t="n"/>
      <c r="BA20" s="25" t="n"/>
      <c r="BB20" s="25" t="n"/>
      <c r="BC20" s="25" t="n"/>
      <c r="BD20" s="25" t="n"/>
      <c r="BE20" s="25" t="n"/>
      <c r="BF20" s="25" t="n"/>
      <c r="BG20" s="25" t="n"/>
      <c r="BH20" s="25" t="n"/>
      <c r="BI20" s="25" t="n"/>
      <c r="BJ20" s="25" t="n"/>
      <c r="BK20" s="25" t="n"/>
      <c r="BL20" s="25" t="n"/>
      <c r="BM20" s="25" t="n"/>
      <c r="BN20" s="25" t="n"/>
      <c r="BO20" s="25" t="n"/>
      <c r="BP20" s="25" t="n"/>
      <c r="BQ20" s="25" t="n"/>
      <c r="BR20" s="25" t="n"/>
      <c r="BS20" s="25" t="n"/>
      <c r="BT20" s="25" t="n"/>
      <c r="BU20" s="25" t="n"/>
      <c r="BV20" s="25" t="n"/>
      <c r="BW20" s="25" t="n"/>
      <c r="BX20" s="25" t="n"/>
      <c r="BY20" s="25" t="n"/>
      <c r="BZ20" s="25" t="n"/>
      <c r="CA20" s="25" t="n"/>
      <c r="CB20" s="25" t="n"/>
      <c r="CC20" s="25" t="n"/>
      <c r="CD20" s="25" t="n"/>
      <c r="CE20" s="25" t="n"/>
      <c r="CF20" s="25" t="n"/>
      <c r="CG20" s="25" t="n"/>
      <c r="CH20" s="25" t="n"/>
      <c r="CI20" s="25" t="n"/>
      <c r="CJ20" s="25" t="n"/>
      <c r="CK20" s="25" t="n"/>
      <c r="CL20" s="25" t="n"/>
      <c r="CM20" s="25" t="n"/>
      <c r="CN20" s="25" t="n"/>
      <c r="CO20" s="25" t="n"/>
      <c r="CP20" s="25" t="n"/>
      <c r="CQ20" s="25" t="n"/>
      <c r="CR20" s="25" t="n"/>
      <c r="CS20" s="25" t="n"/>
      <c r="CT20" s="25" t="n"/>
      <c r="CU20" s="25" t="n"/>
      <c r="CV20" s="25" t="n"/>
      <c r="CW20" s="25" t="n"/>
      <c r="CX20" s="25" t="n"/>
      <c r="CY20" s="25" t="n"/>
    </row>
    <row r="21">
      <c r="A21" s="22">
        <f>'클럭 정리'!A49</f>
        <v/>
      </c>
      <c r="B21" s="23">
        <f>'클럭 정리'!O49</f>
        <v/>
      </c>
      <c r="C21" s="23">
        <f>'클럭 정리'!O49</f>
        <v/>
      </c>
      <c r="D21" s="23">
        <f>'클럭 정리'!O49</f>
        <v/>
      </c>
      <c r="E21" s="23">
        <f>'클럭 정리'!O49</f>
        <v/>
      </c>
      <c r="F21" s="23">
        <f>'클럭 정리'!O49</f>
        <v/>
      </c>
      <c r="G21" s="23">
        <f>'클럭 정리'!O49</f>
        <v/>
      </c>
      <c r="H21" s="23">
        <f>'클럭 정리'!O49</f>
        <v/>
      </c>
      <c r="P21" s="24">
        <f>'클럭 정리'!A22</f>
        <v/>
      </c>
      <c r="Q21" s="23">
        <f>'클럭 정리'!O22</f>
        <v/>
      </c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25" t="n"/>
      <c r="BL21" s="25" t="n"/>
      <c r="BM21" s="25" t="n"/>
      <c r="BN21" s="25" t="n"/>
      <c r="BO21" s="25" t="n"/>
      <c r="BP21" s="25" t="n"/>
      <c r="BQ21" s="25" t="n"/>
      <c r="BR21" s="25" t="n"/>
      <c r="BS21" s="25" t="n"/>
      <c r="BT21" s="25" t="n"/>
      <c r="BU21" s="25" t="n"/>
      <c r="BV21" s="25" t="n"/>
      <c r="BW21" s="25" t="n"/>
      <c r="BX21" s="25" t="n"/>
      <c r="BY21" s="25" t="n"/>
      <c r="BZ21" s="25" t="n"/>
      <c r="CA21" s="25" t="n"/>
      <c r="CB21" s="25" t="n"/>
      <c r="CC21" s="25" t="n"/>
      <c r="CD21" s="25" t="n"/>
      <c r="CE21" s="25" t="n"/>
      <c r="CF21" s="25" t="n"/>
      <c r="CG21" s="25" t="n"/>
      <c r="CH21" s="25" t="n"/>
      <c r="CI21" s="25" t="n"/>
      <c r="CJ21" s="25" t="n"/>
      <c r="CK21" s="25" t="n"/>
      <c r="CL21" s="25" t="n"/>
      <c r="CM21" s="25" t="n"/>
      <c r="CN21" s="25" t="n"/>
      <c r="CO21" s="25" t="n"/>
      <c r="CP21" s="25" t="n"/>
      <c r="CQ21" s="25" t="n"/>
      <c r="CR21" s="25" t="n"/>
      <c r="CS21" s="25" t="n"/>
      <c r="CT21" s="25" t="n"/>
      <c r="CU21" s="25" t="n"/>
      <c r="CV21" s="25" t="n"/>
      <c r="CW21" s="25" t="n"/>
      <c r="CX21" s="25" t="n"/>
      <c r="CY21" s="25" t="n"/>
    </row>
    <row r="22">
      <c r="P22" s="24">
        <f>'클럭 정리'!A23</f>
        <v/>
      </c>
      <c r="Q22" s="23">
        <f>'클럭 정리'!O23</f>
        <v/>
      </c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5" t="n"/>
      <c r="AT22" s="25" t="n"/>
      <c r="AU22" s="25" t="n"/>
      <c r="AV22" s="25" t="n"/>
      <c r="AW22" s="25" t="n"/>
      <c r="AX22" s="25" t="n"/>
      <c r="AY22" s="25" t="n"/>
      <c r="AZ22" s="25" t="n"/>
      <c r="BA22" s="25" t="n"/>
      <c r="BB22" s="25" t="n"/>
      <c r="BC22" s="25" t="n"/>
      <c r="BD22" s="25" t="n"/>
      <c r="BE22" s="25" t="n"/>
      <c r="BF22" s="25" t="n"/>
      <c r="BG22" s="25" t="n"/>
      <c r="BH22" s="25" t="n"/>
      <c r="BI22" s="25" t="n"/>
      <c r="BJ22" s="25" t="n"/>
      <c r="BK22" s="25" t="n"/>
      <c r="BL22" s="25" t="n"/>
      <c r="BM22" s="25" t="n"/>
      <c r="BN22" s="25" t="n"/>
      <c r="BO22" s="25" t="n"/>
      <c r="BP22" s="25" t="n"/>
      <c r="BQ22" s="25" t="n"/>
      <c r="BR22" s="25" t="n"/>
      <c r="BS22" s="25" t="n"/>
      <c r="BT22" s="25" t="n"/>
      <c r="BU22" s="25" t="n"/>
      <c r="BV22" s="25" t="n"/>
      <c r="BW22" s="25" t="n"/>
      <c r="BX22" s="25" t="n"/>
      <c r="BY22" s="25" t="n"/>
      <c r="BZ22" s="25" t="n"/>
      <c r="CA22" s="25" t="n"/>
      <c r="CB22" s="25" t="n"/>
      <c r="CC22" s="25" t="n"/>
      <c r="CD22" s="25" t="n"/>
      <c r="CE22" s="25" t="n"/>
      <c r="CF22" s="25" t="n"/>
      <c r="CG22" s="25" t="n"/>
      <c r="CH22" s="25" t="n"/>
      <c r="CI22" s="25" t="n"/>
      <c r="CJ22" s="25" t="n"/>
      <c r="CK22" s="25" t="n"/>
      <c r="CL22" s="25" t="n"/>
      <c r="CM22" s="25" t="n"/>
      <c r="CN22" s="25" t="n"/>
      <c r="CO22" s="25" t="n"/>
      <c r="CP22" s="25" t="n"/>
      <c r="CQ22" s="25" t="n"/>
      <c r="CR22" s="25" t="n"/>
      <c r="CS22" s="25" t="n"/>
      <c r="CT22" s="25" t="n"/>
      <c r="CU22" s="25" t="n"/>
      <c r="CV22" s="25" t="n"/>
      <c r="CW22" s="25" t="n"/>
      <c r="CX22" s="25" t="n"/>
      <c r="CY22" s="25" t="n"/>
    </row>
    <row r="23">
      <c r="A23" s="2" t="inlineStr">
        <is>
          <t>병렬도 6 분할 10 측정 5회차 (스레드별 클럭, GHz)</t>
        </is>
      </c>
      <c r="P23" s="24">
        <f>'클럭 정리'!A24</f>
        <v/>
      </c>
      <c r="Q23" s="23">
        <f>'클럭 정리'!O24</f>
        <v/>
      </c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  <c r="AJ23" s="25" t="n"/>
      <c r="AK23" s="25" t="n"/>
      <c r="AL23" s="25" t="n"/>
      <c r="AM23" s="25" t="n"/>
      <c r="AN23" s="25" t="n"/>
      <c r="AO23" s="25" t="n"/>
      <c r="AP23" s="25" t="n"/>
      <c r="AQ23" s="25" t="n"/>
      <c r="AR23" s="25" t="n"/>
      <c r="AS23" s="25" t="n"/>
      <c r="AT23" s="25" t="n"/>
      <c r="AU23" s="25" t="n"/>
      <c r="AV23" s="25" t="n"/>
      <c r="AW23" s="25" t="n"/>
      <c r="AX23" s="25" t="n"/>
      <c r="AY23" s="25" t="n"/>
      <c r="AZ23" s="25" t="n"/>
      <c r="BA23" s="25" t="n"/>
      <c r="BB23" s="25" t="n"/>
      <c r="BC23" s="25" t="n"/>
      <c r="BD23" s="25" t="n"/>
      <c r="BE23" s="25" t="n"/>
      <c r="BF23" s="25" t="n"/>
      <c r="BG23" s="25" t="n"/>
      <c r="BH23" s="25" t="n"/>
      <c r="BI23" s="25" t="n"/>
      <c r="BJ23" s="25" t="n"/>
      <c r="BK23" s="25" t="n"/>
      <c r="BL23" s="25" t="n"/>
      <c r="BM23" s="25" t="n"/>
      <c r="BN23" s="25" t="n"/>
      <c r="BO23" s="25" t="n"/>
      <c r="BP23" s="25" t="n"/>
      <c r="BQ23" s="25" t="n"/>
      <c r="BR23" s="25" t="n"/>
      <c r="BS23" s="25" t="n"/>
      <c r="BT23" s="25" t="n"/>
      <c r="BU23" s="25" t="n"/>
      <c r="BV23" s="25" t="n"/>
      <c r="BW23" s="25" t="n"/>
      <c r="BX23" s="25" t="n"/>
      <c r="BY23" s="25" t="n"/>
      <c r="BZ23" s="25" t="n"/>
      <c r="CA23" s="25" t="n"/>
      <c r="CB23" s="25" t="n"/>
      <c r="CC23" s="25" t="n"/>
      <c r="CD23" s="25" t="n"/>
      <c r="CE23" s="25" t="n"/>
      <c r="CF23" s="25" t="n"/>
      <c r="CG23" s="25" t="n"/>
      <c r="CH23" s="25" t="n"/>
      <c r="CI23" s="25" t="n"/>
      <c r="CJ23" s="25" t="n"/>
      <c r="CK23" s="25" t="n"/>
      <c r="CL23" s="25" t="n"/>
      <c r="CM23" s="25" t="n"/>
      <c r="CN23" s="25" t="n"/>
      <c r="CO23" s="25" t="n"/>
      <c r="CP23" s="25" t="n"/>
      <c r="CQ23" s="25" t="n"/>
      <c r="CR23" s="25" t="n"/>
      <c r="CS23" s="25" t="n"/>
      <c r="CT23" s="25" t="n"/>
      <c r="CU23" s="25" t="n"/>
      <c r="CV23" s="25" t="n"/>
      <c r="CW23" s="25" t="n"/>
      <c r="CX23" s="25" t="n"/>
      <c r="CY23" s="25" t="n"/>
    </row>
    <row r="24">
      <c r="A24" s="21" t="inlineStr">
        <is>
          <t>시각</t>
        </is>
      </c>
      <c r="B24" s="21" t="inlineStr">
        <is>
          <t>ForkJoinPool-7-worker-1</t>
        </is>
      </c>
      <c r="C24" s="21" t="inlineStr">
        <is>
          <t>ForkJoinPool-7-worker-2</t>
        </is>
      </c>
      <c r="D24" s="21" t="inlineStr">
        <is>
          <t>ForkJoinPool-7-worker-3</t>
        </is>
      </c>
      <c r="E24" s="21" t="inlineStr">
        <is>
          <t>ForkJoinPool-7-worker-4</t>
        </is>
      </c>
      <c r="F24" s="21" t="inlineStr">
        <is>
          <t>ForkJoinPool-7-worker-5</t>
        </is>
      </c>
      <c r="G24" s="21" t="inlineStr">
        <is>
          <t>ForkJoinPool-7-worker-6</t>
        </is>
      </c>
      <c r="H24" s="21" t="inlineStr">
        <is>
          <t>main</t>
        </is>
      </c>
      <c r="P24" s="24">
        <f>'클럭 정리'!A25</f>
        <v/>
      </c>
      <c r="Q24" s="23">
        <f>'클럭 정리'!O25</f>
        <v/>
      </c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  <c r="AD24" s="25" t="n"/>
      <c r="AE24" s="25" t="n"/>
      <c r="AF24" s="25" t="n"/>
      <c r="AG24" s="25" t="n"/>
      <c r="AH24" s="25" t="n"/>
      <c r="AI24" s="25" t="n"/>
      <c r="AJ24" s="25" t="n"/>
      <c r="AK24" s="25" t="n"/>
      <c r="AL24" s="25" t="n"/>
      <c r="AM24" s="25" t="n"/>
      <c r="AN24" s="25" t="n"/>
      <c r="AO24" s="25" t="n"/>
      <c r="AP24" s="25" t="n"/>
      <c r="AQ24" s="25" t="n"/>
      <c r="AR24" s="25" t="n"/>
      <c r="AS24" s="25" t="n"/>
      <c r="AT24" s="25" t="n"/>
      <c r="AU24" s="25" t="n"/>
      <c r="AV24" s="25" t="n"/>
      <c r="AW24" s="25" t="n"/>
      <c r="AX24" s="25" t="n"/>
      <c r="AY24" s="25" t="n"/>
      <c r="AZ24" s="25" t="n"/>
      <c r="BA24" s="25" t="n"/>
      <c r="BB24" s="25" t="n"/>
      <c r="BC24" s="25" t="n"/>
      <c r="BD24" s="25" t="n"/>
      <c r="BE24" s="25" t="n"/>
      <c r="BF24" s="25" t="n"/>
      <c r="BG24" s="25" t="n"/>
      <c r="BH24" s="25" t="n"/>
      <c r="BI24" s="25" t="n"/>
      <c r="BJ24" s="25" t="n"/>
      <c r="BK24" s="25" t="n"/>
      <c r="BL24" s="25" t="n"/>
      <c r="BM24" s="25" t="n"/>
      <c r="BN24" s="25" t="n"/>
      <c r="BO24" s="25" t="n"/>
      <c r="BP24" s="25" t="n"/>
      <c r="BQ24" s="25" t="n"/>
      <c r="BR24" s="25" t="n"/>
      <c r="BS24" s="25" t="n"/>
      <c r="BT24" s="25" t="n"/>
      <c r="BU24" s="25" t="n"/>
      <c r="BV24" s="25" t="n"/>
      <c r="BW24" s="25" t="n"/>
      <c r="BX24" s="25" t="n"/>
      <c r="BY24" s="25" t="n"/>
      <c r="BZ24" s="25" t="n"/>
      <c r="CA24" s="25" t="n"/>
      <c r="CB24" s="25" t="n"/>
      <c r="CC24" s="25" t="n"/>
      <c r="CD24" s="25" t="n"/>
      <c r="CE24" s="25" t="n"/>
      <c r="CF24" s="25" t="n"/>
      <c r="CG24" s="25" t="n"/>
      <c r="CH24" s="25" t="n"/>
      <c r="CI24" s="25" t="n"/>
      <c r="CJ24" s="25" t="n"/>
      <c r="CK24" s="25" t="n"/>
      <c r="CL24" s="25" t="n"/>
      <c r="CM24" s="25" t="n"/>
      <c r="CN24" s="25" t="n"/>
      <c r="CO24" s="25" t="n"/>
      <c r="CP24" s="25" t="n"/>
      <c r="CQ24" s="25" t="n"/>
      <c r="CR24" s="25" t="n"/>
      <c r="CS24" s="25" t="n"/>
      <c r="CT24" s="25" t="n"/>
      <c r="CU24" s="25" t="n"/>
      <c r="CV24" s="25" t="n"/>
      <c r="CW24" s="25" t="n"/>
      <c r="CX24" s="25" t="n"/>
      <c r="CY24" s="25" t="n"/>
    </row>
    <row r="25">
      <c r="A25" s="22">
        <f>'클럭 정리'!A50</f>
        <v/>
      </c>
      <c r="B25" s="23">
        <f>'클럭 정리'!O50</f>
        <v/>
      </c>
      <c r="C25" s="23">
        <f>'클럭 정리'!O50</f>
        <v/>
      </c>
      <c r="D25" s="23">
        <f>'클럭 정리'!O50</f>
        <v/>
      </c>
      <c r="E25" s="23">
        <f>'클럭 정리'!O50</f>
        <v/>
      </c>
      <c r="F25" s="23">
        <f>'클럭 정리'!O50</f>
        <v/>
      </c>
      <c r="G25" s="23">
        <f>'클럭 정리'!O50</f>
        <v/>
      </c>
      <c r="H25" s="23">
        <f>'클럭 정리'!O50</f>
        <v/>
      </c>
      <c r="P25" s="24">
        <f>'클럭 정리'!A26</f>
        <v/>
      </c>
      <c r="Q25" s="23">
        <f>'클럭 정리'!O26</f>
        <v/>
      </c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  <c r="AD25" s="25" t="n"/>
      <c r="AE25" s="25" t="n"/>
      <c r="AF25" s="25" t="n"/>
      <c r="AG25" s="25" t="n"/>
      <c r="AH25" s="25" t="n"/>
      <c r="AI25" s="25" t="n"/>
      <c r="AJ25" s="25" t="n"/>
      <c r="AK25" s="25" t="n"/>
      <c r="AL25" s="25" t="n"/>
      <c r="AM25" s="25" t="n"/>
      <c r="AN25" s="25" t="n"/>
      <c r="AO25" s="25" t="n"/>
      <c r="AP25" s="25" t="n"/>
      <c r="AQ25" s="25" t="n"/>
      <c r="AR25" s="25" t="n"/>
      <c r="AS25" s="25" t="n"/>
      <c r="AT25" s="25" t="n"/>
      <c r="AU25" s="25" t="n"/>
      <c r="AV25" s="25" t="n"/>
      <c r="AW25" s="25" t="n"/>
      <c r="AX25" s="25" t="n"/>
      <c r="AY25" s="25" t="n"/>
      <c r="AZ25" s="25" t="n"/>
      <c r="BA25" s="25" t="n"/>
      <c r="BB25" s="25" t="n"/>
      <c r="BC25" s="25" t="n"/>
      <c r="BD25" s="25" t="n"/>
      <c r="BE25" s="25" t="n"/>
      <c r="BF25" s="25" t="n"/>
      <c r="BG25" s="25" t="n"/>
      <c r="BH25" s="25" t="n"/>
      <c r="BI25" s="25" t="n"/>
      <c r="BJ25" s="25" t="n"/>
      <c r="BK25" s="25" t="n"/>
      <c r="BL25" s="25" t="n"/>
      <c r="BM25" s="25" t="n"/>
      <c r="BN25" s="25" t="n"/>
      <c r="BO25" s="25" t="n"/>
      <c r="BP25" s="25" t="n"/>
      <c r="BQ25" s="25" t="n"/>
      <c r="BR25" s="25" t="n"/>
      <c r="BS25" s="25" t="n"/>
      <c r="BT25" s="25" t="n"/>
      <c r="BU25" s="25" t="n"/>
      <c r="BV25" s="25" t="n"/>
      <c r="BW25" s="25" t="n"/>
      <c r="BX25" s="25" t="n"/>
      <c r="BY25" s="25" t="n"/>
      <c r="BZ25" s="25" t="n"/>
      <c r="CA25" s="25" t="n"/>
      <c r="CB25" s="25" t="n"/>
      <c r="CC25" s="25" t="n"/>
      <c r="CD25" s="25" t="n"/>
      <c r="CE25" s="25" t="n"/>
      <c r="CF25" s="25" t="n"/>
      <c r="CG25" s="25" t="n"/>
      <c r="CH25" s="25" t="n"/>
      <c r="CI25" s="25" t="n"/>
      <c r="CJ25" s="25" t="n"/>
      <c r="CK25" s="25" t="n"/>
      <c r="CL25" s="25" t="n"/>
      <c r="CM25" s="25" t="n"/>
      <c r="CN25" s="25" t="n"/>
      <c r="CO25" s="25" t="n"/>
      <c r="CP25" s="25" t="n"/>
      <c r="CQ25" s="25" t="n"/>
      <c r="CR25" s="25" t="n"/>
      <c r="CS25" s="25" t="n"/>
      <c r="CT25" s="25" t="n"/>
      <c r="CU25" s="25" t="n"/>
      <c r="CV25" s="25" t="n"/>
      <c r="CW25" s="25" t="n"/>
      <c r="CX25" s="25" t="n"/>
      <c r="CY25" s="25" t="n"/>
    </row>
    <row r="26">
      <c r="A26" s="22">
        <f>'클럭 정리'!A51</f>
        <v/>
      </c>
      <c r="B26" s="23">
        <f>'클럭 정리'!O51</f>
        <v/>
      </c>
      <c r="C26" s="23">
        <f>'클럭 정리'!O51</f>
        <v/>
      </c>
      <c r="D26" s="23">
        <f>'클럭 정리'!O51</f>
        <v/>
      </c>
      <c r="E26" s="23">
        <f>'클럭 정리'!O51</f>
        <v/>
      </c>
      <c r="F26" s="23">
        <f>'클럭 정리'!O51</f>
        <v/>
      </c>
      <c r="G26" s="23">
        <f>'클럭 정리'!O51</f>
        <v/>
      </c>
      <c r="H26" s="23">
        <f>'클럭 정리'!O51</f>
        <v/>
      </c>
      <c r="P26" s="24">
        <f>'클럭 정리'!A27</f>
        <v/>
      </c>
      <c r="Q26" s="23">
        <f>'클럭 정리'!O27</f>
        <v/>
      </c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5" t="n"/>
      <c r="AI26" s="25" t="n"/>
      <c r="AJ26" s="25" t="n"/>
      <c r="AK26" s="25" t="n"/>
      <c r="AL26" s="25" t="n"/>
      <c r="AM26" s="25" t="n"/>
      <c r="AN26" s="25" t="n"/>
      <c r="AO26" s="25" t="n"/>
      <c r="AP26" s="25" t="n"/>
      <c r="AQ26" s="25" t="n"/>
      <c r="AR26" s="25" t="n"/>
      <c r="AS26" s="25" t="n"/>
      <c r="AT26" s="25" t="n"/>
      <c r="AU26" s="25" t="n"/>
      <c r="AV26" s="25" t="n"/>
      <c r="AW26" s="25" t="n"/>
      <c r="AX26" s="25" t="n"/>
      <c r="AY26" s="25" t="n"/>
      <c r="AZ26" s="25" t="n"/>
      <c r="BA26" s="25" t="n"/>
      <c r="BB26" s="25" t="n"/>
      <c r="BC26" s="25" t="n"/>
      <c r="BD26" s="25" t="n"/>
      <c r="BE26" s="25" t="n"/>
      <c r="BF26" s="25" t="n"/>
      <c r="BG26" s="25" t="n"/>
      <c r="BH26" s="25" t="n"/>
      <c r="BI26" s="25" t="n"/>
      <c r="BJ26" s="25" t="n"/>
      <c r="BK26" s="25" t="n"/>
      <c r="BL26" s="25" t="n"/>
      <c r="BM26" s="25" t="n"/>
      <c r="BN26" s="25" t="n"/>
      <c r="BO26" s="25" t="n"/>
      <c r="BP26" s="25" t="n"/>
      <c r="BQ26" s="25" t="n"/>
      <c r="BR26" s="25" t="n"/>
      <c r="BS26" s="25" t="n"/>
      <c r="BT26" s="25" t="n"/>
      <c r="BU26" s="25" t="n"/>
      <c r="BV26" s="25" t="n"/>
      <c r="BW26" s="25" t="n"/>
      <c r="BX26" s="25" t="n"/>
      <c r="BY26" s="25" t="n"/>
      <c r="BZ26" s="25" t="n"/>
      <c r="CA26" s="25" t="n"/>
      <c r="CB26" s="25" t="n"/>
      <c r="CC26" s="25" t="n"/>
      <c r="CD26" s="25" t="n"/>
      <c r="CE26" s="25" t="n"/>
      <c r="CF26" s="25" t="n"/>
      <c r="CG26" s="25" t="n"/>
      <c r="CH26" s="25" t="n"/>
      <c r="CI26" s="25" t="n"/>
      <c r="CJ26" s="25" t="n"/>
      <c r="CK26" s="25" t="n"/>
      <c r="CL26" s="25" t="n"/>
      <c r="CM26" s="25" t="n"/>
      <c r="CN26" s="25" t="n"/>
      <c r="CO26" s="25" t="n"/>
      <c r="CP26" s="25" t="n"/>
      <c r="CQ26" s="25" t="n"/>
      <c r="CR26" s="25" t="n"/>
      <c r="CS26" s="25" t="n"/>
      <c r="CT26" s="25" t="n"/>
      <c r="CU26" s="25" t="n"/>
      <c r="CV26" s="25" t="n"/>
      <c r="CW26" s="25" t="n"/>
      <c r="CX26" s="25" t="n"/>
      <c r="CY26" s="25" t="n"/>
    </row>
    <row r="27">
      <c r="P27" s="24">
        <f>'클럭 정리'!A28</f>
        <v/>
      </c>
      <c r="Q27" s="23">
        <f>'클럭 정리'!O28</f>
        <v/>
      </c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  <c r="AD27" s="25" t="n"/>
      <c r="AE27" s="25" t="n"/>
      <c r="AF27" s="25" t="n"/>
      <c r="AG27" s="25" t="n"/>
      <c r="AH27" s="25" t="n"/>
      <c r="AI27" s="25" t="n"/>
      <c r="AJ27" s="25" t="n"/>
      <c r="AK27" s="25" t="n"/>
      <c r="AL27" s="25" t="n"/>
      <c r="AM27" s="25" t="n"/>
      <c r="AN27" s="25" t="n"/>
      <c r="AO27" s="25" t="n"/>
      <c r="AP27" s="25" t="n"/>
      <c r="AQ27" s="25" t="n"/>
      <c r="AR27" s="25" t="n"/>
      <c r="AS27" s="25" t="n"/>
      <c r="AT27" s="25" t="n"/>
      <c r="AU27" s="25" t="n"/>
      <c r="AV27" s="25" t="n"/>
      <c r="AW27" s="25" t="n"/>
      <c r="AX27" s="25" t="n"/>
      <c r="AY27" s="25" t="n"/>
      <c r="AZ27" s="25" t="n"/>
      <c r="BA27" s="25" t="n"/>
      <c r="BB27" s="25" t="n"/>
      <c r="BC27" s="25" t="n"/>
      <c r="BD27" s="25" t="n"/>
      <c r="BE27" s="25" t="n"/>
      <c r="BF27" s="25" t="n"/>
      <c r="BG27" s="25" t="n"/>
      <c r="BH27" s="25" t="n"/>
      <c r="BI27" s="25" t="n"/>
      <c r="BJ27" s="25" t="n"/>
      <c r="BK27" s="25" t="n"/>
      <c r="BL27" s="25" t="n"/>
      <c r="BM27" s="25" t="n"/>
      <c r="BN27" s="25" t="n"/>
      <c r="BO27" s="25" t="n"/>
      <c r="BP27" s="25" t="n"/>
      <c r="BQ27" s="25" t="n"/>
      <c r="BR27" s="25" t="n"/>
      <c r="BS27" s="25" t="n"/>
      <c r="BT27" s="25" t="n"/>
      <c r="BU27" s="25" t="n"/>
      <c r="BV27" s="25" t="n"/>
      <c r="BW27" s="25" t="n"/>
      <c r="BX27" s="25" t="n"/>
      <c r="BY27" s="25" t="n"/>
      <c r="BZ27" s="25" t="n"/>
      <c r="CA27" s="25" t="n"/>
      <c r="CB27" s="25" t="n"/>
      <c r="CC27" s="25" t="n"/>
      <c r="CD27" s="25" t="n"/>
      <c r="CE27" s="25" t="n"/>
      <c r="CF27" s="25" t="n"/>
      <c r="CG27" s="25" t="n"/>
      <c r="CH27" s="25" t="n"/>
      <c r="CI27" s="25" t="n"/>
      <c r="CJ27" s="25" t="n"/>
      <c r="CK27" s="25" t="n"/>
      <c r="CL27" s="25" t="n"/>
      <c r="CM27" s="25" t="n"/>
      <c r="CN27" s="25" t="n"/>
      <c r="CO27" s="25" t="n"/>
      <c r="CP27" s="25" t="n"/>
      <c r="CQ27" s="25" t="n"/>
      <c r="CR27" s="25" t="n"/>
      <c r="CS27" s="25" t="n"/>
      <c r="CT27" s="25" t="n"/>
      <c r="CU27" s="25" t="n"/>
      <c r="CV27" s="25" t="n"/>
      <c r="CW27" s="25" t="n"/>
      <c r="CX27" s="25" t="n"/>
      <c r="CY27" s="25" t="n"/>
    </row>
    <row r="28">
      <c r="A28" s="2" t="inlineStr">
        <is>
          <t>병렬도 12 분할 10 측정 1회차 (스레드별 클럭, GHz)</t>
        </is>
      </c>
      <c r="P28" s="24">
        <f>'클럭 정리'!A29</f>
        <v/>
      </c>
      <c r="Q28" s="23">
        <f>'클럭 정리'!O29</f>
        <v/>
      </c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  <c r="AD28" s="25" t="n"/>
      <c r="AE28" s="25" t="n"/>
      <c r="AF28" s="25" t="n"/>
      <c r="AG28" s="25" t="n"/>
      <c r="AH28" s="25" t="n"/>
      <c r="AI28" s="25" t="n"/>
      <c r="AJ28" s="25" t="n"/>
      <c r="AK28" s="25" t="n"/>
      <c r="AL28" s="25" t="n"/>
      <c r="AM28" s="25" t="n"/>
      <c r="AN28" s="25" t="n"/>
      <c r="AO28" s="25" t="n"/>
      <c r="AP28" s="25" t="n"/>
      <c r="AQ28" s="25" t="n"/>
      <c r="AR28" s="25" t="n"/>
      <c r="AS28" s="25" t="n"/>
      <c r="AT28" s="25" t="n"/>
      <c r="AU28" s="25" t="n"/>
      <c r="AV28" s="25" t="n"/>
      <c r="AW28" s="25" t="n"/>
      <c r="AX28" s="25" t="n"/>
      <c r="AY28" s="25" t="n"/>
      <c r="AZ28" s="25" t="n"/>
      <c r="BA28" s="25" t="n"/>
      <c r="BB28" s="25" t="n"/>
      <c r="BC28" s="25" t="n"/>
      <c r="BD28" s="25" t="n"/>
      <c r="BE28" s="25" t="n"/>
      <c r="BF28" s="25" t="n"/>
      <c r="BG28" s="25" t="n"/>
      <c r="BH28" s="25" t="n"/>
      <c r="BI28" s="25" t="n"/>
      <c r="BJ28" s="25" t="n"/>
      <c r="BK28" s="25" t="n"/>
      <c r="BL28" s="25" t="n"/>
      <c r="BM28" s="25" t="n"/>
      <c r="BN28" s="25" t="n"/>
      <c r="BO28" s="25" t="n"/>
      <c r="BP28" s="25" t="n"/>
      <c r="BQ28" s="25" t="n"/>
      <c r="BR28" s="25" t="n"/>
      <c r="BS28" s="25" t="n"/>
      <c r="BT28" s="25" t="n"/>
      <c r="BU28" s="25" t="n"/>
      <c r="BV28" s="25" t="n"/>
      <c r="BW28" s="25" t="n"/>
      <c r="BX28" s="25" t="n"/>
      <c r="BY28" s="25" t="n"/>
      <c r="BZ28" s="25" t="n"/>
      <c r="CA28" s="25" t="n"/>
      <c r="CB28" s="25" t="n"/>
      <c r="CC28" s="25" t="n"/>
      <c r="CD28" s="25" t="n"/>
      <c r="CE28" s="25" t="n"/>
      <c r="CF28" s="25" t="n"/>
      <c r="CG28" s="25" t="n"/>
      <c r="CH28" s="25" t="n"/>
      <c r="CI28" s="25" t="n"/>
      <c r="CJ28" s="25" t="n"/>
      <c r="CK28" s="25" t="n"/>
      <c r="CL28" s="25" t="n"/>
      <c r="CM28" s="25" t="n"/>
      <c r="CN28" s="25" t="n"/>
      <c r="CO28" s="25" t="n"/>
      <c r="CP28" s="25" t="n"/>
      <c r="CQ28" s="25" t="n"/>
      <c r="CR28" s="25" t="n"/>
      <c r="CS28" s="25" t="n"/>
      <c r="CT28" s="25" t="n"/>
      <c r="CU28" s="25" t="n"/>
      <c r="CV28" s="25" t="n"/>
      <c r="CW28" s="25" t="n"/>
      <c r="CX28" s="25" t="n"/>
      <c r="CY28" s="25" t="n"/>
    </row>
    <row r="29">
      <c r="A29" s="21" t="inlineStr">
        <is>
          <t>시각</t>
        </is>
      </c>
      <c r="B29" s="21" t="inlineStr">
        <is>
          <t>ForkJoinPool-11-worker-1</t>
        </is>
      </c>
      <c r="C29" s="21" t="inlineStr">
        <is>
          <t>ForkJoinPool-11-worker-10</t>
        </is>
      </c>
      <c r="D29" s="21" t="inlineStr">
        <is>
          <t>ForkJoinPool-11-worker-2</t>
        </is>
      </c>
      <c r="E29" s="21" t="inlineStr">
        <is>
          <t>ForkJoinPool-11-worker-3</t>
        </is>
      </c>
      <c r="F29" s="21" t="inlineStr">
        <is>
          <t>ForkJoinPool-11-worker-4</t>
        </is>
      </c>
      <c r="G29" s="21" t="inlineStr">
        <is>
          <t>ForkJoinPool-11-worker-5</t>
        </is>
      </c>
      <c r="H29" s="21" t="inlineStr">
        <is>
          <t>ForkJoinPool-11-worker-6</t>
        </is>
      </c>
      <c r="I29" s="21" t="inlineStr">
        <is>
          <t>ForkJoinPool-11-worker-7</t>
        </is>
      </c>
      <c r="J29" s="21" t="inlineStr">
        <is>
          <t>ForkJoinPool-11-worker-8</t>
        </is>
      </c>
      <c r="K29" s="21" t="inlineStr">
        <is>
          <t>ForkJoinPool-11-worker-9</t>
        </is>
      </c>
      <c r="L29" s="21" t="inlineStr">
        <is>
          <t>main</t>
        </is>
      </c>
      <c r="P29" s="24">
        <f>'클럭 정리'!A30</f>
        <v/>
      </c>
      <c r="Q29" s="23">
        <f>'클럭 정리'!O30</f>
        <v/>
      </c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  <c r="AD29" s="25" t="n"/>
      <c r="AE29" s="25" t="n"/>
      <c r="AF29" s="25" t="n"/>
      <c r="AG29" s="25" t="n"/>
      <c r="AH29" s="25" t="n"/>
      <c r="AI29" s="25" t="n"/>
      <c r="AJ29" s="25" t="n"/>
      <c r="AK29" s="25" t="n"/>
      <c r="AL29" s="25" t="n"/>
      <c r="AM29" s="25" t="n"/>
      <c r="AN29" s="25" t="n"/>
      <c r="AO29" s="25" t="n"/>
      <c r="AP29" s="25" t="n"/>
      <c r="AQ29" s="25" t="n"/>
      <c r="AR29" s="25" t="n"/>
      <c r="AS29" s="25" t="n"/>
      <c r="AT29" s="25" t="n"/>
      <c r="AU29" s="25" t="n"/>
      <c r="AV29" s="25" t="n"/>
      <c r="AW29" s="25" t="n"/>
      <c r="AX29" s="25" t="n"/>
      <c r="AY29" s="25" t="n"/>
      <c r="AZ29" s="25" t="n"/>
      <c r="BA29" s="25" t="n"/>
      <c r="BB29" s="25" t="n"/>
      <c r="BC29" s="25" t="n"/>
      <c r="BD29" s="25" t="n"/>
      <c r="BE29" s="25" t="n"/>
      <c r="BF29" s="25" t="n"/>
      <c r="BG29" s="25" t="n"/>
      <c r="BH29" s="25" t="n"/>
      <c r="BI29" s="25" t="n"/>
      <c r="BJ29" s="25" t="n"/>
      <c r="BK29" s="25" t="n"/>
      <c r="BL29" s="25" t="n"/>
      <c r="BM29" s="25" t="n"/>
      <c r="BN29" s="25" t="n"/>
      <c r="BO29" s="25" t="n"/>
      <c r="BP29" s="25" t="n"/>
      <c r="BQ29" s="25" t="n"/>
      <c r="BR29" s="25" t="n"/>
      <c r="BS29" s="25" t="n"/>
      <c r="BT29" s="25" t="n"/>
      <c r="BU29" s="25" t="n"/>
      <c r="BV29" s="25" t="n"/>
      <c r="BW29" s="25" t="n"/>
      <c r="BX29" s="25" t="n"/>
      <c r="BY29" s="25" t="n"/>
      <c r="BZ29" s="25" t="n"/>
      <c r="CA29" s="25" t="n"/>
      <c r="CB29" s="25" t="n"/>
      <c r="CC29" s="25" t="n"/>
      <c r="CD29" s="25" t="n"/>
      <c r="CE29" s="25" t="n"/>
      <c r="CF29" s="25" t="n"/>
      <c r="CG29" s="25" t="n"/>
      <c r="CH29" s="25" t="n"/>
      <c r="CI29" s="25" t="n"/>
      <c r="CJ29" s="25" t="n"/>
      <c r="CK29" s="25" t="n"/>
      <c r="CL29" s="25" t="n"/>
      <c r="CM29" s="25" t="n"/>
      <c r="CN29" s="25" t="n"/>
      <c r="CO29" s="25" t="n"/>
      <c r="CP29" s="25" t="n"/>
      <c r="CQ29" s="25" t="n"/>
      <c r="CR29" s="25" t="n"/>
      <c r="CS29" s="25" t="n"/>
      <c r="CT29" s="25" t="n"/>
      <c r="CU29" s="25" t="n"/>
      <c r="CV29" s="25" t="n"/>
      <c r="CW29" s="25" t="n"/>
      <c r="CX29" s="25" t="n"/>
      <c r="CY29" s="25" t="n"/>
    </row>
    <row r="30">
      <c r="A30" s="22">
        <f>'클럭 정리'!A58</f>
        <v/>
      </c>
      <c r="B30" s="23">
        <f>'클럭 정리'!O58</f>
        <v/>
      </c>
      <c r="C30" s="23">
        <f>'클럭 정리'!O58</f>
        <v/>
      </c>
      <c r="D30" s="23">
        <f>'클럭 정리'!O58</f>
        <v/>
      </c>
      <c r="E30" s="23">
        <f>'클럭 정리'!O58</f>
        <v/>
      </c>
      <c r="F30" s="23">
        <f>'클럭 정리'!O58</f>
        <v/>
      </c>
      <c r="G30" s="23">
        <f>'클럭 정리'!O58</f>
        <v/>
      </c>
      <c r="H30" s="23">
        <f>'클럭 정리'!O58</f>
        <v/>
      </c>
      <c r="I30" s="23">
        <f>'클럭 정리'!O58</f>
        <v/>
      </c>
      <c r="J30" s="23">
        <f>'클럭 정리'!O58</f>
        <v/>
      </c>
      <c r="K30" s="23">
        <f>'클럭 정리'!O58</f>
        <v/>
      </c>
      <c r="L30" s="23">
        <f>'클럭 정리'!O58</f>
        <v/>
      </c>
      <c r="P30" s="24">
        <f>'클럭 정리'!A31</f>
        <v/>
      </c>
      <c r="Q30" s="23">
        <f>'클럭 정리'!O31</f>
        <v/>
      </c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25" t="n"/>
      <c r="AH30" s="25" t="n"/>
      <c r="AI30" s="25" t="n"/>
      <c r="AJ30" s="25" t="n"/>
      <c r="AK30" s="25" t="n"/>
      <c r="AL30" s="25" t="n"/>
      <c r="AM30" s="25" t="n"/>
      <c r="AN30" s="25" t="n"/>
      <c r="AO30" s="25" t="n"/>
      <c r="AP30" s="25" t="n"/>
      <c r="AQ30" s="25" t="n"/>
      <c r="AR30" s="25" t="n"/>
      <c r="AS30" s="25" t="n"/>
      <c r="AT30" s="25" t="n"/>
      <c r="AU30" s="25" t="n"/>
      <c r="AV30" s="25" t="n"/>
      <c r="AW30" s="25" t="n"/>
      <c r="AX30" s="25" t="n"/>
      <c r="AY30" s="25" t="n"/>
      <c r="AZ30" s="25" t="n"/>
      <c r="BA30" s="25" t="n"/>
      <c r="BB30" s="25" t="n"/>
      <c r="BC30" s="25" t="n"/>
      <c r="BD30" s="25" t="n"/>
      <c r="BE30" s="25" t="n"/>
      <c r="BF30" s="25" t="n"/>
      <c r="BG30" s="25" t="n"/>
      <c r="BH30" s="25" t="n"/>
      <c r="BI30" s="25" t="n"/>
      <c r="BJ30" s="25" t="n"/>
      <c r="BK30" s="25" t="n"/>
      <c r="BL30" s="25" t="n"/>
      <c r="BM30" s="25" t="n"/>
      <c r="BN30" s="25" t="n"/>
      <c r="BO30" s="25" t="n"/>
      <c r="BP30" s="25" t="n"/>
      <c r="BQ30" s="25" t="n"/>
      <c r="BR30" s="25" t="n"/>
      <c r="BS30" s="25" t="n"/>
      <c r="BT30" s="25" t="n"/>
      <c r="BU30" s="25" t="n"/>
      <c r="BV30" s="25" t="n"/>
      <c r="BW30" s="25" t="n"/>
      <c r="BX30" s="25" t="n"/>
      <c r="BY30" s="25" t="n"/>
      <c r="BZ30" s="25" t="n"/>
      <c r="CA30" s="25" t="n"/>
      <c r="CB30" s="25" t="n"/>
      <c r="CC30" s="25" t="n"/>
      <c r="CD30" s="25" t="n"/>
      <c r="CE30" s="25" t="n"/>
      <c r="CF30" s="25" t="n"/>
      <c r="CG30" s="25" t="n"/>
      <c r="CH30" s="25" t="n"/>
      <c r="CI30" s="25" t="n"/>
      <c r="CJ30" s="25" t="n"/>
      <c r="CK30" s="25" t="n"/>
      <c r="CL30" s="25" t="n"/>
      <c r="CM30" s="25" t="n"/>
      <c r="CN30" s="25" t="n"/>
      <c r="CO30" s="25" t="n"/>
      <c r="CP30" s="25" t="n"/>
      <c r="CQ30" s="25" t="n"/>
      <c r="CR30" s="25" t="n"/>
      <c r="CS30" s="25" t="n"/>
      <c r="CT30" s="25" t="n"/>
      <c r="CU30" s="25" t="n"/>
      <c r="CV30" s="25" t="n"/>
      <c r="CW30" s="25" t="n"/>
      <c r="CX30" s="25" t="n"/>
      <c r="CY30" s="25" t="n"/>
    </row>
    <row r="31">
      <c r="P31" s="24">
        <f>'클럭 정리'!A32</f>
        <v/>
      </c>
      <c r="Q31" s="23">
        <f>'클럭 정리'!O32</f>
        <v/>
      </c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25" t="n"/>
      <c r="AH31" s="25" t="n"/>
      <c r="AI31" s="25" t="n"/>
      <c r="AJ31" s="25" t="n"/>
      <c r="AK31" s="25" t="n"/>
      <c r="AL31" s="25" t="n"/>
      <c r="AM31" s="25" t="n"/>
      <c r="AN31" s="25" t="n"/>
      <c r="AO31" s="25" t="n"/>
      <c r="AP31" s="25" t="n"/>
      <c r="AQ31" s="25" t="n"/>
      <c r="AR31" s="25" t="n"/>
      <c r="AS31" s="25" t="n"/>
      <c r="AT31" s="25" t="n"/>
      <c r="AU31" s="25" t="n"/>
      <c r="AV31" s="25" t="n"/>
      <c r="AW31" s="25" t="n"/>
      <c r="AX31" s="25" t="n"/>
      <c r="AY31" s="25" t="n"/>
      <c r="AZ31" s="25" t="n"/>
      <c r="BA31" s="25" t="n"/>
      <c r="BB31" s="25" t="n"/>
      <c r="BC31" s="25" t="n"/>
      <c r="BD31" s="25" t="n"/>
      <c r="BE31" s="25" t="n"/>
      <c r="BF31" s="25" t="n"/>
      <c r="BG31" s="25" t="n"/>
      <c r="BH31" s="25" t="n"/>
      <c r="BI31" s="25" t="n"/>
      <c r="BJ31" s="25" t="n"/>
      <c r="BK31" s="25" t="n"/>
      <c r="BL31" s="25" t="n"/>
      <c r="BM31" s="25" t="n"/>
      <c r="BN31" s="25" t="n"/>
      <c r="BO31" s="25" t="n"/>
      <c r="BP31" s="25" t="n"/>
      <c r="BQ31" s="25" t="n"/>
      <c r="BR31" s="25" t="n"/>
      <c r="BS31" s="25" t="n"/>
      <c r="BT31" s="25" t="n"/>
      <c r="BU31" s="25" t="n"/>
      <c r="BV31" s="25" t="n"/>
      <c r="BW31" s="25" t="n"/>
      <c r="BX31" s="25" t="n"/>
      <c r="BY31" s="25" t="n"/>
      <c r="BZ31" s="25" t="n"/>
      <c r="CA31" s="25" t="n"/>
      <c r="CB31" s="25" t="n"/>
      <c r="CC31" s="25" t="n"/>
      <c r="CD31" s="25" t="n"/>
      <c r="CE31" s="25" t="n"/>
      <c r="CF31" s="25" t="n"/>
      <c r="CG31" s="25" t="n"/>
      <c r="CH31" s="25" t="n"/>
      <c r="CI31" s="25" t="n"/>
      <c r="CJ31" s="25" t="n"/>
      <c r="CK31" s="25" t="n"/>
      <c r="CL31" s="25" t="n"/>
      <c r="CM31" s="25" t="n"/>
      <c r="CN31" s="25" t="n"/>
      <c r="CO31" s="25" t="n"/>
      <c r="CP31" s="25" t="n"/>
      <c r="CQ31" s="25" t="n"/>
      <c r="CR31" s="25" t="n"/>
      <c r="CS31" s="25" t="n"/>
      <c r="CT31" s="25" t="n"/>
      <c r="CU31" s="25" t="n"/>
      <c r="CV31" s="25" t="n"/>
      <c r="CW31" s="25" t="n"/>
      <c r="CX31" s="25" t="n"/>
      <c r="CY31" s="25" t="n"/>
    </row>
    <row r="32">
      <c r="A32" s="2" t="inlineStr">
        <is>
          <t>병렬도 12 분할 10 측정 2회차 (스레드별 클럭, GHz)</t>
        </is>
      </c>
      <c r="P32" s="24">
        <f>'클럭 정리'!A33</f>
        <v/>
      </c>
      <c r="Q32" s="23">
        <f>'클럭 정리'!O33</f>
        <v/>
      </c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25" t="n"/>
      <c r="AH32" s="25" t="n"/>
      <c r="AI32" s="25" t="n"/>
      <c r="AJ32" s="25" t="n"/>
      <c r="AK32" s="25" t="n"/>
      <c r="AL32" s="25" t="n"/>
      <c r="AM32" s="25" t="n"/>
      <c r="AN32" s="25" t="n"/>
      <c r="AO32" s="25" t="n"/>
      <c r="AP32" s="25" t="n"/>
      <c r="AQ32" s="25" t="n"/>
      <c r="AR32" s="25" t="n"/>
      <c r="AS32" s="25" t="n"/>
      <c r="AT32" s="25" t="n"/>
      <c r="AU32" s="25" t="n"/>
      <c r="AV32" s="25" t="n"/>
      <c r="AW32" s="25" t="n"/>
      <c r="AX32" s="25" t="n"/>
      <c r="AY32" s="25" t="n"/>
      <c r="AZ32" s="25" t="n"/>
      <c r="BA32" s="25" t="n"/>
      <c r="BB32" s="25" t="n"/>
      <c r="BC32" s="25" t="n"/>
      <c r="BD32" s="25" t="n"/>
      <c r="BE32" s="25" t="n"/>
      <c r="BF32" s="25" t="n"/>
      <c r="BG32" s="25" t="n"/>
      <c r="BH32" s="25" t="n"/>
      <c r="BI32" s="25" t="n"/>
      <c r="BJ32" s="25" t="n"/>
      <c r="BK32" s="25" t="n"/>
      <c r="BL32" s="25" t="n"/>
      <c r="BM32" s="25" t="n"/>
      <c r="BN32" s="25" t="n"/>
      <c r="BO32" s="25" t="n"/>
      <c r="BP32" s="25" t="n"/>
      <c r="BQ32" s="25" t="n"/>
      <c r="BR32" s="25" t="n"/>
      <c r="BS32" s="25" t="n"/>
      <c r="BT32" s="25" t="n"/>
      <c r="BU32" s="25" t="n"/>
      <c r="BV32" s="25" t="n"/>
      <c r="BW32" s="25" t="n"/>
      <c r="BX32" s="25" t="n"/>
      <c r="BY32" s="25" t="n"/>
      <c r="BZ32" s="25" t="n"/>
      <c r="CA32" s="25" t="n"/>
      <c r="CB32" s="25" t="n"/>
      <c r="CC32" s="25" t="n"/>
      <c r="CD32" s="25" t="n"/>
      <c r="CE32" s="25" t="n"/>
      <c r="CF32" s="25" t="n"/>
      <c r="CG32" s="25" t="n"/>
      <c r="CH32" s="25" t="n"/>
      <c r="CI32" s="25" t="n"/>
      <c r="CJ32" s="25" t="n"/>
      <c r="CK32" s="25" t="n"/>
      <c r="CL32" s="25" t="n"/>
      <c r="CM32" s="25" t="n"/>
      <c r="CN32" s="25" t="n"/>
      <c r="CO32" s="25" t="n"/>
      <c r="CP32" s="25" t="n"/>
      <c r="CQ32" s="25" t="n"/>
      <c r="CR32" s="25" t="n"/>
      <c r="CS32" s="25" t="n"/>
      <c r="CT32" s="25" t="n"/>
      <c r="CU32" s="25" t="n"/>
      <c r="CV32" s="25" t="n"/>
      <c r="CW32" s="25" t="n"/>
      <c r="CX32" s="25" t="n"/>
      <c r="CY32" s="25" t="n"/>
    </row>
    <row r="33">
      <c r="A33" s="21" t="inlineStr">
        <is>
          <t>시각</t>
        </is>
      </c>
      <c r="B33" s="21" t="inlineStr">
        <is>
          <t>ForkJoinPool-12-worker-1</t>
        </is>
      </c>
      <c r="C33" s="21" t="inlineStr">
        <is>
          <t>ForkJoinPool-12-worker-10</t>
        </is>
      </c>
      <c r="D33" s="21" t="inlineStr">
        <is>
          <t>ForkJoinPool-12-worker-12</t>
        </is>
      </c>
      <c r="E33" s="21" t="inlineStr">
        <is>
          <t>ForkJoinPool-12-worker-2</t>
        </is>
      </c>
      <c r="F33" s="21" t="inlineStr">
        <is>
          <t>ForkJoinPool-12-worker-3</t>
        </is>
      </c>
      <c r="G33" s="21" t="inlineStr">
        <is>
          <t>ForkJoinPool-12-worker-4</t>
        </is>
      </c>
      <c r="H33" s="21" t="inlineStr">
        <is>
          <t>ForkJoinPool-12-worker-5</t>
        </is>
      </c>
      <c r="I33" s="21" t="inlineStr">
        <is>
          <t>ForkJoinPool-12-worker-6</t>
        </is>
      </c>
      <c r="J33" s="21" t="inlineStr">
        <is>
          <t>ForkJoinPool-12-worker-7</t>
        </is>
      </c>
      <c r="K33" s="21" t="inlineStr">
        <is>
          <t>ForkJoinPool-12-worker-8</t>
        </is>
      </c>
      <c r="L33" s="21" t="inlineStr">
        <is>
          <t>ForkJoinPool-12-worker-9</t>
        </is>
      </c>
      <c r="M33" s="21" t="inlineStr">
        <is>
          <t>main</t>
        </is>
      </c>
      <c r="P33" s="24">
        <f>'클럭 정리'!A34</f>
        <v/>
      </c>
      <c r="Q33" s="23">
        <f>'클럭 정리'!O34</f>
        <v/>
      </c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25" t="n"/>
      <c r="AH33" s="25" t="n"/>
      <c r="AI33" s="25" t="n"/>
      <c r="AJ33" s="25" t="n"/>
      <c r="AK33" s="25" t="n"/>
      <c r="AL33" s="25" t="n"/>
      <c r="AM33" s="25" t="n"/>
      <c r="AN33" s="25" t="n"/>
      <c r="AO33" s="25" t="n"/>
      <c r="AP33" s="25" t="n"/>
      <c r="AQ33" s="25" t="n"/>
      <c r="AR33" s="25" t="n"/>
      <c r="AS33" s="25" t="n"/>
      <c r="AT33" s="25" t="n"/>
      <c r="AU33" s="25" t="n"/>
      <c r="AV33" s="25" t="n"/>
      <c r="AW33" s="25" t="n"/>
      <c r="AX33" s="25" t="n"/>
      <c r="AY33" s="25" t="n"/>
      <c r="AZ33" s="25" t="n"/>
      <c r="BA33" s="25" t="n"/>
      <c r="BB33" s="25" t="n"/>
      <c r="BC33" s="25" t="n"/>
      <c r="BD33" s="25" t="n"/>
      <c r="BE33" s="25" t="n"/>
      <c r="BF33" s="25" t="n"/>
      <c r="BG33" s="25" t="n"/>
      <c r="BH33" s="25" t="n"/>
      <c r="BI33" s="25" t="n"/>
      <c r="BJ33" s="25" t="n"/>
      <c r="BK33" s="25" t="n"/>
      <c r="BL33" s="25" t="n"/>
      <c r="BM33" s="25" t="n"/>
      <c r="BN33" s="25" t="n"/>
      <c r="BO33" s="25" t="n"/>
      <c r="BP33" s="25" t="n"/>
      <c r="BQ33" s="25" t="n"/>
      <c r="BR33" s="25" t="n"/>
      <c r="BS33" s="25" t="n"/>
      <c r="BT33" s="25" t="n"/>
      <c r="BU33" s="25" t="n"/>
      <c r="BV33" s="25" t="n"/>
      <c r="BW33" s="25" t="n"/>
      <c r="BX33" s="25" t="n"/>
      <c r="BY33" s="25" t="n"/>
      <c r="BZ33" s="25" t="n"/>
      <c r="CA33" s="25" t="n"/>
      <c r="CB33" s="25" t="n"/>
      <c r="CC33" s="25" t="n"/>
      <c r="CD33" s="25" t="n"/>
      <c r="CE33" s="25" t="n"/>
      <c r="CF33" s="25" t="n"/>
      <c r="CG33" s="25" t="n"/>
      <c r="CH33" s="25" t="n"/>
      <c r="CI33" s="25" t="n"/>
      <c r="CJ33" s="25" t="n"/>
      <c r="CK33" s="25" t="n"/>
      <c r="CL33" s="25" t="n"/>
      <c r="CM33" s="25" t="n"/>
      <c r="CN33" s="25" t="n"/>
      <c r="CO33" s="25" t="n"/>
      <c r="CP33" s="25" t="n"/>
      <c r="CQ33" s="25" t="n"/>
      <c r="CR33" s="25" t="n"/>
      <c r="CS33" s="25" t="n"/>
      <c r="CT33" s="25" t="n"/>
      <c r="CU33" s="25" t="n"/>
      <c r="CV33" s="25" t="n"/>
      <c r="CW33" s="25" t="n"/>
      <c r="CX33" s="25" t="n"/>
      <c r="CY33" s="25" t="n"/>
    </row>
    <row r="34">
      <c r="A34" s="22">
        <f>'클럭 정리'!A59</f>
        <v/>
      </c>
      <c r="B34" s="23">
        <f>'클럭 정리'!O59</f>
        <v/>
      </c>
      <c r="C34" s="23">
        <f>'클럭 정리'!O59</f>
        <v/>
      </c>
      <c r="D34" s="25" t="n"/>
      <c r="E34" s="23">
        <f>'클럭 정리'!O59</f>
        <v/>
      </c>
      <c r="F34" s="23">
        <f>'클럭 정리'!O59</f>
        <v/>
      </c>
      <c r="G34" s="23">
        <f>'클럭 정리'!O59</f>
        <v/>
      </c>
      <c r="H34" s="23">
        <f>'클럭 정리'!O59</f>
        <v/>
      </c>
      <c r="I34" s="23">
        <f>'클럭 정리'!O59</f>
        <v/>
      </c>
      <c r="J34" s="23">
        <f>'클럭 정리'!O59</f>
        <v/>
      </c>
      <c r="K34" s="23">
        <f>'클럭 정리'!O59</f>
        <v/>
      </c>
      <c r="L34" s="23">
        <f>'클럭 정리'!O59</f>
        <v/>
      </c>
      <c r="M34" s="23">
        <f>'클럭 정리'!O59</f>
        <v/>
      </c>
      <c r="P34" s="24">
        <f>'클럭 정리'!A35</f>
        <v/>
      </c>
      <c r="Q34" s="23">
        <f>'클럭 정리'!O35</f>
        <v/>
      </c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  <c r="AJ34" s="25" t="n"/>
      <c r="AK34" s="25" t="n"/>
      <c r="AL34" s="25" t="n"/>
      <c r="AM34" s="25" t="n"/>
      <c r="AN34" s="25" t="n"/>
      <c r="AO34" s="25" t="n"/>
      <c r="AP34" s="25" t="n"/>
      <c r="AQ34" s="25" t="n"/>
      <c r="AR34" s="25" t="n"/>
      <c r="AS34" s="25" t="n"/>
      <c r="AT34" s="25" t="n"/>
      <c r="AU34" s="25" t="n"/>
      <c r="AV34" s="25" t="n"/>
      <c r="AW34" s="25" t="n"/>
      <c r="AX34" s="25" t="n"/>
      <c r="AY34" s="25" t="n"/>
      <c r="AZ34" s="25" t="n"/>
      <c r="BA34" s="25" t="n"/>
      <c r="BB34" s="25" t="n"/>
      <c r="BC34" s="25" t="n"/>
      <c r="BD34" s="25" t="n"/>
      <c r="BE34" s="25" t="n"/>
      <c r="BF34" s="25" t="n"/>
      <c r="BG34" s="25" t="n"/>
      <c r="BH34" s="25" t="n"/>
      <c r="BI34" s="25" t="n"/>
      <c r="BJ34" s="25" t="n"/>
      <c r="BK34" s="25" t="n"/>
      <c r="BL34" s="25" t="n"/>
      <c r="BM34" s="25" t="n"/>
      <c r="BN34" s="25" t="n"/>
      <c r="BO34" s="25" t="n"/>
      <c r="BP34" s="25" t="n"/>
      <c r="BQ34" s="25" t="n"/>
      <c r="BR34" s="25" t="n"/>
      <c r="BS34" s="25" t="n"/>
      <c r="BT34" s="25" t="n"/>
      <c r="BU34" s="25" t="n"/>
      <c r="BV34" s="25" t="n"/>
      <c r="BW34" s="25" t="n"/>
      <c r="BX34" s="25" t="n"/>
      <c r="BY34" s="25" t="n"/>
      <c r="BZ34" s="25" t="n"/>
      <c r="CA34" s="25" t="n"/>
      <c r="CB34" s="25" t="n"/>
      <c r="CC34" s="25" t="n"/>
      <c r="CD34" s="25" t="n"/>
      <c r="CE34" s="25" t="n"/>
      <c r="CF34" s="25" t="n"/>
      <c r="CG34" s="25" t="n"/>
      <c r="CH34" s="25" t="n"/>
      <c r="CI34" s="25" t="n"/>
      <c r="CJ34" s="25" t="n"/>
      <c r="CK34" s="25" t="n"/>
      <c r="CL34" s="25" t="n"/>
      <c r="CM34" s="25" t="n"/>
      <c r="CN34" s="25" t="n"/>
      <c r="CO34" s="25" t="n"/>
      <c r="CP34" s="25" t="n"/>
      <c r="CQ34" s="25" t="n"/>
      <c r="CR34" s="25" t="n"/>
      <c r="CS34" s="25" t="n"/>
      <c r="CT34" s="25" t="n"/>
      <c r="CU34" s="25" t="n"/>
      <c r="CV34" s="25" t="n"/>
      <c r="CW34" s="25" t="n"/>
      <c r="CX34" s="25" t="n"/>
      <c r="CY34" s="25" t="n"/>
    </row>
    <row r="35">
      <c r="A35" s="22">
        <f>'클럭 정리'!A60</f>
        <v/>
      </c>
      <c r="B35" s="23">
        <f>'클럭 정리'!O60</f>
        <v/>
      </c>
      <c r="C35" s="23">
        <f>'클럭 정리'!O60</f>
        <v/>
      </c>
      <c r="D35" s="23">
        <f>'클럭 정리'!O60</f>
        <v/>
      </c>
      <c r="E35" s="23">
        <f>'클럭 정리'!O60</f>
        <v/>
      </c>
      <c r="F35" s="23">
        <f>'클럭 정리'!O60</f>
        <v/>
      </c>
      <c r="G35" s="23">
        <f>'클럭 정리'!O60</f>
        <v/>
      </c>
      <c r="H35" s="25" t="n"/>
      <c r="I35" s="23">
        <f>'클럭 정리'!O60</f>
        <v/>
      </c>
      <c r="J35" s="23">
        <f>'클럭 정리'!O60</f>
        <v/>
      </c>
      <c r="K35" s="23">
        <f>'클럭 정리'!O60</f>
        <v/>
      </c>
      <c r="L35" s="23">
        <f>'클럭 정리'!O60</f>
        <v/>
      </c>
      <c r="M35" s="23">
        <f>'클럭 정리'!O60</f>
        <v/>
      </c>
      <c r="P35" s="24">
        <f>'클럭 정리'!A36</f>
        <v/>
      </c>
      <c r="Q35" s="23">
        <f>'클럭 정리'!O36</f>
        <v/>
      </c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5" t="n"/>
      <c r="AI35" s="25" t="n"/>
      <c r="AJ35" s="25" t="n"/>
      <c r="AK35" s="25" t="n"/>
      <c r="AL35" s="25" t="n"/>
      <c r="AM35" s="25" t="n"/>
      <c r="AN35" s="25" t="n"/>
      <c r="AO35" s="25" t="n"/>
      <c r="AP35" s="25" t="n"/>
      <c r="AQ35" s="25" t="n"/>
      <c r="AR35" s="25" t="n"/>
      <c r="AS35" s="25" t="n"/>
      <c r="AT35" s="25" t="n"/>
      <c r="AU35" s="25" t="n"/>
      <c r="AV35" s="25" t="n"/>
      <c r="AW35" s="25" t="n"/>
      <c r="AX35" s="25" t="n"/>
      <c r="AY35" s="25" t="n"/>
      <c r="AZ35" s="25" t="n"/>
      <c r="BA35" s="25" t="n"/>
      <c r="BB35" s="25" t="n"/>
      <c r="BC35" s="25" t="n"/>
      <c r="BD35" s="25" t="n"/>
      <c r="BE35" s="25" t="n"/>
      <c r="BF35" s="25" t="n"/>
      <c r="BG35" s="25" t="n"/>
      <c r="BH35" s="25" t="n"/>
      <c r="BI35" s="25" t="n"/>
      <c r="BJ35" s="25" t="n"/>
      <c r="BK35" s="25" t="n"/>
      <c r="BL35" s="25" t="n"/>
      <c r="BM35" s="25" t="n"/>
      <c r="BN35" s="25" t="n"/>
      <c r="BO35" s="25" t="n"/>
      <c r="BP35" s="25" t="n"/>
      <c r="BQ35" s="25" t="n"/>
      <c r="BR35" s="25" t="n"/>
      <c r="BS35" s="25" t="n"/>
      <c r="BT35" s="25" t="n"/>
      <c r="BU35" s="25" t="n"/>
      <c r="BV35" s="25" t="n"/>
      <c r="BW35" s="25" t="n"/>
      <c r="BX35" s="25" t="n"/>
      <c r="BY35" s="25" t="n"/>
      <c r="BZ35" s="25" t="n"/>
      <c r="CA35" s="25" t="n"/>
      <c r="CB35" s="25" t="n"/>
      <c r="CC35" s="25" t="n"/>
      <c r="CD35" s="25" t="n"/>
      <c r="CE35" s="25" t="n"/>
      <c r="CF35" s="25" t="n"/>
      <c r="CG35" s="25" t="n"/>
      <c r="CH35" s="25" t="n"/>
      <c r="CI35" s="25" t="n"/>
      <c r="CJ35" s="25" t="n"/>
      <c r="CK35" s="25" t="n"/>
      <c r="CL35" s="25" t="n"/>
      <c r="CM35" s="25" t="n"/>
      <c r="CN35" s="25" t="n"/>
      <c r="CO35" s="25" t="n"/>
      <c r="CP35" s="25" t="n"/>
      <c r="CQ35" s="25" t="n"/>
      <c r="CR35" s="25" t="n"/>
      <c r="CS35" s="25" t="n"/>
      <c r="CT35" s="25" t="n"/>
      <c r="CU35" s="25" t="n"/>
      <c r="CV35" s="25" t="n"/>
      <c r="CW35" s="25" t="n"/>
      <c r="CX35" s="25" t="n"/>
      <c r="CY35" s="25" t="n"/>
    </row>
    <row r="36">
      <c r="P36" s="24">
        <f>'클럭 정리'!A37</f>
        <v/>
      </c>
      <c r="Q36" s="23">
        <f>'클럭 정리'!O37</f>
        <v/>
      </c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25" t="n"/>
      <c r="AI36" s="25" t="n"/>
      <c r="AJ36" s="25" t="n"/>
      <c r="AK36" s="25" t="n"/>
      <c r="AL36" s="25" t="n"/>
      <c r="AM36" s="25" t="n"/>
      <c r="AN36" s="25" t="n"/>
      <c r="AO36" s="25" t="n"/>
      <c r="AP36" s="25" t="n"/>
      <c r="AQ36" s="25" t="n"/>
      <c r="AR36" s="25" t="n"/>
      <c r="AS36" s="25" t="n"/>
      <c r="AT36" s="25" t="n"/>
      <c r="AU36" s="25" t="n"/>
      <c r="AV36" s="25" t="n"/>
      <c r="AW36" s="25" t="n"/>
      <c r="AX36" s="25" t="n"/>
      <c r="AY36" s="25" t="n"/>
      <c r="AZ36" s="25" t="n"/>
      <c r="BA36" s="25" t="n"/>
      <c r="BB36" s="25" t="n"/>
      <c r="BC36" s="25" t="n"/>
      <c r="BD36" s="25" t="n"/>
      <c r="BE36" s="25" t="n"/>
      <c r="BF36" s="25" t="n"/>
      <c r="BG36" s="25" t="n"/>
      <c r="BH36" s="25" t="n"/>
      <c r="BI36" s="25" t="n"/>
      <c r="BJ36" s="25" t="n"/>
      <c r="BK36" s="25" t="n"/>
      <c r="BL36" s="25" t="n"/>
      <c r="BM36" s="25" t="n"/>
      <c r="BN36" s="25" t="n"/>
      <c r="BO36" s="25" t="n"/>
      <c r="BP36" s="25" t="n"/>
      <c r="BQ36" s="25" t="n"/>
      <c r="BR36" s="25" t="n"/>
      <c r="BS36" s="25" t="n"/>
      <c r="BT36" s="25" t="n"/>
      <c r="BU36" s="25" t="n"/>
      <c r="BV36" s="25" t="n"/>
      <c r="BW36" s="25" t="n"/>
      <c r="BX36" s="25" t="n"/>
      <c r="BY36" s="25" t="n"/>
      <c r="BZ36" s="25" t="n"/>
      <c r="CA36" s="25" t="n"/>
      <c r="CB36" s="25" t="n"/>
      <c r="CC36" s="25" t="n"/>
      <c r="CD36" s="25" t="n"/>
      <c r="CE36" s="25" t="n"/>
      <c r="CF36" s="25" t="n"/>
      <c r="CG36" s="25" t="n"/>
      <c r="CH36" s="25" t="n"/>
      <c r="CI36" s="25" t="n"/>
      <c r="CJ36" s="25" t="n"/>
      <c r="CK36" s="25" t="n"/>
      <c r="CL36" s="25" t="n"/>
      <c r="CM36" s="25" t="n"/>
      <c r="CN36" s="25" t="n"/>
      <c r="CO36" s="25" t="n"/>
      <c r="CP36" s="25" t="n"/>
      <c r="CQ36" s="25" t="n"/>
      <c r="CR36" s="25" t="n"/>
      <c r="CS36" s="25" t="n"/>
      <c r="CT36" s="25" t="n"/>
      <c r="CU36" s="25" t="n"/>
      <c r="CV36" s="25" t="n"/>
      <c r="CW36" s="25" t="n"/>
      <c r="CX36" s="25" t="n"/>
      <c r="CY36" s="25" t="n"/>
    </row>
    <row r="37">
      <c r="A37" s="2" t="inlineStr">
        <is>
          <t>병렬도 12 분할 10 측정 3회차 (스레드별 클럭, GHz)</t>
        </is>
      </c>
      <c r="P37" s="24">
        <f>'클럭 정리'!A38</f>
        <v/>
      </c>
      <c r="Q37" s="23">
        <f>'클럭 정리'!O38</f>
        <v/>
      </c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5" t="n"/>
      <c r="AH37" s="25" t="n"/>
      <c r="AI37" s="25" t="n"/>
      <c r="AJ37" s="25" t="n"/>
      <c r="AK37" s="25" t="n"/>
      <c r="AL37" s="25" t="n"/>
      <c r="AM37" s="25" t="n"/>
      <c r="AN37" s="25" t="n"/>
      <c r="AO37" s="25" t="n"/>
      <c r="AP37" s="25" t="n"/>
      <c r="AQ37" s="25" t="n"/>
      <c r="AR37" s="25" t="n"/>
      <c r="AS37" s="25" t="n"/>
      <c r="AT37" s="25" t="n"/>
      <c r="AU37" s="25" t="n"/>
      <c r="AV37" s="25" t="n"/>
      <c r="AW37" s="25" t="n"/>
      <c r="AX37" s="25" t="n"/>
      <c r="AY37" s="25" t="n"/>
      <c r="AZ37" s="25" t="n"/>
      <c r="BA37" s="25" t="n"/>
      <c r="BB37" s="25" t="n"/>
      <c r="BC37" s="25" t="n"/>
      <c r="BD37" s="25" t="n"/>
      <c r="BE37" s="25" t="n"/>
      <c r="BF37" s="25" t="n"/>
      <c r="BG37" s="25" t="n"/>
      <c r="BH37" s="25" t="n"/>
      <c r="BI37" s="25" t="n"/>
      <c r="BJ37" s="25" t="n"/>
      <c r="BK37" s="25" t="n"/>
      <c r="BL37" s="25" t="n"/>
      <c r="BM37" s="25" t="n"/>
      <c r="BN37" s="25" t="n"/>
      <c r="BO37" s="25" t="n"/>
      <c r="BP37" s="25" t="n"/>
      <c r="BQ37" s="25" t="n"/>
      <c r="BR37" s="25" t="n"/>
      <c r="BS37" s="25" t="n"/>
      <c r="BT37" s="25" t="n"/>
      <c r="BU37" s="25" t="n"/>
      <c r="BV37" s="25" t="n"/>
      <c r="BW37" s="25" t="n"/>
      <c r="BX37" s="25" t="n"/>
      <c r="BY37" s="25" t="n"/>
      <c r="BZ37" s="25" t="n"/>
      <c r="CA37" s="25" t="n"/>
      <c r="CB37" s="25" t="n"/>
      <c r="CC37" s="25" t="n"/>
      <c r="CD37" s="25" t="n"/>
      <c r="CE37" s="25" t="n"/>
      <c r="CF37" s="25" t="n"/>
      <c r="CG37" s="25" t="n"/>
      <c r="CH37" s="25" t="n"/>
      <c r="CI37" s="25" t="n"/>
      <c r="CJ37" s="25" t="n"/>
      <c r="CK37" s="25" t="n"/>
      <c r="CL37" s="25" t="n"/>
      <c r="CM37" s="25" t="n"/>
      <c r="CN37" s="25" t="n"/>
      <c r="CO37" s="25" t="n"/>
      <c r="CP37" s="25" t="n"/>
      <c r="CQ37" s="25" t="n"/>
      <c r="CR37" s="25" t="n"/>
      <c r="CS37" s="25" t="n"/>
      <c r="CT37" s="25" t="n"/>
      <c r="CU37" s="25" t="n"/>
      <c r="CV37" s="25" t="n"/>
      <c r="CW37" s="25" t="n"/>
      <c r="CX37" s="25" t="n"/>
      <c r="CY37" s="25" t="n"/>
    </row>
    <row r="38">
      <c r="A38" s="21" t="inlineStr">
        <is>
          <t>시각</t>
        </is>
      </c>
      <c r="B38" s="21" t="inlineStr">
        <is>
          <t>ForkJoinPool-13-worker-1</t>
        </is>
      </c>
      <c r="C38" s="21" t="inlineStr">
        <is>
          <t>ForkJoinPool-13-worker-10</t>
        </is>
      </c>
      <c r="D38" s="21" t="inlineStr">
        <is>
          <t>ForkJoinPool-13-worker-12</t>
        </is>
      </c>
      <c r="E38" s="21" t="inlineStr">
        <is>
          <t>ForkJoinPool-13-worker-2</t>
        </is>
      </c>
      <c r="F38" s="21" t="inlineStr">
        <is>
          <t>ForkJoinPool-13-worker-3</t>
        </is>
      </c>
      <c r="G38" s="21" t="inlineStr">
        <is>
          <t>ForkJoinPool-13-worker-4</t>
        </is>
      </c>
      <c r="H38" s="21" t="inlineStr">
        <is>
          <t>ForkJoinPool-13-worker-5</t>
        </is>
      </c>
      <c r="I38" s="21" t="inlineStr">
        <is>
          <t>ForkJoinPool-13-worker-6</t>
        </is>
      </c>
      <c r="J38" s="21" t="inlineStr">
        <is>
          <t>ForkJoinPool-13-worker-7</t>
        </is>
      </c>
      <c r="K38" s="21" t="inlineStr">
        <is>
          <t>ForkJoinPool-13-worker-8</t>
        </is>
      </c>
      <c r="L38" s="21" t="inlineStr">
        <is>
          <t>ForkJoinPool-13-worker-9</t>
        </is>
      </c>
      <c r="M38" s="21" t="inlineStr">
        <is>
          <t>main</t>
        </is>
      </c>
      <c r="P38" s="24">
        <f>'클럭 정리'!A39</f>
        <v/>
      </c>
      <c r="Q38" s="23">
        <f>'클럭 정리'!O39</f>
        <v/>
      </c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  <c r="AD38" s="25" t="n"/>
      <c r="AE38" s="25" t="n"/>
      <c r="AF38" s="25" t="n"/>
      <c r="AG38" s="25" t="n"/>
      <c r="AH38" s="25" t="n"/>
      <c r="AI38" s="25" t="n"/>
      <c r="AJ38" s="25" t="n"/>
      <c r="AK38" s="25" t="n"/>
      <c r="AL38" s="25" t="n"/>
      <c r="AM38" s="25" t="n"/>
      <c r="AN38" s="25" t="n"/>
      <c r="AO38" s="25" t="n"/>
      <c r="AP38" s="25" t="n"/>
      <c r="AQ38" s="25" t="n"/>
      <c r="AR38" s="25" t="n"/>
      <c r="AS38" s="25" t="n"/>
      <c r="AT38" s="25" t="n"/>
      <c r="AU38" s="25" t="n"/>
      <c r="AV38" s="25" t="n"/>
      <c r="AW38" s="25" t="n"/>
      <c r="AX38" s="25" t="n"/>
      <c r="AY38" s="25" t="n"/>
      <c r="AZ38" s="25" t="n"/>
      <c r="BA38" s="25" t="n"/>
      <c r="BB38" s="25" t="n"/>
      <c r="BC38" s="25" t="n"/>
      <c r="BD38" s="25" t="n"/>
      <c r="BE38" s="25" t="n"/>
      <c r="BF38" s="25" t="n"/>
      <c r="BG38" s="25" t="n"/>
      <c r="BH38" s="25" t="n"/>
      <c r="BI38" s="25" t="n"/>
      <c r="BJ38" s="25" t="n"/>
      <c r="BK38" s="25" t="n"/>
      <c r="BL38" s="25" t="n"/>
      <c r="BM38" s="25" t="n"/>
      <c r="BN38" s="25" t="n"/>
      <c r="BO38" s="25" t="n"/>
      <c r="BP38" s="25" t="n"/>
      <c r="BQ38" s="25" t="n"/>
      <c r="BR38" s="25" t="n"/>
      <c r="BS38" s="25" t="n"/>
      <c r="BT38" s="25" t="n"/>
      <c r="BU38" s="25" t="n"/>
      <c r="BV38" s="25" t="n"/>
      <c r="BW38" s="25" t="n"/>
      <c r="BX38" s="25" t="n"/>
      <c r="BY38" s="25" t="n"/>
      <c r="BZ38" s="25" t="n"/>
      <c r="CA38" s="25" t="n"/>
      <c r="CB38" s="25" t="n"/>
      <c r="CC38" s="25" t="n"/>
      <c r="CD38" s="25" t="n"/>
      <c r="CE38" s="25" t="n"/>
      <c r="CF38" s="25" t="n"/>
      <c r="CG38" s="25" t="n"/>
      <c r="CH38" s="25" t="n"/>
      <c r="CI38" s="25" t="n"/>
      <c r="CJ38" s="25" t="n"/>
      <c r="CK38" s="25" t="n"/>
      <c r="CL38" s="25" t="n"/>
      <c r="CM38" s="25" t="n"/>
      <c r="CN38" s="25" t="n"/>
      <c r="CO38" s="25" t="n"/>
      <c r="CP38" s="25" t="n"/>
      <c r="CQ38" s="25" t="n"/>
      <c r="CR38" s="25" t="n"/>
      <c r="CS38" s="25" t="n"/>
      <c r="CT38" s="25" t="n"/>
      <c r="CU38" s="25" t="n"/>
      <c r="CV38" s="25" t="n"/>
      <c r="CW38" s="25" t="n"/>
      <c r="CX38" s="25" t="n"/>
      <c r="CY38" s="25" t="n"/>
    </row>
    <row r="39">
      <c r="A39" s="22">
        <f>'클럭 정리'!A61</f>
        <v/>
      </c>
      <c r="B39" s="23">
        <f>'클럭 정리'!O61</f>
        <v/>
      </c>
      <c r="C39" s="23">
        <f>'클럭 정리'!O61</f>
        <v/>
      </c>
      <c r="D39" s="23">
        <f>'클럭 정리'!O61</f>
        <v/>
      </c>
      <c r="E39" s="23">
        <f>'클럭 정리'!O61</f>
        <v/>
      </c>
      <c r="F39" s="23">
        <f>'클럭 정리'!O61</f>
        <v/>
      </c>
      <c r="G39" s="23">
        <f>'클럭 정리'!O61</f>
        <v/>
      </c>
      <c r="H39" s="23">
        <f>'클럭 정리'!O61</f>
        <v/>
      </c>
      <c r="I39" s="23">
        <f>'클럭 정리'!O61</f>
        <v/>
      </c>
      <c r="J39" s="23">
        <f>'클럭 정리'!O61</f>
        <v/>
      </c>
      <c r="K39" s="25" t="n"/>
      <c r="L39" s="23">
        <f>'클럭 정리'!O61</f>
        <v/>
      </c>
      <c r="M39" s="23">
        <f>'클럭 정리'!O61</f>
        <v/>
      </c>
      <c r="P39" s="24">
        <f>'클럭 정리'!A40</f>
        <v/>
      </c>
      <c r="Q39" s="23">
        <f>'클럭 정리'!O40</f>
        <v/>
      </c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  <c r="AE39" s="25" t="n"/>
      <c r="AF39" s="25" t="n"/>
      <c r="AG39" s="25" t="n"/>
      <c r="AH39" s="25" t="n"/>
      <c r="AI39" s="25" t="n"/>
      <c r="AJ39" s="25" t="n"/>
      <c r="AK39" s="25" t="n"/>
      <c r="AL39" s="25" t="n"/>
      <c r="AM39" s="25" t="n"/>
      <c r="AN39" s="25" t="n"/>
      <c r="AO39" s="25" t="n"/>
      <c r="AP39" s="25" t="n"/>
      <c r="AQ39" s="25" t="n"/>
      <c r="AR39" s="25" t="n"/>
      <c r="AS39" s="25" t="n"/>
      <c r="AT39" s="25" t="n"/>
      <c r="AU39" s="25" t="n"/>
      <c r="AV39" s="25" t="n"/>
      <c r="AW39" s="25" t="n"/>
      <c r="AX39" s="25" t="n"/>
      <c r="AY39" s="25" t="n"/>
      <c r="AZ39" s="25" t="n"/>
      <c r="BA39" s="25" t="n"/>
      <c r="BB39" s="25" t="n"/>
      <c r="BC39" s="25" t="n"/>
      <c r="BD39" s="25" t="n"/>
      <c r="BE39" s="25" t="n"/>
      <c r="BF39" s="25" t="n"/>
      <c r="BG39" s="25" t="n"/>
      <c r="BH39" s="25" t="n"/>
      <c r="BI39" s="25" t="n"/>
      <c r="BJ39" s="25" t="n"/>
      <c r="BK39" s="25" t="n"/>
      <c r="BL39" s="25" t="n"/>
      <c r="BM39" s="25" t="n"/>
      <c r="BN39" s="25" t="n"/>
      <c r="BO39" s="25" t="n"/>
      <c r="BP39" s="25" t="n"/>
      <c r="BQ39" s="25" t="n"/>
      <c r="BR39" s="25" t="n"/>
      <c r="BS39" s="25" t="n"/>
      <c r="BT39" s="25" t="n"/>
      <c r="BU39" s="25" t="n"/>
      <c r="BV39" s="25" t="n"/>
      <c r="BW39" s="25" t="n"/>
      <c r="BX39" s="25" t="n"/>
      <c r="BY39" s="25" t="n"/>
      <c r="BZ39" s="25" t="n"/>
      <c r="CA39" s="25" t="n"/>
      <c r="CB39" s="25" t="n"/>
      <c r="CC39" s="25" t="n"/>
      <c r="CD39" s="25" t="n"/>
      <c r="CE39" s="25" t="n"/>
      <c r="CF39" s="25" t="n"/>
      <c r="CG39" s="25" t="n"/>
      <c r="CH39" s="25" t="n"/>
      <c r="CI39" s="25" t="n"/>
      <c r="CJ39" s="25" t="n"/>
      <c r="CK39" s="25" t="n"/>
      <c r="CL39" s="25" t="n"/>
      <c r="CM39" s="25" t="n"/>
      <c r="CN39" s="25" t="n"/>
      <c r="CO39" s="25" t="n"/>
      <c r="CP39" s="25" t="n"/>
      <c r="CQ39" s="25" t="n"/>
      <c r="CR39" s="25" t="n"/>
      <c r="CS39" s="25" t="n"/>
      <c r="CT39" s="25" t="n"/>
      <c r="CU39" s="25" t="n"/>
      <c r="CV39" s="25" t="n"/>
      <c r="CW39" s="25" t="n"/>
      <c r="CX39" s="25" t="n"/>
      <c r="CY39" s="25" t="n"/>
    </row>
    <row r="40">
      <c r="P40" s="24">
        <f>'클럭 정리'!A41</f>
        <v/>
      </c>
      <c r="Q40" s="23">
        <f>'클럭 정리'!O41</f>
        <v/>
      </c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  <c r="AL40" s="25" t="n"/>
      <c r="AM40" s="25" t="n"/>
      <c r="AN40" s="25" t="n"/>
      <c r="AO40" s="25" t="n"/>
      <c r="AP40" s="25" t="n"/>
      <c r="AQ40" s="25" t="n"/>
      <c r="AR40" s="25" t="n"/>
      <c r="AS40" s="25" t="n"/>
      <c r="AT40" s="25" t="n"/>
      <c r="AU40" s="25" t="n"/>
      <c r="AV40" s="25" t="n"/>
      <c r="AW40" s="25" t="n"/>
      <c r="AX40" s="25" t="n"/>
      <c r="AY40" s="25" t="n"/>
      <c r="AZ40" s="25" t="n"/>
      <c r="BA40" s="25" t="n"/>
      <c r="BB40" s="25" t="n"/>
      <c r="BC40" s="25" t="n"/>
      <c r="BD40" s="25" t="n"/>
      <c r="BE40" s="25" t="n"/>
      <c r="BF40" s="25" t="n"/>
      <c r="BG40" s="25" t="n"/>
      <c r="BH40" s="25" t="n"/>
      <c r="BI40" s="25" t="n"/>
      <c r="BJ40" s="25" t="n"/>
      <c r="BK40" s="25" t="n"/>
      <c r="BL40" s="25" t="n"/>
      <c r="BM40" s="25" t="n"/>
      <c r="BN40" s="25" t="n"/>
      <c r="BO40" s="25" t="n"/>
      <c r="BP40" s="25" t="n"/>
      <c r="BQ40" s="25" t="n"/>
      <c r="BR40" s="25" t="n"/>
      <c r="BS40" s="25" t="n"/>
      <c r="BT40" s="25" t="n"/>
      <c r="BU40" s="25" t="n"/>
      <c r="BV40" s="25" t="n"/>
      <c r="BW40" s="25" t="n"/>
      <c r="BX40" s="25" t="n"/>
      <c r="BY40" s="25" t="n"/>
      <c r="BZ40" s="25" t="n"/>
      <c r="CA40" s="25" t="n"/>
      <c r="CB40" s="25" t="n"/>
      <c r="CC40" s="25" t="n"/>
      <c r="CD40" s="25" t="n"/>
      <c r="CE40" s="25" t="n"/>
      <c r="CF40" s="25" t="n"/>
      <c r="CG40" s="25" t="n"/>
      <c r="CH40" s="25" t="n"/>
      <c r="CI40" s="25" t="n"/>
      <c r="CJ40" s="25" t="n"/>
      <c r="CK40" s="25" t="n"/>
      <c r="CL40" s="25" t="n"/>
      <c r="CM40" s="25" t="n"/>
      <c r="CN40" s="25" t="n"/>
      <c r="CO40" s="25" t="n"/>
      <c r="CP40" s="25" t="n"/>
      <c r="CQ40" s="25" t="n"/>
      <c r="CR40" s="25" t="n"/>
      <c r="CS40" s="25" t="n"/>
      <c r="CT40" s="25" t="n"/>
      <c r="CU40" s="25" t="n"/>
      <c r="CV40" s="25" t="n"/>
      <c r="CW40" s="25" t="n"/>
      <c r="CX40" s="25" t="n"/>
      <c r="CY40" s="25" t="n"/>
    </row>
    <row r="41">
      <c r="A41" s="2" t="inlineStr">
        <is>
          <t>병렬도 12 분할 10 측정 4회차 (스레드별 클럭, GHz)</t>
        </is>
      </c>
      <c r="P41" s="24">
        <f>'클럭 정리'!A42</f>
        <v/>
      </c>
      <c r="Q41" s="23">
        <f>'클럭 정리'!O42</f>
        <v/>
      </c>
      <c r="R41" s="23">
        <f>'클럭 정리'!O42</f>
        <v/>
      </c>
      <c r="S41" s="23">
        <f>'클럭 정리'!O42</f>
        <v/>
      </c>
      <c r="T41" s="23">
        <f>'클럭 정리'!O42</f>
        <v/>
      </c>
      <c r="U41" s="23">
        <f>'클럭 정리'!O42</f>
        <v/>
      </c>
      <c r="V41" s="23">
        <f>'클럭 정리'!O42</f>
        <v/>
      </c>
      <c r="W41" s="23">
        <f>'클럭 정리'!O42</f>
        <v/>
      </c>
      <c r="X41" s="23">
        <f>'클럭 정리'!O42</f>
        <v/>
      </c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  <c r="AL41" s="25" t="n"/>
      <c r="AM41" s="25" t="n"/>
      <c r="AN41" s="25" t="n"/>
      <c r="AO41" s="25" t="n"/>
      <c r="AP41" s="25" t="n"/>
      <c r="AQ41" s="25" t="n"/>
      <c r="AR41" s="25" t="n"/>
      <c r="AS41" s="25" t="n"/>
      <c r="AT41" s="25" t="n"/>
      <c r="AU41" s="25" t="n"/>
      <c r="AV41" s="25" t="n"/>
      <c r="AW41" s="25" t="n"/>
      <c r="AX41" s="25" t="n"/>
      <c r="AY41" s="25" t="n"/>
      <c r="AZ41" s="25" t="n"/>
      <c r="BA41" s="25" t="n"/>
      <c r="BB41" s="25" t="n"/>
      <c r="BC41" s="25" t="n"/>
      <c r="BD41" s="25" t="n"/>
      <c r="BE41" s="25" t="n"/>
      <c r="BF41" s="25" t="n"/>
      <c r="BG41" s="25" t="n"/>
      <c r="BH41" s="25" t="n"/>
      <c r="BI41" s="25" t="n"/>
      <c r="BJ41" s="25" t="n"/>
      <c r="BK41" s="25" t="n"/>
      <c r="BL41" s="25" t="n"/>
      <c r="BM41" s="25" t="n"/>
      <c r="BN41" s="25" t="n"/>
      <c r="BO41" s="25" t="n"/>
      <c r="BP41" s="25" t="n"/>
      <c r="BQ41" s="25" t="n"/>
      <c r="BR41" s="25" t="n"/>
      <c r="BS41" s="25" t="n"/>
      <c r="BT41" s="25" t="n"/>
      <c r="BU41" s="25" t="n"/>
      <c r="BV41" s="25" t="n"/>
      <c r="BW41" s="25" t="n"/>
      <c r="BX41" s="25" t="n"/>
      <c r="BY41" s="25" t="n"/>
      <c r="BZ41" s="25" t="n"/>
      <c r="CA41" s="25" t="n"/>
      <c r="CB41" s="25" t="n"/>
      <c r="CC41" s="25" t="n"/>
      <c r="CD41" s="25" t="n"/>
      <c r="CE41" s="25" t="n"/>
      <c r="CF41" s="25" t="n"/>
      <c r="CG41" s="25" t="n"/>
      <c r="CH41" s="25" t="n"/>
      <c r="CI41" s="25" t="n"/>
      <c r="CJ41" s="25" t="n"/>
      <c r="CK41" s="25" t="n"/>
      <c r="CL41" s="25" t="n"/>
      <c r="CM41" s="25" t="n"/>
      <c r="CN41" s="25" t="n"/>
      <c r="CO41" s="25" t="n"/>
      <c r="CP41" s="25" t="n"/>
      <c r="CQ41" s="25" t="n"/>
      <c r="CR41" s="25" t="n"/>
      <c r="CS41" s="25" t="n"/>
      <c r="CT41" s="25" t="n"/>
      <c r="CU41" s="25" t="n"/>
      <c r="CV41" s="25" t="n"/>
      <c r="CW41" s="25" t="n"/>
      <c r="CX41" s="25" t="n"/>
      <c r="CY41" s="25" t="n"/>
    </row>
    <row r="42">
      <c r="A42" s="21" t="inlineStr">
        <is>
          <t>시각</t>
        </is>
      </c>
      <c r="B42" s="21" t="inlineStr">
        <is>
          <t>ForkJoinPool-14-worker-1</t>
        </is>
      </c>
      <c r="C42" s="21" t="inlineStr">
        <is>
          <t>ForkJoinPool-14-worker-10</t>
        </is>
      </c>
      <c r="D42" s="21" t="inlineStr">
        <is>
          <t>ForkJoinPool-14-worker-11</t>
        </is>
      </c>
      <c r="E42" s="21" t="inlineStr">
        <is>
          <t>ForkJoinPool-14-worker-12</t>
        </is>
      </c>
      <c r="F42" s="21" t="inlineStr">
        <is>
          <t>ForkJoinPool-14-worker-2</t>
        </is>
      </c>
      <c r="G42" s="21" t="inlineStr">
        <is>
          <t>ForkJoinPool-14-worker-3</t>
        </is>
      </c>
      <c r="H42" s="21" t="inlineStr">
        <is>
          <t>ForkJoinPool-14-worker-4</t>
        </is>
      </c>
      <c r="I42" s="21" t="inlineStr">
        <is>
          <t>ForkJoinPool-14-worker-5</t>
        </is>
      </c>
      <c r="J42" s="21" t="inlineStr">
        <is>
          <t>ForkJoinPool-14-worker-6</t>
        </is>
      </c>
      <c r="K42" s="21" t="inlineStr">
        <is>
          <t>ForkJoinPool-14-worker-7</t>
        </is>
      </c>
      <c r="L42" s="21" t="inlineStr">
        <is>
          <t>ForkJoinPool-14-worker-8</t>
        </is>
      </c>
      <c r="M42" s="21" t="inlineStr">
        <is>
          <t>ForkJoinPool-14-worker-9</t>
        </is>
      </c>
      <c r="N42" s="21" t="inlineStr">
        <is>
          <t>main</t>
        </is>
      </c>
      <c r="P42" s="24">
        <f>'클럭 정리'!A43</f>
        <v/>
      </c>
      <c r="Q42" s="23">
        <f>'클럭 정리'!O43</f>
        <v/>
      </c>
      <c r="R42" s="23">
        <f>'클럭 정리'!O43</f>
        <v/>
      </c>
      <c r="S42" s="23">
        <f>'클럭 정리'!O43</f>
        <v/>
      </c>
      <c r="T42" s="23">
        <f>'클럭 정리'!O43</f>
        <v/>
      </c>
      <c r="U42" s="23">
        <f>'클럭 정리'!O43</f>
        <v/>
      </c>
      <c r="V42" s="23">
        <f>'클럭 정리'!O43</f>
        <v/>
      </c>
      <c r="W42" s="23">
        <f>'클럭 정리'!O43</f>
        <v/>
      </c>
      <c r="X42" s="23">
        <f>'클럭 정리'!O43</f>
        <v/>
      </c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  <c r="AL42" s="25" t="n"/>
      <c r="AM42" s="25" t="n"/>
      <c r="AN42" s="25" t="n"/>
      <c r="AO42" s="25" t="n"/>
      <c r="AP42" s="25" t="n"/>
      <c r="AQ42" s="25" t="n"/>
      <c r="AR42" s="25" t="n"/>
      <c r="AS42" s="25" t="n"/>
      <c r="AT42" s="25" t="n"/>
      <c r="AU42" s="25" t="n"/>
      <c r="AV42" s="25" t="n"/>
      <c r="AW42" s="25" t="n"/>
      <c r="AX42" s="25" t="n"/>
      <c r="AY42" s="25" t="n"/>
      <c r="AZ42" s="25" t="n"/>
      <c r="BA42" s="25" t="n"/>
      <c r="BB42" s="25" t="n"/>
      <c r="BC42" s="25" t="n"/>
      <c r="BD42" s="25" t="n"/>
      <c r="BE42" s="25" t="n"/>
      <c r="BF42" s="25" t="n"/>
      <c r="BG42" s="25" t="n"/>
      <c r="BH42" s="25" t="n"/>
      <c r="BI42" s="25" t="n"/>
      <c r="BJ42" s="25" t="n"/>
      <c r="BK42" s="25" t="n"/>
      <c r="BL42" s="25" t="n"/>
      <c r="BM42" s="25" t="n"/>
      <c r="BN42" s="25" t="n"/>
      <c r="BO42" s="25" t="n"/>
      <c r="BP42" s="25" t="n"/>
      <c r="BQ42" s="25" t="n"/>
      <c r="BR42" s="25" t="n"/>
      <c r="BS42" s="25" t="n"/>
      <c r="BT42" s="25" t="n"/>
      <c r="BU42" s="25" t="n"/>
      <c r="BV42" s="25" t="n"/>
      <c r="BW42" s="25" t="n"/>
      <c r="BX42" s="25" t="n"/>
      <c r="BY42" s="25" t="n"/>
      <c r="BZ42" s="25" t="n"/>
      <c r="CA42" s="25" t="n"/>
      <c r="CB42" s="25" t="n"/>
      <c r="CC42" s="25" t="n"/>
      <c r="CD42" s="25" t="n"/>
      <c r="CE42" s="25" t="n"/>
      <c r="CF42" s="25" t="n"/>
      <c r="CG42" s="25" t="n"/>
      <c r="CH42" s="25" t="n"/>
      <c r="CI42" s="25" t="n"/>
      <c r="CJ42" s="25" t="n"/>
      <c r="CK42" s="25" t="n"/>
      <c r="CL42" s="25" t="n"/>
      <c r="CM42" s="25" t="n"/>
      <c r="CN42" s="25" t="n"/>
      <c r="CO42" s="25" t="n"/>
      <c r="CP42" s="25" t="n"/>
      <c r="CQ42" s="25" t="n"/>
      <c r="CR42" s="25" t="n"/>
      <c r="CS42" s="25" t="n"/>
      <c r="CT42" s="25" t="n"/>
      <c r="CU42" s="25" t="n"/>
      <c r="CV42" s="25" t="n"/>
      <c r="CW42" s="25" t="n"/>
      <c r="CX42" s="25" t="n"/>
      <c r="CY42" s="25" t="n"/>
    </row>
    <row r="43">
      <c r="A43" s="22">
        <f>'클럭 정리'!A62</f>
        <v/>
      </c>
      <c r="B43" s="23">
        <f>'클럭 정리'!O62</f>
        <v/>
      </c>
      <c r="C43" s="25" t="n"/>
      <c r="D43" s="23">
        <f>'클럭 정리'!O62</f>
        <v/>
      </c>
      <c r="E43" s="23">
        <f>'클럭 정리'!O62</f>
        <v/>
      </c>
      <c r="F43" s="23">
        <f>'클럭 정리'!O62</f>
        <v/>
      </c>
      <c r="G43" s="23">
        <f>'클럭 정리'!O62</f>
        <v/>
      </c>
      <c r="H43" s="25" t="n"/>
      <c r="I43" s="23">
        <f>'클럭 정리'!O62</f>
        <v/>
      </c>
      <c r="J43" s="23">
        <f>'클럭 정리'!O62</f>
        <v/>
      </c>
      <c r="K43" s="23">
        <f>'클럭 정리'!O62</f>
        <v/>
      </c>
      <c r="L43" s="23">
        <f>'클럭 정리'!O62</f>
        <v/>
      </c>
      <c r="M43" s="23">
        <f>'클럭 정리'!O62</f>
        <v/>
      </c>
      <c r="N43" s="23">
        <f>'클럭 정리'!O62</f>
        <v/>
      </c>
      <c r="P43" s="24">
        <f>'클럭 정리'!A44</f>
        <v/>
      </c>
      <c r="Q43" s="23">
        <f>'클럭 정리'!O44</f>
        <v/>
      </c>
      <c r="R43" s="25" t="n"/>
      <c r="S43" s="25" t="n"/>
      <c r="T43" s="25" t="n"/>
      <c r="U43" s="25" t="n"/>
      <c r="V43" s="25" t="n"/>
      <c r="W43" s="25" t="n"/>
      <c r="X43" s="23">
        <f>'클럭 정리'!O44</f>
        <v/>
      </c>
      <c r="Y43" s="23">
        <f>'클럭 정리'!O44</f>
        <v/>
      </c>
      <c r="Z43" s="23">
        <f>'클럭 정리'!O44</f>
        <v/>
      </c>
      <c r="AA43" s="23">
        <f>'클럭 정리'!O44</f>
        <v/>
      </c>
      <c r="AB43" s="23">
        <f>'클럭 정리'!O44</f>
        <v/>
      </c>
      <c r="AC43" s="23">
        <f>'클럭 정리'!O44</f>
        <v/>
      </c>
      <c r="AD43" s="23">
        <f>'클럭 정리'!O44</f>
        <v/>
      </c>
      <c r="AE43" s="25" t="n"/>
      <c r="AF43" s="25" t="n"/>
      <c r="AG43" s="25" t="n"/>
      <c r="AH43" s="25" t="n"/>
      <c r="AI43" s="25" t="n"/>
      <c r="AJ43" s="25" t="n"/>
      <c r="AK43" s="25" t="n"/>
      <c r="AL43" s="25" t="n"/>
      <c r="AM43" s="25" t="n"/>
      <c r="AN43" s="25" t="n"/>
      <c r="AO43" s="25" t="n"/>
      <c r="AP43" s="25" t="n"/>
      <c r="AQ43" s="25" t="n"/>
      <c r="AR43" s="25" t="n"/>
      <c r="AS43" s="25" t="n"/>
      <c r="AT43" s="25" t="n"/>
      <c r="AU43" s="25" t="n"/>
      <c r="AV43" s="25" t="n"/>
      <c r="AW43" s="25" t="n"/>
      <c r="AX43" s="25" t="n"/>
      <c r="AY43" s="25" t="n"/>
      <c r="AZ43" s="25" t="n"/>
      <c r="BA43" s="25" t="n"/>
      <c r="BB43" s="25" t="n"/>
      <c r="BC43" s="25" t="n"/>
      <c r="BD43" s="25" t="n"/>
      <c r="BE43" s="25" t="n"/>
      <c r="BF43" s="25" t="n"/>
      <c r="BG43" s="25" t="n"/>
      <c r="BH43" s="25" t="n"/>
      <c r="BI43" s="25" t="n"/>
      <c r="BJ43" s="25" t="n"/>
      <c r="BK43" s="25" t="n"/>
      <c r="BL43" s="25" t="n"/>
      <c r="BM43" s="25" t="n"/>
      <c r="BN43" s="25" t="n"/>
      <c r="BO43" s="25" t="n"/>
      <c r="BP43" s="25" t="n"/>
      <c r="BQ43" s="25" t="n"/>
      <c r="BR43" s="25" t="n"/>
      <c r="BS43" s="25" t="n"/>
      <c r="BT43" s="25" t="n"/>
      <c r="BU43" s="25" t="n"/>
      <c r="BV43" s="25" t="n"/>
      <c r="BW43" s="25" t="n"/>
      <c r="BX43" s="25" t="n"/>
      <c r="BY43" s="25" t="n"/>
      <c r="BZ43" s="25" t="n"/>
      <c r="CA43" s="25" t="n"/>
      <c r="CB43" s="25" t="n"/>
      <c r="CC43" s="25" t="n"/>
      <c r="CD43" s="25" t="n"/>
      <c r="CE43" s="25" t="n"/>
      <c r="CF43" s="25" t="n"/>
      <c r="CG43" s="25" t="n"/>
      <c r="CH43" s="25" t="n"/>
      <c r="CI43" s="25" t="n"/>
      <c r="CJ43" s="25" t="n"/>
      <c r="CK43" s="25" t="n"/>
      <c r="CL43" s="25" t="n"/>
      <c r="CM43" s="25" t="n"/>
      <c r="CN43" s="25" t="n"/>
      <c r="CO43" s="25" t="n"/>
      <c r="CP43" s="25" t="n"/>
      <c r="CQ43" s="25" t="n"/>
      <c r="CR43" s="25" t="n"/>
      <c r="CS43" s="25" t="n"/>
      <c r="CT43" s="25" t="n"/>
      <c r="CU43" s="25" t="n"/>
      <c r="CV43" s="25" t="n"/>
      <c r="CW43" s="25" t="n"/>
      <c r="CX43" s="25" t="n"/>
      <c r="CY43" s="25" t="n"/>
    </row>
    <row r="44">
      <c r="A44" s="22">
        <f>'클럭 정리'!A63</f>
        <v/>
      </c>
      <c r="B44" s="23">
        <f>'클럭 정리'!O63</f>
        <v/>
      </c>
      <c r="C44" s="25" t="n"/>
      <c r="D44" s="23">
        <f>'클럭 정리'!O63</f>
        <v/>
      </c>
      <c r="E44" s="23">
        <f>'클럭 정리'!O63</f>
        <v/>
      </c>
      <c r="F44" s="23">
        <f>'클럭 정리'!O63</f>
        <v/>
      </c>
      <c r="G44" s="23">
        <f>'클럭 정리'!O63</f>
        <v/>
      </c>
      <c r="H44" s="25" t="n"/>
      <c r="I44" s="23">
        <f>'클럭 정리'!O63</f>
        <v/>
      </c>
      <c r="J44" s="23">
        <f>'클럭 정리'!O63</f>
        <v/>
      </c>
      <c r="K44" s="23">
        <f>'클럭 정리'!O63</f>
        <v/>
      </c>
      <c r="L44" s="23">
        <f>'클럭 정리'!O63</f>
        <v/>
      </c>
      <c r="M44" s="23">
        <f>'클럭 정리'!O63</f>
        <v/>
      </c>
      <c r="N44" s="23">
        <f>'클럭 정리'!O63</f>
        <v/>
      </c>
      <c r="P44" s="24">
        <f>'클럭 정리'!A45</f>
        <v/>
      </c>
      <c r="Q44" s="23">
        <f>'클럭 정리'!O45</f>
        <v/>
      </c>
      <c r="R44" s="25" t="n"/>
      <c r="S44" s="25" t="n"/>
      <c r="T44" s="25" t="n"/>
      <c r="U44" s="25" t="n"/>
      <c r="V44" s="25" t="n"/>
      <c r="W44" s="25" t="n"/>
      <c r="X44" s="23">
        <f>'클럭 정리'!O45</f>
        <v/>
      </c>
      <c r="Y44" s="23">
        <f>'클럭 정리'!O45</f>
        <v/>
      </c>
      <c r="Z44" s="23">
        <f>'클럭 정리'!O45</f>
        <v/>
      </c>
      <c r="AA44" s="23">
        <f>'클럭 정리'!O45</f>
        <v/>
      </c>
      <c r="AB44" s="23">
        <f>'클럭 정리'!O45</f>
        <v/>
      </c>
      <c r="AC44" s="23">
        <f>'클럭 정리'!O45</f>
        <v/>
      </c>
      <c r="AD44" s="23">
        <f>'클럭 정리'!O45</f>
        <v/>
      </c>
      <c r="AE44" s="25" t="n"/>
      <c r="AF44" s="25" t="n"/>
      <c r="AG44" s="25" t="n"/>
      <c r="AH44" s="25" t="n"/>
      <c r="AI44" s="25" t="n"/>
      <c r="AJ44" s="25" t="n"/>
      <c r="AK44" s="25" t="n"/>
      <c r="AL44" s="25" t="n"/>
      <c r="AM44" s="25" t="n"/>
      <c r="AN44" s="25" t="n"/>
      <c r="AO44" s="25" t="n"/>
      <c r="AP44" s="25" t="n"/>
      <c r="AQ44" s="25" t="n"/>
      <c r="AR44" s="25" t="n"/>
      <c r="AS44" s="25" t="n"/>
      <c r="AT44" s="25" t="n"/>
      <c r="AU44" s="25" t="n"/>
      <c r="AV44" s="25" t="n"/>
      <c r="AW44" s="25" t="n"/>
      <c r="AX44" s="25" t="n"/>
      <c r="AY44" s="25" t="n"/>
      <c r="AZ44" s="25" t="n"/>
      <c r="BA44" s="25" t="n"/>
      <c r="BB44" s="25" t="n"/>
      <c r="BC44" s="25" t="n"/>
      <c r="BD44" s="25" t="n"/>
      <c r="BE44" s="25" t="n"/>
      <c r="BF44" s="25" t="n"/>
      <c r="BG44" s="25" t="n"/>
      <c r="BH44" s="25" t="n"/>
      <c r="BI44" s="25" t="n"/>
      <c r="BJ44" s="25" t="n"/>
      <c r="BK44" s="25" t="n"/>
      <c r="BL44" s="25" t="n"/>
      <c r="BM44" s="25" t="n"/>
      <c r="BN44" s="25" t="n"/>
      <c r="BO44" s="25" t="n"/>
      <c r="BP44" s="25" t="n"/>
      <c r="BQ44" s="25" t="n"/>
      <c r="BR44" s="25" t="n"/>
      <c r="BS44" s="25" t="n"/>
      <c r="BT44" s="25" t="n"/>
      <c r="BU44" s="25" t="n"/>
      <c r="BV44" s="25" t="n"/>
      <c r="BW44" s="25" t="n"/>
      <c r="BX44" s="25" t="n"/>
      <c r="BY44" s="25" t="n"/>
      <c r="BZ44" s="25" t="n"/>
      <c r="CA44" s="25" t="n"/>
      <c r="CB44" s="25" t="n"/>
      <c r="CC44" s="25" t="n"/>
      <c r="CD44" s="25" t="n"/>
      <c r="CE44" s="25" t="n"/>
      <c r="CF44" s="25" t="n"/>
      <c r="CG44" s="25" t="n"/>
      <c r="CH44" s="25" t="n"/>
      <c r="CI44" s="25" t="n"/>
      <c r="CJ44" s="25" t="n"/>
      <c r="CK44" s="25" t="n"/>
      <c r="CL44" s="25" t="n"/>
      <c r="CM44" s="25" t="n"/>
      <c r="CN44" s="25" t="n"/>
      <c r="CO44" s="25" t="n"/>
      <c r="CP44" s="25" t="n"/>
      <c r="CQ44" s="25" t="n"/>
      <c r="CR44" s="25" t="n"/>
      <c r="CS44" s="25" t="n"/>
      <c r="CT44" s="25" t="n"/>
      <c r="CU44" s="25" t="n"/>
      <c r="CV44" s="25" t="n"/>
      <c r="CW44" s="25" t="n"/>
      <c r="CX44" s="25" t="n"/>
      <c r="CY44" s="25" t="n"/>
    </row>
    <row r="45">
      <c r="P45" s="24">
        <f>'클럭 정리'!A46</f>
        <v/>
      </c>
      <c r="Q45" s="23">
        <f>'클럭 정리'!O46</f>
        <v/>
      </c>
      <c r="R45" s="25" t="n"/>
      <c r="S45" s="25" t="n"/>
      <c r="T45" s="25" t="n"/>
      <c r="U45" s="25" t="n"/>
      <c r="V45" s="25" t="n"/>
      <c r="W45" s="25" t="n"/>
      <c r="X45" s="23">
        <f>'클럭 정리'!O46</f>
        <v/>
      </c>
      <c r="Y45" s="25" t="n"/>
      <c r="Z45" s="25" t="n"/>
      <c r="AA45" s="25" t="n"/>
      <c r="AB45" s="25" t="n"/>
      <c r="AC45" s="25" t="n"/>
      <c r="AD45" s="25" t="n"/>
      <c r="AE45" s="23">
        <f>'클럭 정리'!O46</f>
        <v/>
      </c>
      <c r="AF45" s="23">
        <f>'클럭 정리'!O46</f>
        <v/>
      </c>
      <c r="AG45" s="23">
        <f>'클럭 정리'!O46</f>
        <v/>
      </c>
      <c r="AH45" s="23">
        <f>'클럭 정리'!O46</f>
        <v/>
      </c>
      <c r="AI45" s="23">
        <f>'클럭 정리'!O46</f>
        <v/>
      </c>
      <c r="AJ45" s="23">
        <f>'클럭 정리'!O46</f>
        <v/>
      </c>
      <c r="AK45" s="25" t="n"/>
      <c r="AL45" s="25" t="n"/>
      <c r="AM45" s="25" t="n"/>
      <c r="AN45" s="25" t="n"/>
      <c r="AO45" s="25" t="n"/>
      <c r="AP45" s="25" t="n"/>
      <c r="AQ45" s="25" t="n"/>
      <c r="AR45" s="25" t="n"/>
      <c r="AS45" s="25" t="n"/>
      <c r="AT45" s="25" t="n"/>
      <c r="AU45" s="25" t="n"/>
      <c r="AV45" s="25" t="n"/>
      <c r="AW45" s="25" t="n"/>
      <c r="AX45" s="25" t="n"/>
      <c r="AY45" s="25" t="n"/>
      <c r="AZ45" s="25" t="n"/>
      <c r="BA45" s="25" t="n"/>
      <c r="BB45" s="25" t="n"/>
      <c r="BC45" s="25" t="n"/>
      <c r="BD45" s="25" t="n"/>
      <c r="BE45" s="25" t="n"/>
      <c r="BF45" s="25" t="n"/>
      <c r="BG45" s="25" t="n"/>
      <c r="BH45" s="25" t="n"/>
      <c r="BI45" s="25" t="n"/>
      <c r="BJ45" s="25" t="n"/>
      <c r="BK45" s="25" t="n"/>
      <c r="BL45" s="25" t="n"/>
      <c r="BM45" s="25" t="n"/>
      <c r="BN45" s="25" t="n"/>
      <c r="BO45" s="25" t="n"/>
      <c r="BP45" s="25" t="n"/>
      <c r="BQ45" s="25" t="n"/>
      <c r="BR45" s="25" t="n"/>
      <c r="BS45" s="25" t="n"/>
      <c r="BT45" s="25" t="n"/>
      <c r="BU45" s="25" t="n"/>
      <c r="BV45" s="25" t="n"/>
      <c r="BW45" s="25" t="n"/>
      <c r="BX45" s="25" t="n"/>
      <c r="BY45" s="25" t="n"/>
      <c r="BZ45" s="25" t="n"/>
      <c r="CA45" s="25" t="n"/>
      <c r="CB45" s="25" t="n"/>
      <c r="CC45" s="25" t="n"/>
      <c r="CD45" s="25" t="n"/>
      <c r="CE45" s="25" t="n"/>
      <c r="CF45" s="25" t="n"/>
      <c r="CG45" s="25" t="n"/>
      <c r="CH45" s="25" t="n"/>
      <c r="CI45" s="25" t="n"/>
      <c r="CJ45" s="25" t="n"/>
      <c r="CK45" s="25" t="n"/>
      <c r="CL45" s="25" t="n"/>
      <c r="CM45" s="25" t="n"/>
      <c r="CN45" s="25" t="n"/>
      <c r="CO45" s="25" t="n"/>
      <c r="CP45" s="25" t="n"/>
      <c r="CQ45" s="25" t="n"/>
      <c r="CR45" s="25" t="n"/>
      <c r="CS45" s="25" t="n"/>
      <c r="CT45" s="25" t="n"/>
      <c r="CU45" s="25" t="n"/>
      <c r="CV45" s="25" t="n"/>
      <c r="CW45" s="25" t="n"/>
      <c r="CX45" s="25" t="n"/>
      <c r="CY45" s="25" t="n"/>
    </row>
    <row r="46">
      <c r="A46" s="2" t="inlineStr">
        <is>
          <t>병렬도 12 분할 10 측정 5회차 (스레드별 클럭, GHz)</t>
        </is>
      </c>
      <c r="P46" s="24">
        <f>'클럭 정리'!A47</f>
        <v/>
      </c>
      <c r="Q46" s="23">
        <f>'클럭 정리'!O47</f>
        <v/>
      </c>
      <c r="R46" s="25" t="n"/>
      <c r="S46" s="25" t="n"/>
      <c r="T46" s="25" t="n"/>
      <c r="U46" s="25" t="n"/>
      <c r="V46" s="25" t="n"/>
      <c r="W46" s="25" t="n"/>
      <c r="X46" s="23">
        <f>'클럭 정리'!O47</f>
        <v/>
      </c>
      <c r="Y46" s="25" t="n"/>
      <c r="Z46" s="25" t="n"/>
      <c r="AA46" s="25" t="n"/>
      <c r="AB46" s="25" t="n"/>
      <c r="AC46" s="25" t="n"/>
      <c r="AD46" s="25" t="n"/>
      <c r="AE46" s="23">
        <f>'클럭 정리'!O47</f>
        <v/>
      </c>
      <c r="AF46" s="23">
        <f>'클럭 정리'!O47</f>
        <v/>
      </c>
      <c r="AG46" s="23">
        <f>'클럭 정리'!O47</f>
        <v/>
      </c>
      <c r="AH46" s="23">
        <f>'클럭 정리'!O47</f>
        <v/>
      </c>
      <c r="AI46" s="23">
        <f>'클럭 정리'!O47</f>
        <v/>
      </c>
      <c r="AJ46" s="23">
        <f>'클럭 정리'!O47</f>
        <v/>
      </c>
      <c r="AK46" s="25" t="n"/>
      <c r="AL46" s="25" t="n"/>
      <c r="AM46" s="25" t="n"/>
      <c r="AN46" s="25" t="n"/>
      <c r="AO46" s="25" t="n"/>
      <c r="AP46" s="25" t="n"/>
      <c r="AQ46" s="25" t="n"/>
      <c r="AR46" s="25" t="n"/>
      <c r="AS46" s="25" t="n"/>
      <c r="AT46" s="25" t="n"/>
      <c r="AU46" s="25" t="n"/>
      <c r="AV46" s="25" t="n"/>
      <c r="AW46" s="25" t="n"/>
      <c r="AX46" s="25" t="n"/>
      <c r="AY46" s="25" t="n"/>
      <c r="AZ46" s="25" t="n"/>
      <c r="BA46" s="25" t="n"/>
      <c r="BB46" s="25" t="n"/>
      <c r="BC46" s="25" t="n"/>
      <c r="BD46" s="25" t="n"/>
      <c r="BE46" s="25" t="n"/>
      <c r="BF46" s="25" t="n"/>
      <c r="BG46" s="25" t="n"/>
      <c r="BH46" s="25" t="n"/>
      <c r="BI46" s="25" t="n"/>
      <c r="BJ46" s="25" t="n"/>
      <c r="BK46" s="25" t="n"/>
      <c r="BL46" s="25" t="n"/>
      <c r="BM46" s="25" t="n"/>
      <c r="BN46" s="25" t="n"/>
      <c r="BO46" s="25" t="n"/>
      <c r="BP46" s="25" t="n"/>
      <c r="BQ46" s="25" t="n"/>
      <c r="BR46" s="25" t="n"/>
      <c r="BS46" s="25" t="n"/>
      <c r="BT46" s="25" t="n"/>
      <c r="BU46" s="25" t="n"/>
      <c r="BV46" s="25" t="n"/>
      <c r="BW46" s="25" t="n"/>
      <c r="BX46" s="25" t="n"/>
      <c r="BY46" s="25" t="n"/>
      <c r="BZ46" s="25" t="n"/>
      <c r="CA46" s="25" t="n"/>
      <c r="CB46" s="25" t="n"/>
      <c r="CC46" s="25" t="n"/>
      <c r="CD46" s="25" t="n"/>
      <c r="CE46" s="25" t="n"/>
      <c r="CF46" s="25" t="n"/>
      <c r="CG46" s="25" t="n"/>
      <c r="CH46" s="25" t="n"/>
      <c r="CI46" s="25" t="n"/>
      <c r="CJ46" s="25" t="n"/>
      <c r="CK46" s="25" t="n"/>
      <c r="CL46" s="25" t="n"/>
      <c r="CM46" s="25" t="n"/>
      <c r="CN46" s="25" t="n"/>
      <c r="CO46" s="25" t="n"/>
      <c r="CP46" s="25" t="n"/>
      <c r="CQ46" s="25" t="n"/>
      <c r="CR46" s="25" t="n"/>
      <c r="CS46" s="25" t="n"/>
      <c r="CT46" s="25" t="n"/>
      <c r="CU46" s="25" t="n"/>
      <c r="CV46" s="25" t="n"/>
      <c r="CW46" s="25" t="n"/>
      <c r="CX46" s="25" t="n"/>
      <c r="CY46" s="25" t="n"/>
    </row>
    <row r="47">
      <c r="A47" s="21" t="inlineStr">
        <is>
          <t>시각</t>
        </is>
      </c>
      <c r="B47" s="21" t="inlineStr">
        <is>
          <t>ForkJoinPool-15-worker-1</t>
        </is>
      </c>
      <c r="C47" s="21" t="inlineStr">
        <is>
          <t>ForkJoinPool-15-worker-10</t>
        </is>
      </c>
      <c r="D47" s="21" t="inlineStr">
        <is>
          <t>ForkJoinPool-15-worker-12</t>
        </is>
      </c>
      <c r="E47" s="21" t="inlineStr">
        <is>
          <t>ForkJoinPool-15-worker-2</t>
        </is>
      </c>
      <c r="F47" s="21" t="inlineStr">
        <is>
          <t>ForkJoinPool-15-worker-3</t>
        </is>
      </c>
      <c r="G47" s="21" t="inlineStr">
        <is>
          <t>ForkJoinPool-15-worker-4</t>
        </is>
      </c>
      <c r="H47" s="21" t="inlineStr">
        <is>
          <t>ForkJoinPool-15-worker-5</t>
        </is>
      </c>
      <c r="I47" s="21" t="inlineStr">
        <is>
          <t>ForkJoinPool-15-worker-6</t>
        </is>
      </c>
      <c r="J47" s="21" t="inlineStr">
        <is>
          <t>ForkJoinPool-15-worker-7</t>
        </is>
      </c>
      <c r="K47" s="21" t="inlineStr">
        <is>
          <t>ForkJoinPool-15-worker-8</t>
        </is>
      </c>
      <c r="L47" s="21" t="inlineStr">
        <is>
          <t>ForkJoinPool-15-worker-9</t>
        </is>
      </c>
      <c r="M47" s="21" t="inlineStr">
        <is>
          <t>main</t>
        </is>
      </c>
      <c r="P47" s="24">
        <f>'클럭 정리'!A48</f>
        <v/>
      </c>
      <c r="Q47" s="23">
        <f>'클럭 정리'!O48</f>
        <v/>
      </c>
      <c r="R47" s="25" t="n"/>
      <c r="S47" s="25" t="n"/>
      <c r="T47" s="25" t="n"/>
      <c r="U47" s="25" t="n"/>
      <c r="V47" s="25" t="n"/>
      <c r="W47" s="25" t="n"/>
      <c r="X47" s="23">
        <f>'클럭 정리'!O48</f>
        <v/>
      </c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5" t="n"/>
      <c r="AK47" s="23">
        <f>'클럭 정리'!O48</f>
        <v/>
      </c>
      <c r="AL47" s="23">
        <f>'클럭 정리'!O48</f>
        <v/>
      </c>
      <c r="AM47" s="23">
        <f>'클럭 정리'!O48</f>
        <v/>
      </c>
      <c r="AN47" s="23">
        <f>'클럭 정리'!O48</f>
        <v/>
      </c>
      <c r="AO47" s="23">
        <f>'클럭 정리'!O48</f>
        <v/>
      </c>
      <c r="AP47" s="23">
        <f>'클럭 정리'!O48</f>
        <v/>
      </c>
      <c r="AQ47" s="25" t="n"/>
      <c r="AR47" s="25" t="n"/>
      <c r="AS47" s="25" t="n"/>
      <c r="AT47" s="25" t="n"/>
      <c r="AU47" s="25" t="n"/>
      <c r="AV47" s="25" t="n"/>
      <c r="AW47" s="25" t="n"/>
      <c r="AX47" s="25" t="n"/>
      <c r="AY47" s="25" t="n"/>
      <c r="AZ47" s="25" t="n"/>
      <c r="BA47" s="25" t="n"/>
      <c r="BB47" s="25" t="n"/>
      <c r="BC47" s="25" t="n"/>
      <c r="BD47" s="25" t="n"/>
      <c r="BE47" s="25" t="n"/>
      <c r="BF47" s="25" t="n"/>
      <c r="BG47" s="25" t="n"/>
      <c r="BH47" s="25" t="n"/>
      <c r="BI47" s="25" t="n"/>
      <c r="BJ47" s="25" t="n"/>
      <c r="BK47" s="25" t="n"/>
      <c r="BL47" s="25" t="n"/>
      <c r="BM47" s="25" t="n"/>
      <c r="BN47" s="25" t="n"/>
      <c r="BO47" s="25" t="n"/>
      <c r="BP47" s="25" t="n"/>
      <c r="BQ47" s="25" t="n"/>
      <c r="BR47" s="25" t="n"/>
      <c r="BS47" s="25" t="n"/>
      <c r="BT47" s="25" t="n"/>
      <c r="BU47" s="25" t="n"/>
      <c r="BV47" s="25" t="n"/>
      <c r="BW47" s="25" t="n"/>
      <c r="BX47" s="25" t="n"/>
      <c r="BY47" s="25" t="n"/>
      <c r="BZ47" s="25" t="n"/>
      <c r="CA47" s="25" t="n"/>
      <c r="CB47" s="25" t="n"/>
      <c r="CC47" s="25" t="n"/>
      <c r="CD47" s="25" t="n"/>
      <c r="CE47" s="25" t="n"/>
      <c r="CF47" s="25" t="n"/>
      <c r="CG47" s="25" t="n"/>
      <c r="CH47" s="25" t="n"/>
      <c r="CI47" s="25" t="n"/>
      <c r="CJ47" s="25" t="n"/>
      <c r="CK47" s="25" t="n"/>
      <c r="CL47" s="25" t="n"/>
      <c r="CM47" s="25" t="n"/>
      <c r="CN47" s="25" t="n"/>
      <c r="CO47" s="25" t="n"/>
      <c r="CP47" s="25" t="n"/>
      <c r="CQ47" s="25" t="n"/>
      <c r="CR47" s="25" t="n"/>
      <c r="CS47" s="25" t="n"/>
      <c r="CT47" s="25" t="n"/>
      <c r="CU47" s="25" t="n"/>
      <c r="CV47" s="25" t="n"/>
      <c r="CW47" s="25" t="n"/>
      <c r="CX47" s="25" t="n"/>
      <c r="CY47" s="25" t="n"/>
    </row>
    <row r="48">
      <c r="A48" s="22">
        <f>'클럭 정리'!A64</f>
        <v/>
      </c>
      <c r="B48" s="23">
        <f>'클럭 정리'!O64</f>
        <v/>
      </c>
      <c r="C48" s="23">
        <f>'클럭 정리'!O64</f>
        <v/>
      </c>
      <c r="D48" s="23">
        <f>'클럭 정리'!O64</f>
        <v/>
      </c>
      <c r="E48" s="23">
        <f>'클럭 정리'!O64</f>
        <v/>
      </c>
      <c r="F48" s="23">
        <f>'클럭 정리'!O64</f>
        <v/>
      </c>
      <c r="G48" s="23">
        <f>'클럭 정리'!O64</f>
        <v/>
      </c>
      <c r="H48" s="23">
        <f>'클럭 정리'!O64</f>
        <v/>
      </c>
      <c r="I48" s="23">
        <f>'클럭 정리'!O64</f>
        <v/>
      </c>
      <c r="J48" s="23">
        <f>'클럭 정리'!O64</f>
        <v/>
      </c>
      <c r="K48" s="25" t="n"/>
      <c r="L48" s="23">
        <f>'클럭 정리'!O64</f>
        <v/>
      </c>
      <c r="M48" s="23">
        <f>'클럭 정리'!O64</f>
        <v/>
      </c>
      <c r="P48" s="24">
        <f>'클럭 정리'!A49</f>
        <v/>
      </c>
      <c r="Q48" s="23">
        <f>'클럭 정리'!O49</f>
        <v/>
      </c>
      <c r="R48" s="25" t="n"/>
      <c r="S48" s="25" t="n"/>
      <c r="T48" s="25" t="n"/>
      <c r="U48" s="25" t="n"/>
      <c r="V48" s="25" t="n"/>
      <c r="W48" s="25" t="n"/>
      <c r="X48" s="23">
        <f>'클럭 정리'!O49</f>
        <v/>
      </c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  <c r="AJ48" s="25" t="n"/>
      <c r="AK48" s="23">
        <f>'클럭 정리'!O49</f>
        <v/>
      </c>
      <c r="AL48" s="23">
        <f>'클럭 정리'!O49</f>
        <v/>
      </c>
      <c r="AM48" s="23">
        <f>'클럭 정리'!O49</f>
        <v/>
      </c>
      <c r="AN48" s="23">
        <f>'클럭 정리'!O49</f>
        <v/>
      </c>
      <c r="AO48" s="23">
        <f>'클럭 정리'!O49</f>
        <v/>
      </c>
      <c r="AP48" s="23">
        <f>'클럭 정리'!O49</f>
        <v/>
      </c>
      <c r="AQ48" s="25" t="n"/>
      <c r="AR48" s="25" t="n"/>
      <c r="AS48" s="25" t="n"/>
      <c r="AT48" s="25" t="n"/>
      <c r="AU48" s="25" t="n"/>
      <c r="AV48" s="25" t="n"/>
      <c r="AW48" s="25" t="n"/>
      <c r="AX48" s="25" t="n"/>
      <c r="AY48" s="25" t="n"/>
      <c r="AZ48" s="25" t="n"/>
      <c r="BA48" s="25" t="n"/>
      <c r="BB48" s="25" t="n"/>
      <c r="BC48" s="25" t="n"/>
      <c r="BD48" s="25" t="n"/>
      <c r="BE48" s="25" t="n"/>
      <c r="BF48" s="25" t="n"/>
      <c r="BG48" s="25" t="n"/>
      <c r="BH48" s="25" t="n"/>
      <c r="BI48" s="25" t="n"/>
      <c r="BJ48" s="25" t="n"/>
      <c r="BK48" s="25" t="n"/>
      <c r="BL48" s="25" t="n"/>
      <c r="BM48" s="25" t="n"/>
      <c r="BN48" s="25" t="n"/>
      <c r="BO48" s="25" t="n"/>
      <c r="BP48" s="25" t="n"/>
      <c r="BQ48" s="25" t="n"/>
      <c r="BR48" s="25" t="n"/>
      <c r="BS48" s="25" t="n"/>
      <c r="BT48" s="25" t="n"/>
      <c r="BU48" s="25" t="n"/>
      <c r="BV48" s="25" t="n"/>
      <c r="BW48" s="25" t="n"/>
      <c r="BX48" s="25" t="n"/>
      <c r="BY48" s="25" t="n"/>
      <c r="BZ48" s="25" t="n"/>
      <c r="CA48" s="25" t="n"/>
      <c r="CB48" s="25" t="n"/>
      <c r="CC48" s="25" t="n"/>
      <c r="CD48" s="25" t="n"/>
      <c r="CE48" s="25" t="n"/>
      <c r="CF48" s="25" t="n"/>
      <c r="CG48" s="25" t="n"/>
      <c r="CH48" s="25" t="n"/>
      <c r="CI48" s="25" t="n"/>
      <c r="CJ48" s="25" t="n"/>
      <c r="CK48" s="25" t="n"/>
      <c r="CL48" s="25" t="n"/>
      <c r="CM48" s="25" t="n"/>
      <c r="CN48" s="25" t="n"/>
      <c r="CO48" s="25" t="n"/>
      <c r="CP48" s="25" t="n"/>
      <c r="CQ48" s="25" t="n"/>
      <c r="CR48" s="25" t="n"/>
      <c r="CS48" s="25" t="n"/>
      <c r="CT48" s="25" t="n"/>
      <c r="CU48" s="25" t="n"/>
      <c r="CV48" s="25" t="n"/>
      <c r="CW48" s="25" t="n"/>
      <c r="CX48" s="25" t="n"/>
      <c r="CY48" s="25" t="n"/>
    </row>
    <row r="49">
      <c r="P49" s="24">
        <f>'클럭 정리'!A50</f>
        <v/>
      </c>
      <c r="Q49" s="23">
        <f>'클럭 정리'!O50</f>
        <v/>
      </c>
      <c r="R49" s="25" t="n"/>
      <c r="S49" s="25" t="n"/>
      <c r="T49" s="25" t="n"/>
      <c r="U49" s="25" t="n"/>
      <c r="V49" s="25" t="n"/>
      <c r="W49" s="25" t="n"/>
      <c r="X49" s="23">
        <f>'클럭 정리'!O50</f>
        <v/>
      </c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  <c r="AL49" s="25" t="n"/>
      <c r="AM49" s="25" t="n"/>
      <c r="AN49" s="25" t="n"/>
      <c r="AO49" s="25" t="n"/>
      <c r="AP49" s="25" t="n"/>
      <c r="AQ49" s="23">
        <f>'클럭 정리'!O50</f>
        <v/>
      </c>
      <c r="AR49" s="23">
        <f>'클럭 정리'!O50</f>
        <v/>
      </c>
      <c r="AS49" s="23">
        <f>'클럭 정리'!O50</f>
        <v/>
      </c>
      <c r="AT49" s="23">
        <f>'클럭 정리'!O50</f>
        <v/>
      </c>
      <c r="AU49" s="23">
        <f>'클럭 정리'!O50</f>
        <v/>
      </c>
      <c r="AV49" s="23">
        <f>'클럭 정리'!O50</f>
        <v/>
      </c>
      <c r="AW49" s="25" t="n"/>
      <c r="AX49" s="25" t="n"/>
      <c r="AY49" s="25" t="n"/>
      <c r="AZ49" s="25" t="n"/>
      <c r="BA49" s="25" t="n"/>
      <c r="BB49" s="25" t="n"/>
      <c r="BC49" s="25" t="n"/>
      <c r="BD49" s="25" t="n"/>
      <c r="BE49" s="25" t="n"/>
      <c r="BF49" s="25" t="n"/>
      <c r="BG49" s="25" t="n"/>
      <c r="BH49" s="25" t="n"/>
      <c r="BI49" s="25" t="n"/>
      <c r="BJ49" s="25" t="n"/>
      <c r="BK49" s="25" t="n"/>
      <c r="BL49" s="25" t="n"/>
      <c r="BM49" s="25" t="n"/>
      <c r="BN49" s="25" t="n"/>
      <c r="BO49" s="25" t="n"/>
      <c r="BP49" s="25" t="n"/>
      <c r="BQ49" s="25" t="n"/>
      <c r="BR49" s="25" t="n"/>
      <c r="BS49" s="25" t="n"/>
      <c r="BT49" s="25" t="n"/>
      <c r="BU49" s="25" t="n"/>
      <c r="BV49" s="25" t="n"/>
      <c r="BW49" s="25" t="n"/>
      <c r="BX49" s="25" t="n"/>
      <c r="BY49" s="25" t="n"/>
      <c r="BZ49" s="25" t="n"/>
      <c r="CA49" s="25" t="n"/>
      <c r="CB49" s="25" t="n"/>
      <c r="CC49" s="25" t="n"/>
      <c r="CD49" s="25" t="n"/>
      <c r="CE49" s="25" t="n"/>
      <c r="CF49" s="25" t="n"/>
      <c r="CG49" s="25" t="n"/>
      <c r="CH49" s="25" t="n"/>
      <c r="CI49" s="25" t="n"/>
      <c r="CJ49" s="25" t="n"/>
      <c r="CK49" s="25" t="n"/>
      <c r="CL49" s="25" t="n"/>
      <c r="CM49" s="25" t="n"/>
      <c r="CN49" s="25" t="n"/>
      <c r="CO49" s="25" t="n"/>
      <c r="CP49" s="25" t="n"/>
      <c r="CQ49" s="25" t="n"/>
      <c r="CR49" s="25" t="n"/>
      <c r="CS49" s="25" t="n"/>
      <c r="CT49" s="25" t="n"/>
      <c r="CU49" s="25" t="n"/>
      <c r="CV49" s="25" t="n"/>
      <c r="CW49" s="25" t="n"/>
      <c r="CX49" s="25" t="n"/>
      <c r="CY49" s="25" t="n"/>
    </row>
    <row r="50">
      <c r="P50" s="24">
        <f>'클럭 정리'!A51</f>
        <v/>
      </c>
      <c r="Q50" s="23">
        <f>'클럭 정리'!O51</f>
        <v/>
      </c>
      <c r="R50" s="25" t="n"/>
      <c r="S50" s="25" t="n"/>
      <c r="T50" s="25" t="n"/>
      <c r="U50" s="25" t="n"/>
      <c r="V50" s="25" t="n"/>
      <c r="W50" s="25" t="n"/>
      <c r="X50" s="23">
        <f>'클럭 정리'!O51</f>
        <v/>
      </c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  <c r="AL50" s="25" t="n"/>
      <c r="AM50" s="25" t="n"/>
      <c r="AN50" s="25" t="n"/>
      <c r="AO50" s="25" t="n"/>
      <c r="AP50" s="25" t="n"/>
      <c r="AQ50" s="23">
        <f>'클럭 정리'!O51</f>
        <v/>
      </c>
      <c r="AR50" s="23">
        <f>'클럭 정리'!O51</f>
        <v/>
      </c>
      <c r="AS50" s="23">
        <f>'클럭 정리'!O51</f>
        <v/>
      </c>
      <c r="AT50" s="23">
        <f>'클럭 정리'!O51</f>
        <v/>
      </c>
      <c r="AU50" s="23">
        <f>'클럭 정리'!O51</f>
        <v/>
      </c>
      <c r="AV50" s="23">
        <f>'클럭 정리'!O51</f>
        <v/>
      </c>
      <c r="AW50" s="25" t="n"/>
      <c r="AX50" s="25" t="n"/>
      <c r="AY50" s="25" t="n"/>
      <c r="AZ50" s="25" t="n"/>
      <c r="BA50" s="25" t="n"/>
      <c r="BB50" s="25" t="n"/>
      <c r="BC50" s="25" t="n"/>
      <c r="BD50" s="25" t="n"/>
      <c r="BE50" s="25" t="n"/>
      <c r="BF50" s="25" t="n"/>
      <c r="BG50" s="25" t="n"/>
      <c r="BH50" s="25" t="n"/>
      <c r="BI50" s="25" t="n"/>
      <c r="BJ50" s="25" t="n"/>
      <c r="BK50" s="25" t="n"/>
      <c r="BL50" s="25" t="n"/>
      <c r="BM50" s="25" t="n"/>
      <c r="BN50" s="25" t="n"/>
      <c r="BO50" s="25" t="n"/>
      <c r="BP50" s="25" t="n"/>
      <c r="BQ50" s="25" t="n"/>
      <c r="BR50" s="25" t="n"/>
      <c r="BS50" s="25" t="n"/>
      <c r="BT50" s="25" t="n"/>
      <c r="BU50" s="25" t="n"/>
      <c r="BV50" s="25" t="n"/>
      <c r="BW50" s="25" t="n"/>
      <c r="BX50" s="25" t="n"/>
      <c r="BY50" s="25" t="n"/>
      <c r="BZ50" s="25" t="n"/>
      <c r="CA50" s="25" t="n"/>
      <c r="CB50" s="25" t="n"/>
      <c r="CC50" s="25" t="n"/>
      <c r="CD50" s="25" t="n"/>
      <c r="CE50" s="25" t="n"/>
      <c r="CF50" s="25" t="n"/>
      <c r="CG50" s="25" t="n"/>
      <c r="CH50" s="25" t="n"/>
      <c r="CI50" s="25" t="n"/>
      <c r="CJ50" s="25" t="n"/>
      <c r="CK50" s="25" t="n"/>
      <c r="CL50" s="25" t="n"/>
      <c r="CM50" s="25" t="n"/>
      <c r="CN50" s="25" t="n"/>
      <c r="CO50" s="25" t="n"/>
      <c r="CP50" s="25" t="n"/>
      <c r="CQ50" s="25" t="n"/>
      <c r="CR50" s="25" t="n"/>
      <c r="CS50" s="25" t="n"/>
      <c r="CT50" s="25" t="n"/>
      <c r="CU50" s="25" t="n"/>
      <c r="CV50" s="25" t="n"/>
      <c r="CW50" s="25" t="n"/>
      <c r="CX50" s="25" t="n"/>
      <c r="CY50" s="25" t="n"/>
    </row>
    <row r="51">
      <c r="P51" s="24">
        <f>'클럭 정리'!A52</f>
        <v/>
      </c>
      <c r="Q51" s="23">
        <f>'클럭 정리'!O52</f>
        <v/>
      </c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  <c r="AL51" s="25" t="n"/>
      <c r="AM51" s="25" t="n"/>
      <c r="AN51" s="25" t="n"/>
      <c r="AO51" s="25" t="n"/>
      <c r="AP51" s="25" t="n"/>
      <c r="AQ51" s="25" t="n"/>
      <c r="AR51" s="25" t="n"/>
      <c r="AS51" s="25" t="n"/>
      <c r="AT51" s="25" t="n"/>
      <c r="AU51" s="25" t="n"/>
      <c r="AV51" s="25" t="n"/>
      <c r="AW51" s="25" t="n"/>
      <c r="AX51" s="25" t="n"/>
      <c r="AY51" s="25" t="n"/>
      <c r="AZ51" s="25" t="n"/>
      <c r="BA51" s="25" t="n"/>
      <c r="BB51" s="25" t="n"/>
      <c r="BC51" s="25" t="n"/>
      <c r="BD51" s="25" t="n"/>
      <c r="BE51" s="25" t="n"/>
      <c r="BF51" s="25" t="n"/>
      <c r="BG51" s="25" t="n"/>
      <c r="BH51" s="25" t="n"/>
      <c r="BI51" s="25" t="n"/>
      <c r="BJ51" s="25" t="n"/>
      <c r="BK51" s="25" t="n"/>
      <c r="BL51" s="25" t="n"/>
      <c r="BM51" s="25" t="n"/>
      <c r="BN51" s="25" t="n"/>
      <c r="BO51" s="25" t="n"/>
      <c r="BP51" s="25" t="n"/>
      <c r="BQ51" s="25" t="n"/>
      <c r="BR51" s="25" t="n"/>
      <c r="BS51" s="25" t="n"/>
      <c r="BT51" s="25" t="n"/>
      <c r="BU51" s="25" t="n"/>
      <c r="BV51" s="25" t="n"/>
      <c r="BW51" s="25" t="n"/>
      <c r="BX51" s="25" t="n"/>
      <c r="BY51" s="25" t="n"/>
      <c r="BZ51" s="25" t="n"/>
      <c r="CA51" s="25" t="n"/>
      <c r="CB51" s="25" t="n"/>
      <c r="CC51" s="25" t="n"/>
      <c r="CD51" s="25" t="n"/>
      <c r="CE51" s="25" t="n"/>
      <c r="CF51" s="25" t="n"/>
      <c r="CG51" s="25" t="n"/>
      <c r="CH51" s="25" t="n"/>
      <c r="CI51" s="25" t="n"/>
      <c r="CJ51" s="25" t="n"/>
      <c r="CK51" s="25" t="n"/>
      <c r="CL51" s="25" t="n"/>
      <c r="CM51" s="25" t="n"/>
      <c r="CN51" s="25" t="n"/>
      <c r="CO51" s="25" t="n"/>
      <c r="CP51" s="25" t="n"/>
      <c r="CQ51" s="25" t="n"/>
      <c r="CR51" s="25" t="n"/>
      <c r="CS51" s="25" t="n"/>
      <c r="CT51" s="25" t="n"/>
      <c r="CU51" s="25" t="n"/>
      <c r="CV51" s="25" t="n"/>
      <c r="CW51" s="25" t="n"/>
      <c r="CX51" s="25" t="n"/>
      <c r="CY51" s="25" t="n"/>
    </row>
    <row r="52">
      <c r="P52" s="24">
        <f>'클럭 정리'!A53</f>
        <v/>
      </c>
      <c r="Q52" s="23">
        <f>'클럭 정리'!O53</f>
        <v/>
      </c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  <c r="AL52" s="25" t="n"/>
      <c r="AM52" s="25" t="n"/>
      <c r="AN52" s="25" t="n"/>
      <c r="AO52" s="25" t="n"/>
      <c r="AP52" s="25" t="n"/>
      <c r="AQ52" s="25" t="n"/>
      <c r="AR52" s="25" t="n"/>
      <c r="AS52" s="25" t="n"/>
      <c r="AT52" s="25" t="n"/>
      <c r="AU52" s="25" t="n"/>
      <c r="AV52" s="25" t="n"/>
      <c r="AW52" s="25" t="n"/>
      <c r="AX52" s="25" t="n"/>
      <c r="AY52" s="25" t="n"/>
      <c r="AZ52" s="25" t="n"/>
      <c r="BA52" s="25" t="n"/>
      <c r="BB52" s="25" t="n"/>
      <c r="BC52" s="25" t="n"/>
      <c r="BD52" s="25" t="n"/>
      <c r="BE52" s="25" t="n"/>
      <c r="BF52" s="25" t="n"/>
      <c r="BG52" s="25" t="n"/>
      <c r="BH52" s="25" t="n"/>
      <c r="BI52" s="25" t="n"/>
      <c r="BJ52" s="25" t="n"/>
      <c r="BK52" s="25" t="n"/>
      <c r="BL52" s="25" t="n"/>
      <c r="BM52" s="25" t="n"/>
      <c r="BN52" s="25" t="n"/>
      <c r="BO52" s="25" t="n"/>
      <c r="BP52" s="25" t="n"/>
      <c r="BQ52" s="25" t="n"/>
      <c r="BR52" s="25" t="n"/>
      <c r="BS52" s="25" t="n"/>
      <c r="BT52" s="25" t="n"/>
      <c r="BU52" s="25" t="n"/>
      <c r="BV52" s="25" t="n"/>
      <c r="BW52" s="25" t="n"/>
      <c r="BX52" s="25" t="n"/>
      <c r="BY52" s="25" t="n"/>
      <c r="BZ52" s="25" t="n"/>
      <c r="CA52" s="25" t="n"/>
      <c r="CB52" s="25" t="n"/>
      <c r="CC52" s="25" t="n"/>
      <c r="CD52" s="25" t="n"/>
      <c r="CE52" s="25" t="n"/>
      <c r="CF52" s="25" t="n"/>
      <c r="CG52" s="25" t="n"/>
      <c r="CH52" s="25" t="n"/>
      <c r="CI52" s="25" t="n"/>
      <c r="CJ52" s="25" t="n"/>
      <c r="CK52" s="25" t="n"/>
      <c r="CL52" s="25" t="n"/>
      <c r="CM52" s="25" t="n"/>
      <c r="CN52" s="25" t="n"/>
      <c r="CO52" s="25" t="n"/>
      <c r="CP52" s="25" t="n"/>
      <c r="CQ52" s="25" t="n"/>
      <c r="CR52" s="25" t="n"/>
      <c r="CS52" s="25" t="n"/>
      <c r="CT52" s="25" t="n"/>
      <c r="CU52" s="25" t="n"/>
      <c r="CV52" s="25" t="n"/>
      <c r="CW52" s="25" t="n"/>
      <c r="CX52" s="25" t="n"/>
      <c r="CY52" s="25" t="n"/>
    </row>
    <row r="53">
      <c r="P53" s="24">
        <f>'클럭 정리'!A54</f>
        <v/>
      </c>
      <c r="Q53" s="23">
        <f>'클럭 정리'!O54</f>
        <v/>
      </c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  <c r="AD53" s="25" t="n"/>
      <c r="AE53" s="25" t="n"/>
      <c r="AF53" s="25" t="n"/>
      <c r="AG53" s="25" t="n"/>
      <c r="AH53" s="25" t="n"/>
      <c r="AI53" s="25" t="n"/>
      <c r="AJ53" s="25" t="n"/>
      <c r="AK53" s="25" t="n"/>
      <c r="AL53" s="25" t="n"/>
      <c r="AM53" s="25" t="n"/>
      <c r="AN53" s="25" t="n"/>
      <c r="AO53" s="25" t="n"/>
      <c r="AP53" s="25" t="n"/>
      <c r="AQ53" s="25" t="n"/>
      <c r="AR53" s="25" t="n"/>
      <c r="AS53" s="25" t="n"/>
      <c r="AT53" s="25" t="n"/>
      <c r="AU53" s="25" t="n"/>
      <c r="AV53" s="25" t="n"/>
      <c r="AW53" s="25" t="n"/>
      <c r="AX53" s="25" t="n"/>
      <c r="AY53" s="25" t="n"/>
      <c r="AZ53" s="25" t="n"/>
      <c r="BA53" s="25" t="n"/>
      <c r="BB53" s="25" t="n"/>
      <c r="BC53" s="25" t="n"/>
      <c r="BD53" s="25" t="n"/>
      <c r="BE53" s="25" t="n"/>
      <c r="BF53" s="25" t="n"/>
      <c r="BG53" s="25" t="n"/>
      <c r="BH53" s="25" t="n"/>
      <c r="BI53" s="25" t="n"/>
      <c r="BJ53" s="25" t="n"/>
      <c r="BK53" s="25" t="n"/>
      <c r="BL53" s="25" t="n"/>
      <c r="BM53" s="25" t="n"/>
      <c r="BN53" s="25" t="n"/>
      <c r="BO53" s="25" t="n"/>
      <c r="BP53" s="25" t="n"/>
      <c r="BQ53" s="25" t="n"/>
      <c r="BR53" s="25" t="n"/>
      <c r="BS53" s="25" t="n"/>
      <c r="BT53" s="25" t="n"/>
      <c r="BU53" s="25" t="n"/>
      <c r="BV53" s="25" t="n"/>
      <c r="BW53" s="25" t="n"/>
      <c r="BX53" s="25" t="n"/>
      <c r="BY53" s="25" t="n"/>
      <c r="BZ53" s="25" t="n"/>
      <c r="CA53" s="25" t="n"/>
      <c r="CB53" s="25" t="n"/>
      <c r="CC53" s="25" t="n"/>
      <c r="CD53" s="25" t="n"/>
      <c r="CE53" s="25" t="n"/>
      <c r="CF53" s="25" t="n"/>
      <c r="CG53" s="25" t="n"/>
      <c r="CH53" s="25" t="n"/>
      <c r="CI53" s="25" t="n"/>
      <c r="CJ53" s="25" t="n"/>
      <c r="CK53" s="25" t="n"/>
      <c r="CL53" s="25" t="n"/>
      <c r="CM53" s="25" t="n"/>
      <c r="CN53" s="25" t="n"/>
      <c r="CO53" s="25" t="n"/>
      <c r="CP53" s="25" t="n"/>
      <c r="CQ53" s="25" t="n"/>
      <c r="CR53" s="25" t="n"/>
      <c r="CS53" s="25" t="n"/>
      <c r="CT53" s="25" t="n"/>
      <c r="CU53" s="25" t="n"/>
      <c r="CV53" s="25" t="n"/>
      <c r="CW53" s="25" t="n"/>
      <c r="CX53" s="25" t="n"/>
      <c r="CY53" s="25" t="n"/>
    </row>
    <row r="54">
      <c r="P54" s="24">
        <f>'클럭 정리'!A55</f>
        <v/>
      </c>
      <c r="Q54" s="23">
        <f>'클럭 정리'!O55</f>
        <v/>
      </c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  <c r="AJ54" s="25" t="n"/>
      <c r="AK54" s="25" t="n"/>
      <c r="AL54" s="25" t="n"/>
      <c r="AM54" s="25" t="n"/>
      <c r="AN54" s="25" t="n"/>
      <c r="AO54" s="25" t="n"/>
      <c r="AP54" s="25" t="n"/>
      <c r="AQ54" s="25" t="n"/>
      <c r="AR54" s="25" t="n"/>
      <c r="AS54" s="25" t="n"/>
      <c r="AT54" s="25" t="n"/>
      <c r="AU54" s="25" t="n"/>
      <c r="AV54" s="25" t="n"/>
      <c r="AW54" s="25" t="n"/>
      <c r="AX54" s="25" t="n"/>
      <c r="AY54" s="25" t="n"/>
      <c r="AZ54" s="25" t="n"/>
      <c r="BA54" s="25" t="n"/>
      <c r="BB54" s="25" t="n"/>
      <c r="BC54" s="25" t="n"/>
      <c r="BD54" s="25" t="n"/>
      <c r="BE54" s="25" t="n"/>
      <c r="BF54" s="25" t="n"/>
      <c r="BG54" s="25" t="n"/>
      <c r="BH54" s="25" t="n"/>
      <c r="BI54" s="25" t="n"/>
      <c r="BJ54" s="25" t="n"/>
      <c r="BK54" s="25" t="n"/>
      <c r="BL54" s="25" t="n"/>
      <c r="BM54" s="25" t="n"/>
      <c r="BN54" s="25" t="n"/>
      <c r="BO54" s="25" t="n"/>
      <c r="BP54" s="25" t="n"/>
      <c r="BQ54" s="25" t="n"/>
      <c r="BR54" s="25" t="n"/>
      <c r="BS54" s="25" t="n"/>
      <c r="BT54" s="25" t="n"/>
      <c r="BU54" s="25" t="n"/>
      <c r="BV54" s="25" t="n"/>
      <c r="BW54" s="25" t="n"/>
      <c r="BX54" s="25" t="n"/>
      <c r="BY54" s="25" t="n"/>
      <c r="BZ54" s="25" t="n"/>
      <c r="CA54" s="25" t="n"/>
      <c r="CB54" s="25" t="n"/>
      <c r="CC54" s="25" t="n"/>
      <c r="CD54" s="25" t="n"/>
      <c r="CE54" s="25" t="n"/>
      <c r="CF54" s="25" t="n"/>
      <c r="CG54" s="25" t="n"/>
      <c r="CH54" s="25" t="n"/>
      <c r="CI54" s="25" t="n"/>
      <c r="CJ54" s="25" t="n"/>
      <c r="CK54" s="25" t="n"/>
      <c r="CL54" s="25" t="n"/>
      <c r="CM54" s="25" t="n"/>
      <c r="CN54" s="25" t="n"/>
      <c r="CO54" s="25" t="n"/>
      <c r="CP54" s="25" t="n"/>
      <c r="CQ54" s="25" t="n"/>
      <c r="CR54" s="25" t="n"/>
      <c r="CS54" s="25" t="n"/>
      <c r="CT54" s="25" t="n"/>
      <c r="CU54" s="25" t="n"/>
      <c r="CV54" s="25" t="n"/>
      <c r="CW54" s="25" t="n"/>
      <c r="CX54" s="25" t="n"/>
      <c r="CY54" s="25" t="n"/>
    </row>
    <row r="55">
      <c r="P55" s="24">
        <f>'클럭 정리'!A56</f>
        <v/>
      </c>
      <c r="Q55" s="23">
        <f>'클럭 정리'!O56</f>
        <v/>
      </c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5" t="n"/>
      <c r="AI55" s="25" t="n"/>
      <c r="AJ55" s="25" t="n"/>
      <c r="AK55" s="25" t="n"/>
      <c r="AL55" s="25" t="n"/>
      <c r="AM55" s="25" t="n"/>
      <c r="AN55" s="25" t="n"/>
      <c r="AO55" s="25" t="n"/>
      <c r="AP55" s="25" t="n"/>
      <c r="AQ55" s="25" t="n"/>
      <c r="AR55" s="25" t="n"/>
      <c r="AS55" s="25" t="n"/>
      <c r="AT55" s="25" t="n"/>
      <c r="AU55" s="25" t="n"/>
      <c r="AV55" s="25" t="n"/>
      <c r="AW55" s="25" t="n"/>
      <c r="AX55" s="25" t="n"/>
      <c r="AY55" s="25" t="n"/>
      <c r="AZ55" s="25" t="n"/>
      <c r="BA55" s="25" t="n"/>
      <c r="BB55" s="25" t="n"/>
      <c r="BC55" s="25" t="n"/>
      <c r="BD55" s="25" t="n"/>
      <c r="BE55" s="25" t="n"/>
      <c r="BF55" s="25" t="n"/>
      <c r="BG55" s="25" t="n"/>
      <c r="BH55" s="25" t="n"/>
      <c r="BI55" s="25" t="n"/>
      <c r="BJ55" s="25" t="n"/>
      <c r="BK55" s="25" t="n"/>
      <c r="BL55" s="25" t="n"/>
      <c r="BM55" s="25" t="n"/>
      <c r="BN55" s="25" t="n"/>
      <c r="BO55" s="25" t="n"/>
      <c r="BP55" s="25" t="n"/>
      <c r="BQ55" s="25" t="n"/>
      <c r="BR55" s="25" t="n"/>
      <c r="BS55" s="25" t="n"/>
      <c r="BT55" s="25" t="n"/>
      <c r="BU55" s="25" t="n"/>
      <c r="BV55" s="25" t="n"/>
      <c r="BW55" s="25" t="n"/>
      <c r="BX55" s="25" t="n"/>
      <c r="BY55" s="25" t="n"/>
      <c r="BZ55" s="25" t="n"/>
      <c r="CA55" s="25" t="n"/>
      <c r="CB55" s="25" t="n"/>
      <c r="CC55" s="25" t="n"/>
      <c r="CD55" s="25" t="n"/>
      <c r="CE55" s="25" t="n"/>
      <c r="CF55" s="25" t="n"/>
      <c r="CG55" s="25" t="n"/>
      <c r="CH55" s="25" t="n"/>
      <c r="CI55" s="25" t="n"/>
      <c r="CJ55" s="25" t="n"/>
      <c r="CK55" s="25" t="n"/>
      <c r="CL55" s="25" t="n"/>
      <c r="CM55" s="25" t="n"/>
      <c r="CN55" s="25" t="n"/>
      <c r="CO55" s="25" t="n"/>
      <c r="CP55" s="25" t="n"/>
      <c r="CQ55" s="25" t="n"/>
      <c r="CR55" s="25" t="n"/>
      <c r="CS55" s="25" t="n"/>
      <c r="CT55" s="25" t="n"/>
      <c r="CU55" s="25" t="n"/>
      <c r="CV55" s="25" t="n"/>
      <c r="CW55" s="25" t="n"/>
      <c r="CX55" s="25" t="n"/>
      <c r="CY55" s="25" t="n"/>
    </row>
    <row r="56">
      <c r="P56" s="24">
        <f>'클럭 정리'!A57</f>
        <v/>
      </c>
      <c r="Q56" s="23">
        <f>'클럭 정리'!O57</f>
        <v/>
      </c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  <c r="AD56" s="25" t="n"/>
      <c r="AE56" s="25" t="n"/>
      <c r="AF56" s="25" t="n"/>
      <c r="AG56" s="25" t="n"/>
      <c r="AH56" s="25" t="n"/>
      <c r="AI56" s="25" t="n"/>
      <c r="AJ56" s="25" t="n"/>
      <c r="AK56" s="25" t="n"/>
      <c r="AL56" s="25" t="n"/>
      <c r="AM56" s="25" t="n"/>
      <c r="AN56" s="25" t="n"/>
      <c r="AO56" s="25" t="n"/>
      <c r="AP56" s="25" t="n"/>
      <c r="AQ56" s="25" t="n"/>
      <c r="AR56" s="25" t="n"/>
      <c r="AS56" s="25" t="n"/>
      <c r="AT56" s="25" t="n"/>
      <c r="AU56" s="25" t="n"/>
      <c r="AV56" s="25" t="n"/>
      <c r="AW56" s="25" t="n"/>
      <c r="AX56" s="25" t="n"/>
      <c r="AY56" s="25" t="n"/>
      <c r="AZ56" s="25" t="n"/>
      <c r="BA56" s="25" t="n"/>
      <c r="BB56" s="25" t="n"/>
      <c r="BC56" s="25" t="n"/>
      <c r="BD56" s="25" t="n"/>
      <c r="BE56" s="25" t="n"/>
      <c r="BF56" s="25" t="n"/>
      <c r="BG56" s="25" t="n"/>
      <c r="BH56" s="25" t="n"/>
      <c r="BI56" s="25" t="n"/>
      <c r="BJ56" s="25" t="n"/>
      <c r="BK56" s="25" t="n"/>
      <c r="BL56" s="25" t="n"/>
      <c r="BM56" s="25" t="n"/>
      <c r="BN56" s="25" t="n"/>
      <c r="BO56" s="25" t="n"/>
      <c r="BP56" s="25" t="n"/>
      <c r="BQ56" s="25" t="n"/>
      <c r="BR56" s="25" t="n"/>
      <c r="BS56" s="25" t="n"/>
      <c r="BT56" s="25" t="n"/>
      <c r="BU56" s="25" t="n"/>
      <c r="BV56" s="25" t="n"/>
      <c r="BW56" s="25" t="n"/>
      <c r="BX56" s="25" t="n"/>
      <c r="BY56" s="25" t="n"/>
      <c r="BZ56" s="25" t="n"/>
      <c r="CA56" s="25" t="n"/>
      <c r="CB56" s="25" t="n"/>
      <c r="CC56" s="25" t="n"/>
      <c r="CD56" s="25" t="n"/>
      <c r="CE56" s="25" t="n"/>
      <c r="CF56" s="25" t="n"/>
      <c r="CG56" s="25" t="n"/>
      <c r="CH56" s="25" t="n"/>
      <c r="CI56" s="25" t="n"/>
      <c r="CJ56" s="25" t="n"/>
      <c r="CK56" s="25" t="n"/>
      <c r="CL56" s="25" t="n"/>
      <c r="CM56" s="25" t="n"/>
      <c r="CN56" s="25" t="n"/>
      <c r="CO56" s="25" t="n"/>
      <c r="CP56" s="25" t="n"/>
      <c r="CQ56" s="25" t="n"/>
      <c r="CR56" s="25" t="n"/>
      <c r="CS56" s="25" t="n"/>
      <c r="CT56" s="25" t="n"/>
      <c r="CU56" s="25" t="n"/>
      <c r="CV56" s="25" t="n"/>
      <c r="CW56" s="25" t="n"/>
      <c r="CX56" s="25" t="n"/>
      <c r="CY56" s="25" t="n"/>
    </row>
    <row r="57">
      <c r="P57" s="24">
        <f>'클럭 정리'!A58</f>
        <v/>
      </c>
      <c r="Q57" s="23">
        <f>'클럭 정리'!O58</f>
        <v/>
      </c>
      <c r="R57" s="25" t="n"/>
      <c r="S57" s="25" t="n"/>
      <c r="T57" s="25" t="n"/>
      <c r="U57" s="25" t="n"/>
      <c r="V57" s="25" t="n"/>
      <c r="W57" s="25" t="n"/>
      <c r="X57" s="23">
        <f>'클럭 정리'!O58</f>
        <v/>
      </c>
      <c r="Y57" s="25" t="n"/>
      <c r="Z57" s="25" t="n"/>
      <c r="AA57" s="25" t="n"/>
      <c r="AB57" s="25" t="n"/>
      <c r="AC57" s="25" t="n"/>
      <c r="AD57" s="25" t="n"/>
      <c r="AE57" s="25" t="n"/>
      <c r="AF57" s="25" t="n"/>
      <c r="AG57" s="25" t="n"/>
      <c r="AH57" s="25" t="n"/>
      <c r="AI57" s="25" t="n"/>
      <c r="AJ57" s="25" t="n"/>
      <c r="AK57" s="25" t="n"/>
      <c r="AL57" s="25" t="n"/>
      <c r="AM57" s="25" t="n"/>
      <c r="AN57" s="25" t="n"/>
      <c r="AO57" s="25" t="n"/>
      <c r="AP57" s="25" t="n"/>
      <c r="AQ57" s="25" t="n"/>
      <c r="AR57" s="25" t="n"/>
      <c r="AS57" s="25" t="n"/>
      <c r="AT57" s="25" t="n"/>
      <c r="AU57" s="25" t="n"/>
      <c r="AV57" s="25" t="n"/>
      <c r="AW57" s="23">
        <f>'클럭 정리'!O58</f>
        <v/>
      </c>
      <c r="AX57" s="23">
        <f>'클럭 정리'!O58</f>
        <v/>
      </c>
      <c r="AY57" s="23">
        <f>'클럭 정리'!O58</f>
        <v/>
      </c>
      <c r="AZ57" s="23">
        <f>'클럭 정리'!O58</f>
        <v/>
      </c>
      <c r="BA57" s="23">
        <f>'클럭 정리'!O58</f>
        <v/>
      </c>
      <c r="BB57" s="23">
        <f>'클럭 정리'!O58</f>
        <v/>
      </c>
      <c r="BC57" s="23">
        <f>'클럭 정리'!O58</f>
        <v/>
      </c>
      <c r="BD57" s="23">
        <f>'클럭 정리'!O58</f>
        <v/>
      </c>
      <c r="BE57" s="23">
        <f>'클럭 정리'!O58</f>
        <v/>
      </c>
      <c r="BF57" s="23">
        <f>'클럭 정리'!O58</f>
        <v/>
      </c>
      <c r="BG57" s="25" t="n"/>
      <c r="BH57" s="25" t="n"/>
      <c r="BI57" s="25" t="n"/>
      <c r="BJ57" s="25" t="n"/>
      <c r="BK57" s="25" t="n"/>
      <c r="BL57" s="25" t="n"/>
      <c r="BM57" s="25" t="n"/>
      <c r="BN57" s="25" t="n"/>
      <c r="BO57" s="25" t="n"/>
      <c r="BP57" s="25" t="n"/>
      <c r="BQ57" s="25" t="n"/>
      <c r="BR57" s="25" t="n"/>
      <c r="BS57" s="25" t="n"/>
      <c r="BT57" s="25" t="n"/>
      <c r="BU57" s="25" t="n"/>
      <c r="BV57" s="25" t="n"/>
      <c r="BW57" s="25" t="n"/>
      <c r="BX57" s="25" t="n"/>
      <c r="BY57" s="25" t="n"/>
      <c r="BZ57" s="25" t="n"/>
      <c r="CA57" s="25" t="n"/>
      <c r="CB57" s="25" t="n"/>
      <c r="CC57" s="25" t="n"/>
      <c r="CD57" s="25" t="n"/>
      <c r="CE57" s="25" t="n"/>
      <c r="CF57" s="25" t="n"/>
      <c r="CG57" s="25" t="n"/>
      <c r="CH57" s="25" t="n"/>
      <c r="CI57" s="25" t="n"/>
      <c r="CJ57" s="25" t="n"/>
      <c r="CK57" s="25" t="n"/>
      <c r="CL57" s="25" t="n"/>
      <c r="CM57" s="25" t="n"/>
      <c r="CN57" s="25" t="n"/>
      <c r="CO57" s="25" t="n"/>
      <c r="CP57" s="25" t="n"/>
      <c r="CQ57" s="25" t="n"/>
      <c r="CR57" s="25" t="n"/>
      <c r="CS57" s="25" t="n"/>
      <c r="CT57" s="25" t="n"/>
      <c r="CU57" s="25" t="n"/>
      <c r="CV57" s="25" t="n"/>
      <c r="CW57" s="25" t="n"/>
      <c r="CX57" s="25" t="n"/>
      <c r="CY57" s="25" t="n"/>
    </row>
    <row r="58">
      <c r="P58" s="24">
        <f>'클럭 정리'!A59</f>
        <v/>
      </c>
      <c r="Q58" s="23">
        <f>'클럭 정리'!O59</f>
        <v/>
      </c>
      <c r="R58" s="25" t="n"/>
      <c r="S58" s="25" t="n"/>
      <c r="T58" s="25" t="n"/>
      <c r="U58" s="25" t="n"/>
      <c r="V58" s="25" t="n"/>
      <c r="W58" s="25" t="n"/>
      <c r="X58" s="23">
        <f>'클럭 정리'!O59</f>
        <v/>
      </c>
      <c r="Y58" s="25" t="n"/>
      <c r="Z58" s="25" t="n"/>
      <c r="AA58" s="25" t="n"/>
      <c r="AB58" s="25" t="n"/>
      <c r="AC58" s="25" t="n"/>
      <c r="AD58" s="25" t="n"/>
      <c r="AE58" s="25" t="n"/>
      <c r="AF58" s="25" t="n"/>
      <c r="AG58" s="25" t="n"/>
      <c r="AH58" s="25" t="n"/>
      <c r="AI58" s="25" t="n"/>
      <c r="AJ58" s="25" t="n"/>
      <c r="AK58" s="25" t="n"/>
      <c r="AL58" s="25" t="n"/>
      <c r="AM58" s="25" t="n"/>
      <c r="AN58" s="25" t="n"/>
      <c r="AO58" s="25" t="n"/>
      <c r="AP58" s="25" t="n"/>
      <c r="AQ58" s="25" t="n"/>
      <c r="AR58" s="25" t="n"/>
      <c r="AS58" s="25" t="n"/>
      <c r="AT58" s="25" t="n"/>
      <c r="AU58" s="25" t="n"/>
      <c r="AV58" s="25" t="n"/>
      <c r="AW58" s="25" t="n"/>
      <c r="AX58" s="25" t="n"/>
      <c r="AY58" s="25" t="n"/>
      <c r="AZ58" s="25" t="n"/>
      <c r="BA58" s="25" t="n"/>
      <c r="BB58" s="25" t="n"/>
      <c r="BC58" s="25" t="n"/>
      <c r="BD58" s="25" t="n"/>
      <c r="BE58" s="25" t="n"/>
      <c r="BF58" s="25" t="n"/>
      <c r="BG58" s="23">
        <f>'클럭 정리'!O59</f>
        <v/>
      </c>
      <c r="BH58" s="23">
        <f>'클럭 정리'!O59</f>
        <v/>
      </c>
      <c r="BI58" s="25" t="n"/>
      <c r="BJ58" s="23">
        <f>'클럭 정리'!O59</f>
        <v/>
      </c>
      <c r="BK58" s="23">
        <f>'클럭 정리'!O59</f>
        <v/>
      </c>
      <c r="BL58" s="23">
        <f>'클럭 정리'!O59</f>
        <v/>
      </c>
      <c r="BM58" s="23">
        <f>'클럭 정리'!O59</f>
        <v/>
      </c>
      <c r="BN58" s="23">
        <f>'클럭 정리'!O59</f>
        <v/>
      </c>
      <c r="BO58" s="23">
        <f>'클럭 정리'!O59</f>
        <v/>
      </c>
      <c r="BP58" s="23">
        <f>'클럭 정리'!O59</f>
        <v/>
      </c>
      <c r="BQ58" s="23">
        <f>'클럭 정리'!O59</f>
        <v/>
      </c>
      <c r="BR58" s="25" t="n"/>
      <c r="BS58" s="25" t="n"/>
      <c r="BT58" s="25" t="n"/>
      <c r="BU58" s="25" t="n"/>
      <c r="BV58" s="25" t="n"/>
      <c r="BW58" s="25" t="n"/>
      <c r="BX58" s="25" t="n"/>
      <c r="BY58" s="25" t="n"/>
      <c r="BZ58" s="25" t="n"/>
      <c r="CA58" s="25" t="n"/>
      <c r="CB58" s="25" t="n"/>
      <c r="CC58" s="25" t="n"/>
      <c r="CD58" s="25" t="n"/>
      <c r="CE58" s="25" t="n"/>
      <c r="CF58" s="25" t="n"/>
      <c r="CG58" s="25" t="n"/>
      <c r="CH58" s="25" t="n"/>
      <c r="CI58" s="25" t="n"/>
      <c r="CJ58" s="25" t="n"/>
      <c r="CK58" s="25" t="n"/>
      <c r="CL58" s="25" t="n"/>
      <c r="CM58" s="25" t="n"/>
      <c r="CN58" s="25" t="n"/>
      <c r="CO58" s="25" t="n"/>
      <c r="CP58" s="25" t="n"/>
      <c r="CQ58" s="25" t="n"/>
      <c r="CR58" s="25" t="n"/>
      <c r="CS58" s="25" t="n"/>
      <c r="CT58" s="25" t="n"/>
      <c r="CU58" s="25" t="n"/>
      <c r="CV58" s="25" t="n"/>
      <c r="CW58" s="25" t="n"/>
      <c r="CX58" s="25" t="n"/>
      <c r="CY58" s="25" t="n"/>
    </row>
    <row r="59">
      <c r="P59" s="24">
        <f>'클럭 정리'!A60</f>
        <v/>
      </c>
      <c r="Q59" s="23">
        <f>'클럭 정리'!O60</f>
        <v/>
      </c>
      <c r="R59" s="25" t="n"/>
      <c r="S59" s="25" t="n"/>
      <c r="T59" s="25" t="n"/>
      <c r="U59" s="25" t="n"/>
      <c r="V59" s="25" t="n"/>
      <c r="W59" s="25" t="n"/>
      <c r="X59" s="23">
        <f>'클럭 정리'!O60</f>
        <v/>
      </c>
      <c r="Y59" s="25" t="n"/>
      <c r="Z59" s="25" t="n"/>
      <c r="AA59" s="25" t="n"/>
      <c r="AB59" s="25" t="n"/>
      <c r="AC59" s="25" t="n"/>
      <c r="AD59" s="25" t="n"/>
      <c r="AE59" s="25" t="n"/>
      <c r="AF59" s="25" t="n"/>
      <c r="AG59" s="25" t="n"/>
      <c r="AH59" s="25" t="n"/>
      <c r="AI59" s="25" t="n"/>
      <c r="AJ59" s="25" t="n"/>
      <c r="AK59" s="25" t="n"/>
      <c r="AL59" s="25" t="n"/>
      <c r="AM59" s="25" t="n"/>
      <c r="AN59" s="25" t="n"/>
      <c r="AO59" s="25" t="n"/>
      <c r="AP59" s="25" t="n"/>
      <c r="AQ59" s="25" t="n"/>
      <c r="AR59" s="25" t="n"/>
      <c r="AS59" s="25" t="n"/>
      <c r="AT59" s="25" t="n"/>
      <c r="AU59" s="25" t="n"/>
      <c r="AV59" s="25" t="n"/>
      <c r="AW59" s="25" t="n"/>
      <c r="AX59" s="25" t="n"/>
      <c r="AY59" s="25" t="n"/>
      <c r="AZ59" s="25" t="n"/>
      <c r="BA59" s="25" t="n"/>
      <c r="BB59" s="25" t="n"/>
      <c r="BC59" s="25" t="n"/>
      <c r="BD59" s="25" t="n"/>
      <c r="BE59" s="25" t="n"/>
      <c r="BF59" s="25" t="n"/>
      <c r="BG59" s="23">
        <f>'클럭 정리'!O60</f>
        <v/>
      </c>
      <c r="BH59" s="23">
        <f>'클럭 정리'!O60</f>
        <v/>
      </c>
      <c r="BI59" s="23">
        <f>'클럭 정리'!O60</f>
        <v/>
      </c>
      <c r="BJ59" s="23">
        <f>'클럭 정리'!O60</f>
        <v/>
      </c>
      <c r="BK59" s="23">
        <f>'클럭 정리'!O60</f>
        <v/>
      </c>
      <c r="BL59" s="23">
        <f>'클럭 정리'!O60</f>
        <v/>
      </c>
      <c r="BM59" s="25" t="n"/>
      <c r="BN59" s="23">
        <f>'클럭 정리'!O60</f>
        <v/>
      </c>
      <c r="BO59" s="23">
        <f>'클럭 정리'!O60</f>
        <v/>
      </c>
      <c r="BP59" s="23">
        <f>'클럭 정리'!O60</f>
        <v/>
      </c>
      <c r="BQ59" s="23">
        <f>'클럭 정리'!O60</f>
        <v/>
      </c>
      <c r="BR59" s="25" t="n"/>
      <c r="BS59" s="25" t="n"/>
      <c r="BT59" s="25" t="n"/>
      <c r="BU59" s="25" t="n"/>
      <c r="BV59" s="25" t="n"/>
      <c r="BW59" s="25" t="n"/>
      <c r="BX59" s="25" t="n"/>
      <c r="BY59" s="25" t="n"/>
      <c r="BZ59" s="25" t="n"/>
      <c r="CA59" s="25" t="n"/>
      <c r="CB59" s="25" t="n"/>
      <c r="CC59" s="25" t="n"/>
      <c r="CD59" s="25" t="n"/>
      <c r="CE59" s="25" t="n"/>
      <c r="CF59" s="25" t="n"/>
      <c r="CG59" s="25" t="n"/>
      <c r="CH59" s="25" t="n"/>
      <c r="CI59" s="25" t="n"/>
      <c r="CJ59" s="25" t="n"/>
      <c r="CK59" s="25" t="n"/>
      <c r="CL59" s="25" t="n"/>
      <c r="CM59" s="25" t="n"/>
      <c r="CN59" s="25" t="n"/>
      <c r="CO59" s="25" t="n"/>
      <c r="CP59" s="25" t="n"/>
      <c r="CQ59" s="25" t="n"/>
      <c r="CR59" s="25" t="n"/>
      <c r="CS59" s="25" t="n"/>
      <c r="CT59" s="25" t="n"/>
      <c r="CU59" s="25" t="n"/>
      <c r="CV59" s="25" t="n"/>
      <c r="CW59" s="25" t="n"/>
      <c r="CX59" s="25" t="n"/>
      <c r="CY59" s="25" t="n"/>
    </row>
    <row r="60">
      <c r="P60" s="24">
        <f>'클럭 정리'!A61</f>
        <v/>
      </c>
      <c r="Q60" s="23">
        <f>'클럭 정리'!O61</f>
        <v/>
      </c>
      <c r="R60" s="25" t="n"/>
      <c r="S60" s="25" t="n"/>
      <c r="T60" s="25" t="n"/>
      <c r="U60" s="25" t="n"/>
      <c r="V60" s="25" t="n"/>
      <c r="W60" s="25" t="n"/>
      <c r="X60" s="23">
        <f>'클럭 정리'!O61</f>
        <v/>
      </c>
      <c r="Y60" s="25" t="n"/>
      <c r="Z60" s="25" t="n"/>
      <c r="AA60" s="25" t="n"/>
      <c r="AB60" s="25" t="n"/>
      <c r="AC60" s="25" t="n"/>
      <c r="AD60" s="25" t="n"/>
      <c r="AE60" s="25" t="n"/>
      <c r="AF60" s="25" t="n"/>
      <c r="AG60" s="25" t="n"/>
      <c r="AH60" s="25" t="n"/>
      <c r="AI60" s="25" t="n"/>
      <c r="AJ60" s="25" t="n"/>
      <c r="AK60" s="25" t="n"/>
      <c r="AL60" s="25" t="n"/>
      <c r="AM60" s="25" t="n"/>
      <c r="AN60" s="25" t="n"/>
      <c r="AO60" s="25" t="n"/>
      <c r="AP60" s="25" t="n"/>
      <c r="AQ60" s="25" t="n"/>
      <c r="AR60" s="25" t="n"/>
      <c r="AS60" s="25" t="n"/>
      <c r="AT60" s="25" t="n"/>
      <c r="AU60" s="25" t="n"/>
      <c r="AV60" s="25" t="n"/>
      <c r="AW60" s="25" t="n"/>
      <c r="AX60" s="25" t="n"/>
      <c r="AY60" s="25" t="n"/>
      <c r="AZ60" s="25" t="n"/>
      <c r="BA60" s="25" t="n"/>
      <c r="BB60" s="25" t="n"/>
      <c r="BC60" s="25" t="n"/>
      <c r="BD60" s="25" t="n"/>
      <c r="BE60" s="25" t="n"/>
      <c r="BF60" s="25" t="n"/>
      <c r="BG60" s="25" t="n"/>
      <c r="BH60" s="25" t="n"/>
      <c r="BI60" s="25" t="n"/>
      <c r="BJ60" s="25" t="n"/>
      <c r="BK60" s="25" t="n"/>
      <c r="BL60" s="25" t="n"/>
      <c r="BM60" s="25" t="n"/>
      <c r="BN60" s="25" t="n"/>
      <c r="BO60" s="25" t="n"/>
      <c r="BP60" s="25" t="n"/>
      <c r="BQ60" s="25" t="n"/>
      <c r="BR60" s="23">
        <f>'클럭 정리'!O61</f>
        <v/>
      </c>
      <c r="BS60" s="23">
        <f>'클럭 정리'!O61</f>
        <v/>
      </c>
      <c r="BT60" s="23">
        <f>'클럭 정리'!O61</f>
        <v/>
      </c>
      <c r="BU60" s="23">
        <f>'클럭 정리'!O61</f>
        <v/>
      </c>
      <c r="BV60" s="23">
        <f>'클럭 정리'!O61</f>
        <v/>
      </c>
      <c r="BW60" s="23">
        <f>'클럭 정리'!O61</f>
        <v/>
      </c>
      <c r="BX60" s="23">
        <f>'클럭 정리'!O61</f>
        <v/>
      </c>
      <c r="BY60" s="23">
        <f>'클럭 정리'!O61</f>
        <v/>
      </c>
      <c r="BZ60" s="23">
        <f>'클럭 정리'!O61</f>
        <v/>
      </c>
      <c r="CA60" s="25" t="n"/>
      <c r="CB60" s="23">
        <f>'클럭 정리'!O61</f>
        <v/>
      </c>
      <c r="CC60" s="25" t="n"/>
      <c r="CD60" s="25" t="n"/>
      <c r="CE60" s="25" t="n"/>
      <c r="CF60" s="25" t="n"/>
      <c r="CG60" s="25" t="n"/>
      <c r="CH60" s="25" t="n"/>
      <c r="CI60" s="25" t="n"/>
      <c r="CJ60" s="25" t="n"/>
      <c r="CK60" s="25" t="n"/>
      <c r="CL60" s="25" t="n"/>
      <c r="CM60" s="25" t="n"/>
      <c r="CN60" s="25" t="n"/>
      <c r="CO60" s="25" t="n"/>
      <c r="CP60" s="25" t="n"/>
      <c r="CQ60" s="25" t="n"/>
      <c r="CR60" s="25" t="n"/>
      <c r="CS60" s="25" t="n"/>
      <c r="CT60" s="25" t="n"/>
      <c r="CU60" s="25" t="n"/>
      <c r="CV60" s="25" t="n"/>
      <c r="CW60" s="25" t="n"/>
      <c r="CX60" s="25" t="n"/>
      <c r="CY60" s="25" t="n"/>
    </row>
    <row r="61">
      <c r="P61" s="24">
        <f>'클럭 정리'!A62</f>
        <v/>
      </c>
      <c r="Q61" s="23">
        <f>'클럭 정리'!O62</f>
        <v/>
      </c>
      <c r="R61" s="25" t="n"/>
      <c r="S61" s="25" t="n"/>
      <c r="T61" s="25" t="n"/>
      <c r="U61" s="25" t="n"/>
      <c r="V61" s="25" t="n"/>
      <c r="W61" s="25" t="n"/>
      <c r="X61" s="23">
        <f>'클럭 정리'!O62</f>
        <v/>
      </c>
      <c r="Y61" s="25" t="n"/>
      <c r="Z61" s="25" t="n"/>
      <c r="AA61" s="25" t="n"/>
      <c r="AB61" s="25" t="n"/>
      <c r="AC61" s="25" t="n"/>
      <c r="AD61" s="25" t="n"/>
      <c r="AE61" s="25" t="n"/>
      <c r="AF61" s="25" t="n"/>
      <c r="AG61" s="25" t="n"/>
      <c r="AH61" s="25" t="n"/>
      <c r="AI61" s="25" t="n"/>
      <c r="AJ61" s="25" t="n"/>
      <c r="AK61" s="25" t="n"/>
      <c r="AL61" s="25" t="n"/>
      <c r="AM61" s="25" t="n"/>
      <c r="AN61" s="25" t="n"/>
      <c r="AO61" s="25" t="n"/>
      <c r="AP61" s="25" t="n"/>
      <c r="AQ61" s="25" t="n"/>
      <c r="AR61" s="25" t="n"/>
      <c r="AS61" s="25" t="n"/>
      <c r="AT61" s="25" t="n"/>
      <c r="AU61" s="25" t="n"/>
      <c r="AV61" s="25" t="n"/>
      <c r="AW61" s="25" t="n"/>
      <c r="AX61" s="25" t="n"/>
      <c r="AY61" s="25" t="n"/>
      <c r="AZ61" s="25" t="n"/>
      <c r="BA61" s="25" t="n"/>
      <c r="BB61" s="25" t="n"/>
      <c r="BC61" s="25" t="n"/>
      <c r="BD61" s="25" t="n"/>
      <c r="BE61" s="25" t="n"/>
      <c r="BF61" s="25" t="n"/>
      <c r="BG61" s="25" t="n"/>
      <c r="BH61" s="25" t="n"/>
      <c r="BI61" s="25" t="n"/>
      <c r="BJ61" s="25" t="n"/>
      <c r="BK61" s="25" t="n"/>
      <c r="BL61" s="25" t="n"/>
      <c r="BM61" s="25" t="n"/>
      <c r="BN61" s="25" t="n"/>
      <c r="BO61" s="25" t="n"/>
      <c r="BP61" s="25" t="n"/>
      <c r="BQ61" s="25" t="n"/>
      <c r="BR61" s="25" t="n"/>
      <c r="BS61" s="25" t="n"/>
      <c r="BT61" s="25" t="n"/>
      <c r="BU61" s="25" t="n"/>
      <c r="BV61" s="25" t="n"/>
      <c r="BW61" s="25" t="n"/>
      <c r="BX61" s="25" t="n"/>
      <c r="BY61" s="25" t="n"/>
      <c r="BZ61" s="25" t="n"/>
      <c r="CA61" s="25" t="n"/>
      <c r="CB61" s="25" t="n"/>
      <c r="CC61" s="23">
        <f>'클럭 정리'!O62</f>
        <v/>
      </c>
      <c r="CD61" s="25" t="n"/>
      <c r="CE61" s="23">
        <f>'클럭 정리'!O62</f>
        <v/>
      </c>
      <c r="CF61" s="23">
        <f>'클럭 정리'!O62</f>
        <v/>
      </c>
      <c r="CG61" s="23">
        <f>'클럭 정리'!O62</f>
        <v/>
      </c>
      <c r="CH61" s="23">
        <f>'클럭 정리'!O62</f>
        <v/>
      </c>
      <c r="CI61" s="25" t="n"/>
      <c r="CJ61" s="23">
        <f>'클럭 정리'!O62</f>
        <v/>
      </c>
      <c r="CK61" s="23">
        <f>'클럭 정리'!O62</f>
        <v/>
      </c>
      <c r="CL61" s="23">
        <f>'클럭 정리'!O62</f>
        <v/>
      </c>
      <c r="CM61" s="23">
        <f>'클럭 정리'!O62</f>
        <v/>
      </c>
      <c r="CN61" s="23">
        <f>'클럭 정리'!O62</f>
        <v/>
      </c>
      <c r="CO61" s="25" t="n"/>
      <c r="CP61" s="25" t="n"/>
      <c r="CQ61" s="25" t="n"/>
      <c r="CR61" s="25" t="n"/>
      <c r="CS61" s="25" t="n"/>
      <c r="CT61" s="25" t="n"/>
      <c r="CU61" s="25" t="n"/>
      <c r="CV61" s="25" t="n"/>
      <c r="CW61" s="25" t="n"/>
      <c r="CX61" s="25" t="n"/>
      <c r="CY61" s="25" t="n"/>
    </row>
    <row r="62">
      <c r="P62" s="24">
        <f>'클럭 정리'!A63</f>
        <v/>
      </c>
      <c r="Q62" s="23">
        <f>'클럭 정리'!O63</f>
        <v/>
      </c>
      <c r="R62" s="25" t="n"/>
      <c r="S62" s="25" t="n"/>
      <c r="T62" s="25" t="n"/>
      <c r="U62" s="25" t="n"/>
      <c r="V62" s="25" t="n"/>
      <c r="W62" s="25" t="n"/>
      <c r="X62" s="23">
        <f>'클럭 정리'!O63</f>
        <v/>
      </c>
      <c r="Y62" s="25" t="n"/>
      <c r="Z62" s="25" t="n"/>
      <c r="AA62" s="25" t="n"/>
      <c r="AB62" s="25" t="n"/>
      <c r="AC62" s="25" t="n"/>
      <c r="AD62" s="25" t="n"/>
      <c r="AE62" s="25" t="n"/>
      <c r="AF62" s="25" t="n"/>
      <c r="AG62" s="25" t="n"/>
      <c r="AH62" s="25" t="n"/>
      <c r="AI62" s="25" t="n"/>
      <c r="AJ62" s="25" t="n"/>
      <c r="AK62" s="25" t="n"/>
      <c r="AL62" s="25" t="n"/>
      <c r="AM62" s="25" t="n"/>
      <c r="AN62" s="25" t="n"/>
      <c r="AO62" s="25" t="n"/>
      <c r="AP62" s="25" t="n"/>
      <c r="AQ62" s="25" t="n"/>
      <c r="AR62" s="25" t="n"/>
      <c r="AS62" s="25" t="n"/>
      <c r="AT62" s="25" t="n"/>
      <c r="AU62" s="25" t="n"/>
      <c r="AV62" s="25" t="n"/>
      <c r="AW62" s="25" t="n"/>
      <c r="AX62" s="25" t="n"/>
      <c r="AY62" s="25" t="n"/>
      <c r="AZ62" s="25" t="n"/>
      <c r="BA62" s="25" t="n"/>
      <c r="BB62" s="25" t="n"/>
      <c r="BC62" s="25" t="n"/>
      <c r="BD62" s="25" t="n"/>
      <c r="BE62" s="25" t="n"/>
      <c r="BF62" s="25" t="n"/>
      <c r="BG62" s="25" t="n"/>
      <c r="BH62" s="25" t="n"/>
      <c r="BI62" s="25" t="n"/>
      <c r="BJ62" s="25" t="n"/>
      <c r="BK62" s="25" t="n"/>
      <c r="BL62" s="25" t="n"/>
      <c r="BM62" s="25" t="n"/>
      <c r="BN62" s="25" t="n"/>
      <c r="BO62" s="25" t="n"/>
      <c r="BP62" s="25" t="n"/>
      <c r="BQ62" s="25" t="n"/>
      <c r="BR62" s="25" t="n"/>
      <c r="BS62" s="25" t="n"/>
      <c r="BT62" s="25" t="n"/>
      <c r="BU62" s="25" t="n"/>
      <c r="BV62" s="25" t="n"/>
      <c r="BW62" s="25" t="n"/>
      <c r="BX62" s="25" t="n"/>
      <c r="BY62" s="25" t="n"/>
      <c r="BZ62" s="25" t="n"/>
      <c r="CA62" s="25" t="n"/>
      <c r="CB62" s="25" t="n"/>
      <c r="CC62" s="23">
        <f>'클럭 정리'!O63</f>
        <v/>
      </c>
      <c r="CD62" s="25" t="n"/>
      <c r="CE62" s="23">
        <f>'클럭 정리'!O63</f>
        <v/>
      </c>
      <c r="CF62" s="23">
        <f>'클럭 정리'!O63</f>
        <v/>
      </c>
      <c r="CG62" s="23">
        <f>'클럭 정리'!O63</f>
        <v/>
      </c>
      <c r="CH62" s="23">
        <f>'클럭 정리'!O63</f>
        <v/>
      </c>
      <c r="CI62" s="25" t="n"/>
      <c r="CJ62" s="23">
        <f>'클럭 정리'!O63</f>
        <v/>
      </c>
      <c r="CK62" s="23">
        <f>'클럭 정리'!O63</f>
        <v/>
      </c>
      <c r="CL62" s="23">
        <f>'클럭 정리'!O63</f>
        <v/>
      </c>
      <c r="CM62" s="23">
        <f>'클럭 정리'!O63</f>
        <v/>
      </c>
      <c r="CN62" s="23">
        <f>'클럭 정리'!O63</f>
        <v/>
      </c>
      <c r="CO62" s="25" t="n"/>
      <c r="CP62" s="25" t="n"/>
      <c r="CQ62" s="25" t="n"/>
      <c r="CR62" s="25" t="n"/>
      <c r="CS62" s="25" t="n"/>
      <c r="CT62" s="25" t="n"/>
      <c r="CU62" s="25" t="n"/>
      <c r="CV62" s="25" t="n"/>
      <c r="CW62" s="25" t="n"/>
      <c r="CX62" s="25" t="n"/>
      <c r="CY62" s="25" t="n"/>
    </row>
    <row r="63">
      <c r="P63" s="24">
        <f>'클럭 정리'!A64</f>
        <v/>
      </c>
      <c r="Q63" s="23">
        <f>'클럭 정리'!O64</f>
        <v/>
      </c>
      <c r="R63" s="25" t="n"/>
      <c r="S63" s="25" t="n"/>
      <c r="T63" s="25" t="n"/>
      <c r="U63" s="25" t="n"/>
      <c r="V63" s="25" t="n"/>
      <c r="W63" s="25" t="n"/>
      <c r="X63" s="23">
        <f>'클럭 정리'!O64</f>
        <v/>
      </c>
      <c r="Y63" s="25" t="n"/>
      <c r="Z63" s="25" t="n"/>
      <c r="AA63" s="25" t="n"/>
      <c r="AB63" s="25" t="n"/>
      <c r="AC63" s="25" t="n"/>
      <c r="AD63" s="25" t="n"/>
      <c r="AE63" s="25" t="n"/>
      <c r="AF63" s="25" t="n"/>
      <c r="AG63" s="25" t="n"/>
      <c r="AH63" s="25" t="n"/>
      <c r="AI63" s="25" t="n"/>
      <c r="AJ63" s="25" t="n"/>
      <c r="AK63" s="25" t="n"/>
      <c r="AL63" s="25" t="n"/>
      <c r="AM63" s="25" t="n"/>
      <c r="AN63" s="25" t="n"/>
      <c r="AO63" s="25" t="n"/>
      <c r="AP63" s="25" t="n"/>
      <c r="AQ63" s="25" t="n"/>
      <c r="AR63" s="25" t="n"/>
      <c r="AS63" s="25" t="n"/>
      <c r="AT63" s="25" t="n"/>
      <c r="AU63" s="25" t="n"/>
      <c r="AV63" s="25" t="n"/>
      <c r="AW63" s="25" t="n"/>
      <c r="AX63" s="25" t="n"/>
      <c r="AY63" s="25" t="n"/>
      <c r="AZ63" s="25" t="n"/>
      <c r="BA63" s="25" t="n"/>
      <c r="BB63" s="25" t="n"/>
      <c r="BC63" s="25" t="n"/>
      <c r="BD63" s="25" t="n"/>
      <c r="BE63" s="25" t="n"/>
      <c r="BF63" s="25" t="n"/>
      <c r="BG63" s="25" t="n"/>
      <c r="BH63" s="25" t="n"/>
      <c r="BI63" s="25" t="n"/>
      <c r="BJ63" s="25" t="n"/>
      <c r="BK63" s="25" t="n"/>
      <c r="BL63" s="25" t="n"/>
      <c r="BM63" s="25" t="n"/>
      <c r="BN63" s="25" t="n"/>
      <c r="BO63" s="25" t="n"/>
      <c r="BP63" s="25" t="n"/>
      <c r="BQ63" s="25" t="n"/>
      <c r="BR63" s="25" t="n"/>
      <c r="BS63" s="25" t="n"/>
      <c r="BT63" s="25" t="n"/>
      <c r="BU63" s="25" t="n"/>
      <c r="BV63" s="25" t="n"/>
      <c r="BW63" s="25" t="n"/>
      <c r="BX63" s="25" t="n"/>
      <c r="BY63" s="25" t="n"/>
      <c r="BZ63" s="25" t="n"/>
      <c r="CA63" s="25" t="n"/>
      <c r="CB63" s="25" t="n"/>
      <c r="CC63" s="25" t="n"/>
      <c r="CD63" s="25" t="n"/>
      <c r="CE63" s="25" t="n"/>
      <c r="CF63" s="25" t="n"/>
      <c r="CG63" s="25" t="n"/>
      <c r="CH63" s="25" t="n"/>
      <c r="CI63" s="25" t="n"/>
      <c r="CJ63" s="25" t="n"/>
      <c r="CK63" s="25" t="n"/>
      <c r="CL63" s="25" t="n"/>
      <c r="CM63" s="25" t="n"/>
      <c r="CN63" s="25" t="n"/>
      <c r="CO63" s="23">
        <f>'클럭 정리'!O64</f>
        <v/>
      </c>
      <c r="CP63" s="23">
        <f>'클럭 정리'!O64</f>
        <v/>
      </c>
      <c r="CQ63" s="23">
        <f>'클럭 정리'!O64</f>
        <v/>
      </c>
      <c r="CR63" s="23">
        <f>'클럭 정리'!O64</f>
        <v/>
      </c>
      <c r="CS63" s="23">
        <f>'클럭 정리'!O64</f>
        <v/>
      </c>
      <c r="CT63" s="23">
        <f>'클럭 정리'!O64</f>
        <v/>
      </c>
      <c r="CU63" s="23">
        <f>'클럭 정리'!O64</f>
        <v/>
      </c>
      <c r="CV63" s="23">
        <f>'클럭 정리'!O64</f>
        <v/>
      </c>
      <c r="CW63" s="23">
        <f>'클럭 정리'!O64</f>
        <v/>
      </c>
      <c r="CX63" s="25" t="n"/>
      <c r="CY63" s="23">
        <f>'클럭 정리'!O64</f>
        <v/>
      </c>
    </row>
    <row r="64">
      <c r="P64" s="24">
        <f>'클럭 정리'!A65</f>
        <v/>
      </c>
      <c r="Q64" s="23">
        <f>'클럭 정리'!O65</f>
        <v/>
      </c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5" t="n"/>
      <c r="AI64" s="25" t="n"/>
      <c r="AJ64" s="25" t="n"/>
      <c r="AK64" s="25" t="n"/>
      <c r="AL64" s="25" t="n"/>
      <c r="AM64" s="25" t="n"/>
      <c r="AN64" s="25" t="n"/>
      <c r="AO64" s="25" t="n"/>
      <c r="AP64" s="25" t="n"/>
      <c r="AQ64" s="25" t="n"/>
      <c r="AR64" s="25" t="n"/>
      <c r="AS64" s="25" t="n"/>
      <c r="AT64" s="25" t="n"/>
      <c r="AU64" s="25" t="n"/>
      <c r="AV64" s="25" t="n"/>
      <c r="AW64" s="25" t="n"/>
      <c r="AX64" s="25" t="n"/>
      <c r="AY64" s="25" t="n"/>
      <c r="AZ64" s="25" t="n"/>
      <c r="BA64" s="25" t="n"/>
      <c r="BB64" s="25" t="n"/>
      <c r="BC64" s="25" t="n"/>
      <c r="BD64" s="25" t="n"/>
      <c r="BE64" s="25" t="n"/>
      <c r="BF64" s="25" t="n"/>
      <c r="BG64" s="25" t="n"/>
      <c r="BH64" s="25" t="n"/>
      <c r="BI64" s="25" t="n"/>
      <c r="BJ64" s="25" t="n"/>
      <c r="BK64" s="25" t="n"/>
      <c r="BL64" s="25" t="n"/>
      <c r="BM64" s="25" t="n"/>
      <c r="BN64" s="25" t="n"/>
      <c r="BO64" s="25" t="n"/>
      <c r="BP64" s="25" t="n"/>
      <c r="BQ64" s="25" t="n"/>
      <c r="BR64" s="25" t="n"/>
      <c r="BS64" s="25" t="n"/>
      <c r="BT64" s="25" t="n"/>
      <c r="BU64" s="25" t="n"/>
      <c r="BV64" s="25" t="n"/>
      <c r="BW64" s="25" t="n"/>
      <c r="BX64" s="25" t="n"/>
      <c r="BY64" s="25" t="n"/>
      <c r="BZ64" s="25" t="n"/>
      <c r="CA64" s="25" t="n"/>
      <c r="CB64" s="25" t="n"/>
      <c r="CC64" s="25" t="n"/>
      <c r="CD64" s="25" t="n"/>
      <c r="CE64" s="25" t="n"/>
      <c r="CF64" s="25" t="n"/>
      <c r="CG64" s="25" t="n"/>
      <c r="CH64" s="25" t="n"/>
      <c r="CI64" s="25" t="n"/>
      <c r="CJ64" s="25" t="n"/>
      <c r="CK64" s="25" t="n"/>
      <c r="CL64" s="25" t="n"/>
      <c r="CM64" s="25" t="n"/>
      <c r="CN64" s="25" t="n"/>
      <c r="CO64" s="25" t="n"/>
      <c r="CP64" s="25" t="n"/>
      <c r="CQ64" s="25" t="n"/>
      <c r="CR64" s="25" t="n"/>
      <c r="CS64" s="25" t="n"/>
      <c r="CT64" s="25" t="n"/>
      <c r="CU64" s="25" t="n"/>
      <c r="CV64" s="25" t="n"/>
      <c r="CW64" s="25" t="n"/>
      <c r="CX64" s="25" t="n"/>
      <c r="CY64" s="25" t="n"/>
    </row>
    <row r="65">
      <c r="P65" s="24">
        <f>'클럭 정리'!A66</f>
        <v/>
      </c>
      <c r="Q65" s="23">
        <f>'클럭 정리'!O66</f>
        <v/>
      </c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  <c r="AB65" s="25" t="n"/>
      <c r="AC65" s="25" t="n"/>
      <c r="AD65" s="25" t="n"/>
      <c r="AE65" s="25" t="n"/>
      <c r="AF65" s="25" t="n"/>
      <c r="AG65" s="25" t="n"/>
      <c r="AH65" s="25" t="n"/>
      <c r="AI65" s="25" t="n"/>
      <c r="AJ65" s="25" t="n"/>
      <c r="AK65" s="25" t="n"/>
      <c r="AL65" s="25" t="n"/>
      <c r="AM65" s="25" t="n"/>
      <c r="AN65" s="25" t="n"/>
      <c r="AO65" s="25" t="n"/>
      <c r="AP65" s="25" t="n"/>
      <c r="AQ65" s="25" t="n"/>
      <c r="AR65" s="25" t="n"/>
      <c r="AS65" s="25" t="n"/>
      <c r="AT65" s="25" t="n"/>
      <c r="AU65" s="25" t="n"/>
      <c r="AV65" s="25" t="n"/>
      <c r="AW65" s="25" t="n"/>
      <c r="AX65" s="25" t="n"/>
      <c r="AY65" s="25" t="n"/>
      <c r="AZ65" s="25" t="n"/>
      <c r="BA65" s="25" t="n"/>
      <c r="BB65" s="25" t="n"/>
      <c r="BC65" s="25" t="n"/>
      <c r="BD65" s="25" t="n"/>
      <c r="BE65" s="25" t="n"/>
      <c r="BF65" s="25" t="n"/>
      <c r="BG65" s="25" t="n"/>
      <c r="BH65" s="25" t="n"/>
      <c r="BI65" s="25" t="n"/>
      <c r="BJ65" s="25" t="n"/>
      <c r="BK65" s="25" t="n"/>
      <c r="BL65" s="25" t="n"/>
      <c r="BM65" s="25" t="n"/>
      <c r="BN65" s="25" t="n"/>
      <c r="BO65" s="25" t="n"/>
      <c r="BP65" s="25" t="n"/>
      <c r="BQ65" s="25" t="n"/>
      <c r="BR65" s="25" t="n"/>
      <c r="BS65" s="25" t="n"/>
      <c r="BT65" s="25" t="n"/>
      <c r="BU65" s="25" t="n"/>
      <c r="BV65" s="25" t="n"/>
      <c r="BW65" s="25" t="n"/>
      <c r="BX65" s="25" t="n"/>
      <c r="BY65" s="25" t="n"/>
      <c r="BZ65" s="25" t="n"/>
      <c r="CA65" s="25" t="n"/>
      <c r="CB65" s="25" t="n"/>
      <c r="CC65" s="25" t="n"/>
      <c r="CD65" s="25" t="n"/>
      <c r="CE65" s="25" t="n"/>
      <c r="CF65" s="25" t="n"/>
      <c r="CG65" s="25" t="n"/>
      <c r="CH65" s="25" t="n"/>
      <c r="CI65" s="25" t="n"/>
      <c r="CJ65" s="25" t="n"/>
      <c r="CK65" s="25" t="n"/>
      <c r="CL65" s="25" t="n"/>
      <c r="CM65" s="25" t="n"/>
      <c r="CN65" s="25" t="n"/>
      <c r="CO65" s="25" t="n"/>
      <c r="CP65" s="25" t="n"/>
      <c r="CQ65" s="25" t="n"/>
      <c r="CR65" s="25" t="n"/>
      <c r="CS65" s="25" t="n"/>
      <c r="CT65" s="25" t="n"/>
      <c r="CU65" s="25" t="n"/>
      <c r="CV65" s="25" t="n"/>
      <c r="CW65" s="25" t="n"/>
      <c r="CX65" s="25" t="n"/>
      <c r="CY65" s="25" t="n"/>
    </row>
    <row r="66">
      <c r="P66" s="24">
        <f>'클럭 정리'!A67</f>
        <v/>
      </c>
      <c r="Q66" s="23">
        <f>'클럭 정리'!O67</f>
        <v/>
      </c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  <c r="AA66" s="25" t="n"/>
      <c r="AB66" s="25" t="n"/>
      <c r="AC66" s="25" t="n"/>
      <c r="AD66" s="25" t="n"/>
      <c r="AE66" s="25" t="n"/>
      <c r="AF66" s="25" t="n"/>
      <c r="AG66" s="25" t="n"/>
      <c r="AH66" s="25" t="n"/>
      <c r="AI66" s="25" t="n"/>
      <c r="AJ66" s="25" t="n"/>
      <c r="AK66" s="25" t="n"/>
      <c r="AL66" s="25" t="n"/>
      <c r="AM66" s="25" t="n"/>
      <c r="AN66" s="25" t="n"/>
      <c r="AO66" s="25" t="n"/>
      <c r="AP66" s="25" t="n"/>
      <c r="AQ66" s="25" t="n"/>
      <c r="AR66" s="25" t="n"/>
      <c r="AS66" s="25" t="n"/>
      <c r="AT66" s="25" t="n"/>
      <c r="AU66" s="25" t="n"/>
      <c r="AV66" s="25" t="n"/>
      <c r="AW66" s="25" t="n"/>
      <c r="AX66" s="25" t="n"/>
      <c r="AY66" s="25" t="n"/>
      <c r="AZ66" s="25" t="n"/>
      <c r="BA66" s="25" t="n"/>
      <c r="BB66" s="25" t="n"/>
      <c r="BC66" s="25" t="n"/>
      <c r="BD66" s="25" t="n"/>
      <c r="BE66" s="25" t="n"/>
      <c r="BF66" s="25" t="n"/>
      <c r="BG66" s="25" t="n"/>
      <c r="BH66" s="25" t="n"/>
      <c r="BI66" s="25" t="n"/>
      <c r="BJ66" s="25" t="n"/>
      <c r="BK66" s="25" t="n"/>
      <c r="BL66" s="25" t="n"/>
      <c r="BM66" s="25" t="n"/>
      <c r="BN66" s="25" t="n"/>
      <c r="BO66" s="25" t="n"/>
      <c r="BP66" s="25" t="n"/>
      <c r="BQ66" s="25" t="n"/>
      <c r="BR66" s="25" t="n"/>
      <c r="BS66" s="25" t="n"/>
      <c r="BT66" s="25" t="n"/>
      <c r="BU66" s="25" t="n"/>
      <c r="BV66" s="25" t="n"/>
      <c r="BW66" s="25" t="n"/>
      <c r="BX66" s="25" t="n"/>
      <c r="BY66" s="25" t="n"/>
      <c r="BZ66" s="25" t="n"/>
      <c r="CA66" s="25" t="n"/>
      <c r="CB66" s="25" t="n"/>
      <c r="CC66" s="25" t="n"/>
      <c r="CD66" s="25" t="n"/>
      <c r="CE66" s="25" t="n"/>
      <c r="CF66" s="25" t="n"/>
      <c r="CG66" s="25" t="n"/>
      <c r="CH66" s="25" t="n"/>
      <c r="CI66" s="25" t="n"/>
      <c r="CJ66" s="25" t="n"/>
      <c r="CK66" s="25" t="n"/>
      <c r="CL66" s="25" t="n"/>
      <c r="CM66" s="25" t="n"/>
      <c r="CN66" s="25" t="n"/>
      <c r="CO66" s="25" t="n"/>
      <c r="CP66" s="25" t="n"/>
      <c r="CQ66" s="25" t="n"/>
      <c r="CR66" s="25" t="n"/>
      <c r="CS66" s="25" t="n"/>
      <c r="CT66" s="25" t="n"/>
      <c r="CU66" s="25" t="n"/>
      <c r="CV66" s="25" t="n"/>
      <c r="CW66" s="25" t="n"/>
      <c r="CX66" s="25" t="n"/>
      <c r="CY66" s="25" t="n"/>
    </row>
    <row r="67">
      <c r="P67" s="24">
        <f>'클럭 정리'!A68</f>
        <v/>
      </c>
      <c r="Q67" s="23">
        <f>'클럭 정리'!O68</f>
        <v/>
      </c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  <c r="AA67" s="25" t="n"/>
      <c r="AB67" s="25" t="n"/>
      <c r="AC67" s="25" t="n"/>
      <c r="AD67" s="25" t="n"/>
      <c r="AE67" s="25" t="n"/>
      <c r="AF67" s="25" t="n"/>
      <c r="AG67" s="25" t="n"/>
      <c r="AH67" s="25" t="n"/>
      <c r="AI67" s="25" t="n"/>
      <c r="AJ67" s="25" t="n"/>
      <c r="AK67" s="25" t="n"/>
      <c r="AL67" s="25" t="n"/>
      <c r="AM67" s="25" t="n"/>
      <c r="AN67" s="25" t="n"/>
      <c r="AO67" s="25" t="n"/>
      <c r="AP67" s="25" t="n"/>
      <c r="AQ67" s="25" t="n"/>
      <c r="AR67" s="25" t="n"/>
      <c r="AS67" s="25" t="n"/>
      <c r="AT67" s="25" t="n"/>
      <c r="AU67" s="25" t="n"/>
      <c r="AV67" s="25" t="n"/>
      <c r="AW67" s="25" t="n"/>
      <c r="AX67" s="25" t="n"/>
      <c r="AY67" s="25" t="n"/>
      <c r="AZ67" s="25" t="n"/>
      <c r="BA67" s="25" t="n"/>
      <c r="BB67" s="25" t="n"/>
      <c r="BC67" s="25" t="n"/>
      <c r="BD67" s="25" t="n"/>
      <c r="BE67" s="25" t="n"/>
      <c r="BF67" s="25" t="n"/>
      <c r="BG67" s="25" t="n"/>
      <c r="BH67" s="25" t="n"/>
      <c r="BI67" s="25" t="n"/>
      <c r="BJ67" s="25" t="n"/>
      <c r="BK67" s="25" t="n"/>
      <c r="BL67" s="25" t="n"/>
      <c r="BM67" s="25" t="n"/>
      <c r="BN67" s="25" t="n"/>
      <c r="BO67" s="25" t="n"/>
      <c r="BP67" s="25" t="n"/>
      <c r="BQ67" s="25" t="n"/>
      <c r="BR67" s="25" t="n"/>
      <c r="BS67" s="25" t="n"/>
      <c r="BT67" s="25" t="n"/>
      <c r="BU67" s="25" t="n"/>
      <c r="BV67" s="25" t="n"/>
      <c r="BW67" s="25" t="n"/>
      <c r="BX67" s="25" t="n"/>
      <c r="BY67" s="25" t="n"/>
      <c r="BZ67" s="25" t="n"/>
      <c r="CA67" s="25" t="n"/>
      <c r="CB67" s="25" t="n"/>
      <c r="CC67" s="25" t="n"/>
      <c r="CD67" s="25" t="n"/>
      <c r="CE67" s="25" t="n"/>
      <c r="CF67" s="25" t="n"/>
      <c r="CG67" s="25" t="n"/>
      <c r="CH67" s="25" t="n"/>
      <c r="CI67" s="25" t="n"/>
      <c r="CJ67" s="25" t="n"/>
      <c r="CK67" s="25" t="n"/>
      <c r="CL67" s="25" t="n"/>
      <c r="CM67" s="25" t="n"/>
      <c r="CN67" s="25" t="n"/>
      <c r="CO67" s="25" t="n"/>
      <c r="CP67" s="25" t="n"/>
      <c r="CQ67" s="25" t="n"/>
      <c r="CR67" s="25" t="n"/>
      <c r="CS67" s="25" t="n"/>
      <c r="CT67" s="25" t="n"/>
      <c r="CU67" s="25" t="n"/>
      <c r="CV67" s="25" t="n"/>
      <c r="CW67" s="25" t="n"/>
      <c r="CX67" s="25" t="n"/>
      <c r="CY67" s="25" t="n"/>
    </row>
    <row r="68">
      <c r="P68" s="24">
        <f>'클럭 정리'!A69</f>
        <v/>
      </c>
      <c r="Q68" s="23">
        <f>'클럭 정리'!O69</f>
        <v/>
      </c>
      <c r="R68" s="25" t="n"/>
      <c r="S68" s="25" t="n"/>
      <c r="T68" s="25" t="n"/>
      <c r="U68" s="25" t="n"/>
      <c r="V68" s="25" t="n"/>
      <c r="W68" s="25" t="n"/>
      <c r="X68" s="25" t="n"/>
      <c r="Y68" s="25" t="n"/>
      <c r="Z68" s="25" t="n"/>
      <c r="AA68" s="25" t="n"/>
      <c r="AB68" s="25" t="n"/>
      <c r="AC68" s="25" t="n"/>
      <c r="AD68" s="25" t="n"/>
      <c r="AE68" s="25" t="n"/>
      <c r="AF68" s="25" t="n"/>
      <c r="AG68" s="25" t="n"/>
      <c r="AH68" s="25" t="n"/>
      <c r="AI68" s="25" t="n"/>
      <c r="AJ68" s="25" t="n"/>
      <c r="AK68" s="25" t="n"/>
      <c r="AL68" s="25" t="n"/>
      <c r="AM68" s="25" t="n"/>
      <c r="AN68" s="25" t="n"/>
      <c r="AO68" s="25" t="n"/>
      <c r="AP68" s="25" t="n"/>
      <c r="AQ68" s="25" t="n"/>
      <c r="AR68" s="25" t="n"/>
      <c r="AS68" s="25" t="n"/>
      <c r="AT68" s="25" t="n"/>
      <c r="AU68" s="25" t="n"/>
      <c r="AV68" s="25" t="n"/>
      <c r="AW68" s="25" t="n"/>
      <c r="AX68" s="25" t="n"/>
      <c r="AY68" s="25" t="n"/>
      <c r="AZ68" s="25" t="n"/>
      <c r="BA68" s="25" t="n"/>
      <c r="BB68" s="25" t="n"/>
      <c r="BC68" s="25" t="n"/>
      <c r="BD68" s="25" t="n"/>
      <c r="BE68" s="25" t="n"/>
      <c r="BF68" s="25" t="n"/>
      <c r="BG68" s="25" t="n"/>
      <c r="BH68" s="25" t="n"/>
      <c r="BI68" s="25" t="n"/>
      <c r="BJ68" s="25" t="n"/>
      <c r="BK68" s="25" t="n"/>
      <c r="BL68" s="25" t="n"/>
      <c r="BM68" s="25" t="n"/>
      <c r="BN68" s="25" t="n"/>
      <c r="BO68" s="25" t="n"/>
      <c r="BP68" s="25" t="n"/>
      <c r="BQ68" s="25" t="n"/>
      <c r="BR68" s="25" t="n"/>
      <c r="BS68" s="25" t="n"/>
      <c r="BT68" s="25" t="n"/>
      <c r="BU68" s="25" t="n"/>
      <c r="BV68" s="25" t="n"/>
      <c r="BW68" s="25" t="n"/>
      <c r="BX68" s="25" t="n"/>
      <c r="BY68" s="25" t="n"/>
      <c r="BZ68" s="25" t="n"/>
      <c r="CA68" s="25" t="n"/>
      <c r="CB68" s="25" t="n"/>
      <c r="CC68" s="25" t="n"/>
      <c r="CD68" s="25" t="n"/>
      <c r="CE68" s="25" t="n"/>
      <c r="CF68" s="25" t="n"/>
      <c r="CG68" s="25" t="n"/>
      <c r="CH68" s="25" t="n"/>
      <c r="CI68" s="25" t="n"/>
      <c r="CJ68" s="25" t="n"/>
      <c r="CK68" s="25" t="n"/>
      <c r="CL68" s="25" t="n"/>
      <c r="CM68" s="25" t="n"/>
      <c r="CN68" s="25" t="n"/>
      <c r="CO68" s="25" t="n"/>
      <c r="CP68" s="25" t="n"/>
      <c r="CQ68" s="25" t="n"/>
      <c r="CR68" s="25" t="n"/>
      <c r="CS68" s="25" t="n"/>
      <c r="CT68" s="25" t="n"/>
      <c r="CU68" s="25" t="n"/>
      <c r="CV68" s="25" t="n"/>
      <c r="CW68" s="25" t="n"/>
      <c r="CX68" s="25" t="n"/>
      <c r="CY68" s="25" t="n"/>
    </row>
    <row r="69">
      <c r="P69" s="24">
        <f>'클럭 정리'!A70</f>
        <v/>
      </c>
      <c r="Q69" s="23">
        <f>'클럭 정리'!O70</f>
        <v/>
      </c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  <c r="AA69" s="25" t="n"/>
      <c r="AB69" s="25" t="n"/>
      <c r="AC69" s="25" t="n"/>
      <c r="AD69" s="25" t="n"/>
      <c r="AE69" s="25" t="n"/>
      <c r="AF69" s="25" t="n"/>
      <c r="AG69" s="25" t="n"/>
      <c r="AH69" s="25" t="n"/>
      <c r="AI69" s="25" t="n"/>
      <c r="AJ69" s="25" t="n"/>
      <c r="AK69" s="25" t="n"/>
      <c r="AL69" s="25" t="n"/>
      <c r="AM69" s="25" t="n"/>
      <c r="AN69" s="25" t="n"/>
      <c r="AO69" s="25" t="n"/>
      <c r="AP69" s="25" t="n"/>
      <c r="AQ69" s="25" t="n"/>
      <c r="AR69" s="25" t="n"/>
      <c r="AS69" s="25" t="n"/>
      <c r="AT69" s="25" t="n"/>
      <c r="AU69" s="25" t="n"/>
      <c r="AV69" s="25" t="n"/>
      <c r="AW69" s="25" t="n"/>
      <c r="AX69" s="25" t="n"/>
      <c r="AY69" s="25" t="n"/>
      <c r="AZ69" s="25" t="n"/>
      <c r="BA69" s="25" t="n"/>
      <c r="BB69" s="25" t="n"/>
      <c r="BC69" s="25" t="n"/>
      <c r="BD69" s="25" t="n"/>
      <c r="BE69" s="25" t="n"/>
      <c r="BF69" s="25" t="n"/>
      <c r="BG69" s="25" t="n"/>
      <c r="BH69" s="25" t="n"/>
      <c r="BI69" s="25" t="n"/>
      <c r="BJ69" s="25" t="n"/>
      <c r="BK69" s="25" t="n"/>
      <c r="BL69" s="25" t="n"/>
      <c r="BM69" s="25" t="n"/>
      <c r="BN69" s="25" t="n"/>
      <c r="BO69" s="25" t="n"/>
      <c r="BP69" s="25" t="n"/>
      <c r="BQ69" s="25" t="n"/>
      <c r="BR69" s="25" t="n"/>
      <c r="BS69" s="25" t="n"/>
      <c r="BT69" s="25" t="n"/>
      <c r="BU69" s="25" t="n"/>
      <c r="BV69" s="25" t="n"/>
      <c r="BW69" s="25" t="n"/>
      <c r="BX69" s="25" t="n"/>
      <c r="BY69" s="25" t="n"/>
      <c r="BZ69" s="25" t="n"/>
      <c r="CA69" s="25" t="n"/>
      <c r="CB69" s="25" t="n"/>
      <c r="CC69" s="25" t="n"/>
      <c r="CD69" s="25" t="n"/>
      <c r="CE69" s="25" t="n"/>
      <c r="CF69" s="25" t="n"/>
      <c r="CG69" s="25" t="n"/>
      <c r="CH69" s="25" t="n"/>
      <c r="CI69" s="25" t="n"/>
      <c r="CJ69" s="25" t="n"/>
      <c r="CK69" s="25" t="n"/>
      <c r="CL69" s="25" t="n"/>
      <c r="CM69" s="25" t="n"/>
      <c r="CN69" s="25" t="n"/>
      <c r="CO69" s="25" t="n"/>
      <c r="CP69" s="25" t="n"/>
      <c r="CQ69" s="25" t="n"/>
      <c r="CR69" s="25" t="n"/>
      <c r="CS69" s="25" t="n"/>
      <c r="CT69" s="25" t="n"/>
      <c r="CU69" s="25" t="n"/>
      <c r="CV69" s="25" t="n"/>
      <c r="CW69" s="25" t="n"/>
      <c r="CX69" s="25" t="n"/>
      <c r="CY69" s="25" t="n"/>
    </row>
    <row r="70">
      <c r="P70" s="24">
        <f>'클럭 정리'!A71</f>
        <v/>
      </c>
      <c r="Q70" s="23">
        <f>'클럭 정리'!O71</f>
        <v/>
      </c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  <c r="AA70" s="25" t="n"/>
      <c r="AB70" s="25" t="n"/>
      <c r="AC70" s="25" t="n"/>
      <c r="AD70" s="25" t="n"/>
      <c r="AE70" s="25" t="n"/>
      <c r="AF70" s="25" t="n"/>
      <c r="AG70" s="25" t="n"/>
      <c r="AH70" s="25" t="n"/>
      <c r="AI70" s="25" t="n"/>
      <c r="AJ70" s="25" t="n"/>
      <c r="AK70" s="25" t="n"/>
      <c r="AL70" s="25" t="n"/>
      <c r="AM70" s="25" t="n"/>
      <c r="AN70" s="25" t="n"/>
      <c r="AO70" s="25" t="n"/>
      <c r="AP70" s="25" t="n"/>
      <c r="AQ70" s="25" t="n"/>
      <c r="AR70" s="25" t="n"/>
      <c r="AS70" s="25" t="n"/>
      <c r="AT70" s="25" t="n"/>
      <c r="AU70" s="25" t="n"/>
      <c r="AV70" s="25" t="n"/>
      <c r="AW70" s="25" t="n"/>
      <c r="AX70" s="25" t="n"/>
      <c r="AY70" s="25" t="n"/>
      <c r="AZ70" s="25" t="n"/>
      <c r="BA70" s="25" t="n"/>
      <c r="BB70" s="25" t="n"/>
      <c r="BC70" s="25" t="n"/>
      <c r="BD70" s="25" t="n"/>
      <c r="BE70" s="25" t="n"/>
      <c r="BF70" s="25" t="n"/>
      <c r="BG70" s="25" t="n"/>
      <c r="BH70" s="25" t="n"/>
      <c r="BI70" s="25" t="n"/>
      <c r="BJ70" s="25" t="n"/>
      <c r="BK70" s="25" t="n"/>
      <c r="BL70" s="25" t="n"/>
      <c r="BM70" s="25" t="n"/>
      <c r="BN70" s="25" t="n"/>
      <c r="BO70" s="25" t="n"/>
      <c r="BP70" s="25" t="n"/>
      <c r="BQ70" s="25" t="n"/>
      <c r="BR70" s="25" t="n"/>
      <c r="BS70" s="25" t="n"/>
      <c r="BT70" s="25" t="n"/>
      <c r="BU70" s="25" t="n"/>
      <c r="BV70" s="25" t="n"/>
      <c r="BW70" s="25" t="n"/>
      <c r="BX70" s="25" t="n"/>
      <c r="BY70" s="25" t="n"/>
      <c r="BZ70" s="25" t="n"/>
      <c r="CA70" s="25" t="n"/>
      <c r="CB70" s="25" t="n"/>
      <c r="CC70" s="25" t="n"/>
      <c r="CD70" s="25" t="n"/>
      <c r="CE70" s="25" t="n"/>
      <c r="CF70" s="25" t="n"/>
      <c r="CG70" s="25" t="n"/>
      <c r="CH70" s="25" t="n"/>
      <c r="CI70" s="25" t="n"/>
      <c r="CJ70" s="25" t="n"/>
      <c r="CK70" s="25" t="n"/>
      <c r="CL70" s="25" t="n"/>
      <c r="CM70" s="25" t="n"/>
      <c r="CN70" s="25" t="n"/>
      <c r="CO70" s="25" t="n"/>
      <c r="CP70" s="25" t="n"/>
      <c r="CQ70" s="25" t="n"/>
      <c r="CR70" s="25" t="n"/>
      <c r="CS70" s="25" t="n"/>
      <c r="CT70" s="25" t="n"/>
      <c r="CU70" s="25" t="n"/>
      <c r="CV70" s="25" t="n"/>
      <c r="CW70" s="25" t="n"/>
      <c r="CX70" s="25" t="n"/>
      <c r="CY70" s="25" t="n"/>
    </row>
    <row r="71">
      <c r="P71" s="24">
        <f>'클럭 정리'!A72</f>
        <v/>
      </c>
      <c r="Q71" s="23">
        <f>'클럭 정리'!O72</f>
        <v/>
      </c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  <c r="AA71" s="25" t="n"/>
      <c r="AB71" s="25" t="n"/>
      <c r="AC71" s="25" t="n"/>
      <c r="AD71" s="25" t="n"/>
      <c r="AE71" s="25" t="n"/>
      <c r="AF71" s="25" t="n"/>
      <c r="AG71" s="25" t="n"/>
      <c r="AH71" s="25" t="n"/>
      <c r="AI71" s="25" t="n"/>
      <c r="AJ71" s="25" t="n"/>
      <c r="AK71" s="25" t="n"/>
      <c r="AL71" s="25" t="n"/>
      <c r="AM71" s="25" t="n"/>
      <c r="AN71" s="25" t="n"/>
      <c r="AO71" s="25" t="n"/>
      <c r="AP71" s="25" t="n"/>
      <c r="AQ71" s="25" t="n"/>
      <c r="AR71" s="25" t="n"/>
      <c r="AS71" s="25" t="n"/>
      <c r="AT71" s="25" t="n"/>
      <c r="AU71" s="25" t="n"/>
      <c r="AV71" s="25" t="n"/>
      <c r="AW71" s="25" t="n"/>
      <c r="AX71" s="25" t="n"/>
      <c r="AY71" s="25" t="n"/>
      <c r="AZ71" s="25" t="n"/>
      <c r="BA71" s="25" t="n"/>
      <c r="BB71" s="25" t="n"/>
      <c r="BC71" s="25" t="n"/>
      <c r="BD71" s="25" t="n"/>
      <c r="BE71" s="25" t="n"/>
      <c r="BF71" s="25" t="n"/>
      <c r="BG71" s="25" t="n"/>
      <c r="BH71" s="25" t="n"/>
      <c r="BI71" s="25" t="n"/>
      <c r="BJ71" s="25" t="n"/>
      <c r="BK71" s="25" t="n"/>
      <c r="BL71" s="25" t="n"/>
      <c r="BM71" s="25" t="n"/>
      <c r="BN71" s="25" t="n"/>
      <c r="BO71" s="25" t="n"/>
      <c r="BP71" s="25" t="n"/>
      <c r="BQ71" s="25" t="n"/>
      <c r="BR71" s="25" t="n"/>
      <c r="BS71" s="25" t="n"/>
      <c r="BT71" s="25" t="n"/>
      <c r="BU71" s="25" t="n"/>
      <c r="BV71" s="25" t="n"/>
      <c r="BW71" s="25" t="n"/>
      <c r="BX71" s="25" t="n"/>
      <c r="BY71" s="25" t="n"/>
      <c r="BZ71" s="25" t="n"/>
      <c r="CA71" s="25" t="n"/>
      <c r="CB71" s="25" t="n"/>
      <c r="CC71" s="25" t="n"/>
      <c r="CD71" s="25" t="n"/>
      <c r="CE71" s="25" t="n"/>
      <c r="CF71" s="25" t="n"/>
      <c r="CG71" s="25" t="n"/>
      <c r="CH71" s="25" t="n"/>
      <c r="CI71" s="25" t="n"/>
      <c r="CJ71" s="25" t="n"/>
      <c r="CK71" s="25" t="n"/>
      <c r="CL71" s="25" t="n"/>
      <c r="CM71" s="25" t="n"/>
      <c r="CN71" s="25" t="n"/>
      <c r="CO71" s="25" t="n"/>
      <c r="CP71" s="25" t="n"/>
      <c r="CQ71" s="25" t="n"/>
      <c r="CR71" s="25" t="n"/>
      <c r="CS71" s="25" t="n"/>
      <c r="CT71" s="25" t="n"/>
      <c r="CU71" s="25" t="n"/>
      <c r="CV71" s="25" t="n"/>
      <c r="CW71" s="25" t="n"/>
      <c r="CX71" s="25" t="n"/>
      <c r="CY71" s="25" t="n"/>
    </row>
    <row r="72">
      <c r="P72" s="24">
        <f>'클럭 정리'!A73</f>
        <v/>
      </c>
      <c r="Q72" s="23">
        <f>'클럭 정리'!O73</f>
        <v/>
      </c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  <c r="AA72" s="25" t="n"/>
      <c r="AB72" s="25" t="n"/>
      <c r="AC72" s="25" t="n"/>
      <c r="AD72" s="25" t="n"/>
      <c r="AE72" s="25" t="n"/>
      <c r="AF72" s="25" t="n"/>
      <c r="AG72" s="25" t="n"/>
      <c r="AH72" s="25" t="n"/>
      <c r="AI72" s="25" t="n"/>
      <c r="AJ72" s="25" t="n"/>
      <c r="AK72" s="25" t="n"/>
      <c r="AL72" s="25" t="n"/>
      <c r="AM72" s="25" t="n"/>
      <c r="AN72" s="25" t="n"/>
      <c r="AO72" s="25" t="n"/>
      <c r="AP72" s="25" t="n"/>
      <c r="AQ72" s="25" t="n"/>
      <c r="AR72" s="25" t="n"/>
      <c r="AS72" s="25" t="n"/>
      <c r="AT72" s="25" t="n"/>
      <c r="AU72" s="25" t="n"/>
      <c r="AV72" s="25" t="n"/>
      <c r="AW72" s="25" t="n"/>
      <c r="AX72" s="25" t="n"/>
      <c r="AY72" s="25" t="n"/>
      <c r="AZ72" s="25" t="n"/>
      <c r="BA72" s="25" t="n"/>
      <c r="BB72" s="25" t="n"/>
      <c r="BC72" s="25" t="n"/>
      <c r="BD72" s="25" t="n"/>
      <c r="BE72" s="25" t="n"/>
      <c r="BF72" s="25" t="n"/>
      <c r="BG72" s="25" t="n"/>
      <c r="BH72" s="25" t="n"/>
      <c r="BI72" s="25" t="n"/>
      <c r="BJ72" s="25" t="n"/>
      <c r="BK72" s="25" t="n"/>
      <c r="BL72" s="25" t="n"/>
      <c r="BM72" s="25" t="n"/>
      <c r="BN72" s="25" t="n"/>
      <c r="BO72" s="25" t="n"/>
      <c r="BP72" s="25" t="n"/>
      <c r="BQ72" s="25" t="n"/>
      <c r="BR72" s="25" t="n"/>
      <c r="BS72" s="25" t="n"/>
      <c r="BT72" s="25" t="n"/>
      <c r="BU72" s="25" t="n"/>
      <c r="BV72" s="25" t="n"/>
      <c r="BW72" s="25" t="n"/>
      <c r="BX72" s="25" t="n"/>
      <c r="BY72" s="25" t="n"/>
      <c r="BZ72" s="25" t="n"/>
      <c r="CA72" s="25" t="n"/>
      <c r="CB72" s="25" t="n"/>
      <c r="CC72" s="25" t="n"/>
      <c r="CD72" s="25" t="n"/>
      <c r="CE72" s="25" t="n"/>
      <c r="CF72" s="25" t="n"/>
      <c r="CG72" s="25" t="n"/>
      <c r="CH72" s="25" t="n"/>
      <c r="CI72" s="25" t="n"/>
      <c r="CJ72" s="25" t="n"/>
      <c r="CK72" s="25" t="n"/>
      <c r="CL72" s="25" t="n"/>
      <c r="CM72" s="25" t="n"/>
      <c r="CN72" s="25" t="n"/>
      <c r="CO72" s="25" t="n"/>
      <c r="CP72" s="25" t="n"/>
      <c r="CQ72" s="25" t="n"/>
      <c r="CR72" s="25" t="n"/>
      <c r="CS72" s="25" t="n"/>
      <c r="CT72" s="25" t="n"/>
      <c r="CU72" s="25" t="n"/>
      <c r="CV72" s="25" t="n"/>
      <c r="CW72" s="25" t="n"/>
      <c r="CX72" s="25" t="n"/>
      <c r="CY72" s="25" t="n"/>
    </row>
    <row r="73">
      <c r="P73" s="24">
        <f>'클럭 정리'!A74</f>
        <v/>
      </c>
      <c r="Q73" s="23">
        <f>'클럭 정리'!O74</f>
        <v/>
      </c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5" t="n"/>
      <c r="AI73" s="25" t="n"/>
      <c r="AJ73" s="25" t="n"/>
      <c r="AK73" s="25" t="n"/>
      <c r="AL73" s="25" t="n"/>
      <c r="AM73" s="25" t="n"/>
      <c r="AN73" s="25" t="n"/>
      <c r="AO73" s="25" t="n"/>
      <c r="AP73" s="25" t="n"/>
      <c r="AQ73" s="25" t="n"/>
      <c r="AR73" s="25" t="n"/>
      <c r="AS73" s="25" t="n"/>
      <c r="AT73" s="25" t="n"/>
      <c r="AU73" s="25" t="n"/>
      <c r="AV73" s="25" t="n"/>
      <c r="AW73" s="25" t="n"/>
      <c r="AX73" s="25" t="n"/>
      <c r="AY73" s="25" t="n"/>
      <c r="AZ73" s="25" t="n"/>
      <c r="BA73" s="25" t="n"/>
      <c r="BB73" s="25" t="n"/>
      <c r="BC73" s="25" t="n"/>
      <c r="BD73" s="25" t="n"/>
      <c r="BE73" s="25" t="n"/>
      <c r="BF73" s="25" t="n"/>
      <c r="BG73" s="25" t="n"/>
      <c r="BH73" s="25" t="n"/>
      <c r="BI73" s="25" t="n"/>
      <c r="BJ73" s="25" t="n"/>
      <c r="BK73" s="25" t="n"/>
      <c r="BL73" s="25" t="n"/>
      <c r="BM73" s="25" t="n"/>
      <c r="BN73" s="25" t="n"/>
      <c r="BO73" s="25" t="n"/>
      <c r="BP73" s="25" t="n"/>
      <c r="BQ73" s="25" t="n"/>
      <c r="BR73" s="25" t="n"/>
      <c r="BS73" s="25" t="n"/>
      <c r="BT73" s="25" t="n"/>
      <c r="BU73" s="25" t="n"/>
      <c r="BV73" s="25" t="n"/>
      <c r="BW73" s="25" t="n"/>
      <c r="BX73" s="25" t="n"/>
      <c r="BY73" s="25" t="n"/>
      <c r="BZ73" s="25" t="n"/>
      <c r="CA73" s="25" t="n"/>
      <c r="CB73" s="25" t="n"/>
      <c r="CC73" s="25" t="n"/>
      <c r="CD73" s="25" t="n"/>
      <c r="CE73" s="25" t="n"/>
      <c r="CF73" s="25" t="n"/>
      <c r="CG73" s="25" t="n"/>
      <c r="CH73" s="25" t="n"/>
      <c r="CI73" s="25" t="n"/>
      <c r="CJ73" s="25" t="n"/>
      <c r="CK73" s="25" t="n"/>
      <c r="CL73" s="25" t="n"/>
      <c r="CM73" s="25" t="n"/>
      <c r="CN73" s="25" t="n"/>
      <c r="CO73" s="25" t="n"/>
      <c r="CP73" s="25" t="n"/>
      <c r="CQ73" s="25" t="n"/>
      <c r="CR73" s="25" t="n"/>
      <c r="CS73" s="25" t="n"/>
      <c r="CT73" s="25" t="n"/>
      <c r="CU73" s="25" t="n"/>
      <c r="CV73" s="25" t="n"/>
      <c r="CW73" s="25" t="n"/>
      <c r="CX73" s="25" t="n"/>
      <c r="CY73" s="25" t="n"/>
    </row>
    <row r="74">
      <c r="P74" s="24">
        <f>'클럭 정리'!A75</f>
        <v/>
      </c>
      <c r="Q74" s="23">
        <f>'클럭 정리'!O75</f>
        <v/>
      </c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25" t="n"/>
      <c r="AD74" s="25" t="n"/>
      <c r="AE74" s="25" t="n"/>
      <c r="AF74" s="25" t="n"/>
      <c r="AG74" s="25" t="n"/>
      <c r="AH74" s="25" t="n"/>
      <c r="AI74" s="25" t="n"/>
      <c r="AJ74" s="25" t="n"/>
      <c r="AK74" s="25" t="n"/>
      <c r="AL74" s="25" t="n"/>
      <c r="AM74" s="25" t="n"/>
      <c r="AN74" s="25" t="n"/>
      <c r="AO74" s="25" t="n"/>
      <c r="AP74" s="25" t="n"/>
      <c r="AQ74" s="25" t="n"/>
      <c r="AR74" s="25" t="n"/>
      <c r="AS74" s="25" t="n"/>
      <c r="AT74" s="25" t="n"/>
      <c r="AU74" s="25" t="n"/>
      <c r="AV74" s="25" t="n"/>
      <c r="AW74" s="25" t="n"/>
      <c r="AX74" s="25" t="n"/>
      <c r="AY74" s="25" t="n"/>
      <c r="AZ74" s="25" t="n"/>
      <c r="BA74" s="25" t="n"/>
      <c r="BB74" s="25" t="n"/>
      <c r="BC74" s="25" t="n"/>
      <c r="BD74" s="25" t="n"/>
      <c r="BE74" s="25" t="n"/>
      <c r="BF74" s="25" t="n"/>
      <c r="BG74" s="25" t="n"/>
      <c r="BH74" s="25" t="n"/>
      <c r="BI74" s="25" t="n"/>
      <c r="BJ74" s="25" t="n"/>
      <c r="BK74" s="25" t="n"/>
      <c r="BL74" s="25" t="n"/>
      <c r="BM74" s="25" t="n"/>
      <c r="BN74" s="25" t="n"/>
      <c r="BO74" s="25" t="n"/>
      <c r="BP74" s="25" t="n"/>
      <c r="BQ74" s="25" t="n"/>
      <c r="BR74" s="25" t="n"/>
      <c r="BS74" s="25" t="n"/>
      <c r="BT74" s="25" t="n"/>
      <c r="BU74" s="25" t="n"/>
      <c r="BV74" s="25" t="n"/>
      <c r="BW74" s="25" t="n"/>
      <c r="BX74" s="25" t="n"/>
      <c r="BY74" s="25" t="n"/>
      <c r="BZ74" s="25" t="n"/>
      <c r="CA74" s="25" t="n"/>
      <c r="CB74" s="25" t="n"/>
      <c r="CC74" s="25" t="n"/>
      <c r="CD74" s="25" t="n"/>
      <c r="CE74" s="25" t="n"/>
      <c r="CF74" s="25" t="n"/>
      <c r="CG74" s="25" t="n"/>
      <c r="CH74" s="25" t="n"/>
      <c r="CI74" s="25" t="n"/>
      <c r="CJ74" s="25" t="n"/>
      <c r="CK74" s="25" t="n"/>
      <c r="CL74" s="25" t="n"/>
      <c r="CM74" s="25" t="n"/>
      <c r="CN74" s="25" t="n"/>
      <c r="CO74" s="25" t="n"/>
      <c r="CP74" s="25" t="n"/>
      <c r="CQ74" s="25" t="n"/>
      <c r="CR74" s="25" t="n"/>
      <c r="CS74" s="25" t="n"/>
      <c r="CT74" s="25" t="n"/>
      <c r="CU74" s="25" t="n"/>
      <c r="CV74" s="25" t="n"/>
      <c r="CW74" s="25" t="n"/>
      <c r="CX74" s="25" t="n"/>
      <c r="CY74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2026-08-04T03:07:52Z</dcterms:created>
  <dcterms:modified xmlns:dcterms="http://purl.org/dc/terms/" xmlns:xsi="http://www.w3.org/2001/XMLSchema-instance" xsi:type="dcterms:W3CDTF">2026-08-04T03:07:52Z</dcterms:modified>
</cp:coreProperties>
</file>