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클럭 정리" sheetId="1" state="visible" r:id="rId1"/>
    <sheet xmlns:r="http://schemas.openxmlformats.org/officeDocument/2006/relationships" name="구간과 스레드 매핑" sheetId="2" state="visible" r:id="rId2"/>
    <sheet xmlns:r="http://schemas.openxmlformats.org/officeDocument/2006/relationships" name="스레드별 클럭" sheetId="3" state="visible" r:id="rId3"/>
    <sheet xmlns:r="http://schemas.openxmlformats.org/officeDocument/2006/relationships" name="회차별 측정값" sheetId="4" state="visible" r:id="rId4"/>
    <sheet xmlns:r="http://schemas.openxmlformats.org/officeDocument/2006/relationships" name="차트" sheetId="5" state="visible" r:id="rId5"/>
    <sheet xmlns:r="http://schemas.openxmlformats.org/officeDocument/2006/relationships" name="차트 데이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hh:mm:ss.000"/>
    <numFmt numFmtId="166" formatCode="0.0"/>
    <numFmt numFmtId="167" formatCode="hh:mm:ss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9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0000"/>
      <sz val="9"/>
    </font>
    <font>
      <name val="Arial"/>
      <color rgb="00008000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3" borderId="1" pivotButton="0" quotePrefix="0" xfId="0"/>
    <xf numFmtId="165" fontId="5" fillId="0" borderId="0" pivotButton="0" quotePrefix="0" xfId="0"/>
    <xf numFmtId="166" fontId="5" fillId="0" borderId="0" pivotButton="0" quotePrefix="0" xfId="0"/>
    <xf numFmtId="2" fontId="5" fillId="0" borderId="0" pivotButton="0" quotePrefix="0" xfId="0"/>
    <xf numFmtId="0" fontId="2" fillId="0" borderId="1" pivotButton="0" quotePrefix="0" xfId="0"/>
    <xf numFmtId="165" fontId="5" fillId="0" borderId="1" pivotButton="0" quotePrefix="0" xfId="0"/>
    <xf numFmtId="2" fontId="5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166" fontId="5" fillId="0" borderId="1" pivotButton="0" quotePrefix="0" xfId="0"/>
    <xf numFmtId="2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5" fillId="0" borderId="0" pivotButton="0" quotePrefix="0" xfId="0"/>
    <xf numFmtId="0" fontId="2" fillId="3" borderId="0" pivotButton="0" quotePrefix="0" xfId="0"/>
    <xf numFmtId="2" fontId="6" fillId="0" borderId="0" pivotButton="0" quotePrefix="0" xfId="0"/>
    <xf numFmtId="0" fontId="7" fillId="3" borderId="1" pivotButton="0" quotePrefix="0" xfId="0"/>
    <xf numFmtId="165" fontId="8" fillId="0" borderId="1" pivotButton="0" quotePrefix="0" xfId="0"/>
    <xf numFmtId="2" fontId="8" fillId="0" borderId="1" pivotButton="0" quotePrefix="0" xfId="0"/>
    <xf numFmtId="0" fontId="0" fillId="0" borderId="1" pivotButton="0" quotePrefix="0" xfId="0"/>
    <xf numFmtId="167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전체 평균 클럭 추이 (전체 평균 + 스레드별)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데이터'!$P$5:$P$80</f>
            </numRef>
          </val>
        </ser>
        <ser>
          <idx val="1"/>
          <order val="1"/>
          <tx>
            <strRef>
              <f>'차트 데이터'!Q4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데이터'!$Q$5:$Q$80</f>
            </numRef>
          </val>
        </ser>
        <ser>
          <idx val="2"/>
          <order val="2"/>
          <tx>
            <strRef>
              <f>'차트 데이터'!R4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데이터'!$R$5:$R$80</f>
            </numRef>
          </val>
        </ser>
        <ser>
          <idx val="3"/>
          <order val="3"/>
          <tx>
            <strRef>
              <f>'차트 데이터'!S4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데이터'!$S$5:$S$80</f>
            </numRef>
          </val>
        </ser>
        <ser>
          <idx val="4"/>
          <order val="4"/>
          <tx>
            <strRef>
              <f>'차트 데이터'!T4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데이터'!$T$5:$T$80</f>
            </numRef>
          </val>
        </ser>
        <ser>
          <idx val="5"/>
          <order val="5"/>
          <tx>
            <strRef>
              <f>'차트 데이터'!U4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데이터'!$U$5:$U$80</f>
            </numRef>
          </val>
        </ser>
        <ser>
          <idx val="6"/>
          <order val="6"/>
          <tx>
            <strRef>
              <f>'차트 데이터'!V4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데이터'!$V$5:$V$80</f>
            </numRef>
          </val>
        </ser>
        <ser>
          <idx val="7"/>
          <order val="7"/>
          <tx>
            <strRef>
              <f>'차트 데이터'!W4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데이터'!$W$5:$W$80</f>
            </numRef>
          </val>
        </ser>
        <ser>
          <idx val="8"/>
          <order val="8"/>
          <tx>
            <strRef>
              <f>'차트 데이터'!X4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데이터'!$X$5:$X$80</f>
            </numRef>
          </val>
        </ser>
        <ser>
          <idx val="9"/>
          <order val="9"/>
          <tx>
            <strRef>
              <f>'차트 데이터'!Y4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데이터'!$Y$5:$Y$80</f>
            </numRef>
          </val>
        </ser>
        <ser>
          <idx val="10"/>
          <order val="10"/>
          <tx>
            <strRef>
              <f>'차트 데이터'!Z4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데이터'!$Z$5:$Z$80</f>
            </numRef>
          </val>
        </ser>
        <ser>
          <idx val="11"/>
          <order val="11"/>
          <tx>
            <strRef>
              <f>'차트 데이터'!AA4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데이터'!$AA$5:$AA$80</f>
            </numRef>
          </val>
        </ser>
        <ser>
          <idx val="12"/>
          <order val="12"/>
          <tx>
            <strRef>
              <f>'차트 데이터'!AB4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데이터'!$AB$5:$AB$80</f>
            </numRef>
          </val>
        </ser>
        <ser>
          <idx val="13"/>
          <order val="13"/>
          <tx>
            <strRef>
              <f>'차트 데이터'!AC4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데이터'!$AC$5:$AC$80</f>
            </numRef>
          </val>
        </ser>
        <ser>
          <idx val="14"/>
          <order val="14"/>
          <tx>
            <strRef>
              <f>'차트 데이터'!AD4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데이터'!$AD$5:$AD$80</f>
            </numRef>
          </val>
        </ser>
        <ser>
          <idx val="15"/>
          <order val="15"/>
          <tx>
            <strRef>
              <f>'차트 데이터'!AE4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데이터'!$AE$5:$AE$80</f>
            </numRef>
          </val>
        </ser>
        <ser>
          <idx val="16"/>
          <order val="16"/>
          <tx>
            <strRef>
              <f>'차트 데이터'!AF4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데이터'!$AF$5:$AF$80</f>
            </numRef>
          </val>
        </ser>
        <ser>
          <idx val="17"/>
          <order val="17"/>
          <tx>
            <strRef>
              <f>'차트 데이터'!AG4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데이터'!$AG$5:$AG$80</f>
            </numRef>
          </val>
        </ser>
        <ser>
          <idx val="18"/>
          <order val="18"/>
          <tx>
            <strRef>
              <f>'차트 데이터'!AH4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데이터'!$AH$5:$AH$80</f>
            </numRef>
          </val>
        </ser>
        <ser>
          <idx val="19"/>
          <order val="19"/>
          <tx>
            <strRef>
              <f>'차트 데이터'!AI4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데이터'!$AI$5:$AI$80</f>
            </numRef>
          </val>
        </ser>
        <ser>
          <idx val="20"/>
          <order val="20"/>
          <tx>
            <strRef>
              <f>'차트 데이터'!AJ4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데이터'!$AJ$5:$AJ$80</f>
            </numRef>
          </val>
        </ser>
        <ser>
          <idx val="21"/>
          <order val="21"/>
          <tx>
            <strRef>
              <f>'차트 데이터'!AK4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데이터'!$AK$5:$AK$80</f>
            </numRef>
          </val>
        </ser>
        <ser>
          <idx val="22"/>
          <order val="22"/>
          <tx>
            <strRef>
              <f>'차트 데이터'!AL4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데이터'!$AL$5:$AL$80</f>
            </numRef>
          </val>
        </ser>
        <ser>
          <idx val="23"/>
          <order val="23"/>
          <tx>
            <strRef>
              <f>'차트 데이터'!AM4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데이터'!$AM$5:$AM$80</f>
            </numRef>
          </val>
        </ser>
        <ser>
          <idx val="24"/>
          <order val="24"/>
          <tx>
            <strRef>
              <f>'차트 데이터'!AN4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데이터'!$AN$5:$AN$80</f>
            </numRef>
          </val>
        </ser>
        <ser>
          <idx val="25"/>
          <order val="25"/>
          <tx>
            <strRef>
              <f>'차트 데이터'!AO4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데이터'!$AO$5:$AO$80</f>
            </numRef>
          </val>
        </ser>
        <ser>
          <idx val="26"/>
          <order val="26"/>
          <tx>
            <strRef>
              <f>'차트 데이터'!AP4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데이터'!$AP$5:$AP$80</f>
            </numRef>
          </val>
        </ser>
        <ser>
          <idx val="27"/>
          <order val="27"/>
          <tx>
            <strRef>
              <f>'차트 데이터'!AQ4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데이터'!$AQ$5:$AQ$80</f>
            </numRef>
          </val>
        </ser>
        <ser>
          <idx val="28"/>
          <order val="28"/>
          <tx>
            <strRef>
              <f>'차트 데이터'!AR4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데이터'!$AR$5:$AR$80</f>
            </numRef>
          </val>
        </ser>
        <ser>
          <idx val="29"/>
          <order val="29"/>
          <tx>
            <strRef>
              <f>'차트 데이터'!AS4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데이터'!$AS$5:$AS$80</f>
            </numRef>
          </val>
        </ser>
        <ser>
          <idx val="30"/>
          <order val="30"/>
          <tx>
            <strRef>
              <f>'차트 데이터'!AT4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데이터'!$AT$5:$AT$80</f>
            </numRef>
          </val>
        </ser>
        <ser>
          <idx val="31"/>
          <order val="31"/>
          <tx>
            <strRef>
              <f>'차트 데이터'!AU4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데이터'!$AU$5:$AU$80</f>
            </numRef>
          </val>
        </ser>
        <ser>
          <idx val="32"/>
          <order val="32"/>
          <tx>
            <strRef>
              <f>'차트 데이터'!AV4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데이터'!$AV$5:$AV$80</f>
            </numRef>
          </val>
        </ser>
        <ser>
          <idx val="33"/>
          <order val="33"/>
          <tx>
            <strRef>
              <f>'차트 데이터'!AW4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데이터'!$AW$5:$AW$80</f>
            </numRef>
          </val>
        </ser>
        <ser>
          <idx val="34"/>
          <order val="34"/>
          <tx>
            <strRef>
              <f>'차트 데이터'!AX4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데이터'!$AX$5:$AX$80</f>
            </numRef>
          </val>
        </ser>
        <ser>
          <idx val="35"/>
          <order val="35"/>
          <tx>
            <strRef>
              <f>'차트 데이터'!AY4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데이터'!$AY$5:$AY$80</f>
            </numRef>
          </val>
        </ser>
        <ser>
          <idx val="36"/>
          <order val="36"/>
          <tx>
            <strRef>
              <f>'차트 데이터'!AZ4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데이터'!$AZ$5:$AZ$80</f>
            </numRef>
          </val>
        </ser>
        <ser>
          <idx val="37"/>
          <order val="37"/>
          <tx>
            <strRef>
              <f>'차트 데이터'!BA4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데이터'!$BA$5:$BA$80</f>
            </numRef>
          </val>
        </ser>
        <ser>
          <idx val="38"/>
          <order val="38"/>
          <tx>
            <strRef>
              <f>'차트 데이터'!BB4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데이터'!$BB$5:$BB$80</f>
            </numRef>
          </val>
        </ser>
        <ser>
          <idx val="39"/>
          <order val="39"/>
          <tx>
            <strRef>
              <f>'차트 데이터'!BC4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데이터'!$BC$5:$BC$80</f>
            </numRef>
          </val>
        </ser>
        <ser>
          <idx val="40"/>
          <order val="40"/>
          <tx>
            <strRef>
              <f>'차트 데이터'!BD4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데이터'!$BD$5:$BD$80</f>
            </numRef>
          </val>
        </ser>
        <ser>
          <idx val="41"/>
          <order val="41"/>
          <tx>
            <strRef>
              <f>'차트 데이터'!BE4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데이터'!$BE$5:$BE$80</f>
            </numRef>
          </val>
        </ser>
        <ser>
          <idx val="42"/>
          <order val="42"/>
          <tx>
            <strRef>
              <f>'차트 데이터'!BF4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데이터'!$BF$5:$BF$80</f>
            </numRef>
          </val>
        </ser>
        <ser>
          <idx val="43"/>
          <order val="43"/>
          <tx>
            <strRef>
              <f>'차트 데이터'!BG4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데이터'!$BG$5:$BG$80</f>
            </numRef>
          </val>
        </ser>
        <ser>
          <idx val="44"/>
          <order val="44"/>
          <tx>
            <strRef>
              <f>'차트 데이터'!BH4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데이터'!$BH$5:$BH$80</f>
            </numRef>
          </val>
        </ser>
        <ser>
          <idx val="45"/>
          <order val="45"/>
          <tx>
            <strRef>
              <f>'차트 데이터'!BI4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데이터'!$BI$5:$BI$80</f>
            </numRef>
          </val>
        </ser>
        <ser>
          <idx val="46"/>
          <order val="46"/>
          <tx>
            <strRef>
              <f>'차트 데이터'!BJ4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데이터'!$BJ$5:$BJ$80</f>
            </numRef>
          </val>
        </ser>
        <ser>
          <idx val="47"/>
          <order val="47"/>
          <tx>
            <strRef>
              <f>'차트 데이터'!BK4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데이터'!$BK$5:$BK$80</f>
            </numRef>
          </val>
        </ser>
        <ser>
          <idx val="48"/>
          <order val="48"/>
          <tx>
            <strRef>
              <f>'차트 데이터'!BL4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데이터'!$BL$5:$BL$80</f>
            </numRef>
          </val>
        </ser>
        <ser>
          <idx val="49"/>
          <order val="49"/>
          <tx>
            <strRef>
              <f>'차트 데이터'!BM4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데이터'!$BM$5:$BM$80</f>
            </numRef>
          </val>
        </ser>
        <ser>
          <idx val="50"/>
          <order val="50"/>
          <tx>
            <strRef>
              <f>'차트 데이터'!BN4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데이터'!$BN$5:$BN$80</f>
            </numRef>
          </val>
        </ser>
        <ser>
          <idx val="51"/>
          <order val="51"/>
          <tx>
            <strRef>
              <f>'차트 데이터'!BO4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데이터'!$BO$5:$BO$80</f>
            </numRef>
          </val>
        </ser>
        <ser>
          <idx val="52"/>
          <order val="52"/>
          <tx>
            <strRef>
              <f>'차트 데이터'!BP4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데이터'!$BP$5:$BP$80</f>
            </numRef>
          </val>
        </ser>
        <ser>
          <idx val="53"/>
          <order val="53"/>
          <tx>
            <strRef>
              <f>'차트 데이터'!BQ4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데이터'!$BQ$5:$BQ$80</f>
            </numRef>
          </val>
        </ser>
        <ser>
          <idx val="54"/>
          <order val="54"/>
          <tx>
            <strRef>
              <f>'차트 데이터'!BR4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데이터'!$BR$5:$BR$80</f>
            </numRef>
          </val>
        </ser>
        <ser>
          <idx val="55"/>
          <order val="55"/>
          <tx>
            <strRef>
              <f>'차트 데이터'!BS4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데이터'!$BS$5:$BS$80</f>
            </numRef>
          </val>
        </ser>
        <ser>
          <idx val="56"/>
          <order val="56"/>
          <tx>
            <strRef>
              <f>'차트 데이터'!BT4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데이터'!$BT$5:$BT$80</f>
            </numRef>
          </val>
        </ser>
        <ser>
          <idx val="57"/>
          <order val="57"/>
          <tx>
            <strRef>
              <f>'차트 데이터'!BU4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데이터'!$BU$5:$BU$80</f>
            </numRef>
          </val>
        </ser>
        <ser>
          <idx val="58"/>
          <order val="58"/>
          <tx>
            <strRef>
              <f>'차트 데이터'!BV4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데이터'!$BV$5:$BV$80</f>
            </numRef>
          </val>
        </ser>
        <ser>
          <idx val="59"/>
          <order val="59"/>
          <tx>
            <strRef>
              <f>'차트 데이터'!BW4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데이터'!$BW$5:$BW$80</f>
            </numRef>
          </val>
        </ser>
        <ser>
          <idx val="60"/>
          <order val="60"/>
          <tx>
            <strRef>
              <f>'차트 데이터'!BX4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데이터'!$BX$5:$BX$80</f>
            </numRef>
          </val>
        </ser>
        <ser>
          <idx val="61"/>
          <order val="61"/>
          <tx>
            <strRef>
              <f>'차트 데이터'!BY4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데이터'!$BY$5:$BY$80</f>
            </numRef>
          </val>
        </ser>
        <ser>
          <idx val="62"/>
          <order val="62"/>
          <tx>
            <strRef>
              <f>'차트 데이터'!BZ4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데이터'!$BZ$5:$BZ$80</f>
            </numRef>
          </val>
        </ser>
        <ser>
          <idx val="63"/>
          <order val="63"/>
          <tx>
            <strRef>
              <f>'차트 데이터'!CA4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데이터'!$CA$5:$CA$80</f>
            </numRef>
          </val>
        </ser>
        <ser>
          <idx val="64"/>
          <order val="64"/>
          <tx>
            <strRef>
              <f>'차트 데이터'!CB4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데이터'!$CB$5:$CB$80</f>
            </numRef>
          </val>
        </ser>
        <ser>
          <idx val="65"/>
          <order val="65"/>
          <tx>
            <strRef>
              <f>'차트 데이터'!CC4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데이터'!$CC$5:$CC$80</f>
            </numRef>
          </val>
        </ser>
        <ser>
          <idx val="66"/>
          <order val="66"/>
          <tx>
            <strRef>
              <f>'차트 데이터'!CD4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데이터'!$CD$5:$CD$80</f>
            </numRef>
          </val>
        </ser>
        <ser>
          <idx val="67"/>
          <order val="67"/>
          <tx>
            <strRef>
              <f>'차트 데이터'!CE4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데이터'!$CE$5:$CE$80</f>
            </numRef>
          </val>
        </ser>
        <ser>
          <idx val="68"/>
          <order val="68"/>
          <tx>
            <strRef>
              <f>'차트 데이터'!CF4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데이터'!$CF$5:$CF$80</f>
            </numRef>
          </val>
        </ser>
        <ser>
          <idx val="69"/>
          <order val="69"/>
          <tx>
            <strRef>
              <f>'차트 데이터'!CG4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데이터'!$CG$5:$CG$80</f>
            </numRef>
          </val>
        </ser>
        <ser>
          <idx val="70"/>
          <order val="70"/>
          <tx>
            <strRef>
              <f>'차트 데이터'!CH4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데이터'!$CH$5:$CH$80</f>
            </numRef>
          </val>
        </ser>
        <ser>
          <idx val="71"/>
          <order val="71"/>
          <tx>
            <strRef>
              <f>'차트 데이터'!CI4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데이터'!$CI$5:$CI$80</f>
            </numRef>
          </val>
        </ser>
        <ser>
          <idx val="72"/>
          <order val="72"/>
          <tx>
            <strRef>
              <f>'차트 데이터'!CJ4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데이터'!$CJ$5:$CJ$80</f>
            </numRef>
          </val>
        </ser>
        <ser>
          <idx val="73"/>
          <order val="73"/>
          <tx>
            <strRef>
              <f>'차트 데이터'!CK4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데이터'!$CK$5:$CK$80</f>
            </numRef>
          </val>
        </ser>
        <ser>
          <idx val="74"/>
          <order val="74"/>
          <tx>
            <strRef>
              <f>'차트 데이터'!CL4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데이터'!$CL$5:$CL$80</f>
            </numRef>
          </val>
        </ser>
        <ser>
          <idx val="75"/>
          <order val="75"/>
          <tx>
            <strRef>
              <f>'차트 데이터'!CM4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데이터'!$O$5:$O$80</f>
            </numRef>
          </cat>
          <val>
            <numRef>
              <f>'차트 데이터'!$CM$5:$CM$80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  <tickLblSkip val="10"/>
        <tickMarkSkip val="1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구간별 평균 클럭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'차트'!B3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'차트'!$B$4:$B$11</f>
            </numRef>
          </val>
        </ser>
        <ser>
          <idx val="1"/>
          <order val="1"/>
          <tx>
            <strRef>
              <f>'차트'!C3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'차트'!$C$4:$C$11</f>
            </numRef>
          </val>
        </ser>
        <ser>
          <idx val="2"/>
          <order val="2"/>
          <tx>
            <strRef>
              <f>'차트'!D3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구간 종류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4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데이터'!$A$5:$A$7</f>
            </numRef>
          </cat>
          <val>
            <numRef>
              <f>'차트 데이터'!$B$5:$B$7</f>
            </numRef>
          </val>
        </ser>
        <ser>
          <idx val="1"/>
          <order val="1"/>
          <tx>
            <strRef>
              <f>'차트 데이터'!C4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데이터'!$A$5:$A$7</f>
            </numRef>
          </cat>
          <val>
            <numRef>
              <f>'차트 데이터'!$C$5:$C$7</f>
            </numRef>
          </val>
        </ser>
        <ser>
          <idx val="2"/>
          <order val="2"/>
          <tx>
            <strRef>
              <f>'차트 데이터'!D4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데이터'!$A$5:$A$7</f>
            </numRef>
          </cat>
          <val>
            <numRef>
              <f>'차트 데이터'!$D$5:$D$7</f>
            </numRef>
          </val>
        </ser>
        <ser>
          <idx val="3"/>
          <order val="3"/>
          <tx>
            <strRef>
              <f>'차트 데이터'!E4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데이터'!$A$5:$A$7</f>
            </numRef>
          </cat>
          <val>
            <numRef>
              <f>'차트 데이터'!$E$5:$E$7</f>
            </numRef>
          </val>
        </ser>
        <ser>
          <idx val="4"/>
          <order val="4"/>
          <tx>
            <strRef>
              <f>'차트 데이터'!F4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데이터'!$A$5:$A$7</f>
            </numRef>
          </cat>
          <val>
            <numRef>
              <f>'차트 데이터'!$F$5:$F$7</f>
            </numRef>
          </val>
        </ser>
        <ser>
          <idx val="5"/>
          <order val="5"/>
          <tx>
            <strRef>
              <f>'차트 데이터'!G4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데이터'!$A$5:$A$7</f>
            </numRef>
          </cat>
          <val>
            <numRef>
              <f>'차트 데이터'!$G$5:$G$7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4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데이터'!$A$11:$A$12</f>
            </numRef>
          </cat>
          <val>
            <numRef>
              <f>'차트 데이터'!$B$11:$B$12</f>
            </numRef>
          </val>
        </ser>
        <ser>
          <idx val="1"/>
          <order val="1"/>
          <tx>
            <strRef>
              <f>'차트 데이터'!C10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데이터'!$A$11:$A$12</f>
            </numRef>
          </cat>
          <val>
            <numRef>
              <f>'차트 데이터'!$C$11:$C$12</f>
            </numRef>
          </val>
        </ser>
        <ser>
          <idx val="2"/>
          <order val="2"/>
          <tx>
            <strRef>
              <f>'차트 데이터'!D10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데이터'!$A$11:$A$12</f>
            </numRef>
          </cat>
          <val>
            <numRef>
              <f>'차트 데이터'!$D$11:$D$12</f>
            </numRef>
          </val>
        </ser>
        <ser>
          <idx val="3"/>
          <order val="3"/>
          <tx>
            <strRef>
              <f>'차트 데이터'!E10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데이터'!$A$11:$A$12</f>
            </numRef>
          </cat>
          <val>
            <numRef>
              <f>'차트 데이터'!$E$11:$E$12</f>
            </numRef>
          </val>
        </ser>
        <ser>
          <idx val="4"/>
          <order val="4"/>
          <tx>
            <strRef>
              <f>'차트 데이터'!F10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데이터'!$A$11:$A$12</f>
            </numRef>
          </cat>
          <val>
            <numRef>
              <f>'차트 데이터'!$F$11:$F$12</f>
            </numRef>
          </val>
        </ser>
        <ser>
          <idx val="5"/>
          <order val="5"/>
          <tx>
            <strRef>
              <f>'차트 데이터'!G10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데이터'!$A$11:$A$12</f>
            </numRef>
          </cat>
          <val>
            <numRef>
              <f>'차트 데이터'!$G$11:$G$12</f>
            </numRef>
          </val>
        </ser>
        <ser>
          <idx val="6"/>
          <order val="6"/>
          <tx>
            <strRef>
              <f>'차트 데이터'!H10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데이터'!$A$11:$A$12</f>
            </numRef>
          </cat>
          <val>
            <numRef>
              <f>'차트 데이터'!$H$11:$H$12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4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데이터'!$A$16:$A$17</f>
            </numRef>
          </cat>
          <val>
            <numRef>
              <f>'차트 데이터'!$B$16:$B$17</f>
            </numRef>
          </val>
        </ser>
        <ser>
          <idx val="1"/>
          <order val="1"/>
          <tx>
            <strRef>
              <f>'차트 데이터'!C15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데이터'!$A$16:$A$17</f>
            </numRef>
          </cat>
          <val>
            <numRef>
              <f>'차트 데이터'!$C$16:$C$17</f>
            </numRef>
          </val>
        </ser>
        <ser>
          <idx val="2"/>
          <order val="2"/>
          <tx>
            <strRef>
              <f>'차트 데이터'!D15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데이터'!$A$16:$A$17</f>
            </numRef>
          </cat>
          <val>
            <numRef>
              <f>'차트 데이터'!$D$16:$D$17</f>
            </numRef>
          </val>
        </ser>
        <ser>
          <idx val="3"/>
          <order val="3"/>
          <tx>
            <strRef>
              <f>'차트 데이터'!E15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데이터'!$A$16:$A$17</f>
            </numRef>
          </cat>
          <val>
            <numRef>
              <f>'차트 데이터'!$E$16:$E$17</f>
            </numRef>
          </val>
        </ser>
        <ser>
          <idx val="4"/>
          <order val="4"/>
          <tx>
            <strRef>
              <f>'차트 데이터'!F15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데이터'!$A$16:$A$17</f>
            </numRef>
          </cat>
          <val>
            <numRef>
              <f>'차트 데이터'!$F$16:$F$17</f>
            </numRef>
          </val>
        </ser>
        <ser>
          <idx val="5"/>
          <order val="5"/>
          <tx>
            <strRef>
              <f>'차트 데이터'!G15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데이터'!$A$16:$A$17</f>
            </numRef>
          </cat>
          <val>
            <numRef>
              <f>'차트 데이터'!$G$16:$G$17</f>
            </numRef>
          </val>
        </ser>
        <ser>
          <idx val="6"/>
          <order val="6"/>
          <tx>
            <strRef>
              <f>'차트 데이터'!H15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데이터'!$A$16:$A$17</f>
            </numRef>
          </cat>
          <val>
            <numRef>
              <f>'차트 데이터'!$H$16:$H$17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4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데이터'!$A$21:$A$22</f>
            </numRef>
          </cat>
          <val>
            <numRef>
              <f>'차트 데이터'!$B$21:$B$22</f>
            </numRef>
          </val>
        </ser>
        <ser>
          <idx val="1"/>
          <order val="1"/>
          <tx>
            <strRef>
              <f>'차트 데이터'!C20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데이터'!$A$21:$A$22</f>
            </numRef>
          </cat>
          <val>
            <numRef>
              <f>'차트 데이터'!$C$21:$C$22</f>
            </numRef>
          </val>
        </ser>
        <ser>
          <idx val="2"/>
          <order val="2"/>
          <tx>
            <strRef>
              <f>'차트 데이터'!D20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데이터'!$A$21:$A$22</f>
            </numRef>
          </cat>
          <val>
            <numRef>
              <f>'차트 데이터'!$D$21:$D$22</f>
            </numRef>
          </val>
        </ser>
        <ser>
          <idx val="3"/>
          <order val="3"/>
          <tx>
            <strRef>
              <f>'차트 데이터'!E20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데이터'!$A$21:$A$22</f>
            </numRef>
          </cat>
          <val>
            <numRef>
              <f>'차트 데이터'!$E$21:$E$22</f>
            </numRef>
          </val>
        </ser>
        <ser>
          <idx val="4"/>
          <order val="4"/>
          <tx>
            <strRef>
              <f>'차트 데이터'!F20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데이터'!$A$21:$A$22</f>
            </numRef>
          </cat>
          <val>
            <numRef>
              <f>'차트 데이터'!$F$21:$F$22</f>
            </numRef>
          </val>
        </ser>
        <ser>
          <idx val="5"/>
          <order val="5"/>
          <tx>
            <strRef>
              <f>'차트 데이터'!G20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데이터'!$A$21:$A$22</f>
            </numRef>
          </cat>
          <val>
            <numRef>
              <f>'차트 데이터'!$G$21:$G$22</f>
            </numRef>
          </val>
        </ser>
        <ser>
          <idx val="6"/>
          <order val="6"/>
          <tx>
            <strRef>
              <f>'차트 데이터'!H20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데이터'!$A$21:$A$22</f>
            </numRef>
          </cat>
          <val>
            <numRef>
              <f>'차트 데이터'!$H$21:$H$22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4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데이터'!$A$26:$A$27</f>
            </numRef>
          </cat>
          <val>
            <numRef>
              <f>'차트 데이터'!$B$26:$B$27</f>
            </numRef>
          </val>
        </ser>
        <ser>
          <idx val="1"/>
          <order val="1"/>
          <tx>
            <strRef>
              <f>'차트 데이터'!C25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데이터'!$A$26:$A$27</f>
            </numRef>
          </cat>
          <val>
            <numRef>
              <f>'차트 데이터'!$C$26:$C$27</f>
            </numRef>
          </val>
        </ser>
        <ser>
          <idx val="2"/>
          <order val="2"/>
          <tx>
            <strRef>
              <f>'차트 데이터'!D25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데이터'!$A$26:$A$27</f>
            </numRef>
          </cat>
          <val>
            <numRef>
              <f>'차트 데이터'!$D$26:$D$27</f>
            </numRef>
          </val>
        </ser>
        <ser>
          <idx val="3"/>
          <order val="3"/>
          <tx>
            <strRef>
              <f>'차트 데이터'!E25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데이터'!$A$26:$A$27</f>
            </numRef>
          </cat>
          <val>
            <numRef>
              <f>'차트 데이터'!$E$26:$E$27</f>
            </numRef>
          </val>
        </ser>
        <ser>
          <idx val="4"/>
          <order val="4"/>
          <tx>
            <strRef>
              <f>'차트 데이터'!F25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데이터'!$A$26:$A$27</f>
            </numRef>
          </cat>
          <val>
            <numRef>
              <f>'차트 데이터'!$F$26:$F$27</f>
            </numRef>
          </val>
        </ser>
        <ser>
          <idx val="5"/>
          <order val="5"/>
          <tx>
            <strRef>
              <f>'차트 데이터'!G25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데이터'!$A$26:$A$27</f>
            </numRef>
          </cat>
          <val>
            <numRef>
              <f>'차트 데이터'!$G$26:$G$27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4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데이터'!$A$31:$A$32</f>
            </numRef>
          </cat>
          <val>
            <numRef>
              <f>'차트 데이터'!$B$31:$B$32</f>
            </numRef>
          </val>
        </ser>
        <ser>
          <idx val="1"/>
          <order val="1"/>
          <tx>
            <strRef>
              <f>'차트 데이터'!C30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데이터'!$A$31:$A$32</f>
            </numRef>
          </cat>
          <val>
            <numRef>
              <f>'차트 데이터'!$C$31:$C$32</f>
            </numRef>
          </val>
        </ser>
        <ser>
          <idx val="2"/>
          <order val="2"/>
          <tx>
            <strRef>
              <f>'차트 데이터'!D30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데이터'!$A$31:$A$32</f>
            </numRef>
          </cat>
          <val>
            <numRef>
              <f>'차트 데이터'!$D$31:$D$32</f>
            </numRef>
          </val>
        </ser>
        <ser>
          <idx val="3"/>
          <order val="3"/>
          <tx>
            <strRef>
              <f>'차트 데이터'!E30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데이터'!$A$31:$A$32</f>
            </numRef>
          </cat>
          <val>
            <numRef>
              <f>'차트 데이터'!$E$31:$E$32</f>
            </numRef>
          </val>
        </ser>
        <ser>
          <idx val="4"/>
          <order val="4"/>
          <tx>
            <strRef>
              <f>'차트 데이터'!F30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데이터'!$A$31:$A$32</f>
            </numRef>
          </cat>
          <val>
            <numRef>
              <f>'차트 데이터'!$F$31:$F$32</f>
            </numRef>
          </val>
        </ser>
        <ser>
          <idx val="5"/>
          <order val="5"/>
          <tx>
            <strRef>
              <f>'차트 데이터'!G30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데이터'!$A$31:$A$32</f>
            </numRef>
          </cat>
          <val>
            <numRef>
              <f>'차트 데이터'!$G$31:$G$32</f>
            </numRef>
          </val>
        </ser>
        <ser>
          <idx val="6"/>
          <order val="6"/>
          <tx>
            <strRef>
              <f>'차트 데이터'!H30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데이터'!$A$31:$A$32</f>
            </numRef>
          </cat>
          <val>
            <numRef>
              <f>'차트 데이터'!$H$31:$H$32</f>
            </numRef>
          </val>
        </ser>
        <ser>
          <idx val="7"/>
          <order val="7"/>
          <tx>
            <strRef>
              <f>'차트 데이터'!I30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데이터'!$A$31:$A$32</f>
            </numRef>
          </cat>
          <val>
            <numRef>
              <f>'차트 데이터'!$I$31:$I$32</f>
            </numRef>
          </val>
        </ser>
        <ser>
          <idx val="8"/>
          <order val="8"/>
          <tx>
            <strRef>
              <f>'차트 데이터'!J30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데이터'!$A$31:$A$32</f>
            </numRef>
          </cat>
          <val>
            <numRef>
              <f>'차트 데이터'!$J$31:$J$32</f>
            </numRef>
          </val>
        </ser>
        <ser>
          <idx val="9"/>
          <order val="9"/>
          <tx>
            <strRef>
              <f>'차트 데이터'!K30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데이터'!$A$31:$A$32</f>
            </numRef>
          </cat>
          <val>
            <numRef>
              <f>'차트 데이터'!$K$31:$K$32</f>
            </numRef>
          </val>
        </ser>
        <ser>
          <idx val="10"/>
          <order val="10"/>
          <tx>
            <strRef>
              <f>'차트 데이터'!L30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데이터'!$A$31:$A$32</f>
            </numRef>
          </cat>
          <val>
            <numRef>
              <f>'차트 데이터'!$L$31:$L$32</f>
            </numRef>
          </val>
        </ser>
        <ser>
          <idx val="11"/>
          <order val="11"/>
          <tx>
            <strRef>
              <f>'차트 데이터'!M30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데이터'!$A$31:$A$32</f>
            </numRef>
          </cat>
          <val>
            <numRef>
              <f>'차트 데이터'!$M$31:$M$32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4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데이터'!$A$36:$A$37</f>
            </numRef>
          </cat>
          <val>
            <numRef>
              <f>'차트 데이터'!$B$36:$B$37</f>
            </numRef>
          </val>
        </ser>
        <ser>
          <idx val="1"/>
          <order val="1"/>
          <tx>
            <strRef>
              <f>'차트 데이터'!C35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데이터'!$A$36:$A$37</f>
            </numRef>
          </cat>
          <val>
            <numRef>
              <f>'차트 데이터'!$C$36:$C$37</f>
            </numRef>
          </val>
        </ser>
        <ser>
          <idx val="2"/>
          <order val="2"/>
          <tx>
            <strRef>
              <f>'차트 데이터'!D35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데이터'!$A$36:$A$37</f>
            </numRef>
          </cat>
          <val>
            <numRef>
              <f>'차트 데이터'!$D$36:$D$37</f>
            </numRef>
          </val>
        </ser>
        <ser>
          <idx val="3"/>
          <order val="3"/>
          <tx>
            <strRef>
              <f>'차트 데이터'!E35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데이터'!$A$36:$A$37</f>
            </numRef>
          </cat>
          <val>
            <numRef>
              <f>'차트 데이터'!$E$36:$E$37</f>
            </numRef>
          </val>
        </ser>
        <ser>
          <idx val="4"/>
          <order val="4"/>
          <tx>
            <strRef>
              <f>'차트 데이터'!F35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데이터'!$A$36:$A$37</f>
            </numRef>
          </cat>
          <val>
            <numRef>
              <f>'차트 데이터'!$F$36:$F$37</f>
            </numRef>
          </val>
        </ser>
        <ser>
          <idx val="5"/>
          <order val="5"/>
          <tx>
            <strRef>
              <f>'차트 데이터'!G35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데이터'!$A$36:$A$37</f>
            </numRef>
          </cat>
          <val>
            <numRef>
              <f>'차트 데이터'!$G$36:$G$37</f>
            </numRef>
          </val>
        </ser>
        <ser>
          <idx val="6"/>
          <order val="6"/>
          <tx>
            <strRef>
              <f>'차트 데이터'!H35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데이터'!$A$36:$A$37</f>
            </numRef>
          </cat>
          <val>
            <numRef>
              <f>'차트 데이터'!$H$36:$H$37</f>
            </numRef>
          </val>
        </ser>
        <ser>
          <idx val="7"/>
          <order val="7"/>
          <tx>
            <strRef>
              <f>'차트 데이터'!I35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데이터'!$A$36:$A$37</f>
            </numRef>
          </cat>
          <val>
            <numRef>
              <f>'차트 데이터'!$I$36:$I$37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4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데이터'!$A$41:$A$42</f>
            </numRef>
          </cat>
          <val>
            <numRef>
              <f>'차트 데이터'!$B$41:$B$42</f>
            </numRef>
          </val>
        </ser>
        <ser>
          <idx val="1"/>
          <order val="1"/>
          <tx>
            <strRef>
              <f>'차트 데이터'!C40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데이터'!$A$41:$A$42</f>
            </numRef>
          </cat>
          <val>
            <numRef>
              <f>'차트 데이터'!$C$41:$C$42</f>
            </numRef>
          </val>
        </ser>
        <ser>
          <idx val="2"/>
          <order val="2"/>
          <tx>
            <strRef>
              <f>'차트 데이터'!D40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데이터'!$A$41:$A$42</f>
            </numRef>
          </cat>
          <val>
            <numRef>
              <f>'차트 데이터'!$D$41:$D$42</f>
            </numRef>
          </val>
        </ser>
        <ser>
          <idx val="3"/>
          <order val="3"/>
          <tx>
            <strRef>
              <f>'차트 데이터'!E40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데이터'!$A$41:$A$42</f>
            </numRef>
          </cat>
          <val>
            <numRef>
              <f>'차트 데이터'!$E$41:$E$42</f>
            </numRef>
          </val>
        </ser>
        <ser>
          <idx val="4"/>
          <order val="4"/>
          <tx>
            <strRef>
              <f>'차트 데이터'!F40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데이터'!$A$41:$A$42</f>
            </numRef>
          </cat>
          <val>
            <numRef>
              <f>'차트 데이터'!$F$41:$F$42</f>
            </numRef>
          </val>
        </ser>
        <ser>
          <idx val="5"/>
          <order val="5"/>
          <tx>
            <strRef>
              <f>'차트 데이터'!G40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데이터'!$A$41:$A$42</f>
            </numRef>
          </cat>
          <val>
            <numRef>
              <f>'차트 데이터'!$G$41:$G$42</f>
            </numRef>
          </val>
        </ser>
        <ser>
          <idx val="6"/>
          <order val="6"/>
          <tx>
            <strRef>
              <f>'차트 데이터'!H40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데이터'!$A$41:$A$42</f>
            </numRef>
          </cat>
          <val>
            <numRef>
              <f>'차트 데이터'!$H$41:$H$42</f>
            </numRef>
          </val>
        </ser>
        <ser>
          <idx val="7"/>
          <order val="7"/>
          <tx>
            <strRef>
              <f>'차트 데이터'!I40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데이터'!$A$41:$A$42</f>
            </numRef>
          </cat>
          <val>
            <numRef>
              <f>'차트 데이터'!$I$41:$I$42</f>
            </numRef>
          </val>
        </ser>
        <ser>
          <idx val="8"/>
          <order val="8"/>
          <tx>
            <strRef>
              <f>'차트 데이터'!J40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데이터'!$A$41:$A$42</f>
            </numRef>
          </cat>
          <val>
            <numRef>
              <f>'차트 데이터'!$J$41:$J$42</f>
            </numRef>
          </val>
        </ser>
        <ser>
          <idx val="9"/>
          <order val="9"/>
          <tx>
            <strRef>
              <f>'차트 데이터'!K40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데이터'!$A$41:$A$42</f>
            </numRef>
          </cat>
          <val>
            <numRef>
              <f>'차트 데이터'!$K$41:$K$42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4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데이터'!$A$46:$A$47</f>
            </numRef>
          </cat>
          <val>
            <numRef>
              <f>'차트 데이터'!$B$46:$B$47</f>
            </numRef>
          </val>
        </ser>
        <ser>
          <idx val="1"/>
          <order val="1"/>
          <tx>
            <strRef>
              <f>'차트 데이터'!C45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데이터'!$A$46:$A$47</f>
            </numRef>
          </cat>
          <val>
            <numRef>
              <f>'차트 데이터'!$C$46:$C$47</f>
            </numRef>
          </val>
        </ser>
        <ser>
          <idx val="2"/>
          <order val="2"/>
          <tx>
            <strRef>
              <f>'차트 데이터'!D45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데이터'!$A$46:$A$47</f>
            </numRef>
          </cat>
          <val>
            <numRef>
              <f>'차트 데이터'!$D$46:$D$47</f>
            </numRef>
          </val>
        </ser>
        <ser>
          <idx val="3"/>
          <order val="3"/>
          <tx>
            <strRef>
              <f>'차트 데이터'!E45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데이터'!$A$46:$A$47</f>
            </numRef>
          </cat>
          <val>
            <numRef>
              <f>'차트 데이터'!$E$46:$E$47</f>
            </numRef>
          </val>
        </ser>
        <ser>
          <idx val="4"/>
          <order val="4"/>
          <tx>
            <strRef>
              <f>'차트 데이터'!F45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데이터'!$A$46:$A$47</f>
            </numRef>
          </cat>
          <val>
            <numRef>
              <f>'차트 데이터'!$F$46:$F$47</f>
            </numRef>
          </val>
        </ser>
        <ser>
          <idx val="5"/>
          <order val="5"/>
          <tx>
            <strRef>
              <f>'차트 데이터'!G45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데이터'!$A$46:$A$47</f>
            </numRef>
          </cat>
          <val>
            <numRef>
              <f>'차트 데이터'!$G$46:$G$47</f>
            </numRef>
          </val>
        </ser>
        <ser>
          <idx val="6"/>
          <order val="6"/>
          <tx>
            <strRef>
              <f>'차트 데이터'!H45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데이터'!$A$46:$A$47</f>
            </numRef>
          </cat>
          <val>
            <numRef>
              <f>'차트 데이터'!$H$46:$H$47</f>
            </numRef>
          </val>
        </ser>
        <ser>
          <idx val="7"/>
          <order val="7"/>
          <tx>
            <strRef>
              <f>'차트 데이터'!I45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데이터'!$A$46:$A$47</f>
            </numRef>
          </cat>
          <val>
            <numRef>
              <f>'차트 데이터'!$I$46:$I$47</f>
            </numRef>
          </val>
        </ser>
        <ser>
          <idx val="8"/>
          <order val="8"/>
          <tx>
            <strRef>
              <f>'차트 데이터'!J45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데이터'!$A$46:$A$47</f>
            </numRef>
          </cat>
          <val>
            <numRef>
              <f>'차트 데이터'!$J$46:$J$47</f>
            </numRef>
          </val>
        </ser>
        <ser>
          <idx val="9"/>
          <order val="9"/>
          <tx>
            <strRef>
              <f>'차트 데이터'!K45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데이터'!$A$46:$A$47</f>
            </numRef>
          </cat>
          <val>
            <numRef>
              <f>'차트 데이터'!$K$46:$K$47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4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데이터'!$A$51:$A$52</f>
            </numRef>
          </cat>
          <val>
            <numRef>
              <f>'차트 데이터'!$B$51:$B$52</f>
            </numRef>
          </val>
        </ser>
        <ser>
          <idx val="1"/>
          <order val="1"/>
          <tx>
            <strRef>
              <f>'차트 데이터'!C50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데이터'!$A$51:$A$52</f>
            </numRef>
          </cat>
          <val>
            <numRef>
              <f>'차트 데이터'!$C$51:$C$52</f>
            </numRef>
          </val>
        </ser>
        <ser>
          <idx val="2"/>
          <order val="2"/>
          <tx>
            <strRef>
              <f>'차트 데이터'!D50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데이터'!$A$51:$A$52</f>
            </numRef>
          </cat>
          <val>
            <numRef>
              <f>'차트 데이터'!$D$51:$D$52</f>
            </numRef>
          </val>
        </ser>
        <ser>
          <idx val="3"/>
          <order val="3"/>
          <tx>
            <strRef>
              <f>'차트 데이터'!E50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데이터'!$A$51:$A$52</f>
            </numRef>
          </cat>
          <val>
            <numRef>
              <f>'차트 데이터'!$E$51:$E$52</f>
            </numRef>
          </val>
        </ser>
        <ser>
          <idx val="4"/>
          <order val="4"/>
          <tx>
            <strRef>
              <f>'차트 데이터'!F50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데이터'!$A$51:$A$52</f>
            </numRef>
          </cat>
          <val>
            <numRef>
              <f>'차트 데이터'!$F$51:$F$52</f>
            </numRef>
          </val>
        </ser>
        <ser>
          <idx val="5"/>
          <order val="5"/>
          <tx>
            <strRef>
              <f>'차트 데이터'!G50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데이터'!$A$51:$A$52</f>
            </numRef>
          </cat>
          <val>
            <numRef>
              <f>'차트 데이터'!$G$51:$G$52</f>
            </numRef>
          </val>
        </ser>
        <ser>
          <idx val="6"/>
          <order val="6"/>
          <tx>
            <strRef>
              <f>'차트 데이터'!H50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데이터'!$A$51:$A$52</f>
            </numRef>
          </cat>
          <val>
            <numRef>
              <f>'차트 데이터'!$H$51:$H$52</f>
            </numRef>
          </val>
        </ser>
        <ser>
          <idx val="7"/>
          <order val="7"/>
          <tx>
            <strRef>
              <f>'차트 데이터'!I50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데이터'!$A$51:$A$52</f>
            </numRef>
          </cat>
          <val>
            <numRef>
              <f>'차트 데이터'!$I$51:$I$52</f>
            </numRef>
          </val>
        </ser>
        <ser>
          <idx val="8"/>
          <order val="8"/>
          <tx>
            <strRef>
              <f>'차트 데이터'!J50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데이터'!$A$51:$A$52</f>
            </numRef>
          </cat>
          <val>
            <numRef>
              <f>'차트 데이터'!$J$51:$J$52</f>
            </numRef>
          </val>
        </ser>
        <ser>
          <idx val="9"/>
          <order val="9"/>
          <tx>
            <strRef>
              <f>'차트 데이터'!K50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데이터'!$A$51:$A$52</f>
            </numRef>
          </cat>
          <val>
            <numRef>
              <f>'차트 데이터'!$K$51:$K$52</f>
            </numRef>
          </val>
        </ser>
        <ser>
          <idx val="10"/>
          <order val="10"/>
          <tx>
            <strRef>
              <f>'차트 데이터'!L50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데이터'!$A$51:$A$52</f>
            </numRef>
          </cat>
          <val>
            <numRef>
              <f>'차트 데이터'!$L$51:$L$52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62</row>
      <rowOff>0</rowOff>
    </from>
    <ext cx="57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77</row>
      <rowOff>0</rowOff>
    </from>
    <ext cx="576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92</row>
      <rowOff>0</rowOff>
    </from>
    <ext cx="576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107</row>
      <rowOff>0</rowOff>
    </from>
    <ext cx="576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122</row>
      <rowOff>0</rowOff>
    </from>
    <ext cx="576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137</row>
      <rowOff>0</rowOff>
    </from>
    <ext cx="5760000" cy="25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152</row>
      <rowOff>0</rowOff>
    </from>
    <ext cx="5760000" cy="25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167</row>
      <rowOff>0</rowOff>
    </from>
    <ext cx="5760000" cy="252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0</col>
      <colOff>0</colOff>
      <row>182</row>
      <rowOff>0</rowOff>
    </from>
    <ext cx="5760000" cy="252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논리 프로세서별 CPU 클럭, 표본 간격은 기록 도구 설정 (typeperf % Processor Performance)</t>
        </is>
      </c>
    </row>
    <row r="2">
      <c r="A2" s="2" t="inlineStr">
        <is>
          <t>기본 클럭(GHz)</t>
        </is>
      </c>
      <c r="B2" s="3" t="n">
        <v>2.69</v>
      </c>
      <c r="C2" s="4" t="inlineStr">
        <is>
          <t>출처: 작업 관리자 성능 탭의 기본 속도. GHz = 백분율 × 기본 클럭 ÷ 100</t>
        </is>
      </c>
    </row>
    <row r="3">
      <c r="A3" s="4" t="inlineStr">
        <is>
          <t>각 표본은 그 시각까지의 직전 표본 간격 구간의 평균이다. 백분율은 기본 클럭 대비 값이라 터보 구간에서 100을 넘는다.</t>
        </is>
      </c>
    </row>
    <row r="5">
      <c r="A5" s="5" t="inlineStr">
        <is>
          <t>시각</t>
        </is>
      </c>
      <c r="B5" s="5" t="inlineStr">
        <is>
          <t>논리 0(%)</t>
        </is>
      </c>
      <c r="C5" s="5" t="inlineStr">
        <is>
          <t>논리 1(%)</t>
        </is>
      </c>
      <c r="D5" s="5" t="inlineStr">
        <is>
          <t>논리 2(%)</t>
        </is>
      </c>
      <c r="E5" s="5" t="inlineStr">
        <is>
          <t>논리 3(%)</t>
        </is>
      </c>
      <c r="F5" s="5" t="inlineStr">
        <is>
          <t>논리 4(%)</t>
        </is>
      </c>
      <c r="G5" s="5" t="inlineStr">
        <is>
          <t>논리 5(%)</t>
        </is>
      </c>
      <c r="H5" s="5" t="inlineStr">
        <is>
          <t>논리 6(%)</t>
        </is>
      </c>
      <c r="I5" s="5" t="inlineStr">
        <is>
          <t>논리 7(%)</t>
        </is>
      </c>
      <c r="J5" s="5" t="inlineStr">
        <is>
          <t>논리 8(%)</t>
        </is>
      </c>
      <c r="K5" s="5" t="inlineStr">
        <is>
          <t>논리 9(%)</t>
        </is>
      </c>
      <c r="L5" s="5" t="inlineStr">
        <is>
          <t>논리 10(%)</t>
        </is>
      </c>
      <c r="M5" s="5" t="inlineStr">
        <is>
          <t>논리 11(%)</t>
        </is>
      </c>
      <c r="N5" s="5" t="inlineStr">
        <is>
          <t>전체 평균(%)</t>
        </is>
      </c>
      <c r="O5" s="5" t="inlineStr">
        <is>
          <t>전체 평균(GHz)</t>
        </is>
      </c>
    </row>
    <row r="6">
      <c r="A6" s="6" t="n">
        <v>46238.48391018518</v>
      </c>
      <c r="B6" s="7" t="n">
        <v>151.650920527263</v>
      </c>
      <c r="C6" s="7" t="n">
        <v>151.2304425561439</v>
      </c>
      <c r="D6" s="7" t="n">
        <v>150.8214181809283</v>
      </c>
      <c r="E6" s="7" t="n">
        <v>151.0717025897469</v>
      </c>
      <c r="F6" s="7" t="n">
        <v>150.5029958446262</v>
      </c>
      <c r="G6" s="7" t="n">
        <v>150.6823531427201</v>
      </c>
      <c r="H6" s="7" t="n">
        <v>150.6282211096941</v>
      </c>
      <c r="I6" s="7" t="n">
        <v>150.8243383414425</v>
      </c>
      <c r="J6" s="7" t="n">
        <v>150.7825125864169</v>
      </c>
      <c r="K6" s="7" t="n">
        <v>151.0943661717749</v>
      </c>
      <c r="L6" s="7" t="n">
        <v>149.8073165688075</v>
      </c>
      <c r="M6" s="7" t="n">
        <v>150.9323890938541</v>
      </c>
      <c r="N6" s="7" t="n">
        <v>150.8341204628065</v>
      </c>
      <c r="O6" s="8">
        <f>N6*$B$2/100</f>
        <v/>
      </c>
    </row>
    <row r="7">
      <c r="A7" s="6" t="n">
        <v>46238.48392188657</v>
      </c>
      <c r="B7" s="7" t="n">
        <v>150.873915407305</v>
      </c>
      <c r="C7" s="7" t="n">
        <v>151.7075420105978</v>
      </c>
      <c r="D7" s="7" t="n">
        <v>151.2350893871218</v>
      </c>
      <c r="E7" s="7" t="n">
        <v>151.4157937483591</v>
      </c>
      <c r="F7" s="7" t="n">
        <v>151.1531934537221</v>
      </c>
      <c r="G7" s="7" t="n">
        <v>150.9506266441511</v>
      </c>
      <c r="H7" s="7" t="n">
        <v>150.9934855815185</v>
      </c>
      <c r="I7" s="7" t="n">
        <v>151.3688250468122</v>
      </c>
      <c r="J7" s="7" t="n">
        <v>151.1891792271886</v>
      </c>
      <c r="K7" s="7" t="n">
        <v>151.8756057191337</v>
      </c>
      <c r="L7" s="7" t="n">
        <v>151.0492076190136</v>
      </c>
      <c r="M7" s="7" t="n">
        <v>151.3167618065043</v>
      </c>
      <c r="N7" s="7" t="n">
        <v>151.273766045923</v>
      </c>
      <c r="O7" s="8">
        <f>N7*$B$2/100</f>
        <v/>
      </c>
    </row>
    <row r="8">
      <c r="A8" s="6" t="n">
        <v>46238.48393357639</v>
      </c>
      <c r="B8" s="7" t="n">
        <v>153.7758944996796</v>
      </c>
      <c r="C8" s="7" t="n">
        <v>152.8352569771225</v>
      </c>
      <c r="D8" s="7" t="n">
        <v>151.2383936553458</v>
      </c>
      <c r="E8" s="7" t="n">
        <v>154.0198535822854</v>
      </c>
      <c r="F8" s="7" t="n">
        <v>150.3285909837216</v>
      </c>
      <c r="G8" s="7" t="n">
        <v>148.0807940030309</v>
      </c>
      <c r="H8" s="7" t="n">
        <v>151.0735892378069</v>
      </c>
      <c r="I8" s="7" t="n">
        <v>150.363831934053</v>
      </c>
      <c r="J8" s="7" t="n">
        <v>150.2535472252912</v>
      </c>
      <c r="K8" s="7" t="n">
        <v>153.0703246910869</v>
      </c>
      <c r="L8" s="7" t="n">
        <v>153.1149076085912</v>
      </c>
      <c r="M8" s="7" t="n">
        <v>156.2557955673463</v>
      </c>
      <c r="N8" s="7" t="n">
        <v>152.1789459589994</v>
      </c>
      <c r="O8" s="8">
        <f>N8*$B$2/100</f>
        <v/>
      </c>
    </row>
    <row r="9">
      <c r="A9" s="6" t="n">
        <v>46238.48394528935</v>
      </c>
      <c r="B9" s="7" t="n">
        <v>157.6284919259192</v>
      </c>
      <c r="C9" s="7" t="n">
        <v>160.8905139953311</v>
      </c>
      <c r="D9" s="7" t="n">
        <v>160.0309368259986</v>
      </c>
      <c r="E9" s="7" t="n">
        <v>160.1086539503285</v>
      </c>
      <c r="F9" s="7" t="n">
        <v>146.6659960234804</v>
      </c>
      <c r="G9" s="7" t="n">
        <v>139.227181085044</v>
      </c>
      <c r="H9" s="7" t="n">
        <v>148.2945638999865</v>
      </c>
      <c r="I9" s="7" t="n">
        <v>132.7798714112929</v>
      </c>
      <c r="J9" s="7" t="n">
        <v>148.2855223680086</v>
      </c>
      <c r="K9" s="7" t="n">
        <v>124.4749281675781</v>
      </c>
      <c r="L9" s="7" t="n">
        <v>157.5305237852408</v>
      </c>
      <c r="M9" s="7" t="n">
        <v>159.6214193516863</v>
      </c>
      <c r="N9" s="7" t="n">
        <v>157.3084455991497</v>
      </c>
      <c r="O9" s="8">
        <f>N9*$B$2/100</f>
        <v/>
      </c>
    </row>
    <row r="10">
      <c r="A10" s="6" t="n">
        <v>46238.48395700232</v>
      </c>
      <c r="B10" s="7" t="n">
        <v>153.8673476127388</v>
      </c>
      <c r="C10" s="7" t="n">
        <v>151.5691637204545</v>
      </c>
      <c r="D10" s="7" t="n">
        <v>145.4191398957059</v>
      </c>
      <c r="E10" s="7" t="n">
        <v>153.8793626039902</v>
      </c>
      <c r="F10" s="7" t="n">
        <v>147.4796283256707</v>
      </c>
      <c r="G10" s="7" t="n">
        <v>150.6120840779508</v>
      </c>
      <c r="H10" s="7" t="n">
        <v>147.7761806213534</v>
      </c>
      <c r="I10" s="7" t="n">
        <v>152.9649015912601</v>
      </c>
      <c r="J10" s="7" t="n">
        <v>151.4970215934475</v>
      </c>
      <c r="K10" s="7" t="n">
        <v>153.7524995940335</v>
      </c>
      <c r="L10" s="7" t="n">
        <v>156.9964283625066</v>
      </c>
      <c r="M10" s="7" t="n">
        <v>160.1061479558157</v>
      </c>
      <c r="N10" s="7" t="n">
        <v>153.4289233278956</v>
      </c>
      <c r="O10" s="8">
        <f>N10*$B$2/100</f>
        <v/>
      </c>
    </row>
    <row r="11">
      <c r="A11" s="6" t="n">
        <v>46238.48396876157</v>
      </c>
      <c r="B11" s="7" t="n">
        <v>151.9112338362069</v>
      </c>
      <c r="C11" s="7" t="n">
        <v>154.7769961194095</v>
      </c>
      <c r="D11" s="7" t="n">
        <v>151.8071824461265</v>
      </c>
      <c r="E11" s="7" t="n">
        <v>159.5467847881942</v>
      </c>
      <c r="F11" s="7" t="n">
        <v>151.264856255022</v>
      </c>
      <c r="G11" s="7" t="n">
        <v>151.2898466582425</v>
      </c>
      <c r="H11" s="7" t="n">
        <v>153.581669621891</v>
      </c>
      <c r="I11" s="7" t="n">
        <v>147.6353531845022</v>
      </c>
      <c r="J11" s="7" t="n">
        <v>144.4762265144286</v>
      </c>
      <c r="K11" s="7" t="n">
        <v>150.5164352657956</v>
      </c>
      <c r="L11" s="7" t="n">
        <v>157.7548320604848</v>
      </c>
      <c r="M11" s="7" t="n">
        <v>156.2974555474233</v>
      </c>
      <c r="N11" s="7" t="n">
        <v>154.1353144495026</v>
      </c>
      <c r="O11" s="8">
        <f>N11*$B$2/100</f>
        <v/>
      </c>
    </row>
    <row r="12">
      <c r="A12" s="6" t="n">
        <v>46238.48398037037</v>
      </c>
      <c r="B12" s="7" t="n">
        <v>157.7689633732761</v>
      </c>
      <c r="C12" s="7" t="n">
        <v>158.6190565134659</v>
      </c>
      <c r="D12" s="7" t="n">
        <v>141.2791553302004</v>
      </c>
      <c r="E12" s="7" t="n">
        <v>160.6645821360515</v>
      </c>
      <c r="F12" s="7" t="n">
        <v>148.0560426842425</v>
      </c>
      <c r="G12" s="7" t="n">
        <v>160.5040871360553</v>
      </c>
      <c r="H12" s="7" t="n">
        <v>153.8476566893205</v>
      </c>
      <c r="I12" s="7" t="n">
        <v>155.9905598243688</v>
      </c>
      <c r="J12" s="7" t="n">
        <v>155.7246717617088</v>
      </c>
      <c r="K12" s="7" t="n">
        <v>155.6976740601446</v>
      </c>
      <c r="L12" s="7" t="n">
        <v>158.5867054530313</v>
      </c>
      <c r="M12" s="7" t="n">
        <v>159.9634295570291</v>
      </c>
      <c r="N12" s="7" t="n">
        <v>157.023770826799</v>
      </c>
      <c r="O12" s="8">
        <f>N12*$B$2/100</f>
        <v/>
      </c>
    </row>
    <row r="13">
      <c r="A13" s="6" t="n">
        <v>46238.48399210648</v>
      </c>
      <c r="B13" s="7" t="n">
        <v>157.4111891510731</v>
      </c>
      <c r="C13" s="7" t="n">
        <v>152.4285241698714</v>
      </c>
      <c r="D13" s="7" t="n">
        <v>157.5262972229308</v>
      </c>
      <c r="E13" s="7" t="n">
        <v>151.9728926920429</v>
      </c>
      <c r="F13" s="7" t="n">
        <v>146.3867656720673</v>
      </c>
      <c r="G13" s="7" t="n">
        <v>151.1998382254577</v>
      </c>
      <c r="H13" s="7" t="n">
        <v>151.9094775140869</v>
      </c>
      <c r="I13" s="7" t="n">
        <v>153.63682382134</v>
      </c>
      <c r="J13" s="7" t="n">
        <v>154.7936521470366</v>
      </c>
      <c r="K13" s="7" t="n">
        <v>155.8706929133858</v>
      </c>
      <c r="L13" s="7" t="n">
        <v>158.6519903112289</v>
      </c>
      <c r="M13" s="7" t="n">
        <v>157.9913321533407</v>
      </c>
      <c r="N13" s="7" t="n">
        <v>155.7985865429544</v>
      </c>
      <c r="O13" s="8">
        <f>N13*$B$2/100</f>
        <v/>
      </c>
    </row>
    <row r="14">
      <c r="A14" s="6" t="n">
        <v>46238.48400379629</v>
      </c>
      <c r="B14" s="7" t="n">
        <v>160.6503177723927</v>
      </c>
      <c r="C14" s="7" t="n">
        <v>159.7202101013517</v>
      </c>
      <c r="D14" s="7" t="n">
        <v>149.3753840329649</v>
      </c>
      <c r="E14" s="7" t="n">
        <v>154.9196897339305</v>
      </c>
      <c r="F14" s="7" t="n">
        <v>141.5972844915427</v>
      </c>
      <c r="G14" s="7" t="n">
        <v>142.4796634367121</v>
      </c>
      <c r="H14" s="7" t="n">
        <v>137.375374818387</v>
      </c>
      <c r="I14" s="7" t="n">
        <v>119.0080208735988</v>
      </c>
      <c r="J14" s="7" t="n">
        <v>152.3644839928913</v>
      </c>
      <c r="K14" s="7" t="n">
        <v>154.2013906773114</v>
      </c>
      <c r="L14" s="7" t="n">
        <v>158.2738981555473</v>
      </c>
      <c r="M14" s="7" t="n">
        <v>158.700351693729</v>
      </c>
      <c r="N14" s="7" t="n">
        <v>155.4597579928952</v>
      </c>
      <c r="O14" s="8">
        <f>N14*$B$2/100</f>
        <v/>
      </c>
    </row>
    <row r="15">
      <c r="A15" s="6" t="n">
        <v>46238.48401554398</v>
      </c>
      <c r="B15" s="7" t="n">
        <v>158.6094272559577</v>
      </c>
      <c r="C15" s="7" t="n">
        <v>159.1030116317149</v>
      </c>
      <c r="D15" s="7" t="n">
        <v>152.2107173777663</v>
      </c>
      <c r="E15" s="7" t="n">
        <v>155.8325139298591</v>
      </c>
      <c r="F15" s="7" t="n">
        <v>149.4765479538882</v>
      </c>
      <c r="G15" s="7" t="n">
        <v>149.6885242305245</v>
      </c>
      <c r="H15" s="7" t="n">
        <v>156.7069603397394</v>
      </c>
      <c r="I15" s="7" t="n">
        <v>127.2419178082192</v>
      </c>
      <c r="J15" s="7" t="n">
        <v>147.8165908979811</v>
      </c>
      <c r="K15" s="7" t="n">
        <v>149.5105030403538</v>
      </c>
      <c r="L15" s="7" t="n">
        <v>158.7758499438082</v>
      </c>
      <c r="M15" s="7" t="n">
        <v>157.8545120199729</v>
      </c>
      <c r="N15" s="7" t="n">
        <v>156.4224019121233</v>
      </c>
      <c r="O15" s="8">
        <f>N15*$B$2/100</f>
        <v/>
      </c>
    </row>
    <row r="16">
      <c r="A16" s="6" t="n">
        <v>46238.48402716436</v>
      </c>
      <c r="B16" s="7" t="n">
        <v>159.8952176918354</v>
      </c>
      <c r="C16" s="7" t="n">
        <v>161.5996735960618</v>
      </c>
      <c r="D16" s="7" t="n">
        <v>156.3115246562483</v>
      </c>
      <c r="E16" s="7" t="n">
        <v>148.9778048129136</v>
      </c>
      <c r="F16" s="7" t="n">
        <v>148.4100369040745</v>
      </c>
      <c r="G16" s="7" t="n">
        <v>159.5370941116198</v>
      </c>
      <c r="H16" s="7" t="n">
        <v>148.2410682226212</v>
      </c>
      <c r="I16" s="7" t="n">
        <v>125.5128688706457</v>
      </c>
      <c r="J16" s="7" t="n">
        <v>154.1626947190952</v>
      </c>
      <c r="K16" s="7" t="n">
        <v>114.6602825745683</v>
      </c>
      <c r="L16" s="7" t="n">
        <v>157.9863946703499</v>
      </c>
      <c r="M16" s="7" t="n">
        <v>161.3668041965043</v>
      </c>
      <c r="N16" s="7" t="n">
        <v>157.8787594973001</v>
      </c>
      <c r="O16" s="8">
        <f>N16*$B$2/100</f>
        <v/>
      </c>
    </row>
    <row r="17">
      <c r="A17" s="6" t="n">
        <v>46238.48403890046</v>
      </c>
      <c r="B17" s="7" t="n">
        <v>160.8892625463619</v>
      </c>
      <c r="C17" s="7" t="n">
        <v>162.3642904032787</v>
      </c>
      <c r="D17" s="7" t="n">
        <v>157.2104154828359</v>
      </c>
      <c r="E17" s="7" t="n">
        <v>161.042808307202</v>
      </c>
      <c r="F17" s="7" t="n">
        <v>149.5630925867006</v>
      </c>
      <c r="G17" s="7" t="n">
        <v>146.2513557660895</v>
      </c>
      <c r="H17" s="7" t="n">
        <v>149.9421225132752</v>
      </c>
      <c r="I17" s="7" t="n">
        <v>115.5438972162741</v>
      </c>
      <c r="J17" s="7" t="n">
        <v>153.1832056758944</v>
      </c>
      <c r="K17" s="7" t="n">
        <v>130.3407427008909</v>
      </c>
      <c r="L17" s="7" t="n">
        <v>160.2154838709677</v>
      </c>
      <c r="M17" s="7" t="n">
        <v>158.9467415800676</v>
      </c>
      <c r="N17" s="7" t="n">
        <v>157.8978278358809</v>
      </c>
      <c r="O17" s="8">
        <f>N17*$B$2/100</f>
        <v/>
      </c>
    </row>
    <row r="18">
      <c r="A18" s="6" t="n">
        <v>46238.48405067129</v>
      </c>
      <c r="B18" s="7" t="n">
        <v>157.9397987772676</v>
      </c>
      <c r="C18" s="7" t="n">
        <v>160.7971527801657</v>
      </c>
      <c r="D18" s="7" t="n">
        <v>156.8600384627125</v>
      </c>
      <c r="E18" s="7" t="n">
        <v>152.8921602348032</v>
      </c>
      <c r="F18" s="7" t="n">
        <v>158.3771074585979</v>
      </c>
      <c r="G18" s="7" t="n">
        <v>151.4459696039378</v>
      </c>
      <c r="H18" s="7" t="n">
        <v>156.0005739233812</v>
      </c>
      <c r="I18" s="7" t="n">
        <v>144.939282051282</v>
      </c>
      <c r="J18" s="7" t="n">
        <v>148.5518030528584</v>
      </c>
      <c r="K18" s="7" t="n">
        <v>157.9178988467517</v>
      </c>
      <c r="L18" s="7" t="n">
        <v>161.1817580450601</v>
      </c>
      <c r="M18" s="7" t="n">
        <v>159.2208486175746</v>
      </c>
      <c r="N18" s="7" t="n">
        <v>157.6674437857435</v>
      </c>
      <c r="O18" s="8">
        <f>N18*$B$2/100</f>
        <v/>
      </c>
    </row>
    <row r="19">
      <c r="A19" s="6" t="n">
        <v>46238.48406241898</v>
      </c>
      <c r="B19" s="7" t="n">
        <v>155.7070284758654</v>
      </c>
      <c r="C19" s="7" t="n">
        <v>158.6758761114847</v>
      </c>
      <c r="D19" s="7" t="n">
        <v>154.4548760163628</v>
      </c>
      <c r="E19" s="7" t="n">
        <v>144.8077765886969</v>
      </c>
      <c r="F19" s="7" t="n">
        <v>146.349932095971</v>
      </c>
      <c r="G19" s="7" t="n">
        <v>146.477195159789</v>
      </c>
      <c r="H19" s="7" t="n">
        <v>159.7105444036946</v>
      </c>
      <c r="I19" s="7" t="n">
        <v>157.2393715963336</v>
      </c>
      <c r="J19" s="7" t="n">
        <v>154.9406737402</v>
      </c>
      <c r="K19" s="7" t="n">
        <v>163.4820773221969</v>
      </c>
      <c r="L19" s="7" t="n">
        <v>158.5339164370197</v>
      </c>
      <c r="M19" s="7" t="n">
        <v>161.3991504846984</v>
      </c>
      <c r="N19" s="7" t="n">
        <v>157.9593079532746</v>
      </c>
      <c r="O19" s="8">
        <f>N19*$B$2/100</f>
        <v/>
      </c>
    </row>
    <row r="20">
      <c r="A20" s="6" t="n">
        <v>46238.4840740162</v>
      </c>
      <c r="B20" s="7" t="n">
        <v>158.837706355316</v>
      </c>
      <c r="C20" s="7" t="n">
        <v>156.0571511534118</v>
      </c>
      <c r="D20" s="7" t="n">
        <v>158.3557982089809</v>
      </c>
      <c r="E20" s="7" t="n">
        <v>138.0183335523722</v>
      </c>
      <c r="F20" s="7" t="n">
        <v>148.3185029786055</v>
      </c>
      <c r="G20" s="7" t="n">
        <v>139.8744555394234</v>
      </c>
      <c r="H20" s="7" t="n">
        <v>148.7383433185725</v>
      </c>
      <c r="I20" s="7" t="n">
        <v>105.7477725222748</v>
      </c>
      <c r="J20" s="7" t="n">
        <v>151.4347188845169</v>
      </c>
      <c r="K20" s="7" t="n">
        <v>158.7885807217265</v>
      </c>
      <c r="L20" s="7" t="n">
        <v>160.6927928986797</v>
      </c>
      <c r="M20" s="7" t="n">
        <v>160.3723713282713</v>
      </c>
      <c r="N20" s="7" t="n">
        <v>156.5572993312594</v>
      </c>
      <c r="O20" s="8">
        <f>N20*$B$2/100</f>
        <v/>
      </c>
    </row>
    <row r="21">
      <c r="A21" s="6" t="n">
        <v>46238.48408577546</v>
      </c>
      <c r="B21" s="7" t="n">
        <v>161.2330760253953</v>
      </c>
      <c r="C21" s="7" t="n">
        <v>161.8842284528936</v>
      </c>
      <c r="D21" s="7" t="n">
        <v>156.7201859784766</v>
      </c>
      <c r="E21" s="7" t="n">
        <v>159.9501581363058</v>
      </c>
      <c r="F21" s="7" t="n">
        <v>149.8492798272221</v>
      </c>
      <c r="G21" s="7" t="n">
        <v>145.9160437213393</v>
      </c>
      <c r="H21" s="7" t="n">
        <v>151.3044154803722</v>
      </c>
      <c r="I21" s="7" t="n">
        <v>123.5252931708439</v>
      </c>
      <c r="J21" s="7" t="n">
        <v>152.2711145256762</v>
      </c>
      <c r="K21" s="7" t="n">
        <v>141.7534542559845</v>
      </c>
      <c r="L21" s="7" t="n">
        <v>158.3038592141433</v>
      </c>
      <c r="M21" s="7" t="n">
        <v>161.6991253506849</v>
      </c>
      <c r="N21" s="7" t="n">
        <v>158.3619049353156</v>
      </c>
      <c r="O21" s="8">
        <f>N21*$B$2/100</f>
        <v/>
      </c>
    </row>
    <row r="22">
      <c r="A22" s="6" t="n">
        <v>46238.48409740741</v>
      </c>
      <c r="B22" s="7" t="n">
        <v>160.5979503401098</v>
      </c>
      <c r="C22" s="7" t="n">
        <v>160.8029198689218</v>
      </c>
      <c r="D22" s="7" t="n">
        <v>147.3329622016672</v>
      </c>
      <c r="E22" s="7" t="n">
        <v>144.166081025217</v>
      </c>
      <c r="F22" s="7" t="n">
        <v>161.002482169858</v>
      </c>
      <c r="G22" s="7" t="n">
        <v>154.2652699163639</v>
      </c>
      <c r="H22" s="7" t="n">
        <v>159.9839825361073</v>
      </c>
      <c r="I22" s="7" t="n">
        <v>125.1185405807893</v>
      </c>
      <c r="J22" s="7" t="n">
        <v>155.8394696488592</v>
      </c>
      <c r="K22" s="7" t="n">
        <v>153.4660997383408</v>
      </c>
      <c r="L22" s="7" t="n">
        <v>153.9058987596627</v>
      </c>
      <c r="M22" s="7" t="n">
        <v>161.7391850557133</v>
      </c>
      <c r="N22" s="7" t="n">
        <v>158.7851862240298</v>
      </c>
      <c r="O22" s="8">
        <f>N22*$B$2/100</f>
        <v/>
      </c>
    </row>
    <row r="23">
      <c r="A23" s="6" t="n">
        <v>46238.48410916667</v>
      </c>
      <c r="B23" s="7" t="n">
        <v>159.8585235206981</v>
      </c>
      <c r="C23" s="7" t="n">
        <v>157.469488749644</v>
      </c>
      <c r="D23" s="7" t="n">
        <v>157.8980007249812</v>
      </c>
      <c r="E23" s="7" t="n">
        <v>122.6958434132395</v>
      </c>
      <c r="F23" s="7" t="n">
        <v>159.7378118583395</v>
      </c>
      <c r="G23" s="7" t="n">
        <v>156.9623701207526</v>
      </c>
      <c r="H23" s="7" t="n">
        <v>150.6314746169247</v>
      </c>
      <c r="I23" s="7" t="n">
        <v>111.816578984786</v>
      </c>
      <c r="J23" s="7" t="n">
        <v>151.2776839112828</v>
      </c>
      <c r="K23" s="7" t="n">
        <v>113.9043003412969</v>
      </c>
      <c r="L23" s="7" t="n">
        <v>161.411780765818</v>
      </c>
      <c r="M23" s="7" t="n">
        <v>161.4054510239131</v>
      </c>
      <c r="N23" s="7" t="n">
        <v>158.6064713473211</v>
      </c>
      <c r="O23" s="8">
        <f>N23*$B$2/100</f>
        <v/>
      </c>
    </row>
    <row r="24">
      <c r="A24" s="6" t="n">
        <v>46238.48412092592</v>
      </c>
      <c r="B24" s="7" t="n">
        <v>156.3745937672013</v>
      </c>
      <c r="C24" s="7" t="n">
        <v>163.3597822788406</v>
      </c>
      <c r="D24" s="7" t="n">
        <v>162.877709363989</v>
      </c>
      <c r="E24" s="7" t="n">
        <v>161.065181171268</v>
      </c>
      <c r="F24" s="7" t="n">
        <v>148.4051752277516</v>
      </c>
      <c r="G24" s="7" t="n">
        <v>144.4414139749506</v>
      </c>
      <c r="H24" s="7" t="n">
        <v>152.9870802548767</v>
      </c>
      <c r="I24" s="7" t="n">
        <v>114.0159489633174</v>
      </c>
      <c r="J24" s="7" t="n">
        <v>152.6360167577754</v>
      </c>
      <c r="K24" s="7" t="n">
        <v>106.4673087608817</v>
      </c>
      <c r="L24" s="7" t="n">
        <v>160.9960234804014</v>
      </c>
      <c r="M24" s="7" t="n">
        <v>161.1388199722685</v>
      </c>
      <c r="N24" s="7" t="n">
        <v>159.2439188988021</v>
      </c>
      <c r="O24" s="8">
        <f>N24*$B$2/100</f>
        <v/>
      </c>
    </row>
    <row r="25">
      <c r="A25" s="6" t="n">
        <v>46238.48413267361</v>
      </c>
      <c r="B25" s="7" t="n">
        <v>149.486465132257</v>
      </c>
      <c r="C25" s="7" t="n">
        <v>159.615839640851</v>
      </c>
      <c r="D25" s="7" t="n">
        <v>152.4406402719739</v>
      </c>
      <c r="E25" s="7" t="n">
        <v>155.9869932982899</v>
      </c>
      <c r="F25" s="7" t="n">
        <v>154.5601548704112</v>
      </c>
      <c r="G25" s="7" t="n">
        <v>153.8928668875463</v>
      </c>
      <c r="H25" s="7" t="n">
        <v>155.3668727350245</v>
      </c>
      <c r="I25" s="7" t="n">
        <v>156.492674265021</v>
      </c>
      <c r="J25" s="7" t="n">
        <v>152.5195668225449</v>
      </c>
      <c r="K25" s="7" t="n">
        <v>153.9740737086191</v>
      </c>
      <c r="L25" s="7" t="n">
        <v>159.0626603116867</v>
      </c>
      <c r="M25" s="7" t="n">
        <v>160.7543162665534</v>
      </c>
      <c r="N25" s="7" t="n">
        <v>156.8723425766781</v>
      </c>
      <c r="O25" s="8">
        <f>N25*$B$2/100</f>
        <v/>
      </c>
    </row>
    <row r="26">
      <c r="A26" s="6" t="n">
        <v>46238.48414442129</v>
      </c>
      <c r="B26" s="7" t="n">
        <v>161.1050724178567</v>
      </c>
      <c r="C26" s="7" t="n">
        <v>161.7246195498128</v>
      </c>
      <c r="D26" s="7" t="n">
        <v>152.2457260693142</v>
      </c>
      <c r="E26" s="7" t="n">
        <v>162.3129064413538</v>
      </c>
      <c r="F26" s="7" t="n">
        <v>141.917111220693</v>
      </c>
      <c r="G26" s="7" t="n">
        <v>146.1357436757086</v>
      </c>
      <c r="H26" s="7" t="n">
        <v>151.4493737562917</v>
      </c>
      <c r="I26" s="7" t="n">
        <v>124.0946078431373</v>
      </c>
      <c r="J26" s="7" t="n">
        <v>154.8602961555212</v>
      </c>
      <c r="K26" s="7" t="n">
        <v>155.5687760630688</v>
      </c>
      <c r="L26" s="7" t="n">
        <v>160.3469296194122</v>
      </c>
      <c r="M26" s="7" t="n">
        <v>162.4322938800101</v>
      </c>
      <c r="N26" s="7" t="n">
        <v>159.2350077940363</v>
      </c>
      <c r="O26" s="8">
        <f>N26*$B$2/100</f>
        <v/>
      </c>
    </row>
    <row r="27">
      <c r="A27" s="6" t="n">
        <v>46238.48415615741</v>
      </c>
      <c r="B27" s="7" t="n">
        <v>154.360760053027</v>
      </c>
      <c r="C27" s="7" t="n">
        <v>158.3037798943063</v>
      </c>
      <c r="D27" s="7" t="n">
        <v>160.4834212181812</v>
      </c>
      <c r="E27" s="7" t="n">
        <v>160.2831351753023</v>
      </c>
      <c r="F27" s="7" t="n">
        <v>155.3599953175691</v>
      </c>
      <c r="G27" s="7" t="n">
        <v>146.1137276307068</v>
      </c>
      <c r="H27" s="7" t="n">
        <v>159.8292576571548</v>
      </c>
      <c r="I27" s="7" t="n">
        <v>129.0017161068889</v>
      </c>
      <c r="J27" s="7" t="n">
        <v>155.7718954984375</v>
      </c>
      <c r="K27" s="7" t="n">
        <v>153.0654010837028</v>
      </c>
      <c r="L27" s="7" t="n">
        <v>158.90931405973</v>
      </c>
      <c r="M27" s="7" t="n">
        <v>161.9620377971682</v>
      </c>
      <c r="N27" s="7" t="n">
        <v>158.69532419615</v>
      </c>
      <c r="O27" s="8">
        <f>N27*$B$2/100</f>
        <v/>
      </c>
    </row>
    <row r="28">
      <c r="A28" s="6" t="n">
        <v>46238.48416788194</v>
      </c>
      <c r="B28" s="7" t="n">
        <v>159.8708177746572</v>
      </c>
      <c r="C28" s="7" t="n">
        <v>162.2007012893543</v>
      </c>
      <c r="D28" s="7" t="n">
        <v>149.7969292356026</v>
      </c>
      <c r="E28" s="7" t="n">
        <v>118.3417670682731</v>
      </c>
      <c r="F28" s="7" t="n">
        <v>138.8443134365021</v>
      </c>
      <c r="G28" s="7" t="n">
        <v>139.3433398228977</v>
      </c>
      <c r="H28" s="7" t="n">
        <v>161.9163452931208</v>
      </c>
      <c r="I28" s="7" t="n">
        <v>125.4213574929452</v>
      </c>
      <c r="J28" s="7" t="n">
        <v>153.7411703739137</v>
      </c>
      <c r="K28" s="7" t="n">
        <v>154.3293030099479</v>
      </c>
      <c r="L28" s="7" t="n">
        <v>161.778505864597</v>
      </c>
      <c r="M28" s="7" t="n">
        <v>159.6027217606108</v>
      </c>
      <c r="N28" s="7" t="n">
        <v>159.2717997222837</v>
      </c>
      <c r="O28" s="8">
        <f>N28*$B$2/100</f>
        <v/>
      </c>
    </row>
    <row r="29">
      <c r="A29" s="6" t="n">
        <v>46238.48417965278</v>
      </c>
      <c r="B29" s="7" t="n">
        <v>157.8660935350757</v>
      </c>
      <c r="C29" s="7" t="n">
        <v>157.4836925905061</v>
      </c>
      <c r="D29" s="7" t="n">
        <v>158.3748592137771</v>
      </c>
      <c r="E29" s="7" t="n">
        <v>137.2232072186164</v>
      </c>
      <c r="F29" s="7" t="n">
        <v>150.7649832653559</v>
      </c>
      <c r="G29" s="7" t="n">
        <v>145.6727333684563</v>
      </c>
      <c r="H29" s="7" t="n">
        <v>156.6628543814433</v>
      </c>
      <c r="I29" s="7" t="n">
        <v>158.4500614418351</v>
      </c>
      <c r="J29" s="7" t="n">
        <v>145.9692228224609</v>
      </c>
      <c r="K29" s="7" t="n">
        <v>125.0794368155745</v>
      </c>
      <c r="L29" s="7" t="n">
        <v>154.9821902072051</v>
      </c>
      <c r="M29" s="7" t="n">
        <v>161.4668937364137</v>
      </c>
      <c r="N29" s="7" t="n">
        <v>156.789597803858</v>
      </c>
      <c r="O29" s="8">
        <f>N29*$B$2/100</f>
        <v/>
      </c>
    </row>
    <row r="30">
      <c r="A30" s="6" t="n">
        <v>46238.48419125</v>
      </c>
      <c r="B30" s="7" t="n">
        <v>154.8937637081445</v>
      </c>
      <c r="C30" s="7" t="n">
        <v>160.4374406111524</v>
      </c>
      <c r="D30" s="7" t="n">
        <v>158.6488783573394</v>
      </c>
      <c r="E30" s="7" t="n">
        <v>154.5668679702759</v>
      </c>
      <c r="F30" s="7" t="n">
        <v>146.4772744706965</v>
      </c>
      <c r="G30" s="7" t="n">
        <v>142.9873000366345</v>
      </c>
      <c r="H30" s="7" t="n">
        <v>150.0833501953398</v>
      </c>
      <c r="I30" s="7" t="n">
        <v>146.9667488664386</v>
      </c>
      <c r="J30" s="7" t="n">
        <v>150.6781710677689</v>
      </c>
      <c r="K30" s="7" t="n">
        <v>147.8436080002862</v>
      </c>
      <c r="L30" s="7" t="n">
        <v>159.3146181191425</v>
      </c>
      <c r="M30" s="7" t="n">
        <v>160.4162090356974</v>
      </c>
      <c r="N30" s="7" t="n">
        <v>156.5691369728062</v>
      </c>
      <c r="O30" s="8">
        <f>N30*$B$2/100</f>
        <v/>
      </c>
    </row>
    <row r="31">
      <c r="A31" s="6" t="n">
        <v>46238.48420298611</v>
      </c>
      <c r="B31" s="7" t="n">
        <v>153.888894836862</v>
      </c>
      <c r="C31" s="7" t="n">
        <v>160.8008283598026</v>
      </c>
      <c r="D31" s="7" t="n">
        <v>135.6646982688885</v>
      </c>
      <c r="E31" s="7" t="n">
        <v>128.5037758165772</v>
      </c>
      <c r="F31" s="7" t="n">
        <v>150.426552417222</v>
      </c>
      <c r="G31" s="7" t="n">
        <v>138.4803771535765</v>
      </c>
      <c r="H31" s="7" t="n">
        <v>158.7662472735485</v>
      </c>
      <c r="I31" s="7" t="n">
        <v>157.9188693258771</v>
      </c>
      <c r="J31" s="7" t="n">
        <v>156.0673053403995</v>
      </c>
      <c r="K31" s="7" t="n">
        <v>141.5015319349517</v>
      </c>
      <c r="L31" s="7" t="n">
        <v>161.6891924814003</v>
      </c>
      <c r="M31" s="7" t="n">
        <v>159.5858677345709</v>
      </c>
      <c r="N31" s="7" t="n">
        <v>157.7012638353137</v>
      </c>
      <c r="O31" s="8">
        <f>N31*$B$2/100</f>
        <v/>
      </c>
    </row>
    <row r="32">
      <c r="A32" s="6" t="n">
        <v>46238.4842147338</v>
      </c>
      <c r="B32" s="7" t="n">
        <v>160.0998655948064</v>
      </c>
      <c r="C32" s="7" t="n">
        <v>163.1114187778435</v>
      </c>
      <c r="D32" s="7" t="n">
        <v>152.1390707751565</v>
      </c>
      <c r="E32" s="7" t="n">
        <v>159.4106757004212</v>
      </c>
      <c r="F32" s="7" t="n">
        <v>141.4393003670913</v>
      </c>
      <c r="G32" s="7" t="n">
        <v>142.659680777238</v>
      </c>
      <c r="H32" s="7" t="n">
        <v>148.8164089659967</v>
      </c>
      <c r="I32" s="7" t="n">
        <v>106.1141082864351</v>
      </c>
      <c r="J32" s="7" t="n">
        <v>140.2671957671958</v>
      </c>
      <c r="K32" s="7" t="n">
        <v>159.8508702843191</v>
      </c>
      <c r="L32" s="7" t="n">
        <v>161.1663067630582</v>
      </c>
      <c r="M32" s="7" t="n">
        <v>162.3012513072013</v>
      </c>
      <c r="N32" s="7" t="n">
        <v>158.4343786456308</v>
      </c>
      <c r="O32" s="8">
        <f>N32*$B$2/100</f>
        <v/>
      </c>
    </row>
    <row r="33">
      <c r="A33" s="6" t="n">
        <v>46238.48422650463</v>
      </c>
      <c r="B33" s="7" t="n">
        <v>156.0531802473367</v>
      </c>
      <c r="C33" s="7" t="n">
        <v>159.4490847394309</v>
      </c>
      <c r="D33" s="7" t="n">
        <v>158.7328737127914</v>
      </c>
      <c r="E33" s="7" t="n">
        <v>162.1431537947136</v>
      </c>
      <c r="F33" s="7" t="n">
        <v>148.5464065651681</v>
      </c>
      <c r="G33" s="7" t="n">
        <v>155.9538387531268</v>
      </c>
      <c r="H33" s="7" t="n">
        <v>147.1449039400847</v>
      </c>
      <c r="I33" s="7" t="n">
        <v>105.0576363283524</v>
      </c>
      <c r="J33" s="7" t="n">
        <v>150.3404030600594</v>
      </c>
      <c r="K33" s="7" t="n">
        <v>124.6741436059978</v>
      </c>
      <c r="L33" s="7" t="n">
        <v>161.0844639386556</v>
      </c>
      <c r="M33" s="7" t="n">
        <v>161.3022446119856</v>
      </c>
      <c r="N33" s="7" t="n">
        <v>158.166456477585</v>
      </c>
      <c r="O33" s="8">
        <f>N33*$B$2/100</f>
        <v/>
      </c>
    </row>
    <row r="34">
      <c r="A34" s="6" t="n">
        <v>46238.48423825231</v>
      </c>
      <c r="B34" s="7" t="n">
        <v>159.4955410149377</v>
      </c>
      <c r="C34" s="7" t="n">
        <v>156.3198237727672</v>
      </c>
      <c r="D34" s="7" t="n">
        <v>154.9449589917388</v>
      </c>
      <c r="E34" s="7" t="n">
        <v>162.0831442268315</v>
      </c>
      <c r="F34" s="7" t="n">
        <v>153.4413462413887</v>
      </c>
      <c r="G34" s="7" t="n">
        <v>150.5450721460256</v>
      </c>
      <c r="H34" s="7" t="n">
        <v>150.0448770044996</v>
      </c>
      <c r="I34" s="7" t="n">
        <v>140.8103979460847</v>
      </c>
      <c r="J34" s="7" t="n">
        <v>153.5068811015869</v>
      </c>
      <c r="K34" s="7" t="n">
        <v>151.7882635394062</v>
      </c>
      <c r="L34" s="7" t="n">
        <v>156.2303076753849</v>
      </c>
      <c r="M34" s="7" t="n">
        <v>161.5469506804792</v>
      </c>
      <c r="N34" s="7" t="n">
        <v>156.778177252362</v>
      </c>
      <c r="O34" s="8">
        <f>N34*$B$2/100</f>
        <v/>
      </c>
    </row>
    <row r="35">
      <c r="A35" s="6" t="n">
        <v>46238.48425001158</v>
      </c>
      <c r="B35" s="7" t="n">
        <v>152.3160294014701</v>
      </c>
      <c r="C35" s="7" t="n">
        <v>153.8893754120589</v>
      </c>
      <c r="D35" s="7" t="n">
        <v>153.7252694827235</v>
      </c>
      <c r="E35" s="7" t="n">
        <v>153.9911256522111</v>
      </c>
      <c r="F35" s="7" t="n">
        <v>154.007532623154</v>
      </c>
      <c r="G35" s="7" t="n">
        <v>152.5636703346615</v>
      </c>
      <c r="H35" s="7" t="n">
        <v>152.9308193193415</v>
      </c>
      <c r="I35" s="7" t="n">
        <v>153.4060803940943</v>
      </c>
      <c r="J35" s="7" t="n">
        <v>150.7540952875353</v>
      </c>
      <c r="K35" s="7" t="n">
        <v>151.2550898606278</v>
      </c>
      <c r="L35" s="7" t="n">
        <v>153.8939718158234</v>
      </c>
      <c r="M35" s="7" t="n">
        <v>153.7516134409754</v>
      </c>
      <c r="N35" s="7" t="n">
        <v>153.2897511875841</v>
      </c>
      <c r="O35" s="8">
        <f>N35*$B$2/100</f>
        <v/>
      </c>
    </row>
    <row r="36">
      <c r="A36" s="6" t="n">
        <v>46238.48426172454</v>
      </c>
      <c r="B36" s="7" t="n">
        <v>152.2769910085378</v>
      </c>
      <c r="C36" s="7" t="n">
        <v>154.7419423968667</v>
      </c>
      <c r="D36" s="7" t="n">
        <v>154.9222373806276</v>
      </c>
      <c r="E36" s="7" t="n">
        <v>155.2572043723087</v>
      </c>
      <c r="F36" s="7" t="n">
        <v>154.2331023193195</v>
      </c>
      <c r="G36" s="7" t="n">
        <v>154.3986592449503</v>
      </c>
      <c r="H36" s="7" t="n">
        <v>153.8914488887899</v>
      </c>
      <c r="I36" s="7" t="n">
        <v>154.5652998507332</v>
      </c>
      <c r="J36" s="7" t="n">
        <v>152.2985334921453</v>
      </c>
      <c r="K36" s="7" t="n">
        <v>151.1554143770555</v>
      </c>
      <c r="L36" s="7" t="n">
        <v>154.7501367974722</v>
      </c>
      <c r="M36" s="7" t="n">
        <v>154.8108366867623</v>
      </c>
      <c r="N36" s="7" t="n">
        <v>154.1005630608225</v>
      </c>
      <c r="O36" s="8">
        <f>N36*$B$2/100</f>
        <v/>
      </c>
    </row>
    <row r="37">
      <c r="A37" s="6" t="n">
        <v>46238.4842734375</v>
      </c>
      <c r="B37" s="7" t="n">
        <v>150.470587159654</v>
      </c>
      <c r="C37" s="7" t="n">
        <v>153.6699934079487</v>
      </c>
      <c r="D37" s="7" t="n">
        <v>154.4508762476586</v>
      </c>
      <c r="E37" s="7" t="n">
        <v>154.1239418920972</v>
      </c>
      <c r="F37" s="7" t="n">
        <v>154.2234721365746</v>
      </c>
      <c r="G37" s="7" t="n">
        <v>153.9726204212544</v>
      </c>
      <c r="H37" s="7" t="n">
        <v>154.7845983846696</v>
      </c>
      <c r="I37" s="7" t="n">
        <v>153.3921594723689</v>
      </c>
      <c r="J37" s="7" t="n">
        <v>152.7958396087236</v>
      </c>
      <c r="K37" s="7" t="n">
        <v>151.1473918128655</v>
      </c>
      <c r="L37" s="7" t="n">
        <v>152.1493840163411</v>
      </c>
      <c r="M37" s="7" t="n">
        <v>154.8373586463508</v>
      </c>
      <c r="N37" s="7" t="n">
        <v>153.7932480570591</v>
      </c>
      <c r="O37" s="8">
        <f>N37*$B$2/100</f>
        <v/>
      </c>
    </row>
    <row r="38">
      <c r="A38" s="6" t="n">
        <v>46238.48428521991</v>
      </c>
      <c r="B38" s="7" t="n">
        <v>152.4965848304317</v>
      </c>
      <c r="C38" s="7" t="n">
        <v>153.2243730850463</v>
      </c>
      <c r="D38" s="7" t="n">
        <v>153.5202396641697</v>
      </c>
      <c r="E38" s="7" t="n">
        <v>154.6625178332662</v>
      </c>
      <c r="F38" s="7" t="n">
        <v>153.8544221035387</v>
      </c>
      <c r="G38" s="7" t="n">
        <v>153.9497323189631</v>
      </c>
      <c r="H38" s="7" t="n">
        <v>154.421499057401</v>
      </c>
      <c r="I38" s="7" t="n">
        <v>154.1352366925357</v>
      </c>
      <c r="J38" s="7" t="n">
        <v>152.2522998534463</v>
      </c>
      <c r="K38" s="7" t="n">
        <v>152.9342228843476</v>
      </c>
      <c r="L38" s="7" t="n">
        <v>151.7130870568823</v>
      </c>
      <c r="M38" s="7" t="n">
        <v>154.2175777448465</v>
      </c>
      <c r="N38" s="7" t="n">
        <v>153.6449611615188</v>
      </c>
      <c r="O38" s="8">
        <f>N38*$B$2/100</f>
        <v/>
      </c>
    </row>
    <row r="39">
      <c r="A39" s="6" t="n">
        <v>46238.48429695602</v>
      </c>
      <c r="B39" s="7" t="n">
        <v>153.4992006337525</v>
      </c>
      <c r="C39" s="7" t="n">
        <v>154.6254541645302</v>
      </c>
      <c r="D39" s="7" t="n">
        <v>154.4831325248591</v>
      </c>
      <c r="E39" s="7" t="n">
        <v>155.5365204190827</v>
      </c>
      <c r="F39" s="7" t="n">
        <v>153.0592655922154</v>
      </c>
      <c r="G39" s="7" t="n">
        <v>152.8176533926274</v>
      </c>
      <c r="H39" s="7" t="n">
        <v>154.3805812121883</v>
      </c>
      <c r="I39" s="7" t="n">
        <v>154.4560301640594</v>
      </c>
      <c r="J39" s="7" t="n">
        <v>152.7745422971442</v>
      </c>
      <c r="K39" s="7" t="n">
        <v>151.7932134741502</v>
      </c>
      <c r="L39" s="7" t="n">
        <v>154.3986085853246</v>
      </c>
      <c r="M39" s="7" t="n">
        <v>155.2332496930223</v>
      </c>
      <c r="N39" s="7" t="n">
        <v>154.0688156237651</v>
      </c>
      <c r="O39" s="8">
        <f>N39*$B$2/100</f>
        <v/>
      </c>
    </row>
    <row r="40">
      <c r="A40" s="6" t="n">
        <v>46238.48430869213</v>
      </c>
      <c r="B40" s="7" t="n">
        <v>154.8850766278812</v>
      </c>
      <c r="C40" s="7" t="n">
        <v>154.3711889988261</v>
      </c>
      <c r="D40" s="7" t="n">
        <v>155.4840119938657</v>
      </c>
      <c r="E40" s="7" t="n">
        <v>154.2582192891841</v>
      </c>
      <c r="F40" s="7" t="n">
        <v>153.586375269036</v>
      </c>
      <c r="G40" s="7" t="n">
        <v>152.8800744954763</v>
      </c>
      <c r="H40" s="7" t="n">
        <v>155.1107602469096</v>
      </c>
      <c r="I40" s="7" t="n">
        <v>155.4205937988321</v>
      </c>
      <c r="J40" s="7" t="n">
        <v>151.763018964908</v>
      </c>
      <c r="K40" s="7" t="n">
        <v>149.2657674418605</v>
      </c>
      <c r="L40" s="7" t="n">
        <v>155.5189642719479</v>
      </c>
      <c r="M40" s="7" t="n">
        <v>155.9210799146992</v>
      </c>
      <c r="N40" s="7" t="n">
        <v>154.6814418433002</v>
      </c>
      <c r="O40" s="8">
        <f>N40*$B$2/100</f>
        <v/>
      </c>
    </row>
    <row r="41">
      <c r="A41" s="6" t="n">
        <v>46238.48432028935</v>
      </c>
      <c r="B41" s="7" t="n">
        <v>153.5806699085285</v>
      </c>
      <c r="C41" s="7" t="n">
        <v>152.5622648177793</v>
      </c>
      <c r="D41" s="7" t="n">
        <v>153.3719417168198</v>
      </c>
      <c r="E41" s="7" t="n">
        <v>152.6821171330394</v>
      </c>
      <c r="F41" s="7" t="n">
        <v>153.7463637989626</v>
      </c>
      <c r="G41" s="7" t="n">
        <v>153.4228330630413</v>
      </c>
      <c r="H41" s="7" t="n">
        <v>153.254606049962</v>
      </c>
      <c r="I41" s="7" t="n">
        <v>154.1817059118651</v>
      </c>
      <c r="J41" s="7" t="n">
        <v>152.7888089495621</v>
      </c>
      <c r="K41" s="7" t="n">
        <v>153.5038639876352</v>
      </c>
      <c r="L41" s="7" t="n">
        <v>153.5552729116137</v>
      </c>
      <c r="M41" s="7" t="n">
        <v>153.9844106315912</v>
      </c>
      <c r="N41" s="7" t="n">
        <v>153.4047004379935</v>
      </c>
      <c r="O41" s="8">
        <f>N41*$B$2/100</f>
        <v/>
      </c>
    </row>
    <row r="42">
      <c r="A42" s="6" t="n">
        <v>46238.48433201389</v>
      </c>
      <c r="B42" s="7" t="n">
        <v>153.418587686888</v>
      </c>
      <c r="C42" s="7" t="n">
        <v>153.9937902668659</v>
      </c>
      <c r="D42" s="7" t="n">
        <v>153.7812798259827</v>
      </c>
      <c r="E42" s="7" t="n">
        <v>153.312119212456</v>
      </c>
      <c r="F42" s="7" t="n">
        <v>153.4778875164393</v>
      </c>
      <c r="G42" s="7" t="n">
        <v>152.8334023193085</v>
      </c>
      <c r="H42" s="7" t="n">
        <v>154.0647472250712</v>
      </c>
      <c r="I42" s="7" t="n">
        <v>154.896414885309</v>
      </c>
      <c r="J42" s="7" t="n">
        <v>154.1925163083012</v>
      </c>
      <c r="K42" s="7" t="n">
        <v>152.7222293584529</v>
      </c>
      <c r="L42" s="7" t="n">
        <v>152.5575589665123</v>
      </c>
      <c r="M42" s="7" t="n">
        <v>151.5990450487855</v>
      </c>
      <c r="N42" s="7" t="n">
        <v>153.5681982583257</v>
      </c>
      <c r="O42" s="8">
        <f>N42*$B$2/100</f>
        <v/>
      </c>
    </row>
    <row r="43">
      <c r="A43" s="6" t="n">
        <v>46238.48434378472</v>
      </c>
      <c r="B43" s="7" t="n">
        <v>153.4676590637755</v>
      </c>
      <c r="C43" s="7" t="n">
        <v>152.4022620524637</v>
      </c>
      <c r="D43" s="7" t="n">
        <v>153.7253124434906</v>
      </c>
      <c r="E43" s="7" t="n">
        <v>152.7615474808059</v>
      </c>
      <c r="F43" s="7" t="n">
        <v>153.5796995612315</v>
      </c>
      <c r="G43" s="7" t="n">
        <v>155.2575995277963</v>
      </c>
      <c r="H43" s="7" t="n">
        <v>154.7851981623277</v>
      </c>
      <c r="I43" s="7" t="n">
        <v>154.9577427719937</v>
      </c>
      <c r="J43" s="7" t="n">
        <v>155.0053242647499</v>
      </c>
      <c r="K43" s="7" t="n">
        <v>154.6549509127167</v>
      </c>
      <c r="L43" s="7" t="n">
        <v>154.276116084427</v>
      </c>
      <c r="M43" s="7" t="n">
        <v>153.9958510666774</v>
      </c>
      <c r="N43" s="7" t="n">
        <v>154.2191627988232</v>
      </c>
      <c r="O43" s="8">
        <f>N43*$B$2/100</f>
        <v/>
      </c>
    </row>
    <row r="44">
      <c r="A44" s="6" t="n">
        <v>46238.48435554398</v>
      </c>
      <c r="B44" s="7" t="n">
        <v>152.2163031452505</v>
      </c>
      <c r="C44" s="7" t="n">
        <v>150.5782964443272</v>
      </c>
      <c r="D44" s="7" t="n">
        <v>152.600570938099</v>
      </c>
      <c r="E44" s="7" t="n">
        <v>154.0755243581269</v>
      </c>
      <c r="F44" s="7" t="n">
        <v>154.546241326016</v>
      </c>
      <c r="G44" s="7" t="n">
        <v>154.7900691211736</v>
      </c>
      <c r="H44" s="7" t="n">
        <v>154.3919010050794</v>
      </c>
      <c r="I44" s="7" t="n">
        <v>155.1981641980694</v>
      </c>
      <c r="J44" s="7" t="n">
        <v>154.2477884587986</v>
      </c>
      <c r="K44" s="7" t="n">
        <v>154.3102948135042</v>
      </c>
      <c r="L44" s="7" t="n">
        <v>154.2965123121172</v>
      </c>
      <c r="M44" s="7" t="n">
        <v>153.9901701866832</v>
      </c>
      <c r="N44" s="7" t="n">
        <v>153.9294159152959</v>
      </c>
      <c r="O44" s="8">
        <f>N44*$B$2/100</f>
        <v/>
      </c>
    </row>
    <row r="45">
      <c r="A45" s="6" t="n">
        <v>46238.48436728009</v>
      </c>
      <c r="B45" s="7" t="n">
        <v>152.9263570207442</v>
      </c>
      <c r="C45" s="7" t="n">
        <v>152.349443404138</v>
      </c>
      <c r="D45" s="7" t="n">
        <v>153.8914718184827</v>
      </c>
      <c r="E45" s="7" t="n">
        <v>154.5874035150472</v>
      </c>
      <c r="F45" s="7" t="n">
        <v>152.393458136186</v>
      </c>
      <c r="G45" s="7" t="n">
        <v>154.311907912544</v>
      </c>
      <c r="H45" s="7" t="n">
        <v>154.7645117598028</v>
      </c>
      <c r="I45" s="7" t="n">
        <v>155.5241694036687</v>
      </c>
      <c r="J45" s="7" t="n">
        <v>154.7297795606162</v>
      </c>
      <c r="K45" s="7" t="n">
        <v>153.717324645458</v>
      </c>
      <c r="L45" s="7" t="n">
        <v>153.0589705526979</v>
      </c>
      <c r="M45" s="7" t="n">
        <v>152.6874423557825</v>
      </c>
      <c r="N45" s="7" t="n">
        <v>153.9913218073814</v>
      </c>
      <c r="O45" s="8">
        <f>N45*$B$2/100</f>
        <v/>
      </c>
    </row>
    <row r="46">
      <c r="A46" s="6" t="n">
        <v>46238.4843790162</v>
      </c>
      <c r="B46" s="7" t="n">
        <v>154.4581613429508</v>
      </c>
      <c r="C46" s="7" t="n">
        <v>154.8323258299379</v>
      </c>
      <c r="D46" s="7" t="n">
        <v>154.6210592290818</v>
      </c>
      <c r="E46" s="7" t="n">
        <v>154.8637407297969</v>
      </c>
      <c r="F46" s="7" t="n">
        <v>153.2787628579669</v>
      </c>
      <c r="G46" s="7" t="n">
        <v>155.1418247029331</v>
      </c>
      <c r="H46" s="7" t="n">
        <v>153.4219389128095</v>
      </c>
      <c r="I46" s="7" t="n">
        <v>154.8555167141173</v>
      </c>
      <c r="J46" s="7" t="n">
        <v>154.0948348998683</v>
      </c>
      <c r="K46" s="7" t="n">
        <v>153.8124921426476</v>
      </c>
      <c r="L46" s="7" t="n">
        <v>152.7470805162876</v>
      </c>
      <c r="M46" s="7" t="n">
        <v>152.3226032753703</v>
      </c>
      <c r="N46" s="7" t="n">
        <v>154.2818800191655</v>
      </c>
      <c r="O46" s="8">
        <f>N46*$B$2/100</f>
        <v/>
      </c>
    </row>
    <row r="47">
      <c r="A47" s="6" t="n">
        <v>46238.48439075232</v>
      </c>
      <c r="B47" s="7" t="n">
        <v>149.3077136282479</v>
      </c>
      <c r="C47" s="7" t="n">
        <v>153.5000120853432</v>
      </c>
      <c r="D47" s="7" t="n">
        <v>152.7763000931967</v>
      </c>
      <c r="E47" s="7" t="n">
        <v>152.911099070159</v>
      </c>
      <c r="F47" s="7" t="n">
        <v>153.5269811103432</v>
      </c>
      <c r="G47" s="7" t="n">
        <v>152.9863132209406</v>
      </c>
      <c r="H47" s="7" t="n">
        <v>153.1974306851506</v>
      </c>
      <c r="I47" s="7" t="n">
        <v>153.6474201126489</v>
      </c>
      <c r="J47" s="7" t="n">
        <v>154.2126923144242</v>
      </c>
      <c r="K47" s="7" t="n">
        <v>153.3789735352608</v>
      </c>
      <c r="L47" s="7" t="n">
        <v>151.8260729267506</v>
      </c>
      <c r="M47" s="7" t="n">
        <v>150.5389124842974</v>
      </c>
      <c r="N47" s="7" t="n">
        <v>153.0038730532642</v>
      </c>
      <c r="O47" s="8">
        <f>N47*$B$2/100</f>
        <v/>
      </c>
    </row>
    <row r="48">
      <c r="A48" s="6" t="n">
        <v>46238.48440247685</v>
      </c>
      <c r="B48" s="7" t="n">
        <v>151.5666317492215</v>
      </c>
      <c r="C48" s="7" t="n">
        <v>153.7988462545033</v>
      </c>
      <c r="D48" s="7" t="n">
        <v>153.2756041251889</v>
      </c>
      <c r="E48" s="7" t="n">
        <v>153.8070496199278</v>
      </c>
      <c r="F48" s="7" t="n">
        <v>155.4155477031802</v>
      </c>
      <c r="G48" s="7" t="n">
        <v>154.1132426449957</v>
      </c>
      <c r="H48" s="7" t="n">
        <v>155.4856955085046</v>
      </c>
      <c r="I48" s="7" t="n">
        <v>155.2518992971057</v>
      </c>
      <c r="J48" s="7" t="n">
        <v>155.5455956005606</v>
      </c>
      <c r="K48" s="7" t="n">
        <v>155.7195657792711</v>
      </c>
      <c r="L48" s="7" t="n">
        <v>153.6348050706452</v>
      </c>
      <c r="M48" s="7" t="n">
        <v>152.4004740283085</v>
      </c>
      <c r="N48" s="7" t="n">
        <v>154.5969229942838</v>
      </c>
      <c r="O48" s="8">
        <f>N48*$B$2/100</f>
        <v/>
      </c>
    </row>
    <row r="49">
      <c r="A49" s="6" t="n">
        <v>46238.48441421297</v>
      </c>
      <c r="B49" s="7" t="n">
        <v>153.8277130906473</v>
      </c>
      <c r="C49" s="7" t="n">
        <v>151.8113782098205</v>
      </c>
      <c r="D49" s="7" t="n">
        <v>150.9207768687061</v>
      </c>
      <c r="E49" s="7" t="n">
        <v>152.8167865110445</v>
      </c>
      <c r="F49" s="7" t="n">
        <v>153.5290342811351</v>
      </c>
      <c r="G49" s="7" t="n">
        <v>153.2161265640892</v>
      </c>
      <c r="H49" s="7" t="n">
        <v>154.8777266612049</v>
      </c>
      <c r="I49" s="7" t="n">
        <v>153.9832380281308</v>
      </c>
      <c r="J49" s="7" t="n">
        <v>154.1132321399614</v>
      </c>
      <c r="K49" s="7" t="n">
        <v>153.0872846049737</v>
      </c>
      <c r="L49" s="7" t="n">
        <v>152.6393723161841</v>
      </c>
      <c r="M49" s="7" t="n">
        <v>155.4087996481092</v>
      </c>
      <c r="N49" s="7" t="n">
        <v>153.6226487695025</v>
      </c>
      <c r="O49" s="8">
        <f>N49*$B$2/100</f>
        <v/>
      </c>
    </row>
    <row r="50">
      <c r="A50" s="6" t="n">
        <v>46238.48442596065</v>
      </c>
      <c r="B50" s="7" t="n">
        <v>154.1520629128657</v>
      </c>
      <c r="C50" s="7" t="n">
        <v>154.5361110400628</v>
      </c>
      <c r="D50" s="7" t="n">
        <v>152.828345292405</v>
      </c>
      <c r="E50" s="7" t="n">
        <v>153.2566502974645</v>
      </c>
      <c r="F50" s="7" t="n">
        <v>153.3041782792412</v>
      </c>
      <c r="G50" s="7" t="n">
        <v>153.7568727614914</v>
      </c>
      <c r="H50" s="7" t="n">
        <v>154.0363582026005</v>
      </c>
      <c r="I50" s="7" t="n">
        <v>155.1211855990231</v>
      </c>
      <c r="J50" s="7" t="n">
        <v>153.1553896475351</v>
      </c>
      <c r="K50" s="7" t="n">
        <v>150.8748871742612</v>
      </c>
      <c r="L50" s="7" t="n">
        <v>152.343706331291</v>
      </c>
      <c r="M50" s="7" t="n">
        <v>155.4243393029778</v>
      </c>
      <c r="N50" s="7" t="n">
        <v>153.8757297951296</v>
      </c>
      <c r="O50" s="8">
        <f>N50*$B$2/100</f>
        <v/>
      </c>
    </row>
    <row r="51">
      <c r="A51" s="6" t="n">
        <v>46238.48443769676</v>
      </c>
      <c r="B51" s="7" t="n">
        <v>153.9095944197065</v>
      </c>
      <c r="C51" s="7" t="n">
        <v>152.5618736947759</v>
      </c>
      <c r="D51" s="7" t="n">
        <v>154.4381469475207</v>
      </c>
      <c r="E51" s="7" t="n">
        <v>153.4532144322244</v>
      </c>
      <c r="F51" s="7" t="n">
        <v>152.2848355724885</v>
      </c>
      <c r="G51" s="7" t="n">
        <v>153.8207567930084</v>
      </c>
      <c r="H51" s="7" t="n">
        <v>154.8167136958566</v>
      </c>
      <c r="I51" s="7" t="n">
        <v>154.0747245487526</v>
      </c>
      <c r="J51" s="7" t="n">
        <v>154.918505002914</v>
      </c>
      <c r="K51" s="7" t="n">
        <v>155.4523798221463</v>
      </c>
      <c r="L51" s="7" t="n">
        <v>154.1939936346886</v>
      </c>
      <c r="M51" s="7" t="n">
        <v>155.4947557725039</v>
      </c>
      <c r="N51" s="7" t="n">
        <v>154.3086420297071</v>
      </c>
      <c r="O51" s="8">
        <f>N51*$B$2/100</f>
        <v/>
      </c>
    </row>
    <row r="52">
      <c r="A52" s="6" t="n">
        <v>46238.48444943287</v>
      </c>
      <c r="B52" s="7" t="n">
        <v>151.8283487210534</v>
      </c>
      <c r="C52" s="7" t="n">
        <v>151.3398380342096</v>
      </c>
      <c r="D52" s="7" t="n">
        <v>154.4592150242354</v>
      </c>
      <c r="E52" s="7" t="n">
        <v>153.81905336995</v>
      </c>
      <c r="F52" s="7" t="n">
        <v>152.6551993253857</v>
      </c>
      <c r="G52" s="7" t="n">
        <v>153.4455141698611</v>
      </c>
      <c r="H52" s="7" t="n">
        <v>154.223232004869</v>
      </c>
      <c r="I52" s="7" t="n">
        <v>155.9819271728695</v>
      </c>
      <c r="J52" s="7" t="n">
        <v>155.024560370292</v>
      </c>
      <c r="K52" s="7" t="n">
        <v>154.4440761004348</v>
      </c>
      <c r="L52" s="7" t="n">
        <v>153.8215244902864</v>
      </c>
      <c r="M52" s="7" t="n">
        <v>154.8646690269506</v>
      </c>
      <c r="N52" s="7" t="n">
        <v>154.04276618797</v>
      </c>
      <c r="O52" s="8">
        <f>N52*$B$2/100</f>
        <v/>
      </c>
    </row>
    <row r="53">
      <c r="A53" s="6" t="n">
        <v>46238.48446115741</v>
      </c>
      <c r="B53" s="7" t="n">
        <v>153.8640095143874</v>
      </c>
      <c r="C53" s="7" t="n">
        <v>155.159481961907</v>
      </c>
      <c r="D53" s="7" t="n">
        <v>155.9249417333321</v>
      </c>
      <c r="E53" s="7" t="n">
        <v>155.7149403131446</v>
      </c>
      <c r="F53" s="7" t="n">
        <v>150.9784798032797</v>
      </c>
      <c r="G53" s="7" t="n">
        <v>151.3681641688137</v>
      </c>
      <c r="H53" s="7" t="n">
        <v>154.7992479699188</v>
      </c>
      <c r="I53" s="7" t="n">
        <v>154.6067724147983</v>
      </c>
      <c r="J53" s="7" t="n">
        <v>156.20748509955</v>
      </c>
      <c r="K53" s="7" t="n">
        <v>155.5161290322581</v>
      </c>
      <c r="L53" s="7" t="n">
        <v>153.7703156952965</v>
      </c>
      <c r="M53" s="7" t="n">
        <v>154.6133915287407</v>
      </c>
      <c r="N53" s="7" t="n">
        <v>154.7603020680598</v>
      </c>
      <c r="O53" s="8">
        <f>N53*$B$2/100</f>
        <v/>
      </c>
    </row>
    <row r="54">
      <c r="A54" s="6" t="n">
        <v>46238.48447290509</v>
      </c>
      <c r="B54" s="7" t="n">
        <v>153.2654981981375</v>
      </c>
      <c r="C54" s="7" t="n">
        <v>154.2265931646779</v>
      </c>
      <c r="D54" s="7" t="n">
        <v>153.776358912645</v>
      </c>
      <c r="E54" s="7" t="n">
        <v>153.0188752795388</v>
      </c>
      <c r="F54" s="7" t="n">
        <v>151.5046639711244</v>
      </c>
      <c r="G54" s="7" t="n">
        <v>151.5470706955041</v>
      </c>
      <c r="H54" s="7" t="n">
        <v>154.124241230311</v>
      </c>
      <c r="I54" s="7" t="n">
        <v>153.8933453976277</v>
      </c>
      <c r="J54" s="7" t="n">
        <v>154.1654003813051</v>
      </c>
      <c r="K54" s="7" t="n">
        <v>153.4555178748057</v>
      </c>
      <c r="L54" s="7" t="n">
        <v>151.3972753805844</v>
      </c>
      <c r="M54" s="7" t="n">
        <v>151.1556562367266</v>
      </c>
      <c r="N54" s="7" t="n">
        <v>153.339754259541</v>
      </c>
      <c r="O54" s="8">
        <f>N54*$B$2/100</f>
        <v/>
      </c>
    </row>
    <row r="55">
      <c r="A55" s="6" t="n">
        <v>46238.48448462963</v>
      </c>
      <c r="B55" s="7" t="n">
        <v>153.4582758307608</v>
      </c>
      <c r="C55" s="7" t="n">
        <v>154.5622620349343</v>
      </c>
      <c r="D55" s="7" t="n">
        <v>155.1878292912122</v>
      </c>
      <c r="E55" s="7" t="n">
        <v>155.0082318628683</v>
      </c>
      <c r="F55" s="7" t="n">
        <v>152.3691079282282</v>
      </c>
      <c r="G55" s="7" t="n">
        <v>153.3003365088393</v>
      </c>
      <c r="H55" s="7" t="n">
        <v>155.5596551781358</v>
      </c>
      <c r="I55" s="7" t="n">
        <v>154.397359449249</v>
      </c>
      <c r="J55" s="7" t="n">
        <v>155.4490312989546</v>
      </c>
      <c r="K55" s="7" t="n">
        <v>155.552110290312</v>
      </c>
      <c r="L55" s="7" t="n">
        <v>153.1389660677099</v>
      </c>
      <c r="M55" s="7" t="n">
        <v>153.9498850623643</v>
      </c>
      <c r="N55" s="7" t="n">
        <v>154.4931475699455</v>
      </c>
      <c r="O55" s="8">
        <f>N55*$B$2/100</f>
        <v/>
      </c>
    </row>
    <row r="56">
      <c r="A56" s="6" t="n">
        <v>46238.48449640047</v>
      </c>
      <c r="B56" s="7" t="n">
        <v>152.8725577044077</v>
      </c>
      <c r="C56" s="7" t="n">
        <v>150.4848672978426</v>
      </c>
      <c r="D56" s="7" t="n">
        <v>155.7755374403052</v>
      </c>
      <c r="E56" s="7" t="n">
        <v>154.0691653786708</v>
      </c>
      <c r="F56" s="7" t="n">
        <v>150.8560257455123</v>
      </c>
      <c r="G56" s="7" t="n">
        <v>153.8466772751383</v>
      </c>
      <c r="H56" s="7" t="n">
        <v>155.8325924859225</v>
      </c>
      <c r="I56" s="7" t="n">
        <v>155.7135964084167</v>
      </c>
      <c r="J56" s="7" t="n">
        <v>155.3089443821447</v>
      </c>
      <c r="K56" s="7" t="n">
        <v>153.4882605625515</v>
      </c>
      <c r="L56" s="7" t="n">
        <v>152.9298249590161</v>
      </c>
      <c r="M56" s="7" t="n">
        <v>155.9237883832778</v>
      </c>
      <c r="N56" s="7" t="n">
        <v>154.6419246892697</v>
      </c>
      <c r="O56" s="8">
        <f>N56*$B$2/100</f>
        <v/>
      </c>
    </row>
    <row r="57">
      <c r="A57" s="6" t="n">
        <v>46238.48450814815</v>
      </c>
      <c r="B57" s="7" t="n">
        <v>154.7123930088357</v>
      </c>
      <c r="C57" s="7" t="n">
        <v>154.8822604731589</v>
      </c>
      <c r="D57" s="7" t="n">
        <v>154.19104110515</v>
      </c>
      <c r="E57" s="7" t="n">
        <v>153.9071973037055</v>
      </c>
      <c r="F57" s="7" t="n">
        <v>152.8620532400042</v>
      </c>
      <c r="G57" s="7" t="n">
        <v>152.1248485918035</v>
      </c>
      <c r="H57" s="7" t="n">
        <v>155.3587515647518</v>
      </c>
      <c r="I57" s="7" t="n">
        <v>154.2581030919945</v>
      </c>
      <c r="J57" s="7" t="n">
        <v>155.187039853675</v>
      </c>
      <c r="K57" s="7" t="n">
        <v>155.2865969472986</v>
      </c>
      <c r="L57" s="7" t="n">
        <v>152.6287631974792</v>
      </c>
      <c r="M57" s="7" t="n">
        <v>153.8660468183317</v>
      </c>
      <c r="N57" s="7" t="n">
        <v>154.2603942815714</v>
      </c>
      <c r="O57" s="8">
        <f>N57*$B$2/100</f>
        <v/>
      </c>
    </row>
    <row r="58">
      <c r="A58" s="6" t="n">
        <v>46238.4845199074</v>
      </c>
      <c r="B58" s="7" t="n">
        <v>153.6892155879107</v>
      </c>
      <c r="C58" s="7" t="n">
        <v>153.5215737460377</v>
      </c>
      <c r="D58" s="7" t="n">
        <v>152.0782602423543</v>
      </c>
      <c r="E58" s="7" t="n">
        <v>151.1760332802583</v>
      </c>
      <c r="F58" s="7" t="n">
        <v>151.6208878208436</v>
      </c>
      <c r="G58" s="7" t="n">
        <v>152.0061297523297</v>
      </c>
      <c r="H58" s="7" t="n">
        <v>153.4202876498049</v>
      </c>
      <c r="I58" s="7" t="n">
        <v>154.1072195698461</v>
      </c>
      <c r="J58" s="7" t="n">
        <v>153.4572360456989</v>
      </c>
      <c r="K58" s="7" t="n">
        <v>153.1662042541948</v>
      </c>
      <c r="L58" s="7" t="n">
        <v>151.6672416861369</v>
      </c>
      <c r="M58" s="7" t="n">
        <v>153.2174715066869</v>
      </c>
      <c r="N58" s="7" t="n">
        <v>152.8198849084643</v>
      </c>
      <c r="O58" s="8">
        <f>N58*$B$2/100</f>
        <v/>
      </c>
    </row>
    <row r="59">
      <c r="A59" s="6" t="n">
        <v>46238.48453165509</v>
      </c>
      <c r="B59" s="7" t="n">
        <v>152.4963043110141</v>
      </c>
      <c r="C59" s="7" t="n">
        <v>151.9608714477792</v>
      </c>
      <c r="D59" s="7" t="n">
        <v>151.9989841587657</v>
      </c>
      <c r="E59" s="7" t="n">
        <v>151.6368729900872</v>
      </c>
      <c r="F59" s="7" t="n">
        <v>151.0978382074628</v>
      </c>
      <c r="G59" s="7" t="n">
        <v>152.1640963410028</v>
      </c>
      <c r="H59" s="7" t="n">
        <v>152.6291038717783</v>
      </c>
      <c r="I59" s="7" t="n">
        <v>152.6045778474659</v>
      </c>
      <c r="J59" s="7" t="n">
        <v>152.645151834639</v>
      </c>
      <c r="K59" s="7" t="n">
        <v>152.3447234469656</v>
      </c>
      <c r="L59" s="7" t="n">
        <v>152.3563658616111</v>
      </c>
      <c r="M59" s="7" t="n">
        <v>152.1923469759977</v>
      </c>
      <c r="N59" s="7" t="n">
        <v>152.2499313545393</v>
      </c>
      <c r="O59" s="8">
        <f>N59*$B$2/100</f>
        <v/>
      </c>
    </row>
    <row r="60">
      <c r="A60" s="6" t="n">
        <v>46238.48454341435</v>
      </c>
      <c r="B60" s="7" t="n">
        <v>153.4070656888258</v>
      </c>
      <c r="C60" s="7" t="n">
        <v>153.096571246543</v>
      </c>
      <c r="D60" s="7" t="n">
        <v>153.1078259391204</v>
      </c>
      <c r="E60" s="7" t="n">
        <v>152.8103041192019</v>
      </c>
      <c r="F60" s="7" t="n">
        <v>153.3064783057108</v>
      </c>
      <c r="G60" s="7" t="n">
        <v>152.205207496882</v>
      </c>
      <c r="H60" s="7" t="n">
        <v>152.8685997284128</v>
      </c>
      <c r="I60" s="7" t="n">
        <v>153.7463037081711</v>
      </c>
      <c r="J60" s="7" t="n">
        <v>153.7510734369975</v>
      </c>
      <c r="K60" s="7" t="n">
        <v>153.0385453833628</v>
      </c>
      <c r="L60" s="7" t="n">
        <v>152.1646748858754</v>
      </c>
      <c r="M60" s="7" t="n">
        <v>152.4121255553963</v>
      </c>
      <c r="N60" s="7" t="n">
        <v>153.1002251672926</v>
      </c>
      <c r="O60" s="8">
        <f>N60*$B$2/100</f>
        <v/>
      </c>
    </row>
    <row r="61">
      <c r="A61" s="6" t="n">
        <v>46238.48455502315</v>
      </c>
      <c r="B61" s="7" t="n">
        <v>153.572289228529</v>
      </c>
      <c r="C61" s="7" t="n">
        <v>154.1007578896716</v>
      </c>
      <c r="D61" s="7" t="n">
        <v>154.0308049361766</v>
      </c>
      <c r="E61" s="7" t="n">
        <v>153.622427611558</v>
      </c>
      <c r="F61" s="7" t="n">
        <v>153.1137197473311</v>
      </c>
      <c r="G61" s="7" t="n">
        <v>154.660541552939</v>
      </c>
      <c r="H61" s="7" t="n">
        <v>153.8654795372398</v>
      </c>
      <c r="I61" s="7" t="n">
        <v>153.9901497174659</v>
      </c>
      <c r="J61" s="7" t="n">
        <v>153.6754954225148</v>
      </c>
      <c r="K61" s="7" t="n">
        <v>154.0492819520736</v>
      </c>
      <c r="L61" s="7" t="n">
        <v>153.2109956299</v>
      </c>
      <c r="M61" s="7" t="n">
        <v>153.0597313042445</v>
      </c>
      <c r="N61" s="7" t="n">
        <v>153.7300920525835</v>
      </c>
      <c r="O61" s="8">
        <f>N61*$B$2/100</f>
        <v/>
      </c>
    </row>
    <row r="62">
      <c r="A62" s="6" t="n">
        <v>46238.48456674768</v>
      </c>
      <c r="B62" s="7" t="n">
        <v>154.4753968903761</v>
      </c>
      <c r="C62" s="7" t="n">
        <v>153.6312255263056</v>
      </c>
      <c r="D62" s="7" t="n">
        <v>154.6297044363123</v>
      </c>
      <c r="E62" s="7" t="n">
        <v>153.7074168273072</v>
      </c>
      <c r="F62" s="7" t="n">
        <v>153.971020592214</v>
      </c>
      <c r="G62" s="7" t="n">
        <v>154.7093029989659</v>
      </c>
      <c r="H62" s="7" t="n">
        <v>155.2018954671105</v>
      </c>
      <c r="I62" s="7" t="n">
        <v>154.6627552058604</v>
      </c>
      <c r="J62" s="7" t="n">
        <v>154.2979201716386</v>
      </c>
      <c r="K62" s="7" t="n">
        <v>152.4137040912942</v>
      </c>
      <c r="L62" s="7" t="n">
        <v>152.1872167329977</v>
      </c>
      <c r="M62" s="7" t="n">
        <v>152.4915443777529</v>
      </c>
      <c r="N62" s="7" t="n">
        <v>154.194453338393</v>
      </c>
      <c r="O62" s="8">
        <f>N62*$B$2/100</f>
        <v/>
      </c>
    </row>
    <row r="63">
      <c r="A63" s="6" t="n">
        <v>46238.48457849537</v>
      </c>
      <c r="B63" s="7" t="n">
        <v>153.8437753942135</v>
      </c>
      <c r="C63" s="7" t="n">
        <v>152.1161983166996</v>
      </c>
      <c r="D63" s="7" t="n">
        <v>153.6116807522107</v>
      </c>
      <c r="E63" s="7" t="n">
        <v>154.6535893412105</v>
      </c>
      <c r="F63" s="7" t="n">
        <v>152.4883290913442</v>
      </c>
      <c r="G63" s="7" t="n">
        <v>153.1287419702462</v>
      </c>
      <c r="H63" s="7" t="n">
        <v>153.5213841249328</v>
      </c>
      <c r="I63" s="7" t="n">
        <v>154.0173335291924</v>
      </c>
      <c r="J63" s="7" t="n">
        <v>153.7713243531679</v>
      </c>
      <c r="K63" s="7" t="n">
        <v>153.8626561076892</v>
      </c>
      <c r="L63" s="7" t="n">
        <v>152.1690197856894</v>
      </c>
      <c r="M63" s="7" t="n">
        <v>152.6131914978785</v>
      </c>
      <c r="N63" s="7" t="n">
        <v>153.37707518616</v>
      </c>
      <c r="O63" s="8">
        <f>N63*$B$2/100</f>
        <v/>
      </c>
    </row>
    <row r="64">
      <c r="A64" s="6" t="n">
        <v>46238.48459021991</v>
      </c>
      <c r="B64" s="7" t="n">
        <v>152.1483973676419</v>
      </c>
      <c r="C64" s="7" t="n">
        <v>152.4283862182853</v>
      </c>
      <c r="D64" s="7" t="n">
        <v>152.7352145502976</v>
      </c>
      <c r="E64" s="7" t="n">
        <v>151.8782061438254</v>
      </c>
      <c r="F64" s="7" t="n">
        <v>152.276909329368</v>
      </c>
      <c r="G64" s="7" t="n">
        <v>152.6900954275658</v>
      </c>
      <c r="H64" s="7" t="n">
        <v>152.6426369446065</v>
      </c>
      <c r="I64" s="7" t="n">
        <v>151.5415747578402</v>
      </c>
      <c r="J64" s="7" t="n">
        <v>152.0775654601463</v>
      </c>
      <c r="K64" s="7" t="n">
        <v>152.9642108938548</v>
      </c>
      <c r="L64" s="7" t="n">
        <v>150.9805824581478</v>
      </c>
      <c r="M64" s="7" t="n">
        <v>152.6693252890265</v>
      </c>
      <c r="N64" s="7" t="n">
        <v>152.3235839093888</v>
      </c>
      <c r="O64" s="8">
        <f>N64*$B$2/100</f>
        <v/>
      </c>
    </row>
    <row r="65">
      <c r="A65" s="6" t="n">
        <v>46238.48460197917</v>
      </c>
      <c r="B65" s="7" t="n">
        <v>153.1264438657408</v>
      </c>
      <c r="C65" s="7" t="n">
        <v>153.290867843273</v>
      </c>
      <c r="D65" s="7" t="n">
        <v>152.8890703950732</v>
      </c>
      <c r="E65" s="7" t="n">
        <v>151.9893138647453</v>
      </c>
      <c r="F65" s="7" t="n">
        <v>151.7261508730761</v>
      </c>
      <c r="G65" s="7" t="n">
        <v>151.8907793264601</v>
      </c>
      <c r="H65" s="7" t="n">
        <v>152.6964040186697</v>
      </c>
      <c r="I65" s="7" t="n">
        <v>152.6133082134124</v>
      </c>
      <c r="J65" s="7" t="n">
        <v>152.661362076757</v>
      </c>
      <c r="K65" s="7" t="n">
        <v>153.433899396012</v>
      </c>
      <c r="L65" s="7" t="n">
        <v>150.5781375406581</v>
      </c>
      <c r="M65" s="7" t="n">
        <v>152.5374319720366</v>
      </c>
      <c r="N65" s="7" t="n">
        <v>152.5094750795143</v>
      </c>
      <c r="O65" s="8">
        <f>N65*$B$2/100</f>
        <v/>
      </c>
    </row>
    <row r="66">
      <c r="A66" s="6" t="n">
        <v>46238.48461368056</v>
      </c>
      <c r="B66" s="7" t="n">
        <v>152.4656030214148</v>
      </c>
      <c r="C66" s="7" t="n">
        <v>155.0393381783113</v>
      </c>
      <c r="D66" s="7" t="n">
        <v>154.7039578259823</v>
      </c>
      <c r="E66" s="7" t="n">
        <v>153.9543156207125</v>
      </c>
      <c r="F66" s="7" t="n">
        <v>154.1180543633762</v>
      </c>
      <c r="G66" s="7" t="n">
        <v>153.8638387635585</v>
      </c>
      <c r="H66" s="7" t="n">
        <v>154.3892547706072</v>
      </c>
      <c r="I66" s="7" t="n">
        <v>155.7257765196194</v>
      </c>
      <c r="J66" s="7" t="n">
        <v>153.2567338205789</v>
      </c>
      <c r="K66" s="7" t="n">
        <v>152.790205531591</v>
      </c>
      <c r="L66" s="7" t="n">
        <v>151.0831920290028</v>
      </c>
      <c r="M66" s="7" t="n">
        <v>152.0784268929504</v>
      </c>
      <c r="N66" s="7" t="n">
        <v>153.8050519361462</v>
      </c>
      <c r="O66" s="8">
        <f>N66*$B$2/100</f>
        <v/>
      </c>
    </row>
    <row r="67">
      <c r="A67" s="6" t="n">
        <v>46238.48462543981</v>
      </c>
      <c r="B67" s="7" t="n">
        <v>152.9378410728488</v>
      </c>
      <c r="C67" s="7" t="n">
        <v>153.775018021868</v>
      </c>
      <c r="D67" s="7" t="n">
        <v>154.2688712555526</v>
      </c>
      <c r="E67" s="7" t="n">
        <v>153.3372765729764</v>
      </c>
      <c r="F67" s="7" t="n">
        <v>153.5240347522727</v>
      </c>
      <c r="G67" s="7" t="n">
        <v>153.805730315456</v>
      </c>
      <c r="H67" s="7" t="n">
        <v>154.865639942104</v>
      </c>
      <c r="I67" s="7" t="n">
        <v>155.9914108740537</v>
      </c>
      <c r="J67" s="7" t="n">
        <v>153.3153343009437</v>
      </c>
      <c r="K67" s="7" t="n">
        <v>152.083273964218</v>
      </c>
      <c r="L67" s="7" t="n">
        <v>151.471157535179</v>
      </c>
      <c r="M67" s="7" t="n">
        <v>150.165952</v>
      </c>
      <c r="N67" s="7" t="n">
        <v>153.5885338547822</v>
      </c>
      <c r="O67" s="8">
        <f>N67*$B$2/100</f>
        <v/>
      </c>
    </row>
    <row r="68">
      <c r="A68" s="6" t="n">
        <v>46238.48463716435</v>
      </c>
      <c r="B68" s="7" t="n">
        <v>149.2025317309378</v>
      </c>
      <c r="C68" s="7" t="n">
        <v>150.3990336963539</v>
      </c>
      <c r="D68" s="7" t="n">
        <v>149.8724335064663</v>
      </c>
      <c r="E68" s="7" t="n">
        <v>152.2825414361841</v>
      </c>
      <c r="F68" s="7" t="n">
        <v>152.4452401336758</v>
      </c>
      <c r="G68" s="7" t="n">
        <v>150.3765128083896</v>
      </c>
      <c r="H68" s="7" t="n">
        <v>154.5612500836064</v>
      </c>
      <c r="I68" s="7" t="n">
        <v>150.4040197540639</v>
      </c>
      <c r="J68" s="7" t="n">
        <v>150.3895746932471</v>
      </c>
      <c r="K68" s="7" t="n">
        <v>149.9116940034885</v>
      </c>
      <c r="L68" s="7" t="n">
        <v>149.7590527529867</v>
      </c>
      <c r="M68" s="7" t="n">
        <v>149.8842939569246</v>
      </c>
      <c r="N68" s="7" t="n">
        <v>151.0244192233738</v>
      </c>
      <c r="O68" s="8">
        <f>N68*$B$2/100</f>
        <v/>
      </c>
    </row>
    <row r="69">
      <c r="A69" s="6" t="n">
        <v>46238.48464880787</v>
      </c>
      <c r="B69" s="7" t="n">
        <v>149.1071494542032</v>
      </c>
      <c r="C69" s="7" t="n">
        <v>149.4152954204019</v>
      </c>
      <c r="D69" s="7" t="n">
        <v>145.6589138043501</v>
      </c>
      <c r="E69" s="7" t="n">
        <v>152.8923920406435</v>
      </c>
      <c r="F69" s="7" t="n">
        <v>151.3794128752124</v>
      </c>
      <c r="G69" s="7" t="n">
        <v>147.4147621708005</v>
      </c>
      <c r="H69" s="7" t="n">
        <v>148.6847431681597</v>
      </c>
      <c r="I69" s="7" t="n">
        <v>148.9407103467048</v>
      </c>
      <c r="J69" s="7" t="n">
        <v>148.5932054165815</v>
      </c>
      <c r="K69" s="7" t="n">
        <v>148.3680149088901</v>
      </c>
      <c r="L69" s="7" t="n">
        <v>145.1641313429071</v>
      </c>
      <c r="M69" s="7" t="n">
        <v>148.4789101452088</v>
      </c>
      <c r="N69" s="7" t="n">
        <v>149.0680238103068</v>
      </c>
      <c r="O69" s="8">
        <f>N69*$B$2/100</f>
        <v/>
      </c>
    </row>
    <row r="70">
      <c r="A70" s="6" t="n">
        <v>46238.48466050926</v>
      </c>
      <c r="B70" s="7" t="n">
        <v>140.0992645517288</v>
      </c>
      <c r="C70" s="7" t="n">
        <v>147.8410429728833</v>
      </c>
      <c r="D70" s="7" t="n">
        <v>158.3318194720409</v>
      </c>
      <c r="E70" s="7" t="n">
        <v>141.3317626326476</v>
      </c>
      <c r="F70" s="7" t="n">
        <v>125.4259973931045</v>
      </c>
      <c r="G70" s="7" t="n">
        <v>128.6282599285792</v>
      </c>
      <c r="H70" s="7" t="n">
        <v>160.1731307907779</v>
      </c>
      <c r="I70" s="7" t="n">
        <v>122.7391808794524</v>
      </c>
      <c r="J70" s="7" t="n">
        <v>142.3195522790174</v>
      </c>
      <c r="K70" s="7" t="n">
        <v>91.88804471225221</v>
      </c>
      <c r="L70" s="7" t="n">
        <v>140.4643763188468</v>
      </c>
      <c r="M70" s="7" t="n">
        <v>126.5854788877446</v>
      </c>
      <c r="N70" s="7" t="n">
        <v>146.8205291466296</v>
      </c>
      <c r="O70" s="8">
        <f>N70*$B$2/100</f>
        <v/>
      </c>
    </row>
    <row r="71">
      <c r="A71" s="6" t="n">
        <v>46238.4846722338</v>
      </c>
      <c r="B71" s="7" t="n">
        <v>137.0467696930672</v>
      </c>
      <c r="C71" s="7" t="n">
        <v>159.7743584051355</v>
      </c>
      <c r="D71" s="7" t="n">
        <v>158.7395278818744</v>
      </c>
      <c r="E71" s="7" t="n">
        <v>116.9978143668949</v>
      </c>
      <c r="F71" s="7" t="n">
        <v>123.7705439996648</v>
      </c>
      <c r="G71" s="7" t="n">
        <v>131.1398560383898</v>
      </c>
      <c r="H71" s="7" t="n">
        <v>151.6983555395511</v>
      </c>
      <c r="I71" s="7" t="n">
        <v>104.7075939248601</v>
      </c>
      <c r="J71" s="7" t="n">
        <v>139.3712735713727</v>
      </c>
      <c r="K71" s="7" t="n">
        <v>113.6907579149344</v>
      </c>
      <c r="L71" s="7" t="n">
        <v>119.497866829194</v>
      </c>
      <c r="M71" s="7" t="n">
        <v>92.97809278350516</v>
      </c>
      <c r="N71" s="7" t="n">
        <v>146.7640747998804</v>
      </c>
      <c r="O71" s="8">
        <f>N71*$B$2/100</f>
        <v/>
      </c>
    </row>
    <row r="72">
      <c r="A72" s="6" t="n">
        <v>46238.48468388889</v>
      </c>
      <c r="B72" s="7" t="n">
        <v>152.8863210238852</v>
      </c>
      <c r="C72" s="7" t="n">
        <v>148.4685107100692</v>
      </c>
      <c r="D72" s="7" t="n">
        <v>160.1168854347509</v>
      </c>
      <c r="E72" s="7" t="n">
        <v>138.1135026645443</v>
      </c>
      <c r="F72" s="7" t="n">
        <v>138.949406859882</v>
      </c>
      <c r="G72" s="7" t="n">
        <v>143.4968673519334</v>
      </c>
      <c r="H72" s="7" t="n">
        <v>147.180546946217</v>
      </c>
      <c r="I72" s="7" t="n">
        <v>115.5599527466037</v>
      </c>
      <c r="J72" s="7" t="n">
        <v>150.2152804742306</v>
      </c>
      <c r="K72" s="7" t="n">
        <v>124.7150473933649</v>
      </c>
      <c r="L72" s="7" t="n">
        <v>123.6693978895096</v>
      </c>
      <c r="M72" s="7" t="n">
        <v>117.4716386554622</v>
      </c>
      <c r="N72" s="7" t="n">
        <v>149.8800012747176</v>
      </c>
      <c r="O72" s="8">
        <f>N72*$B$2/100</f>
        <v/>
      </c>
    </row>
    <row r="73">
      <c r="A73" s="6" t="n">
        <v>46238.48469557871</v>
      </c>
      <c r="B73" s="7" t="n">
        <v>126.7872120300752</v>
      </c>
      <c r="C73" s="7" t="n">
        <v>156.3996933750255</v>
      </c>
      <c r="D73" s="7" t="n">
        <v>145.494525311188</v>
      </c>
      <c r="E73" s="7" t="n">
        <v>132.2689830600206</v>
      </c>
      <c r="F73" s="7" t="n">
        <v>130.5497699836364</v>
      </c>
      <c r="G73" s="7" t="n">
        <v>130.9679791734461</v>
      </c>
      <c r="H73" s="7" t="n">
        <v>154.363557350515</v>
      </c>
      <c r="I73" s="7" t="n">
        <v>103.2447505080154</v>
      </c>
      <c r="J73" s="7" t="n">
        <v>138.2092181043697</v>
      </c>
      <c r="K73" s="7" t="n">
        <v>142.1560086499846</v>
      </c>
      <c r="L73" s="7" t="n">
        <v>112.289323086985</v>
      </c>
      <c r="M73" s="7" t="n">
        <v>114.6683325324363</v>
      </c>
      <c r="N73" s="7" t="n">
        <v>142.3983797918801</v>
      </c>
      <c r="O73" s="8">
        <f>N73*$B$2/100</f>
        <v/>
      </c>
    </row>
    <row r="74">
      <c r="A74" s="6" t="n">
        <v>46238.48470729167</v>
      </c>
      <c r="B74" s="7" t="n">
        <v>139.8855069035863</v>
      </c>
      <c r="C74" s="7" t="n">
        <v>161.3353858739512</v>
      </c>
      <c r="D74" s="7" t="n">
        <v>159.2327299703264</v>
      </c>
      <c r="E74" s="7" t="n">
        <v>150.0249333951118</v>
      </c>
      <c r="F74" s="7" t="n">
        <v>155.6207477035653</v>
      </c>
      <c r="G74" s="7" t="n">
        <v>140.1341197633791</v>
      </c>
      <c r="H74" s="7" t="n">
        <v>155.5936416884866</v>
      </c>
      <c r="I74" s="7" t="n">
        <v>134.4237693566662</v>
      </c>
      <c r="J74" s="7" t="n">
        <v>148.2893831656839</v>
      </c>
      <c r="K74" s="7" t="n">
        <v>141.455663106364</v>
      </c>
      <c r="L74" s="7" t="n">
        <v>139.236504640938</v>
      </c>
      <c r="M74" s="7" t="n">
        <v>147.4163134498087</v>
      </c>
      <c r="N74" s="7" t="n">
        <v>152.7779567029856</v>
      </c>
      <c r="O74" s="8">
        <f>N74*$B$2/100</f>
        <v/>
      </c>
    </row>
    <row r="75">
      <c r="A75" s="6" t="n">
        <v>46238.48471898148</v>
      </c>
      <c r="B75" s="7" t="n">
        <v>120.1488966768711</v>
      </c>
      <c r="C75" s="7" t="n">
        <v>155.8708792569659</v>
      </c>
      <c r="D75" s="7" t="n">
        <v>152.342084389772</v>
      </c>
      <c r="E75" s="7" t="n">
        <v>117.1530188522548</v>
      </c>
      <c r="F75" s="7" t="n">
        <v>127.1979687801945</v>
      </c>
      <c r="G75" s="7" t="n">
        <v>134.9015180185863</v>
      </c>
      <c r="H75" s="7" t="n">
        <v>137.2388779995248</v>
      </c>
      <c r="I75" s="7" t="n">
        <v>98.36440376303077</v>
      </c>
      <c r="J75" s="7" t="n">
        <v>126.7398407736642</v>
      </c>
      <c r="K75" s="7" t="n">
        <v>147.8455348647547</v>
      </c>
      <c r="L75" s="7" t="n">
        <v>116.972196402209</v>
      </c>
      <c r="M75" s="7" t="n">
        <v>99.11599308268751</v>
      </c>
      <c r="N75" s="7" t="n">
        <v>139.5854178078023</v>
      </c>
      <c r="O75" s="8">
        <f>N75*$B$2/100</f>
        <v/>
      </c>
    </row>
    <row r="76">
      <c r="A76" s="6" t="n">
        <v>46238.48473064815</v>
      </c>
      <c r="B76" s="7" t="n">
        <v>115.0460949892694</v>
      </c>
      <c r="C76" s="7" t="n">
        <v>156.3865812199601</v>
      </c>
      <c r="D76" s="7" t="n">
        <v>136.7312829064184</v>
      </c>
      <c r="E76" s="7" t="n">
        <v>123.1322173795657</v>
      </c>
      <c r="F76" s="7" t="n">
        <v>121.8988735114258</v>
      </c>
      <c r="G76" s="7" t="n">
        <v>127.574183692954</v>
      </c>
      <c r="H76" s="7" t="n">
        <v>158.938206842398</v>
      </c>
      <c r="I76" s="7" t="n">
        <v>124.6072521320227</v>
      </c>
      <c r="J76" s="7" t="n">
        <v>150.3598090211572</v>
      </c>
      <c r="K76" s="7" t="n">
        <v>104.3443353674715</v>
      </c>
      <c r="L76" s="7" t="n">
        <v>135.1142430576292</v>
      </c>
      <c r="M76" s="7" t="n">
        <v>117.7769171185128</v>
      </c>
      <c r="N76" s="7" t="n">
        <v>144.0421558164354</v>
      </c>
      <c r="O76" s="8">
        <f>N76*$B$2/100</f>
        <v/>
      </c>
    </row>
    <row r="77">
      <c r="A77" s="6" t="n">
        <v>46238.48474234954</v>
      </c>
      <c r="B77" s="7" t="n">
        <v>153.7914180194466</v>
      </c>
      <c r="C77" s="7" t="n">
        <v>157.2641653377999</v>
      </c>
      <c r="D77" s="7" t="n">
        <v>119.9287884951305</v>
      </c>
      <c r="E77" s="7" t="n">
        <v>106.0587828890552</v>
      </c>
      <c r="F77" s="7" t="n">
        <v>127.5481051553431</v>
      </c>
      <c r="G77" s="7" t="n">
        <v>143.1733970373279</v>
      </c>
      <c r="H77" s="7" t="n">
        <v>139.1823869527776</v>
      </c>
      <c r="I77" s="7" t="n">
        <v>110.7604405034325</v>
      </c>
      <c r="J77" s="7" t="n">
        <v>132.0577070740879</v>
      </c>
      <c r="K77" s="7" t="n">
        <v>109.5839572192513</v>
      </c>
      <c r="L77" s="7" t="n">
        <v>99.7906356705178</v>
      </c>
      <c r="M77" s="7" t="n">
        <v>104.6373991851667</v>
      </c>
      <c r="N77" s="7" t="n">
        <v>141.8018989920462</v>
      </c>
      <c r="O77" s="8">
        <f>N77*$B$2/100</f>
        <v/>
      </c>
    </row>
    <row r="78">
      <c r="A78" s="6" t="n">
        <v>46238.48475407407</v>
      </c>
      <c r="B78" s="7" t="n">
        <v>154.0926038654695</v>
      </c>
      <c r="C78" s="7" t="n">
        <v>120.5583645911478</v>
      </c>
      <c r="D78" s="7" t="n">
        <v>156.9524435433126</v>
      </c>
      <c r="E78" s="7" t="n">
        <v>130.6004673967832</v>
      </c>
      <c r="F78" s="7" t="n">
        <v>133.2340960190451</v>
      </c>
      <c r="G78" s="7" t="n">
        <v>121.5004580031065</v>
      </c>
      <c r="H78" s="7" t="n">
        <v>146.6873931127674</v>
      </c>
      <c r="I78" s="7" t="n">
        <v>111.8146484712386</v>
      </c>
      <c r="J78" s="7" t="n">
        <v>151.8396011720195</v>
      </c>
      <c r="K78" s="7" t="n">
        <v>102.4356013745705</v>
      </c>
      <c r="L78" s="7" t="n">
        <v>116.9587800460175</v>
      </c>
      <c r="M78" s="7" t="n">
        <v>102.7934059286146</v>
      </c>
      <c r="N78" s="7" t="n">
        <v>147.1745697287343</v>
      </c>
      <c r="O78" s="8">
        <f>N78*$B$2/100</f>
        <v/>
      </c>
    </row>
    <row r="79">
      <c r="A79" s="6" t="n">
        <v>46238.48476581019</v>
      </c>
      <c r="B79" s="7" t="n">
        <v>139.7620947306868</v>
      </c>
      <c r="C79" s="7" t="n">
        <v>160.3483921077647</v>
      </c>
      <c r="D79" s="7" t="n">
        <v>156.8108821735802</v>
      </c>
      <c r="E79" s="7" t="n">
        <v>144.1007080078125</v>
      </c>
      <c r="F79" s="7" t="n">
        <v>124.6265687303253</v>
      </c>
      <c r="G79" s="7" t="n">
        <v>137.6025827527244</v>
      </c>
      <c r="H79" s="7" t="n">
        <v>161.3402220663991</v>
      </c>
      <c r="I79" s="7" t="n">
        <v>138.1872262773723</v>
      </c>
      <c r="J79" s="7" t="n">
        <v>148.3096269325072</v>
      </c>
      <c r="K79" s="7" t="n">
        <v>120.856420233463</v>
      </c>
      <c r="L79" s="7" t="n">
        <v>123.8977341086826</v>
      </c>
      <c r="M79" s="7" t="n">
        <v>126.5133544590312</v>
      </c>
      <c r="N79" s="7" t="n">
        <v>150.5163607874514</v>
      </c>
      <c r="O79" s="8">
        <f>N79*$B$2/100</f>
        <v/>
      </c>
    </row>
    <row r="80">
      <c r="A80" s="6" t="n">
        <v>46238.48477752315</v>
      </c>
      <c r="B80" s="7" t="n">
        <v>150.1518923449077</v>
      </c>
      <c r="C80" s="7" t="n">
        <v>157.8211853451148</v>
      </c>
      <c r="D80" s="7" t="n">
        <v>142.9541298818631</v>
      </c>
      <c r="E80" s="7" t="n">
        <v>132.6578028999754</v>
      </c>
      <c r="F80" s="7" t="n">
        <v>139.1742677653586</v>
      </c>
      <c r="G80" s="7" t="n">
        <v>126.5338394147192</v>
      </c>
      <c r="H80" s="7" t="n">
        <v>152.0344756851376</v>
      </c>
      <c r="I80" s="7" t="n">
        <v>112.8633910945383</v>
      </c>
      <c r="J80" s="7" t="n">
        <v>151.3504993124591</v>
      </c>
      <c r="K80" s="7" t="n">
        <v>116.7228254087108</v>
      </c>
      <c r="L80" s="7" t="n">
        <v>148.5986451559605</v>
      </c>
      <c r="M80" s="7" t="n">
        <v>137.3273441417349</v>
      </c>
      <c r="N80" s="7" t="n">
        <v>146.344514742748</v>
      </c>
      <c r="O80" s="8">
        <f>N80*$B$2/100</f>
        <v/>
      </c>
    </row>
    <row r="81">
      <c r="A81" s="6" t="n">
        <v>46238.48478922454</v>
      </c>
      <c r="B81" s="7" t="n">
        <v>151.738709166117</v>
      </c>
      <c r="C81" s="7" t="n">
        <v>138.554830479368</v>
      </c>
      <c r="D81" s="7" t="n">
        <v>153.6690987058261</v>
      </c>
      <c r="E81" s="7" t="n">
        <v>145.8409961359729</v>
      </c>
      <c r="F81" s="7" t="n">
        <v>131.1062853866552</v>
      </c>
      <c r="G81" s="7" t="n">
        <v>112.5196192534708</v>
      </c>
      <c r="H81" s="7" t="n">
        <v>135.6204667951125</v>
      </c>
      <c r="I81" s="7" t="n">
        <v>116.2587042990247</v>
      </c>
      <c r="J81" s="7" t="n">
        <v>148.5576870525223</v>
      </c>
      <c r="K81" s="7" t="n">
        <v>94.21531269919966</v>
      </c>
      <c r="L81" s="7" t="n">
        <v>132.6328557294148</v>
      </c>
      <c r="M81" s="7" t="n">
        <v>123.9196546682448</v>
      </c>
      <c r="N81" s="7" t="n">
        <v>143.0181971920306</v>
      </c>
      <c r="O81" s="8">
        <f>N81*$B$2/100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9" customWidth="1" min="4" max="4"/>
    <col width="56" customWidth="1" min="5" max="5"/>
    <col width="11" customWidth="1" min="6" max="6"/>
    <col width="12" customWidth="1" min="7" max="7"/>
    <col width="13" customWidth="1" min="8" max="8"/>
  </cols>
  <sheetData>
    <row r="1">
      <c r="A1" s="1" t="inlineStr">
        <is>
          <t>테스트 구간별 시각 경계와 실행 스레드, 그 구간의 평균 클럭</t>
        </is>
      </c>
    </row>
    <row r="2">
      <c r="A2" s="4" t="inlineStr">
        <is>
          <t>시각 경계 출처: 전체·워밍업·워커 읽기는 프로브의 [구간 시각] 출력, 측정 회차는 IMPLOG의 시작시각ms(첫 스캔 시작)와 마지막 스캔 시작+바퀴 시간이다.</t>
        </is>
      </c>
    </row>
    <row r="3">
      <c r="A3" s="4" t="inlineStr">
        <is>
          <t>클럭은 논리 프로세서별 값이고 스레드가 어느 프로세서에서 돌았는지는 기록되지 않으므로, 스레드별 대응은 구간 단위까지다. 각 표본이 직전 간격의 평균이라 경계 표본에는 이웃 구간의 몫이 섞일 수 있다.</t>
        </is>
      </c>
    </row>
    <row r="5">
      <c r="A5" s="5" t="inlineStr">
        <is>
          <t>구간</t>
        </is>
      </c>
      <c r="B5" s="5" t="inlineStr">
        <is>
          <t>시작 시각</t>
        </is>
      </c>
      <c r="C5" s="5" t="inlineStr">
        <is>
          <t>끝 시각</t>
        </is>
      </c>
      <c r="D5" s="5" t="inlineStr">
        <is>
          <t>길이(초)</t>
        </is>
      </c>
      <c r="E5" s="5" t="inlineStr">
        <is>
          <t>실행 스레드</t>
        </is>
      </c>
      <c r="F5" s="5" t="inlineStr">
        <is>
          <t>표본 수(개)</t>
        </is>
      </c>
      <c r="G5" s="5" t="inlineStr">
        <is>
          <t>평균 클럭(%)</t>
        </is>
      </c>
      <c r="H5" s="5" t="inlineStr">
        <is>
          <t>평균 클럭(GHz)</t>
        </is>
      </c>
    </row>
    <row r="6">
      <c r="A6" s="9" t="inlineStr">
        <is>
          <t>순차 전체</t>
        </is>
      </c>
      <c r="B6" s="10" t="n">
        <v>46238.48392719952</v>
      </c>
      <c r="C6" s="10" t="n">
        <v>46238.48423477749</v>
      </c>
      <c r="D6" s="11">
        <f>(C6-B6)*86400</f>
        <v/>
      </c>
      <c r="E6" s="12" t="inlineStr">
        <is>
          <t>main (improveSequential, 워밍업+측정)</t>
        </is>
      </c>
      <c r="F6" s="13">
        <f>COUNTIFS('클럭 정리'!$A$6:$A$81,"&gt;="&amp;B6,'클럭 정리'!$A$6:$A$81,"&lt;="&amp;C6)</f>
        <v/>
      </c>
      <c r="G6" s="14">
        <f>AVERAGEIFS('클럭 정리'!$N$6:$N$81,'클럭 정리'!$A$6:$A$81,"&gt;="&amp;B6,'클럭 정리'!$A$6:$A$81,"&lt;="&amp;C6)</f>
        <v/>
      </c>
      <c r="H6" s="15">
        <f>G6*'클럭 정리'!$B$2/100</f>
        <v/>
      </c>
    </row>
    <row r="7">
      <c r="A7" s="9" t="inlineStr">
        <is>
          <t>병렬도 6 분할 4 전체</t>
        </is>
      </c>
      <c r="B7" s="10" t="n">
        <v>46238.4842347891</v>
      </c>
      <c r="C7" s="10" t="n">
        <v>46238.4844293642</v>
      </c>
      <c r="D7" s="11">
        <f>(C7-B7)*86400</f>
        <v/>
      </c>
      <c r="E7" s="12" t="inlineStr">
        <is>
          <t>워커(호출마다 새 풀)+main</t>
        </is>
      </c>
      <c r="F7" s="13">
        <f>COUNTIFS('클럭 정리'!$A$6:$A$81,"&gt;="&amp;B7,'클럭 정리'!$A$6:$A$81,"&lt;="&amp;C7)</f>
        <v/>
      </c>
      <c r="G7" s="14">
        <f>AVERAGEIFS('클럭 정리'!$N$6:$N$81,'클럭 정리'!$A$6:$A$81,"&gt;="&amp;B7,'클럭 정리'!$A$6:$A$81,"&lt;="&amp;C7)</f>
        <v/>
      </c>
      <c r="H7" s="15">
        <f>G7*'클럭 정리'!$B$2/100</f>
        <v/>
      </c>
    </row>
    <row r="8">
      <c r="A8" s="13" t="inlineStr">
        <is>
          <t>병렬도 6 분할 4 워밍업</t>
        </is>
      </c>
      <c r="B8" s="10" t="n">
        <v>46238.4842347891</v>
      </c>
      <c r="C8" s="10" t="n">
        <v>46238.48428428241</v>
      </c>
      <c r="D8" s="11">
        <f>(C8-B8)*86400</f>
        <v/>
      </c>
      <c r="E8" s="12" t="inlineStr">
        <is>
          <t>워커 (IMPLOG 기록 없음)</t>
        </is>
      </c>
      <c r="F8" s="13">
        <f>COUNTIFS('클럭 정리'!$A$6:$A$81,"&gt;="&amp;B8,'클럭 정리'!$A$6:$A$81,"&lt;="&amp;C8)</f>
        <v/>
      </c>
      <c r="G8" s="14">
        <f>AVERAGEIFS('클럭 정리'!$N$6:$N$81,'클럭 정리'!$A$6:$A$81,"&gt;="&amp;B8,'클럭 정리'!$A$6:$A$81,"&lt;="&amp;C8)</f>
        <v/>
      </c>
      <c r="H8" s="15">
        <f>G8*'클럭 정리'!$B$2/100</f>
        <v/>
      </c>
    </row>
    <row r="9">
      <c r="A9" s="13" t="inlineStr">
        <is>
          <t>병렬도 6 분할 4 측정 1회차</t>
        </is>
      </c>
      <c r="B9" s="10" t="n">
        <v>46238.48428428241</v>
      </c>
      <c r="C9" s="10" t="n">
        <v>46238.48430878218</v>
      </c>
      <c r="D9" s="11">
        <f>(C9-B9)*86400</f>
        <v/>
      </c>
      <c r="E9" s="12" t="inlineStr">
        <is>
          <t>ForkJoinPool-3-worker-1, ForkJoinPool-3-worker-2, ForkJoinPool-3-worker-3, ForkJoinPool-3-worker-4, ForkJoinPool-3-worker-6 + main(스캔 사이 순차 구간)</t>
        </is>
      </c>
      <c r="F9" s="13">
        <f>COUNTIFS('클럭 정리'!$A$6:$A$81,"&gt;="&amp;B9,'클럭 정리'!$A$6:$A$81,"&lt;="&amp;C9)</f>
        <v/>
      </c>
      <c r="G9" s="14">
        <f>AVERAGEIFS('클럭 정리'!$N$6:$N$81,'클럭 정리'!$A$6:$A$81,"&gt;="&amp;B9,'클럭 정리'!$A$6:$A$81,"&lt;="&amp;C9)</f>
        <v/>
      </c>
      <c r="H9" s="15">
        <f>G9*'클럭 정리'!$B$2/100</f>
        <v/>
      </c>
    </row>
    <row r="10">
      <c r="A10" s="13" t="inlineStr">
        <is>
          <t>병렬도 6 분할 4 측정 2회차</t>
        </is>
      </c>
      <c r="B10" s="10" t="n">
        <v>46238.48430879629</v>
      </c>
      <c r="C10" s="10" t="n">
        <v>46238.48433292872</v>
      </c>
      <c r="D10" s="11">
        <f>(C10-B10)*86400</f>
        <v/>
      </c>
      <c r="E10" s="12" t="inlineStr">
        <is>
          <t>ForkJoinPool-4-worker-1, ForkJoinPool-4-worker-2, ForkJoinPool-4-worker-3, ForkJoinPool-4-worker-4, ForkJoinPool-4-worker-5, ForkJoinPool-4-worker-6 + main(스캔 사이 순차 구간)</t>
        </is>
      </c>
      <c r="F10" s="13">
        <f>COUNTIFS('클럭 정리'!$A$6:$A$81,"&gt;="&amp;B10,'클럭 정리'!$A$6:$A$81,"&lt;="&amp;C10)</f>
        <v/>
      </c>
      <c r="G10" s="14">
        <f>AVERAGEIFS('클럭 정리'!$N$6:$N$81,'클럭 정리'!$A$6:$A$81,"&gt;="&amp;B10,'클럭 정리'!$A$6:$A$81,"&lt;="&amp;C10)</f>
        <v/>
      </c>
      <c r="H10" s="15">
        <f>G10*'클럭 정리'!$B$2/100</f>
        <v/>
      </c>
    </row>
    <row r="11">
      <c r="A11" s="13" t="inlineStr">
        <is>
          <t>병렬도 6 분할 4 측정 3회차</t>
        </is>
      </c>
      <c r="B11" s="10" t="n">
        <v>46238.48433293981</v>
      </c>
      <c r="C11" s="10" t="n">
        <v>46238.48435697817</v>
      </c>
      <c r="D11" s="11">
        <f>(C11-B11)*86400</f>
        <v/>
      </c>
      <c r="E11" s="12" t="inlineStr">
        <is>
          <t>ForkJoinPool-5-worker-1, ForkJoinPool-5-worker-2, ForkJoinPool-5-worker-3, ForkJoinPool-5-worker-4, ForkJoinPool-5-worker-5, ForkJoinPool-5-worker-6 + main(스캔 사이 순차 구간)</t>
        </is>
      </c>
      <c r="F11" s="13">
        <f>COUNTIFS('클럭 정리'!$A$6:$A$81,"&gt;="&amp;B11,'클럭 정리'!$A$6:$A$81,"&lt;="&amp;C11)</f>
        <v/>
      </c>
      <c r="G11" s="14">
        <f>AVERAGEIFS('클럭 정리'!$N$6:$N$81,'클럭 정리'!$A$6:$A$81,"&gt;="&amp;B11,'클럭 정리'!$A$6:$A$81,"&lt;="&amp;C11)</f>
        <v/>
      </c>
      <c r="H11" s="15">
        <f>G11*'클럭 정리'!$B$2/100</f>
        <v/>
      </c>
    </row>
    <row r="12">
      <c r="A12" s="13" t="inlineStr">
        <is>
          <t>병렬도 6 분할 4 측정 4회차</t>
        </is>
      </c>
      <c r="B12" s="10" t="n">
        <v>46238.48435697917</v>
      </c>
      <c r="C12" s="10" t="n">
        <v>46238.48438103104</v>
      </c>
      <c r="D12" s="11">
        <f>(C12-B12)*86400</f>
        <v/>
      </c>
      <c r="E12" s="12" t="inlineStr">
        <is>
          <t>ForkJoinPool-6-worker-1, ForkJoinPool-6-worker-2, ForkJoinPool-6-worker-3, ForkJoinPool-6-worker-4, ForkJoinPool-6-worker-5, ForkJoinPool-6-worker-6 + main(스캔 사이 순차 구간)</t>
        </is>
      </c>
      <c r="F12" s="13">
        <f>COUNTIFS('클럭 정리'!$A$6:$A$81,"&gt;="&amp;B12,'클럭 정리'!$A$6:$A$81,"&lt;="&amp;C12)</f>
        <v/>
      </c>
      <c r="G12" s="14">
        <f>AVERAGEIFS('클럭 정리'!$N$6:$N$81,'클럭 정리'!$A$6:$A$81,"&gt;="&amp;B12,'클럭 정리'!$A$6:$A$81,"&lt;="&amp;C12)</f>
        <v/>
      </c>
      <c r="H12" s="15">
        <f>G12*'클럭 정리'!$B$2/100</f>
        <v/>
      </c>
    </row>
    <row r="13">
      <c r="A13" s="13" t="inlineStr">
        <is>
          <t>병렬도 6 분할 4 측정 5회차</t>
        </is>
      </c>
      <c r="B13" s="10" t="n">
        <v>46238.48438104166</v>
      </c>
      <c r="C13" s="10" t="n">
        <v>46238.48440483399</v>
      </c>
      <c r="D13" s="11">
        <f>(C13-B13)*86400</f>
        <v/>
      </c>
      <c r="E13" s="12" t="inlineStr">
        <is>
          <t>ForkJoinPool-7-worker-1, ForkJoinPool-7-worker-2, ForkJoinPool-7-worker-3, ForkJoinPool-7-worker-4, ForkJoinPool-7-worker-6 + main(스캔 사이 순차 구간)</t>
        </is>
      </c>
      <c r="F13" s="13">
        <f>COUNTIFS('클럭 정리'!$A$6:$A$81,"&gt;="&amp;B13,'클럭 정리'!$A$6:$A$81,"&lt;="&amp;C13)</f>
        <v/>
      </c>
      <c r="G13" s="14">
        <f>AVERAGEIFS('클럭 정리'!$N$6:$N$81,'클럭 정리'!$A$6:$A$81,"&gt;="&amp;B13,'클럭 정리'!$A$6:$A$81,"&lt;="&amp;C13)</f>
        <v/>
      </c>
      <c r="H13" s="15">
        <f>G13*'클럭 정리'!$B$2/100</f>
        <v/>
      </c>
    </row>
    <row r="14">
      <c r="A14" s="13" t="inlineStr">
        <is>
          <t>병렬도 6 분할 4 워커별 CPU 읽기 실행</t>
        </is>
      </c>
      <c r="B14" s="10" t="n">
        <v>46238.48440483399</v>
      </c>
      <c r="C14" s="10" t="n">
        <v>46238.4844293642</v>
      </c>
      <c r="D14" s="11">
        <f>(C14-B14)*86400</f>
        <v/>
      </c>
      <c r="E14" s="12" t="inlineStr">
        <is>
          <t>ForkJoinPool-8-worker-2, ForkJoinPool-8-worker-1, ForkJoinPool-8-worker-4, ForkJoinPool-8-worker-5, ForkJoinPool-8-worker-3, ForkJoinPool-8-worker-6 + main</t>
        </is>
      </c>
      <c r="F14" s="13">
        <f>COUNTIFS('클럭 정리'!$A$6:$A$81,"&gt;="&amp;B14,'클럭 정리'!$A$6:$A$81,"&lt;="&amp;C14)</f>
        <v/>
      </c>
      <c r="G14" s="14">
        <f>AVERAGEIFS('클럭 정리'!$N$6:$N$81,'클럭 정리'!$A$6:$A$81,"&gt;="&amp;B14,'클럭 정리'!$A$6:$A$81,"&lt;="&amp;C14)</f>
        <v/>
      </c>
      <c r="H14" s="15">
        <f>G14*'클럭 정리'!$B$2/100</f>
        <v/>
      </c>
    </row>
    <row r="15">
      <c r="A15" s="9" t="inlineStr">
        <is>
          <t>병렬도 12 분할 4 전체</t>
        </is>
      </c>
      <c r="B15" s="10" t="n">
        <v>46238.4844293642</v>
      </c>
      <c r="C15" s="10" t="n">
        <v>46238.48462318281</v>
      </c>
      <c r="D15" s="11">
        <f>(C15-B15)*86400</f>
        <v/>
      </c>
      <c r="E15" s="12" t="inlineStr">
        <is>
          <t>워커(호출마다 새 풀)+main</t>
        </is>
      </c>
      <c r="F15" s="13">
        <f>COUNTIFS('클럭 정리'!$A$6:$A$81,"&gt;="&amp;B15,'클럭 정리'!$A$6:$A$81,"&lt;="&amp;C15)</f>
        <v/>
      </c>
      <c r="G15" s="14">
        <f>AVERAGEIFS('클럭 정리'!$N$6:$N$81,'클럭 정리'!$A$6:$A$81,"&gt;="&amp;B15,'클럭 정리'!$A$6:$A$81,"&lt;="&amp;C15)</f>
        <v/>
      </c>
      <c r="H15" s="15">
        <f>G15*'클럭 정리'!$B$2/100</f>
        <v/>
      </c>
    </row>
    <row r="16">
      <c r="A16" s="13" t="inlineStr">
        <is>
          <t>병렬도 12 분할 4 워밍업</t>
        </is>
      </c>
      <c r="B16" s="10" t="n">
        <v>46238.4844293642</v>
      </c>
      <c r="C16" s="10" t="n">
        <v>46238.48447734954</v>
      </c>
      <c r="D16" s="11">
        <f>(C16-B16)*86400</f>
        <v/>
      </c>
      <c r="E16" s="12" t="inlineStr">
        <is>
          <t>워커 (IMPLOG 기록 없음)</t>
        </is>
      </c>
      <c r="F16" s="13">
        <f>COUNTIFS('클럭 정리'!$A$6:$A$81,"&gt;="&amp;B16,'클럭 정리'!$A$6:$A$81,"&lt;="&amp;C16)</f>
        <v/>
      </c>
      <c r="G16" s="14">
        <f>AVERAGEIFS('클럭 정리'!$N$6:$N$81,'클럭 정리'!$A$6:$A$81,"&gt;="&amp;B16,'클럭 정리'!$A$6:$A$81,"&lt;="&amp;C16)</f>
        <v/>
      </c>
      <c r="H16" s="15">
        <f>G16*'클럭 정리'!$B$2/100</f>
        <v/>
      </c>
    </row>
    <row r="17">
      <c r="A17" s="13" t="inlineStr">
        <is>
          <t>병렬도 12 분할 4 측정 1회차</t>
        </is>
      </c>
      <c r="B17" s="10" t="n">
        <v>46238.48447734954</v>
      </c>
      <c r="C17" s="10" t="n">
        <v>46238.48450115423</v>
      </c>
      <c r="D17" s="11">
        <f>(C17-B17)*86400</f>
        <v/>
      </c>
      <c r="E17" s="12" t="inlineStr">
        <is>
          <t>ForkJoinPool-11-worker-1, ForkJoinPool-11-worker-10, ForkJoinPool-11-worker-11, ForkJoinPool-11-worker-12, ForkJoinPool-11-worker-2, ForkJoinPool-11-worker-3, ForkJoinPool-11-worker-4, ForkJoinPool-11-worker-6, ForkJoinPool-11-worker-7, ForkJoinPool-11-worker-8, ForkJoinPool-11-worker-9 + main(스캔 사이 순차 구간)</t>
        </is>
      </c>
      <c r="F17" s="13">
        <f>COUNTIFS('클럭 정리'!$A$6:$A$81,"&gt;="&amp;B17,'클럭 정리'!$A$6:$A$81,"&lt;="&amp;C17)</f>
        <v/>
      </c>
      <c r="G17" s="14">
        <f>AVERAGEIFS('클럭 정리'!$N$6:$N$81,'클럭 정리'!$A$6:$A$81,"&gt;="&amp;B17,'클럭 정리'!$A$6:$A$81,"&lt;="&amp;C17)</f>
        <v/>
      </c>
      <c r="H17" s="15">
        <f>G17*'클럭 정리'!$B$2/100</f>
        <v/>
      </c>
    </row>
    <row r="18">
      <c r="A18" s="13" t="inlineStr">
        <is>
          <t>병렬도 12 분할 4 측정 2회차</t>
        </is>
      </c>
      <c r="B18" s="10" t="n">
        <v>46238.48450115741</v>
      </c>
      <c r="C18" s="10" t="n">
        <v>46238.48452555038</v>
      </c>
      <c r="D18" s="11">
        <f>(C18-B18)*86400</f>
        <v/>
      </c>
      <c r="E18" s="12" t="inlineStr">
        <is>
          <t>ForkJoinPool-12-worker-1, ForkJoinPool-12-worker-11, ForkJoinPool-12-worker-2, ForkJoinPool-12-worker-3, ForkJoinPool-12-worker-4, ForkJoinPool-12-worker-7, ForkJoinPool-12-worker-9 + main(스캔 사이 순차 구간)</t>
        </is>
      </c>
      <c r="F18" s="13">
        <f>COUNTIFS('클럭 정리'!$A$6:$A$81,"&gt;="&amp;B18,'클럭 정리'!$A$6:$A$81,"&lt;="&amp;C18)</f>
        <v/>
      </c>
      <c r="G18" s="14">
        <f>AVERAGEIFS('클럭 정리'!$N$6:$N$81,'클럭 정리'!$A$6:$A$81,"&gt;="&amp;B18,'클럭 정리'!$A$6:$A$81,"&lt;="&amp;C18)</f>
        <v/>
      </c>
      <c r="H18" s="15">
        <f>G18*'클럭 정리'!$B$2/100</f>
        <v/>
      </c>
    </row>
    <row r="19">
      <c r="A19" s="13" t="inlineStr">
        <is>
          <t>병렬도 12 분할 4 측정 3회차</t>
        </is>
      </c>
      <c r="B19" s="10" t="n">
        <v>46238.48452556713</v>
      </c>
      <c r="C19" s="10" t="n">
        <v>46238.48454987346</v>
      </c>
      <c r="D19" s="11">
        <f>(C19-B19)*86400</f>
        <v/>
      </c>
      <c r="E19" s="12" t="inlineStr">
        <is>
          <t>ForkJoinPool-13-worker-1, ForkJoinPool-13-worker-10, ForkJoinPool-13-worker-11, ForkJoinPool-13-worker-12, ForkJoinPool-13-worker-2, ForkJoinPool-13-worker-3, ForkJoinPool-13-worker-4, ForkJoinPool-13-worker-7, ForkJoinPool-13-worker-8 + main(스캔 사이 순차 구간)</t>
        </is>
      </c>
      <c r="F19" s="13">
        <f>COUNTIFS('클럭 정리'!$A$6:$A$81,"&gt;="&amp;B19,'클럭 정리'!$A$6:$A$81,"&lt;="&amp;C19)</f>
        <v/>
      </c>
      <c r="G19" s="14">
        <f>AVERAGEIFS('클럭 정리'!$N$6:$N$81,'클럭 정리'!$A$6:$A$81,"&gt;="&amp;B19,'클럭 정리'!$A$6:$A$81,"&lt;="&amp;C19)</f>
        <v/>
      </c>
      <c r="H19" s="15">
        <f>G19*'클럭 정리'!$B$2/100</f>
        <v/>
      </c>
    </row>
    <row r="20">
      <c r="A20" s="13" t="inlineStr">
        <is>
          <t>병렬도 12 분할 4 측정 4회차</t>
        </is>
      </c>
      <c r="B20" s="10" t="n">
        <v>46238.48454988426</v>
      </c>
      <c r="C20" s="10" t="n">
        <v>46238.4845740208</v>
      </c>
      <c r="D20" s="11">
        <f>(C20-B20)*86400</f>
        <v/>
      </c>
      <c r="E20" s="12" t="inlineStr">
        <is>
          <t>ForkJoinPool-14-worker-1, ForkJoinPool-14-worker-10, ForkJoinPool-14-worker-11, ForkJoinPool-14-worker-12, ForkJoinPool-14-worker-2, ForkJoinPool-14-worker-3, ForkJoinPool-14-worker-4, ForkJoinPool-14-worker-5, ForkJoinPool-14-worker-7 + main(스캔 사이 순차 구간)</t>
        </is>
      </c>
      <c r="F20" s="13">
        <f>COUNTIFS('클럭 정리'!$A$6:$A$81,"&gt;="&amp;B20,'클럭 정리'!$A$6:$A$81,"&lt;="&amp;C20)</f>
        <v/>
      </c>
      <c r="G20" s="14">
        <f>AVERAGEIFS('클럭 정리'!$N$6:$N$81,'클럭 정리'!$A$6:$A$81,"&gt;="&amp;B20,'클럭 정리'!$A$6:$A$81,"&lt;="&amp;C20)</f>
        <v/>
      </c>
      <c r="H20" s="15">
        <f>G20*'클럭 정리'!$B$2/100</f>
        <v/>
      </c>
    </row>
    <row r="21">
      <c r="A21" s="13" t="inlineStr">
        <is>
          <t>병렬도 12 분할 4 측정 5회차</t>
        </is>
      </c>
      <c r="B21" s="10" t="n">
        <v>46238.48457402777</v>
      </c>
      <c r="C21" s="10" t="n">
        <v>46238.48459856169</v>
      </c>
      <c r="D21" s="11">
        <f>(C21-B21)*86400</f>
        <v/>
      </c>
      <c r="E21" s="12" t="inlineStr">
        <is>
          <t>ForkJoinPool-15-worker-1, ForkJoinPool-15-worker-11, ForkJoinPool-15-worker-12, ForkJoinPool-15-worker-2, ForkJoinPool-15-worker-3, ForkJoinPool-15-worker-4, ForkJoinPool-15-worker-5, ForkJoinPool-15-worker-7, ForkJoinPool-15-worker-8, ForkJoinPool-15-worker-9 + main(스캔 사이 순차 구간)</t>
        </is>
      </c>
      <c r="F21" s="13">
        <f>COUNTIFS('클럭 정리'!$A$6:$A$81,"&gt;="&amp;B21,'클럭 정리'!$A$6:$A$81,"&lt;="&amp;C21)</f>
        <v/>
      </c>
      <c r="G21" s="14">
        <f>AVERAGEIFS('클럭 정리'!$N$6:$N$81,'클럭 정리'!$A$6:$A$81,"&gt;="&amp;B21,'클럭 정리'!$A$6:$A$81,"&lt;="&amp;C21)</f>
        <v/>
      </c>
      <c r="H21" s="15">
        <f>G21*'클럭 정리'!$B$2/100</f>
        <v/>
      </c>
    </row>
    <row r="22">
      <c r="A22" s="13" t="inlineStr">
        <is>
          <t>병렬도 12 분할 4 워커별 CPU 읽기 실행</t>
        </is>
      </c>
      <c r="B22" s="10" t="n">
        <v>46238.48459856169</v>
      </c>
      <c r="C22" s="10" t="n">
        <v>46238.48462318281</v>
      </c>
      <c r="D22" s="11">
        <f>(C22-B22)*86400</f>
        <v/>
      </c>
      <c r="E22" s="12" t="inlineStr">
        <is>
          <t>ForkJoinPool-16-worker-1, ForkJoinPool-16-worker-5, ForkJoinPool-16-worker-7, ForkJoinPool-16-worker-11, ForkJoinPool-16-worker-2, ForkJoinPool-16-worker-3, ForkJoinPool-16-worker-4, ForkJoinPool-16-worker-10, ForkJoinPool-16-worker-9, ForkJoinPool-16-worker-6, ForkJoinPool-16-worker-8, ForkJoinPool-16-worker-12 + main</t>
        </is>
      </c>
      <c r="F22" s="13">
        <f>COUNTIFS('클럭 정리'!$A$6:$A$81,"&gt;="&amp;B22,'클럭 정리'!$A$6:$A$81,"&lt;="&amp;C22)</f>
        <v/>
      </c>
      <c r="G22" s="14">
        <f>AVERAGEIFS('클럭 정리'!$N$6:$N$81,'클럭 정리'!$A$6:$A$81,"&gt;="&amp;B22,'클럭 정리'!$A$6:$A$81,"&lt;="&amp;C22)</f>
        <v/>
      </c>
      <c r="H22" s="15">
        <f>G22*'클럭 정리'!$B$2/100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26" customWidth="1" min="3" max="3"/>
    <col width="40" customWidth="1" min="4" max="4"/>
    <col width="14" customWidth="1" min="5" max="5"/>
    <col width="14" customWidth="1" min="6" max="6"/>
    <col width="17" customWidth="1" min="7" max="7"/>
    <col width="15" customWidth="1" min="8" max="8"/>
    <col width="11" customWidth="1" min="9" max="9"/>
    <col width="12" customWidth="1" min="10" max="10"/>
    <col width="13" customWidth="1" min="11" max="11"/>
  </cols>
  <sheetData>
    <row r="1">
      <c r="A1" s="1" t="inlineStr">
        <is>
          <t>측정 회차 구간 안의 스레드별 활동 창과 클럭, 그리고 풀별 클럭 표본 매핑</t>
        </is>
      </c>
    </row>
    <row r="2">
      <c r="A2" s="4" t="inlineStr">
        <is>
          <t>활동 창의 출처: 워커는 IMPLOG leaf(첫 말단 시작 ~ 마지막 말단 시작+4중 루프), main은 IMPLOG scan이다. 활동 시간 합은 워커가 4중 루프 경과 시간 합이고, main은 그 회차의 mainCPU(IMPLOG run 레코드, CPU 시간)다. 말단이 2개 이상 겹치면 경과 시간 뺄셈으로는 main 몫이 나오지 않아 실측 CPU 시간으로 바꿨다(2026-08-04). run 레코드가 없는 옛 로그는 main의 이 칸이 빈 칸이고, mainCPU는 Windows 해상도(15.625ms) 계단이라 0으로 찍힐 수 있다.</t>
        </is>
      </c>
    </row>
    <row r="3">
      <c r="A3" s="4" t="inlineStr">
        <is>
          <t>클럭 값은 그 창에 걸린 표본의 전체 프로세서 평균이다. 스레드가 어느 논리 프로세서에서 돌았는지는 기록되지 않으므로 특정 코어의 클럭이 아니다. 워커별 CPU 읽기 실행의 풀은 IMPLOG가 꺼져 있어 이 시트에 없다.</t>
        </is>
      </c>
    </row>
    <row r="5">
      <c r="A5" s="5" t="inlineStr">
        <is>
          <t>구간</t>
        </is>
      </c>
      <c r="B5" s="5" t="inlineStr">
        <is>
          <t>회차</t>
        </is>
      </c>
      <c r="C5" s="5" t="inlineStr">
        <is>
          <t>스레드</t>
        </is>
      </c>
      <c r="D5" s="5" t="inlineStr">
        <is>
          <t>역할</t>
        </is>
      </c>
      <c r="E5" s="5" t="inlineStr">
        <is>
          <t>활동 시작</t>
        </is>
      </c>
      <c r="F5" s="5" t="inlineStr">
        <is>
          <t>활동 끝</t>
        </is>
      </c>
      <c r="G5" s="5" t="inlineStr">
        <is>
          <t>처리 수(말단/스캔)</t>
        </is>
      </c>
      <c r="H5" s="5" t="inlineStr">
        <is>
          <t>활동 시간 합(ms)</t>
        </is>
      </c>
      <c r="I5" s="5" t="inlineStr">
        <is>
          <t>표본 수(개)</t>
        </is>
      </c>
      <c r="J5" s="5" t="inlineStr">
        <is>
          <t>평균 클럭(%)</t>
        </is>
      </c>
      <c r="K5" s="5" t="inlineStr">
        <is>
          <t>평균 클럭(GHz)</t>
        </is>
      </c>
    </row>
    <row r="6">
      <c r="A6" s="13" t="inlineStr">
        <is>
          <t>병렬도 6 분할 4</t>
        </is>
      </c>
      <c r="B6" s="13" t="n">
        <v>1</v>
      </c>
      <c r="C6" s="13" t="inlineStr">
        <is>
          <t>ForkJoinPool-3-worker-1</t>
        </is>
      </c>
      <c r="D6" s="12" t="inlineStr">
        <is>
          <t>워커</t>
        </is>
      </c>
      <c r="E6" s="10" t="n">
        <v>46238.48428428241</v>
      </c>
      <c r="F6" s="10" t="n">
        <v>46238.48430876821</v>
      </c>
      <c r="G6" s="13" t="n">
        <v>45</v>
      </c>
      <c r="H6" s="14" t="n">
        <v>2059.6513</v>
      </c>
      <c r="I6" s="13">
        <f>COUNTIFS('클럭 정리'!$A$6:$A$81,"&gt;="&amp;E6,'클럭 정리'!$A$6:$A$81,"&lt;="&amp;F6)</f>
        <v/>
      </c>
      <c r="J6" s="14">
        <f>AVERAGEIFS('클럭 정리'!$N$6:$N$81,'클럭 정리'!$A$6:$A$81,"&gt;="&amp;E6,'클럭 정리'!$A$6:$A$81,"&lt;="&amp;F6)</f>
        <v/>
      </c>
      <c r="K6" s="15">
        <f>J6*'클럭 정리'!$B$2/100</f>
        <v/>
      </c>
    </row>
    <row r="7">
      <c r="A7" s="13" t="inlineStr">
        <is>
          <t>병렬도 6 분할 4</t>
        </is>
      </c>
      <c r="B7" s="13" t="n">
        <v>1</v>
      </c>
      <c r="C7" s="13" t="inlineStr">
        <is>
          <t>ForkJoinPool-3-worker-2</t>
        </is>
      </c>
      <c r="D7" s="12" t="inlineStr">
        <is>
          <t>워커</t>
        </is>
      </c>
      <c r="E7" s="10" t="n">
        <v>46238.48428429398</v>
      </c>
      <c r="F7" s="10" t="n">
        <v>46238.48430873097</v>
      </c>
      <c r="G7" s="13" t="n">
        <v>45</v>
      </c>
      <c r="H7" s="14" t="n">
        <v>1994.4511</v>
      </c>
      <c r="I7" s="13">
        <f>COUNTIFS('클럭 정리'!$A$6:$A$81,"&gt;="&amp;E7,'클럭 정리'!$A$6:$A$81,"&lt;="&amp;F7)</f>
        <v/>
      </c>
      <c r="J7" s="14">
        <f>AVERAGEIFS('클럭 정리'!$N$6:$N$81,'클럭 정리'!$A$6:$A$81,"&gt;="&amp;E7,'클럭 정리'!$A$6:$A$81,"&lt;="&amp;F7)</f>
        <v/>
      </c>
      <c r="K7" s="15">
        <f>J7*'클럭 정리'!$B$2/100</f>
        <v/>
      </c>
    </row>
    <row r="8">
      <c r="A8" s="13" t="inlineStr">
        <is>
          <t>병렬도 6 분할 4</t>
        </is>
      </c>
      <c r="B8" s="13" t="n">
        <v>1</v>
      </c>
      <c r="C8" s="13" t="inlineStr">
        <is>
          <t>ForkJoinPool-3-worker-3</t>
        </is>
      </c>
      <c r="D8" s="12" t="inlineStr">
        <is>
          <t>워커</t>
        </is>
      </c>
      <c r="E8" s="10" t="n">
        <v>46238.48428429398</v>
      </c>
      <c r="F8" s="10" t="n">
        <v>46238.48428474017</v>
      </c>
      <c r="G8" s="13" t="n">
        <v>1</v>
      </c>
      <c r="H8" s="14" t="n">
        <v>38.5511</v>
      </c>
      <c r="I8" s="13">
        <f>COUNTIFS('클럭 정리'!$A$6:$A$81,"&gt;="&amp;E8,'클럭 정리'!$A$6:$A$81,"&lt;="&amp;F8)</f>
        <v/>
      </c>
      <c r="J8" s="14">
        <f>AVERAGEIFS('클럭 정리'!$N$6:$N$81,'클럭 정리'!$A$6:$A$81,"&gt;="&amp;E8,'클럭 정리'!$A$6:$A$81,"&lt;="&amp;F8)</f>
        <v/>
      </c>
      <c r="K8" s="15">
        <f>J8*'클럭 정리'!$B$2/100</f>
        <v/>
      </c>
    </row>
    <row r="9">
      <c r="A9" s="13" t="inlineStr">
        <is>
          <t>병렬도 6 분할 4</t>
        </is>
      </c>
      <c r="B9" s="13" t="n">
        <v>1</v>
      </c>
      <c r="C9" s="13" t="inlineStr">
        <is>
          <t>ForkJoinPool-3-worker-4</t>
        </is>
      </c>
      <c r="D9" s="12" t="inlineStr">
        <is>
          <t>워커</t>
        </is>
      </c>
      <c r="E9" s="10" t="n">
        <v>46238.48428429398</v>
      </c>
      <c r="F9" s="10" t="n">
        <v>46238.48430873618</v>
      </c>
      <c r="G9" s="13" t="n">
        <v>45</v>
      </c>
      <c r="H9" s="14" t="n">
        <v>2009.8623</v>
      </c>
      <c r="I9" s="13">
        <f>COUNTIFS('클럭 정리'!$A$6:$A$81,"&gt;="&amp;E9,'클럭 정리'!$A$6:$A$81,"&lt;="&amp;F9)</f>
        <v/>
      </c>
      <c r="J9" s="14">
        <f>AVERAGEIFS('클럭 정리'!$N$6:$N$81,'클럭 정리'!$A$6:$A$81,"&gt;="&amp;E9,'클럭 정리'!$A$6:$A$81,"&lt;="&amp;F9)</f>
        <v/>
      </c>
      <c r="K9" s="15">
        <f>J9*'클럭 정리'!$B$2/100</f>
        <v/>
      </c>
    </row>
    <row r="10">
      <c r="A10" s="13" t="inlineStr">
        <is>
          <t>병렬도 6 분할 4</t>
        </is>
      </c>
      <c r="B10" s="13" t="n">
        <v>1</v>
      </c>
      <c r="C10" s="13" t="inlineStr">
        <is>
          <t>ForkJoinPool-3-worker-6</t>
        </is>
      </c>
      <c r="D10" s="12" t="inlineStr">
        <is>
          <t>워커</t>
        </is>
      </c>
      <c r="E10" s="10" t="n">
        <v>46238.48428491898</v>
      </c>
      <c r="F10" s="10" t="n">
        <v>46238.48430877956</v>
      </c>
      <c r="G10" s="13" t="n">
        <v>44</v>
      </c>
      <c r="H10" s="14" t="n">
        <v>1923.9838</v>
      </c>
      <c r="I10" s="13">
        <f>COUNTIFS('클럭 정리'!$A$6:$A$81,"&gt;="&amp;E10,'클럭 정리'!$A$6:$A$81,"&lt;="&amp;F10)</f>
        <v/>
      </c>
      <c r="J10" s="14">
        <f>AVERAGEIFS('클럭 정리'!$N$6:$N$81,'클럭 정리'!$A$6:$A$81,"&gt;="&amp;E10,'클럭 정리'!$A$6:$A$81,"&lt;="&amp;F10)</f>
        <v/>
      </c>
      <c r="K10" s="15">
        <f>J10*'클럭 정리'!$B$2/100</f>
        <v/>
      </c>
    </row>
    <row r="11">
      <c r="A11" s="13" t="inlineStr">
        <is>
          <t>병렬도 6 분할 4</t>
        </is>
      </c>
      <c r="B11" s="13" t="n">
        <v>1</v>
      </c>
      <c r="C11" s="13" t="inlineStr">
        <is>
          <t>main</t>
        </is>
      </c>
      <c r="D11" s="12" t="inlineStr">
        <is>
          <t>main (활동 시간 합 = 그 회차 mainCPU, 창은 워커와 겹침)</t>
        </is>
      </c>
      <c r="E11" s="10" t="n">
        <v>46238.48428428241</v>
      </c>
      <c r="F11" s="10" t="n">
        <v>46238.48430878218</v>
      </c>
      <c r="G11" s="13" t="n">
        <v>45</v>
      </c>
      <c r="H11" s="14" t="n">
        <v>0</v>
      </c>
      <c r="I11" s="13">
        <f>COUNTIFS('클럭 정리'!$A$6:$A$81,"&gt;="&amp;E11,'클럭 정리'!$A$6:$A$81,"&lt;="&amp;F11)</f>
        <v/>
      </c>
      <c r="J11" s="14">
        <f>AVERAGEIFS('클럭 정리'!$N$6:$N$81,'클럭 정리'!$A$6:$A$81,"&gt;="&amp;E11,'클럭 정리'!$A$6:$A$81,"&lt;="&amp;F11)</f>
        <v/>
      </c>
      <c r="K11" s="15">
        <f>J11*'클럭 정리'!$B$2/100</f>
        <v/>
      </c>
    </row>
    <row r="12">
      <c r="A12" s="13" t="inlineStr">
        <is>
          <t>병렬도 6 분할 4</t>
        </is>
      </c>
      <c r="B12" s="13" t="n">
        <v>2</v>
      </c>
      <c r="C12" s="13" t="inlineStr">
        <is>
          <t>ForkJoinPool-4-worker-1</t>
        </is>
      </c>
      <c r="D12" s="12" t="inlineStr">
        <is>
          <t>워커</t>
        </is>
      </c>
      <c r="E12" s="10" t="n">
        <v>46238.48430879629</v>
      </c>
      <c r="F12" s="10" t="n">
        <v>46238.48433287197</v>
      </c>
      <c r="G12" s="13" t="n">
        <v>45</v>
      </c>
      <c r="H12" s="14" t="n">
        <v>2007.2478</v>
      </c>
      <c r="I12" s="13">
        <f>COUNTIFS('클럭 정리'!$A$6:$A$81,"&gt;="&amp;E12,'클럭 정리'!$A$6:$A$81,"&lt;="&amp;F12)</f>
        <v/>
      </c>
      <c r="J12" s="14">
        <f>AVERAGEIFS('클럭 정리'!$N$6:$N$81,'클럭 정리'!$A$6:$A$81,"&gt;="&amp;E12,'클럭 정리'!$A$6:$A$81,"&lt;="&amp;F12)</f>
        <v/>
      </c>
      <c r="K12" s="15">
        <f>J12*'클럭 정리'!$B$2/100</f>
        <v/>
      </c>
    </row>
    <row r="13">
      <c r="A13" s="13" t="inlineStr">
        <is>
          <t>병렬도 6 분할 4</t>
        </is>
      </c>
      <c r="B13" s="13" t="n">
        <v>2</v>
      </c>
      <c r="C13" s="13" t="inlineStr">
        <is>
          <t>ForkJoinPool-4-worker-2</t>
        </is>
      </c>
      <c r="D13" s="12" t="inlineStr">
        <is>
          <t>워커</t>
        </is>
      </c>
      <c r="E13" s="10" t="n">
        <v>46238.48430880787</v>
      </c>
      <c r="F13" s="10" t="n">
        <v>46238.48433291054</v>
      </c>
      <c r="G13" s="13" t="n">
        <v>45</v>
      </c>
      <c r="H13" s="14" t="n">
        <v>1963.245</v>
      </c>
      <c r="I13" s="13">
        <f>COUNTIFS('클럭 정리'!$A$6:$A$81,"&gt;="&amp;E13,'클럭 정리'!$A$6:$A$81,"&lt;="&amp;F13)</f>
        <v/>
      </c>
      <c r="J13" s="14">
        <f>AVERAGEIFS('클럭 정리'!$N$6:$N$81,'클럭 정리'!$A$6:$A$81,"&gt;="&amp;E13,'클럭 정리'!$A$6:$A$81,"&lt;="&amp;F13)</f>
        <v/>
      </c>
      <c r="K13" s="15">
        <f>J13*'클럭 정리'!$B$2/100</f>
        <v/>
      </c>
    </row>
    <row r="14">
      <c r="A14" s="13" t="inlineStr">
        <is>
          <t>병렬도 6 분할 4</t>
        </is>
      </c>
      <c r="B14" s="13" t="n">
        <v>2</v>
      </c>
      <c r="C14" s="13" t="inlineStr">
        <is>
          <t>ForkJoinPool-4-worker-3</t>
        </is>
      </c>
      <c r="D14" s="12" t="inlineStr">
        <is>
          <t>워커</t>
        </is>
      </c>
      <c r="E14" s="10" t="n">
        <v>46238.48430880787</v>
      </c>
      <c r="F14" s="10" t="n">
        <v>46238.4843329259</v>
      </c>
      <c r="G14" s="13" t="n">
        <v>45</v>
      </c>
      <c r="H14" s="14" t="n">
        <v>1995.3573</v>
      </c>
      <c r="I14" s="13">
        <f>COUNTIFS('클럭 정리'!$A$6:$A$81,"&gt;="&amp;E14,'클럭 정리'!$A$6:$A$81,"&lt;="&amp;F14)</f>
        <v/>
      </c>
      <c r="J14" s="14">
        <f>AVERAGEIFS('클럭 정리'!$N$6:$N$81,'클럭 정리'!$A$6:$A$81,"&gt;="&amp;E14,'클럭 정리'!$A$6:$A$81,"&lt;="&amp;F14)</f>
        <v/>
      </c>
      <c r="K14" s="15">
        <f>J14*'클럭 정리'!$B$2/100</f>
        <v/>
      </c>
    </row>
    <row r="15">
      <c r="A15" s="13" t="inlineStr">
        <is>
          <t>병렬도 6 분할 4</t>
        </is>
      </c>
      <c r="B15" s="13" t="n">
        <v>2</v>
      </c>
      <c r="C15" s="13" t="inlineStr">
        <is>
          <t>ForkJoinPool-4-worker-4</t>
        </is>
      </c>
      <c r="D15" s="12" t="inlineStr">
        <is>
          <t>워커</t>
        </is>
      </c>
      <c r="E15" s="10" t="n">
        <v>46238.48430880787</v>
      </c>
      <c r="F15" s="10" t="n">
        <v>46238.48430932836</v>
      </c>
      <c r="G15" s="13" t="n">
        <v>1</v>
      </c>
      <c r="H15" s="14" t="n">
        <v>44.9705</v>
      </c>
      <c r="I15" s="13">
        <f>COUNTIFS('클럭 정리'!$A$6:$A$81,"&gt;="&amp;E15,'클럭 정리'!$A$6:$A$81,"&lt;="&amp;F15)</f>
        <v/>
      </c>
      <c r="J15" s="14">
        <f>AVERAGEIFS('클럭 정리'!$N$6:$N$81,'클럭 정리'!$A$6:$A$81,"&gt;="&amp;E15,'클럭 정리'!$A$6:$A$81,"&lt;="&amp;F15)</f>
        <v/>
      </c>
      <c r="K15" s="15">
        <f>J15*'클럭 정리'!$B$2/100</f>
        <v/>
      </c>
    </row>
    <row r="16">
      <c r="A16" s="13" t="inlineStr">
        <is>
          <t>병렬도 6 분할 4</t>
        </is>
      </c>
      <c r="B16" s="13" t="n">
        <v>2</v>
      </c>
      <c r="C16" s="13" t="inlineStr">
        <is>
          <t>ForkJoinPool-4-worker-5</t>
        </is>
      </c>
      <c r="D16" s="12" t="inlineStr">
        <is>
          <t>워커</t>
        </is>
      </c>
      <c r="E16" s="10" t="n">
        <v>46238.48430936343</v>
      </c>
      <c r="F16" s="10" t="n">
        <v>46238.48431035136</v>
      </c>
      <c r="G16" s="13" t="n">
        <v>2</v>
      </c>
      <c r="H16" s="14" t="n">
        <v>80.9734</v>
      </c>
      <c r="I16" s="13">
        <f>COUNTIFS('클럭 정리'!$A$6:$A$81,"&gt;="&amp;E16,'클럭 정리'!$A$6:$A$81,"&lt;="&amp;F16)</f>
        <v/>
      </c>
      <c r="J16" s="14">
        <f>AVERAGEIFS('클럭 정리'!$N$6:$N$81,'클럭 정리'!$A$6:$A$81,"&gt;="&amp;E16,'클럭 정리'!$A$6:$A$81,"&lt;="&amp;F16)</f>
        <v/>
      </c>
      <c r="K16" s="15">
        <f>J16*'클럭 정리'!$B$2/100</f>
        <v/>
      </c>
    </row>
    <row r="17">
      <c r="A17" s="13" t="inlineStr">
        <is>
          <t>병렬도 6 분할 4</t>
        </is>
      </c>
      <c r="B17" s="13" t="n">
        <v>2</v>
      </c>
      <c r="C17" s="13" t="inlineStr">
        <is>
          <t>ForkJoinPool-4-worker-6</t>
        </is>
      </c>
      <c r="D17" s="12" t="inlineStr">
        <is>
          <t>워커</t>
        </is>
      </c>
      <c r="E17" s="10" t="n">
        <v>46238.48431046296</v>
      </c>
      <c r="F17" s="10" t="n">
        <v>46238.4843328539</v>
      </c>
      <c r="G17" s="13" t="n">
        <v>42</v>
      </c>
      <c r="H17" s="14" t="n">
        <v>1843.5104</v>
      </c>
      <c r="I17" s="13">
        <f>COUNTIFS('클럭 정리'!$A$6:$A$81,"&gt;="&amp;E17,'클럭 정리'!$A$6:$A$81,"&lt;="&amp;F17)</f>
        <v/>
      </c>
      <c r="J17" s="14">
        <f>AVERAGEIFS('클럭 정리'!$N$6:$N$81,'클럭 정리'!$A$6:$A$81,"&gt;="&amp;E17,'클럭 정리'!$A$6:$A$81,"&lt;="&amp;F17)</f>
        <v/>
      </c>
      <c r="K17" s="15">
        <f>J17*'클럭 정리'!$B$2/100</f>
        <v/>
      </c>
    </row>
    <row r="18">
      <c r="A18" s="13" t="inlineStr">
        <is>
          <t>병렬도 6 분할 4</t>
        </is>
      </c>
      <c r="B18" s="13" t="n">
        <v>2</v>
      </c>
      <c r="C18" s="13" t="inlineStr">
        <is>
          <t>main</t>
        </is>
      </c>
      <c r="D18" s="12" t="inlineStr">
        <is>
          <t>main (활동 시간 합 = 그 회차 mainCPU, 창은 워커와 겹침)</t>
        </is>
      </c>
      <c r="E18" s="10" t="n">
        <v>46238.48430879629</v>
      </c>
      <c r="F18" s="10" t="n">
        <v>46238.48433292872</v>
      </c>
      <c r="G18" s="13" t="n">
        <v>45</v>
      </c>
      <c r="H18" s="14" t="n">
        <v>15.625</v>
      </c>
      <c r="I18" s="13">
        <f>COUNTIFS('클럭 정리'!$A$6:$A$81,"&gt;="&amp;E18,'클럭 정리'!$A$6:$A$81,"&lt;="&amp;F18)</f>
        <v/>
      </c>
      <c r="J18" s="14">
        <f>AVERAGEIFS('클럭 정리'!$N$6:$N$81,'클럭 정리'!$A$6:$A$81,"&gt;="&amp;E18,'클럭 정리'!$A$6:$A$81,"&lt;="&amp;F18)</f>
        <v/>
      </c>
      <c r="K18" s="15">
        <f>J18*'클럭 정리'!$B$2/100</f>
        <v/>
      </c>
    </row>
    <row r="19">
      <c r="A19" s="13" t="inlineStr">
        <is>
          <t>병렬도 6 분할 4</t>
        </is>
      </c>
      <c r="B19" s="13" t="n">
        <v>3</v>
      </c>
      <c r="C19" s="13" t="inlineStr">
        <is>
          <t>ForkJoinPool-5-worker-1</t>
        </is>
      </c>
      <c r="D19" s="12" t="inlineStr">
        <is>
          <t>워커</t>
        </is>
      </c>
      <c r="E19" s="10" t="n">
        <v>46238.48433293981</v>
      </c>
      <c r="F19" s="10" t="n">
        <v>46238.48435695161</v>
      </c>
      <c r="G19" s="13" t="n">
        <v>45</v>
      </c>
      <c r="H19" s="14" t="n">
        <v>1972.8293</v>
      </c>
      <c r="I19" s="13">
        <f>COUNTIFS('클럭 정리'!$A$6:$A$81,"&gt;="&amp;E19,'클럭 정리'!$A$6:$A$81,"&lt;="&amp;F19)</f>
        <v/>
      </c>
      <c r="J19" s="14">
        <f>AVERAGEIFS('클럭 정리'!$N$6:$N$81,'클럭 정리'!$A$6:$A$81,"&gt;="&amp;E19,'클럭 정리'!$A$6:$A$81,"&lt;="&amp;F19)</f>
        <v/>
      </c>
      <c r="K19" s="15">
        <f>J19*'클럭 정리'!$B$2/100</f>
        <v/>
      </c>
    </row>
    <row r="20">
      <c r="A20" s="13" t="inlineStr">
        <is>
          <t>병렬도 6 분할 4</t>
        </is>
      </c>
      <c r="B20" s="13" t="n">
        <v>3</v>
      </c>
      <c r="C20" s="13" t="inlineStr">
        <is>
          <t>ForkJoinPool-5-worker-2</t>
        </is>
      </c>
      <c r="D20" s="12" t="inlineStr">
        <is>
          <t>워커</t>
        </is>
      </c>
      <c r="E20" s="10" t="n">
        <v>46238.48433293981</v>
      </c>
      <c r="F20" s="10" t="n">
        <v>46238.48435689059</v>
      </c>
      <c r="G20" s="13" t="n">
        <v>45</v>
      </c>
      <c r="H20" s="14" t="n">
        <v>1929.8484</v>
      </c>
      <c r="I20" s="13">
        <f>COUNTIFS('클럭 정리'!$A$6:$A$81,"&gt;="&amp;E20,'클럭 정리'!$A$6:$A$81,"&lt;="&amp;F20)</f>
        <v/>
      </c>
      <c r="J20" s="14">
        <f>AVERAGEIFS('클럭 정리'!$N$6:$N$81,'클럭 정리'!$A$6:$A$81,"&gt;="&amp;E20,'클럭 정리'!$A$6:$A$81,"&lt;="&amp;F20)</f>
        <v/>
      </c>
      <c r="K20" s="15">
        <f>J20*'클럭 정리'!$B$2/100</f>
        <v/>
      </c>
    </row>
    <row r="21">
      <c r="A21" s="13" t="inlineStr">
        <is>
          <t>병렬도 6 분할 4</t>
        </is>
      </c>
      <c r="B21" s="13" t="n">
        <v>3</v>
      </c>
      <c r="C21" s="13" t="inlineStr">
        <is>
          <t>ForkJoinPool-5-worker-3</t>
        </is>
      </c>
      <c r="D21" s="12" t="inlineStr">
        <is>
          <t>워커</t>
        </is>
      </c>
      <c r="E21" s="10" t="n">
        <v>46238.48433293981</v>
      </c>
      <c r="F21" s="10" t="n">
        <v>46238.48433342415</v>
      </c>
      <c r="G21" s="13" t="n">
        <v>1</v>
      </c>
      <c r="H21" s="14" t="n">
        <v>41.8474</v>
      </c>
      <c r="I21" s="13">
        <f>COUNTIFS('클럭 정리'!$A$6:$A$81,"&gt;="&amp;E21,'클럭 정리'!$A$6:$A$81,"&lt;="&amp;F21)</f>
        <v/>
      </c>
      <c r="J21" s="14">
        <f>AVERAGEIFS('클럭 정리'!$N$6:$N$81,'클럭 정리'!$A$6:$A$81,"&gt;="&amp;E21,'클럭 정리'!$A$6:$A$81,"&lt;="&amp;F21)</f>
        <v/>
      </c>
      <c r="K21" s="15">
        <f>J21*'클럭 정리'!$B$2/100</f>
        <v/>
      </c>
    </row>
    <row r="22">
      <c r="A22" s="13" t="inlineStr">
        <is>
          <t>병렬도 6 분할 4</t>
        </is>
      </c>
      <c r="B22" s="13" t="n">
        <v>3</v>
      </c>
      <c r="C22" s="13" t="inlineStr">
        <is>
          <t>ForkJoinPool-5-worker-4</t>
        </is>
      </c>
      <c r="D22" s="12" t="inlineStr">
        <is>
          <t>워커</t>
        </is>
      </c>
      <c r="E22" s="10" t="n">
        <v>46238.48433295139</v>
      </c>
      <c r="F22" s="10" t="n">
        <v>46238.4843569763</v>
      </c>
      <c r="G22" s="13" t="n">
        <v>45</v>
      </c>
      <c r="H22" s="14" t="n">
        <v>2003.5493</v>
      </c>
      <c r="I22" s="13">
        <f>COUNTIFS('클럭 정리'!$A$6:$A$81,"&gt;="&amp;E22,'클럭 정리'!$A$6:$A$81,"&lt;="&amp;F22)</f>
        <v/>
      </c>
      <c r="J22" s="14">
        <f>AVERAGEIFS('클럭 정리'!$N$6:$N$81,'클럭 정리'!$A$6:$A$81,"&gt;="&amp;E22,'클럭 정리'!$A$6:$A$81,"&lt;="&amp;F22)</f>
        <v/>
      </c>
      <c r="K22" s="15">
        <f>J22*'클럭 정리'!$B$2/100</f>
        <v/>
      </c>
    </row>
    <row r="23">
      <c r="A23" s="13" t="inlineStr">
        <is>
          <t>병렬도 6 분할 4</t>
        </is>
      </c>
      <c r="B23" s="13" t="n">
        <v>3</v>
      </c>
      <c r="C23" s="13" t="inlineStr">
        <is>
          <t>ForkJoinPool-5-worker-5</t>
        </is>
      </c>
      <c r="D23" s="12" t="inlineStr">
        <is>
          <t>워커</t>
        </is>
      </c>
      <c r="E23" s="10" t="n">
        <v>46238.48433348379</v>
      </c>
      <c r="F23" s="10" t="n">
        <v>46238.48435692064</v>
      </c>
      <c r="G23" s="13" t="n">
        <v>40</v>
      </c>
      <c r="H23" s="14" t="n">
        <v>1715.5962</v>
      </c>
      <c r="I23" s="13">
        <f>COUNTIFS('클럭 정리'!$A$6:$A$81,"&gt;="&amp;E23,'클럭 정리'!$A$6:$A$81,"&lt;="&amp;F23)</f>
        <v/>
      </c>
      <c r="J23" s="14">
        <f>AVERAGEIFS('클럭 정리'!$N$6:$N$81,'클럭 정리'!$A$6:$A$81,"&gt;="&amp;E23,'클럭 정리'!$A$6:$A$81,"&lt;="&amp;F23)</f>
        <v/>
      </c>
      <c r="K23" s="15">
        <f>J23*'클럭 정리'!$B$2/100</f>
        <v/>
      </c>
    </row>
    <row r="24">
      <c r="A24" s="13" t="inlineStr">
        <is>
          <t>병렬도 6 분할 4</t>
        </is>
      </c>
      <c r="B24" s="13" t="n">
        <v>3</v>
      </c>
      <c r="C24" s="13" t="inlineStr">
        <is>
          <t>ForkJoinPool-5-worker-6</t>
        </is>
      </c>
      <c r="D24" s="12" t="inlineStr">
        <is>
          <t>워커</t>
        </is>
      </c>
      <c r="E24" s="10" t="n">
        <v>46238.48433456018</v>
      </c>
      <c r="F24" s="10" t="n">
        <v>46238.48433663017</v>
      </c>
      <c r="G24" s="13" t="n">
        <v>4</v>
      </c>
      <c r="H24" s="14" t="n">
        <v>170.0441</v>
      </c>
      <c r="I24" s="13">
        <f>COUNTIFS('클럭 정리'!$A$6:$A$81,"&gt;="&amp;E24,'클럭 정리'!$A$6:$A$81,"&lt;="&amp;F24)</f>
        <v/>
      </c>
      <c r="J24" s="14">
        <f>AVERAGEIFS('클럭 정리'!$N$6:$N$81,'클럭 정리'!$A$6:$A$81,"&gt;="&amp;E24,'클럭 정리'!$A$6:$A$81,"&lt;="&amp;F24)</f>
        <v/>
      </c>
      <c r="K24" s="15">
        <f>J24*'클럭 정리'!$B$2/100</f>
        <v/>
      </c>
    </row>
    <row r="25">
      <c r="A25" s="13" t="inlineStr">
        <is>
          <t>병렬도 6 분할 4</t>
        </is>
      </c>
      <c r="B25" s="13" t="n">
        <v>3</v>
      </c>
      <c r="C25" s="13" t="inlineStr">
        <is>
          <t>main</t>
        </is>
      </c>
      <c r="D25" s="12" t="inlineStr">
        <is>
          <t>main (활동 시간 합 = 그 회차 mainCPU, 창은 워커와 겹침)</t>
        </is>
      </c>
      <c r="E25" s="10" t="n">
        <v>46238.48433293981</v>
      </c>
      <c r="F25" s="10" t="n">
        <v>46238.48435697817</v>
      </c>
      <c r="G25" s="13" t="n">
        <v>45</v>
      </c>
      <c r="H25" s="14" t="n">
        <v>15.625</v>
      </c>
      <c r="I25" s="13">
        <f>COUNTIFS('클럭 정리'!$A$6:$A$81,"&gt;="&amp;E25,'클럭 정리'!$A$6:$A$81,"&lt;="&amp;F25)</f>
        <v/>
      </c>
      <c r="J25" s="14">
        <f>AVERAGEIFS('클럭 정리'!$N$6:$N$81,'클럭 정리'!$A$6:$A$81,"&gt;="&amp;E25,'클럭 정리'!$A$6:$A$81,"&lt;="&amp;F25)</f>
        <v/>
      </c>
      <c r="K25" s="15">
        <f>J25*'클럭 정리'!$B$2/100</f>
        <v/>
      </c>
    </row>
    <row r="26">
      <c r="A26" s="13" t="inlineStr">
        <is>
          <t>병렬도 6 분할 4</t>
        </is>
      </c>
      <c r="B26" s="13" t="n">
        <v>4</v>
      </c>
      <c r="C26" s="13" t="inlineStr">
        <is>
          <t>ForkJoinPool-6-worker-1</t>
        </is>
      </c>
      <c r="D26" s="12" t="inlineStr">
        <is>
          <t>워커</t>
        </is>
      </c>
      <c r="E26" s="10" t="n">
        <v>46238.48435699074</v>
      </c>
      <c r="F26" s="10" t="n">
        <v>46238.48438102962</v>
      </c>
      <c r="G26" s="13" t="n">
        <v>45</v>
      </c>
      <c r="H26" s="14" t="n">
        <v>1991.2663</v>
      </c>
      <c r="I26" s="13">
        <f>COUNTIFS('클럭 정리'!$A$6:$A$81,"&gt;="&amp;E26,'클럭 정리'!$A$6:$A$81,"&lt;="&amp;F26)</f>
        <v/>
      </c>
      <c r="J26" s="14">
        <f>AVERAGEIFS('클럭 정리'!$N$6:$N$81,'클럭 정리'!$A$6:$A$81,"&gt;="&amp;E26,'클럭 정리'!$A$6:$A$81,"&lt;="&amp;F26)</f>
        <v/>
      </c>
      <c r="K26" s="15">
        <f>J26*'클럭 정리'!$B$2/100</f>
        <v/>
      </c>
    </row>
    <row r="27">
      <c r="A27" s="13" t="inlineStr">
        <is>
          <t>병렬도 6 분할 4</t>
        </is>
      </c>
      <c r="B27" s="13" t="n">
        <v>4</v>
      </c>
      <c r="C27" s="13" t="inlineStr">
        <is>
          <t>ForkJoinPool-6-worker-2</t>
        </is>
      </c>
      <c r="D27" s="12" t="inlineStr">
        <is>
          <t>워커</t>
        </is>
      </c>
      <c r="E27" s="10" t="n">
        <v>46238.48435699074</v>
      </c>
      <c r="F27" s="10" t="n">
        <v>46238.48438099567</v>
      </c>
      <c r="G27" s="13" t="n">
        <v>45</v>
      </c>
      <c r="H27" s="14" t="n">
        <v>1947.8011</v>
      </c>
      <c r="I27" s="13">
        <f>COUNTIFS('클럭 정리'!$A$6:$A$81,"&gt;="&amp;E27,'클럭 정리'!$A$6:$A$81,"&lt;="&amp;F27)</f>
        <v/>
      </c>
      <c r="J27" s="14">
        <f>AVERAGEIFS('클럭 정리'!$N$6:$N$81,'클럭 정리'!$A$6:$A$81,"&gt;="&amp;E27,'클럭 정리'!$A$6:$A$81,"&lt;="&amp;F27)</f>
        <v/>
      </c>
      <c r="K27" s="15">
        <f>J27*'클럭 정리'!$B$2/100</f>
        <v/>
      </c>
    </row>
    <row r="28">
      <c r="A28" s="13" t="inlineStr">
        <is>
          <t>병렬도 6 분할 4</t>
        </is>
      </c>
      <c r="B28" s="13" t="n">
        <v>4</v>
      </c>
      <c r="C28" s="13" t="inlineStr">
        <is>
          <t>ForkJoinPool-6-worker-3</t>
        </is>
      </c>
      <c r="D28" s="12" t="inlineStr">
        <is>
          <t>워커</t>
        </is>
      </c>
      <c r="E28" s="10" t="n">
        <v>46238.48435699074</v>
      </c>
      <c r="F28" s="10" t="n">
        <v>46238.48438100897</v>
      </c>
      <c r="G28" s="13" t="n">
        <v>45</v>
      </c>
      <c r="H28" s="14" t="n">
        <v>1991.0333</v>
      </c>
      <c r="I28" s="13">
        <f>COUNTIFS('클럭 정리'!$A$6:$A$81,"&gt;="&amp;E28,'클럭 정리'!$A$6:$A$81,"&lt;="&amp;F28)</f>
        <v/>
      </c>
      <c r="J28" s="14">
        <f>AVERAGEIFS('클럭 정리'!$N$6:$N$81,'클럭 정리'!$A$6:$A$81,"&gt;="&amp;E28,'클럭 정리'!$A$6:$A$81,"&lt;="&amp;F28)</f>
        <v/>
      </c>
      <c r="K28" s="15">
        <f>J28*'클럭 정리'!$B$2/100</f>
        <v/>
      </c>
    </row>
    <row r="29">
      <c r="A29" s="13" t="inlineStr">
        <is>
          <t>병렬도 6 분할 4</t>
        </is>
      </c>
      <c r="B29" s="13" t="n">
        <v>4</v>
      </c>
      <c r="C29" s="13" t="inlineStr">
        <is>
          <t>ForkJoinPool-6-worker-4</t>
        </is>
      </c>
      <c r="D29" s="12" t="inlineStr">
        <is>
          <t>워커</t>
        </is>
      </c>
      <c r="E29" s="10" t="n">
        <v>46238.48435699074</v>
      </c>
      <c r="F29" s="10" t="n">
        <v>46238.48435747392</v>
      </c>
      <c r="G29" s="13" t="n">
        <v>1</v>
      </c>
      <c r="H29" s="14" t="n">
        <v>41.7468</v>
      </c>
      <c r="I29" s="13">
        <f>COUNTIFS('클럭 정리'!$A$6:$A$81,"&gt;="&amp;E29,'클럭 정리'!$A$6:$A$81,"&lt;="&amp;F29)</f>
        <v/>
      </c>
      <c r="J29" s="14">
        <f>AVERAGEIFS('클럭 정리'!$N$6:$N$81,'클럭 정리'!$A$6:$A$81,"&gt;="&amp;E29,'클럭 정리'!$A$6:$A$81,"&lt;="&amp;F29)</f>
        <v/>
      </c>
      <c r="K29" s="15">
        <f>J29*'클럭 정리'!$B$2/100</f>
        <v/>
      </c>
    </row>
    <row r="30">
      <c r="A30" s="13" t="inlineStr">
        <is>
          <t>병렬도 6 분할 4</t>
        </is>
      </c>
      <c r="B30" s="13" t="n">
        <v>4</v>
      </c>
      <c r="C30" s="13" t="inlineStr">
        <is>
          <t>ForkJoinPool-6-worker-5</t>
        </is>
      </c>
      <c r="D30" s="12" t="inlineStr">
        <is>
          <t>워커</t>
        </is>
      </c>
      <c r="E30" s="10" t="n">
        <v>46238.48435753473</v>
      </c>
      <c r="F30" s="10" t="n">
        <v>46238.48435804337</v>
      </c>
      <c r="G30" s="13" t="n">
        <v>1</v>
      </c>
      <c r="H30" s="14" t="n">
        <v>43.9468</v>
      </c>
      <c r="I30" s="13">
        <f>COUNTIFS('클럭 정리'!$A$6:$A$81,"&gt;="&amp;E30,'클럭 정리'!$A$6:$A$81,"&lt;="&amp;F30)</f>
        <v/>
      </c>
      <c r="J30" s="14">
        <f>AVERAGEIFS('클럭 정리'!$N$6:$N$81,'클럭 정리'!$A$6:$A$81,"&gt;="&amp;E30,'클럭 정리'!$A$6:$A$81,"&lt;="&amp;F30)</f>
        <v/>
      </c>
      <c r="K30" s="15">
        <f>J30*'클럭 정리'!$B$2/100</f>
        <v/>
      </c>
    </row>
    <row r="31">
      <c r="A31" s="13" t="inlineStr">
        <is>
          <t>병렬도 6 분할 4</t>
        </is>
      </c>
      <c r="B31" s="13" t="n">
        <v>4</v>
      </c>
      <c r="C31" s="13" t="inlineStr">
        <is>
          <t>ForkJoinPool-6-worker-6</t>
        </is>
      </c>
      <c r="D31" s="12" t="inlineStr">
        <is>
          <t>워커</t>
        </is>
      </c>
      <c r="E31" s="10" t="n">
        <v>46238.48435807871</v>
      </c>
      <c r="F31" s="10" t="n">
        <v>46238.48438101182</v>
      </c>
      <c r="G31" s="13" t="n">
        <v>43</v>
      </c>
      <c r="H31" s="14" t="n">
        <v>1902.8636</v>
      </c>
      <c r="I31" s="13">
        <f>COUNTIFS('클럭 정리'!$A$6:$A$81,"&gt;="&amp;E31,'클럭 정리'!$A$6:$A$81,"&lt;="&amp;F31)</f>
        <v/>
      </c>
      <c r="J31" s="14">
        <f>AVERAGEIFS('클럭 정리'!$N$6:$N$81,'클럭 정리'!$A$6:$A$81,"&gt;="&amp;E31,'클럭 정리'!$A$6:$A$81,"&lt;="&amp;F31)</f>
        <v/>
      </c>
      <c r="K31" s="15">
        <f>J31*'클럭 정리'!$B$2/100</f>
        <v/>
      </c>
    </row>
    <row r="32">
      <c r="A32" s="13" t="inlineStr">
        <is>
          <t>병렬도 6 분할 4</t>
        </is>
      </c>
      <c r="B32" s="13" t="n">
        <v>4</v>
      </c>
      <c r="C32" s="13" t="inlineStr">
        <is>
          <t>main</t>
        </is>
      </c>
      <c r="D32" s="12" t="inlineStr">
        <is>
          <t>main (활동 시간 합 = 그 회차 mainCPU, 창은 워커와 겹침)</t>
        </is>
      </c>
      <c r="E32" s="10" t="n">
        <v>46238.48435697917</v>
      </c>
      <c r="F32" s="10" t="n">
        <v>46238.48438103104</v>
      </c>
      <c r="G32" s="13" t="n">
        <v>45</v>
      </c>
      <c r="H32" s="14" t="n">
        <v>0</v>
      </c>
      <c r="I32" s="13">
        <f>COUNTIFS('클럭 정리'!$A$6:$A$81,"&gt;="&amp;E32,'클럭 정리'!$A$6:$A$81,"&lt;="&amp;F32)</f>
        <v/>
      </c>
      <c r="J32" s="14">
        <f>AVERAGEIFS('클럭 정리'!$N$6:$N$81,'클럭 정리'!$A$6:$A$81,"&gt;="&amp;E32,'클럭 정리'!$A$6:$A$81,"&lt;="&amp;F32)</f>
        <v/>
      </c>
      <c r="K32" s="15">
        <f>J32*'클럭 정리'!$B$2/100</f>
        <v/>
      </c>
    </row>
    <row r="33">
      <c r="A33" s="13" t="inlineStr">
        <is>
          <t>병렬도 6 분할 4</t>
        </is>
      </c>
      <c r="B33" s="13" t="n">
        <v>5</v>
      </c>
      <c r="C33" s="13" t="inlineStr">
        <is>
          <t>ForkJoinPool-7-worker-1</t>
        </is>
      </c>
      <c r="D33" s="12" t="inlineStr">
        <is>
          <t>워커</t>
        </is>
      </c>
      <c r="E33" s="10" t="n">
        <v>46238.48438104166</v>
      </c>
      <c r="F33" s="10" t="n">
        <v>46238.48440480322</v>
      </c>
      <c r="G33" s="13" t="n">
        <v>45</v>
      </c>
      <c r="H33" s="14" t="n">
        <v>1966.4182</v>
      </c>
      <c r="I33" s="13">
        <f>COUNTIFS('클럭 정리'!$A$6:$A$81,"&gt;="&amp;E33,'클럭 정리'!$A$6:$A$81,"&lt;="&amp;F33)</f>
        <v/>
      </c>
      <c r="J33" s="14">
        <f>AVERAGEIFS('클럭 정리'!$N$6:$N$81,'클럭 정리'!$A$6:$A$81,"&gt;="&amp;E33,'클럭 정리'!$A$6:$A$81,"&lt;="&amp;F33)</f>
        <v/>
      </c>
      <c r="K33" s="15">
        <f>J33*'클럭 정리'!$B$2/100</f>
        <v/>
      </c>
    </row>
    <row r="34">
      <c r="A34" s="13" t="inlineStr">
        <is>
          <t>병렬도 6 분할 4</t>
        </is>
      </c>
      <c r="B34" s="13" t="n">
        <v>5</v>
      </c>
      <c r="C34" s="13" t="inlineStr">
        <is>
          <t>ForkJoinPool-7-worker-2</t>
        </is>
      </c>
      <c r="D34" s="12" t="inlineStr">
        <is>
          <t>워커</t>
        </is>
      </c>
      <c r="E34" s="10" t="n">
        <v>46238.48438105324</v>
      </c>
      <c r="F34" s="10" t="n">
        <v>46238.48440479993</v>
      </c>
      <c r="G34" s="13" t="n">
        <v>45</v>
      </c>
      <c r="H34" s="14" t="n">
        <v>1898.9339</v>
      </c>
      <c r="I34" s="13">
        <f>COUNTIFS('클럭 정리'!$A$6:$A$81,"&gt;="&amp;E34,'클럭 정리'!$A$6:$A$81,"&lt;="&amp;F34)</f>
        <v/>
      </c>
      <c r="J34" s="14">
        <f>AVERAGEIFS('클럭 정리'!$N$6:$N$81,'클럭 정리'!$A$6:$A$81,"&gt;="&amp;E34,'클럭 정리'!$A$6:$A$81,"&lt;="&amp;F34)</f>
        <v/>
      </c>
      <c r="K34" s="15">
        <f>J34*'클럭 정리'!$B$2/100</f>
        <v/>
      </c>
    </row>
    <row r="35">
      <c r="A35" s="13" t="inlineStr">
        <is>
          <t>병렬도 6 분할 4</t>
        </is>
      </c>
      <c r="B35" s="13" t="n">
        <v>5</v>
      </c>
      <c r="C35" s="13" t="inlineStr">
        <is>
          <t>ForkJoinPool-7-worker-3</t>
        </is>
      </c>
      <c r="D35" s="12" t="inlineStr">
        <is>
          <t>워커</t>
        </is>
      </c>
      <c r="E35" s="10" t="n">
        <v>46238.48438105324</v>
      </c>
      <c r="F35" s="10" t="n">
        <v>46238.48440478421</v>
      </c>
      <c r="G35" s="13" t="n">
        <v>16</v>
      </c>
      <c r="H35" s="14" t="n">
        <v>664.0279</v>
      </c>
      <c r="I35" s="13">
        <f>COUNTIFS('클럭 정리'!$A$6:$A$81,"&gt;="&amp;E35,'클럭 정리'!$A$6:$A$81,"&lt;="&amp;F35)</f>
        <v/>
      </c>
      <c r="J35" s="14">
        <f>AVERAGEIFS('클럭 정리'!$N$6:$N$81,'클럭 정리'!$A$6:$A$81,"&gt;="&amp;E35,'클럭 정리'!$A$6:$A$81,"&lt;="&amp;F35)</f>
        <v/>
      </c>
      <c r="K35" s="15">
        <f>J35*'클럭 정리'!$B$2/100</f>
        <v/>
      </c>
    </row>
    <row r="36">
      <c r="A36" s="13" t="inlineStr">
        <is>
          <t>병렬도 6 분할 4</t>
        </is>
      </c>
      <c r="B36" s="13" t="n">
        <v>5</v>
      </c>
      <c r="C36" s="13" t="inlineStr">
        <is>
          <t>ForkJoinPool-7-worker-4</t>
        </is>
      </c>
      <c r="D36" s="12" t="inlineStr">
        <is>
          <t>워커</t>
        </is>
      </c>
      <c r="E36" s="10" t="n">
        <v>46238.48438105324</v>
      </c>
      <c r="F36" s="10" t="n">
        <v>46238.48440483212</v>
      </c>
      <c r="G36" s="13" t="n">
        <v>45</v>
      </c>
      <c r="H36" s="14" t="n">
        <v>2011.4396</v>
      </c>
      <c r="I36" s="13">
        <f>COUNTIFS('클럭 정리'!$A$6:$A$81,"&gt;="&amp;E36,'클럭 정리'!$A$6:$A$81,"&lt;="&amp;F36)</f>
        <v/>
      </c>
      <c r="J36" s="14">
        <f>AVERAGEIFS('클럭 정리'!$N$6:$N$81,'클럭 정리'!$A$6:$A$81,"&gt;="&amp;E36,'클럭 정리'!$A$6:$A$81,"&lt;="&amp;F36)</f>
        <v/>
      </c>
      <c r="K36" s="15">
        <f>J36*'클럭 정리'!$B$2/100</f>
        <v/>
      </c>
    </row>
    <row r="37">
      <c r="A37" s="13" t="inlineStr">
        <is>
          <t>병렬도 6 분할 4</t>
        </is>
      </c>
      <c r="B37" s="13" t="n">
        <v>5</v>
      </c>
      <c r="C37" s="13" t="inlineStr">
        <is>
          <t>ForkJoinPool-7-worker-6</t>
        </is>
      </c>
      <c r="D37" s="12" t="inlineStr">
        <is>
          <t>워커</t>
        </is>
      </c>
      <c r="E37" s="10" t="n">
        <v>46238.48438211805</v>
      </c>
      <c r="F37" s="10" t="n">
        <v>46238.48439750107</v>
      </c>
      <c r="G37" s="13" t="n">
        <v>29</v>
      </c>
      <c r="H37" s="14" t="n">
        <v>1238.1843</v>
      </c>
      <c r="I37" s="13">
        <f>COUNTIFS('클럭 정리'!$A$6:$A$81,"&gt;="&amp;E37,'클럭 정리'!$A$6:$A$81,"&lt;="&amp;F37)</f>
        <v/>
      </c>
      <c r="J37" s="14">
        <f>AVERAGEIFS('클럭 정리'!$N$6:$N$81,'클럭 정리'!$A$6:$A$81,"&gt;="&amp;E37,'클럭 정리'!$A$6:$A$81,"&lt;="&amp;F37)</f>
        <v/>
      </c>
      <c r="K37" s="15">
        <f>J37*'클럭 정리'!$B$2/100</f>
        <v/>
      </c>
    </row>
    <row r="38">
      <c r="A38" s="13" t="inlineStr">
        <is>
          <t>병렬도 6 분할 4</t>
        </is>
      </c>
      <c r="B38" s="13" t="n">
        <v>5</v>
      </c>
      <c r="C38" s="13" t="inlineStr">
        <is>
          <t>main</t>
        </is>
      </c>
      <c r="D38" s="12" t="inlineStr">
        <is>
          <t>main (활동 시간 합 = 그 회차 mainCPU, 창은 워커와 겹침)</t>
        </is>
      </c>
      <c r="E38" s="10" t="n">
        <v>46238.48438104166</v>
      </c>
      <c r="F38" s="10" t="n">
        <v>46238.48440483399</v>
      </c>
      <c r="G38" s="13" t="n">
        <v>45</v>
      </c>
      <c r="H38" s="14" t="n">
        <v>0</v>
      </c>
      <c r="I38" s="13">
        <f>COUNTIFS('클럭 정리'!$A$6:$A$81,"&gt;="&amp;E38,'클럭 정리'!$A$6:$A$81,"&lt;="&amp;F38)</f>
        <v/>
      </c>
      <c r="J38" s="14">
        <f>AVERAGEIFS('클럭 정리'!$N$6:$N$81,'클럭 정리'!$A$6:$A$81,"&gt;="&amp;E38,'클럭 정리'!$A$6:$A$81,"&lt;="&amp;F38)</f>
        <v/>
      </c>
      <c r="K38" s="15">
        <f>J38*'클럭 정리'!$B$2/100</f>
        <v/>
      </c>
    </row>
    <row r="39">
      <c r="A39" s="13" t="inlineStr">
        <is>
          <t>병렬도 12 분할 4</t>
        </is>
      </c>
      <c r="B39" s="13" t="n">
        <v>1</v>
      </c>
      <c r="C39" s="13" t="inlineStr">
        <is>
          <t>ForkJoinPool-11-worker-1</t>
        </is>
      </c>
      <c r="D39" s="12" t="inlineStr">
        <is>
          <t>워커</t>
        </is>
      </c>
      <c r="E39" s="10" t="n">
        <v>46238.48447734954</v>
      </c>
      <c r="F39" s="10" t="n">
        <v>46238.48450109147</v>
      </c>
      <c r="G39" s="13" t="n">
        <v>45</v>
      </c>
      <c r="H39" s="14" t="n">
        <v>1941.8384</v>
      </c>
      <c r="I39" s="13">
        <f>COUNTIFS('클럭 정리'!$A$6:$A$81,"&gt;="&amp;E39,'클럭 정리'!$A$6:$A$81,"&lt;="&amp;F39)</f>
        <v/>
      </c>
      <c r="J39" s="14">
        <f>AVERAGEIFS('클럭 정리'!$N$6:$N$81,'클럭 정리'!$A$6:$A$81,"&gt;="&amp;E39,'클럭 정리'!$A$6:$A$81,"&lt;="&amp;F39)</f>
        <v/>
      </c>
      <c r="K39" s="15">
        <f>J39*'클럭 정리'!$B$2/100</f>
        <v/>
      </c>
    </row>
    <row r="40">
      <c r="A40" s="13" t="inlineStr">
        <is>
          <t>병렬도 12 분할 4</t>
        </is>
      </c>
      <c r="B40" s="13" t="n">
        <v>1</v>
      </c>
      <c r="C40" s="13" t="inlineStr">
        <is>
          <t>ForkJoinPool-11-worker-10</t>
        </is>
      </c>
      <c r="D40" s="12" t="inlineStr">
        <is>
          <t>워커</t>
        </is>
      </c>
      <c r="E40" s="10" t="n">
        <v>46238.48448059028</v>
      </c>
      <c r="F40" s="10" t="n">
        <v>46238.48449375648</v>
      </c>
      <c r="G40" s="13" t="n">
        <v>25</v>
      </c>
      <c r="H40" s="14" t="n">
        <v>1045.787</v>
      </c>
      <c r="I40" s="13">
        <f>COUNTIFS('클럭 정리'!$A$6:$A$81,"&gt;="&amp;E40,'클럭 정리'!$A$6:$A$81,"&lt;="&amp;F40)</f>
        <v/>
      </c>
      <c r="J40" s="14">
        <f>AVERAGEIFS('클럭 정리'!$N$6:$N$81,'클럭 정리'!$A$6:$A$81,"&gt;="&amp;E40,'클럭 정리'!$A$6:$A$81,"&lt;="&amp;F40)</f>
        <v/>
      </c>
      <c r="K40" s="15">
        <f>J40*'클럭 정리'!$B$2/100</f>
        <v/>
      </c>
    </row>
    <row r="41">
      <c r="A41" s="13" t="inlineStr">
        <is>
          <t>병렬도 12 분할 4</t>
        </is>
      </c>
      <c r="B41" s="13" t="n">
        <v>1</v>
      </c>
      <c r="C41" s="13" t="inlineStr">
        <is>
          <t>ForkJoinPool-11-worker-11</t>
        </is>
      </c>
      <c r="D41" s="12" t="inlineStr">
        <is>
          <t>워커</t>
        </is>
      </c>
      <c r="E41" s="10" t="n">
        <v>46238.48448114583</v>
      </c>
      <c r="F41" s="10" t="n">
        <v>46238.48450110178</v>
      </c>
      <c r="G41" s="13" t="n">
        <v>15</v>
      </c>
      <c r="H41" s="14" t="n">
        <v>646.8448</v>
      </c>
      <c r="I41" s="13">
        <f>COUNTIFS('클럭 정리'!$A$6:$A$81,"&gt;="&amp;E41,'클럭 정리'!$A$6:$A$81,"&lt;="&amp;F41)</f>
        <v/>
      </c>
      <c r="J41" s="14">
        <f>AVERAGEIFS('클럭 정리'!$N$6:$N$81,'클럭 정리'!$A$6:$A$81,"&gt;="&amp;E41,'클럭 정리'!$A$6:$A$81,"&lt;="&amp;F41)</f>
        <v/>
      </c>
      <c r="K41" s="15">
        <f>J41*'클럭 정리'!$B$2/100</f>
        <v/>
      </c>
    </row>
    <row r="42">
      <c r="A42" s="13" t="inlineStr">
        <is>
          <t>병렬도 12 분할 4</t>
        </is>
      </c>
      <c r="B42" s="13" t="n">
        <v>1</v>
      </c>
      <c r="C42" s="13" t="inlineStr">
        <is>
          <t>ForkJoinPool-11-worker-12</t>
        </is>
      </c>
      <c r="D42" s="12" t="inlineStr">
        <is>
          <t>워커</t>
        </is>
      </c>
      <c r="E42" s="10" t="n">
        <v>46238.48448166667</v>
      </c>
      <c r="F42" s="10" t="n">
        <v>46238.48450109459</v>
      </c>
      <c r="G42" s="13" t="n">
        <v>37</v>
      </c>
      <c r="H42" s="14" t="n">
        <v>1597.0076</v>
      </c>
      <c r="I42" s="13">
        <f>COUNTIFS('클럭 정리'!$A$6:$A$81,"&gt;="&amp;E42,'클럭 정리'!$A$6:$A$81,"&lt;="&amp;F42)</f>
        <v/>
      </c>
      <c r="J42" s="14">
        <f>AVERAGEIFS('클럭 정리'!$N$6:$N$81,'클럭 정리'!$A$6:$A$81,"&gt;="&amp;E42,'클럭 정리'!$A$6:$A$81,"&lt;="&amp;F42)</f>
        <v/>
      </c>
      <c r="K42" s="15">
        <f>J42*'클럭 정리'!$B$2/100</f>
        <v/>
      </c>
    </row>
    <row r="43">
      <c r="A43" s="13" t="inlineStr">
        <is>
          <t>병렬도 12 분할 4</t>
        </is>
      </c>
      <c r="B43" s="13" t="n">
        <v>1</v>
      </c>
      <c r="C43" s="13" t="inlineStr">
        <is>
          <t>ForkJoinPool-11-worker-2</t>
        </is>
      </c>
      <c r="D43" s="12" t="inlineStr">
        <is>
          <t>워커</t>
        </is>
      </c>
      <c r="E43" s="10" t="n">
        <v>46238.48447734954</v>
      </c>
      <c r="F43" s="10" t="n">
        <v>46238.48450115055</v>
      </c>
      <c r="G43" s="13" t="n">
        <v>45</v>
      </c>
      <c r="H43" s="14" t="n">
        <v>1973.4177</v>
      </c>
      <c r="I43" s="13">
        <f>COUNTIFS('클럭 정리'!$A$6:$A$81,"&gt;="&amp;E43,'클럭 정리'!$A$6:$A$81,"&lt;="&amp;F43)</f>
        <v/>
      </c>
      <c r="J43" s="14">
        <f>AVERAGEIFS('클럭 정리'!$N$6:$N$81,'클럭 정리'!$A$6:$A$81,"&gt;="&amp;E43,'클럭 정리'!$A$6:$A$81,"&lt;="&amp;F43)</f>
        <v/>
      </c>
      <c r="K43" s="15">
        <f>J43*'클럭 정리'!$B$2/100</f>
        <v/>
      </c>
    </row>
    <row r="44">
      <c r="A44" s="13" t="inlineStr">
        <is>
          <t>병렬도 12 분할 4</t>
        </is>
      </c>
      <c r="B44" s="13" t="n">
        <v>1</v>
      </c>
      <c r="C44" s="13" t="inlineStr">
        <is>
          <t>ForkJoinPool-11-worker-3</t>
        </is>
      </c>
      <c r="D44" s="12" t="inlineStr">
        <is>
          <t>워커</t>
        </is>
      </c>
      <c r="E44" s="10" t="n">
        <v>46238.48447734954</v>
      </c>
      <c r="F44" s="10" t="n">
        <v>46238.48448110729</v>
      </c>
      <c r="G44" s="13" t="n">
        <v>7</v>
      </c>
      <c r="H44" s="14" t="n">
        <v>315.6166</v>
      </c>
      <c r="I44" s="13">
        <f>COUNTIFS('클럭 정리'!$A$6:$A$81,"&gt;="&amp;E44,'클럭 정리'!$A$6:$A$81,"&lt;="&amp;F44)</f>
        <v/>
      </c>
      <c r="J44" s="14">
        <f>AVERAGEIFS('클럭 정리'!$N$6:$N$81,'클럭 정리'!$A$6:$A$81,"&gt;="&amp;E44,'클럭 정리'!$A$6:$A$81,"&lt;="&amp;F44)</f>
        <v/>
      </c>
      <c r="K44" s="15">
        <f>J44*'클럭 정리'!$B$2/100</f>
        <v/>
      </c>
    </row>
    <row r="45">
      <c r="A45" s="13" t="inlineStr">
        <is>
          <t>병렬도 12 분할 4</t>
        </is>
      </c>
      <c r="B45" s="13" t="n">
        <v>1</v>
      </c>
      <c r="C45" s="13" t="inlineStr">
        <is>
          <t>ForkJoinPool-11-worker-4</t>
        </is>
      </c>
      <c r="D45" s="12" t="inlineStr">
        <is>
          <t>워커</t>
        </is>
      </c>
      <c r="E45" s="10" t="n">
        <v>46238.48447734954</v>
      </c>
      <c r="F45" s="10" t="n">
        <v>46238.48447833177</v>
      </c>
      <c r="G45" s="13" t="n">
        <v>2</v>
      </c>
      <c r="H45" s="14" t="n">
        <v>84.0702</v>
      </c>
      <c r="I45" s="13">
        <f>COUNTIFS('클럭 정리'!$A$6:$A$81,"&gt;="&amp;E45,'클럭 정리'!$A$6:$A$81,"&lt;="&amp;F45)</f>
        <v/>
      </c>
      <c r="J45" s="14">
        <f>AVERAGEIFS('클럭 정리'!$N$6:$N$81,'클럭 정리'!$A$6:$A$81,"&gt;="&amp;E45,'클럭 정리'!$A$6:$A$81,"&lt;="&amp;F45)</f>
        <v/>
      </c>
      <c r="K45" s="15">
        <f>J45*'클럭 정리'!$B$2/100</f>
        <v/>
      </c>
    </row>
    <row r="46">
      <c r="A46" s="13" t="inlineStr">
        <is>
          <t>병렬도 12 분할 4</t>
        </is>
      </c>
      <c r="B46" s="13" t="n">
        <v>1</v>
      </c>
      <c r="C46" s="13" t="inlineStr">
        <is>
          <t>ForkJoinPool-11-worker-6</t>
        </is>
      </c>
      <c r="D46" s="12" t="inlineStr">
        <is>
          <t>워커</t>
        </is>
      </c>
      <c r="E46" s="10" t="n">
        <v>46238.48447841435</v>
      </c>
      <c r="F46" s="10" t="n">
        <v>46238.4844789229</v>
      </c>
      <c r="G46" s="13" t="n">
        <v>1</v>
      </c>
      <c r="H46" s="14" t="n">
        <v>43.9387</v>
      </c>
      <c r="I46" s="13">
        <f>COUNTIFS('클럭 정리'!$A$6:$A$81,"&gt;="&amp;E46,'클럭 정리'!$A$6:$A$81,"&lt;="&amp;F46)</f>
        <v/>
      </c>
      <c r="J46" s="14">
        <f>AVERAGEIFS('클럭 정리'!$N$6:$N$81,'클럭 정리'!$A$6:$A$81,"&gt;="&amp;E46,'클럭 정리'!$A$6:$A$81,"&lt;="&amp;F46)</f>
        <v/>
      </c>
      <c r="K46" s="15">
        <f>J46*'클럭 정리'!$B$2/100</f>
        <v/>
      </c>
    </row>
    <row r="47">
      <c r="A47" s="13" t="inlineStr">
        <is>
          <t>병렬도 12 분할 4</t>
        </is>
      </c>
      <c r="B47" s="13" t="n">
        <v>1</v>
      </c>
      <c r="C47" s="13" t="inlineStr">
        <is>
          <t>ForkJoinPool-11-worker-7</t>
        </is>
      </c>
      <c r="D47" s="12" t="inlineStr">
        <is>
          <t>워커</t>
        </is>
      </c>
      <c r="E47" s="10" t="n">
        <v>46238.48447898148</v>
      </c>
      <c r="F47" s="10" t="n">
        <v>46238.4844794594</v>
      </c>
      <c r="G47" s="13" t="n">
        <v>1</v>
      </c>
      <c r="H47" s="14" t="n">
        <v>41.2919</v>
      </c>
      <c r="I47" s="13">
        <f>COUNTIFS('클럭 정리'!$A$6:$A$81,"&gt;="&amp;E47,'클럭 정리'!$A$6:$A$81,"&lt;="&amp;F47)</f>
        <v/>
      </c>
      <c r="J47" s="14">
        <f>AVERAGEIFS('클럭 정리'!$N$6:$N$81,'클럭 정리'!$A$6:$A$81,"&gt;="&amp;E47,'클럭 정리'!$A$6:$A$81,"&lt;="&amp;F47)</f>
        <v/>
      </c>
      <c r="K47" s="15">
        <f>J47*'클럭 정리'!$B$2/100</f>
        <v/>
      </c>
    </row>
    <row r="48">
      <c r="A48" s="13" t="inlineStr">
        <is>
          <t>병렬도 12 분할 4</t>
        </is>
      </c>
      <c r="B48" s="13" t="n">
        <v>1</v>
      </c>
      <c r="C48" s="13" t="inlineStr">
        <is>
          <t>ForkJoinPool-11-worker-8</t>
        </is>
      </c>
      <c r="D48" s="12" t="inlineStr">
        <is>
          <t>워커</t>
        </is>
      </c>
      <c r="E48" s="10" t="n">
        <v>46238.48447952546</v>
      </c>
      <c r="F48" s="10" t="n">
        <v>46238.48447997709</v>
      </c>
      <c r="G48" s="13" t="n">
        <v>1</v>
      </c>
      <c r="H48" s="14" t="n">
        <v>39.0209</v>
      </c>
      <c r="I48" s="13">
        <f>COUNTIFS('클럭 정리'!$A$6:$A$81,"&gt;="&amp;E48,'클럭 정리'!$A$6:$A$81,"&lt;="&amp;F48)</f>
        <v/>
      </c>
      <c r="J48" s="14">
        <f>AVERAGEIFS('클럭 정리'!$N$6:$N$81,'클럭 정리'!$A$6:$A$81,"&gt;="&amp;E48,'클럭 정리'!$A$6:$A$81,"&lt;="&amp;F48)</f>
        <v/>
      </c>
      <c r="K48" s="15">
        <f>J48*'클럭 정리'!$B$2/100</f>
        <v/>
      </c>
    </row>
    <row r="49">
      <c r="A49" s="13" t="inlineStr">
        <is>
          <t>병렬도 12 분할 4</t>
        </is>
      </c>
      <c r="B49" s="13" t="n">
        <v>1</v>
      </c>
      <c r="C49" s="13" t="inlineStr">
        <is>
          <t>ForkJoinPool-11-worker-9</t>
        </is>
      </c>
      <c r="D49" s="12" t="inlineStr">
        <is>
          <t>워커</t>
        </is>
      </c>
      <c r="E49" s="10" t="n">
        <v>46238.48448005787</v>
      </c>
      <c r="F49" s="10" t="n">
        <v>46238.4844805668</v>
      </c>
      <c r="G49" s="13" t="n">
        <v>1</v>
      </c>
      <c r="H49" s="14" t="n">
        <v>43.9712</v>
      </c>
      <c r="I49" s="13">
        <f>COUNTIFS('클럭 정리'!$A$6:$A$81,"&gt;="&amp;E49,'클럭 정리'!$A$6:$A$81,"&lt;="&amp;F49)</f>
        <v/>
      </c>
      <c r="J49" s="14">
        <f>AVERAGEIFS('클럭 정리'!$N$6:$N$81,'클럭 정리'!$A$6:$A$81,"&gt;="&amp;E49,'클럭 정리'!$A$6:$A$81,"&lt;="&amp;F49)</f>
        <v/>
      </c>
      <c r="K49" s="15">
        <f>J49*'클럭 정리'!$B$2/100</f>
        <v/>
      </c>
    </row>
    <row r="50">
      <c r="A50" s="13" t="inlineStr">
        <is>
          <t>병렬도 12 분할 4</t>
        </is>
      </c>
      <c r="B50" s="13" t="n">
        <v>1</v>
      </c>
      <c r="C50" s="13" t="inlineStr">
        <is>
          <t>main</t>
        </is>
      </c>
      <c r="D50" s="12" t="inlineStr">
        <is>
          <t>main (활동 시간 합 = 그 회차 mainCPU, 창은 워커와 겹침)</t>
        </is>
      </c>
      <c r="E50" s="10" t="n">
        <v>46238.48447734954</v>
      </c>
      <c r="F50" s="10" t="n">
        <v>46238.48450115423</v>
      </c>
      <c r="G50" s="13" t="n">
        <v>45</v>
      </c>
      <c r="H50" s="14" t="n">
        <v>0</v>
      </c>
      <c r="I50" s="13">
        <f>COUNTIFS('클럭 정리'!$A$6:$A$81,"&gt;="&amp;E50,'클럭 정리'!$A$6:$A$81,"&lt;="&amp;F50)</f>
        <v/>
      </c>
      <c r="J50" s="14">
        <f>AVERAGEIFS('클럭 정리'!$N$6:$N$81,'클럭 정리'!$A$6:$A$81,"&gt;="&amp;E50,'클럭 정리'!$A$6:$A$81,"&lt;="&amp;F50)</f>
        <v/>
      </c>
      <c r="K50" s="15">
        <f>J50*'클럭 정리'!$B$2/100</f>
        <v/>
      </c>
    </row>
    <row r="51">
      <c r="A51" s="13" t="inlineStr">
        <is>
          <t>병렬도 12 분할 4</t>
        </is>
      </c>
      <c r="B51" s="13" t="n">
        <v>2</v>
      </c>
      <c r="C51" s="13" t="inlineStr">
        <is>
          <t>ForkJoinPool-12-worker-1</t>
        </is>
      </c>
      <c r="D51" s="12" t="inlineStr">
        <is>
          <t>워커</t>
        </is>
      </c>
      <c r="E51" s="10" t="n">
        <v>46238.48450116898</v>
      </c>
      <c r="F51" s="10" t="n">
        <v>46238.48452554898</v>
      </c>
      <c r="G51" s="13" t="n">
        <v>45</v>
      </c>
      <c r="H51" s="14" t="n">
        <v>1973.9663</v>
      </c>
      <c r="I51" s="13">
        <f>COUNTIFS('클럭 정리'!$A$6:$A$81,"&gt;="&amp;E51,'클럭 정리'!$A$6:$A$81,"&lt;="&amp;F51)</f>
        <v/>
      </c>
      <c r="J51" s="14">
        <f>AVERAGEIFS('클럭 정리'!$N$6:$N$81,'클럭 정리'!$A$6:$A$81,"&gt;="&amp;E51,'클럭 정리'!$A$6:$A$81,"&lt;="&amp;F51)</f>
        <v/>
      </c>
      <c r="K51" s="15">
        <f>J51*'클럭 정리'!$B$2/100</f>
        <v/>
      </c>
    </row>
    <row r="52">
      <c r="A52" s="13" t="inlineStr">
        <is>
          <t>병렬도 12 분할 4</t>
        </is>
      </c>
      <c r="B52" s="13" t="n">
        <v>2</v>
      </c>
      <c r="C52" s="13" t="inlineStr">
        <is>
          <t>ForkJoinPool-12-worker-11</t>
        </is>
      </c>
      <c r="D52" s="12" t="inlineStr">
        <is>
          <t>워커</t>
        </is>
      </c>
      <c r="E52" s="10" t="n">
        <v>46238.48450341435</v>
      </c>
      <c r="F52" s="10" t="n">
        <v>46238.48452550986</v>
      </c>
      <c r="G52" s="13" t="n">
        <v>41</v>
      </c>
      <c r="H52" s="14" t="n">
        <v>1781.0874</v>
      </c>
      <c r="I52" s="13">
        <f>COUNTIFS('클럭 정리'!$A$6:$A$81,"&gt;="&amp;E52,'클럭 정리'!$A$6:$A$81,"&lt;="&amp;F52)</f>
        <v/>
      </c>
      <c r="J52" s="14">
        <f>AVERAGEIFS('클럭 정리'!$N$6:$N$81,'클럭 정리'!$A$6:$A$81,"&gt;="&amp;E52,'클럭 정리'!$A$6:$A$81,"&lt;="&amp;F52)</f>
        <v/>
      </c>
      <c r="K52" s="15">
        <f>J52*'클럭 정리'!$B$2/100</f>
        <v/>
      </c>
    </row>
    <row r="53">
      <c r="A53" s="13" t="inlineStr">
        <is>
          <t>병렬도 12 분할 4</t>
        </is>
      </c>
      <c r="B53" s="13" t="n">
        <v>2</v>
      </c>
      <c r="C53" s="13" t="inlineStr">
        <is>
          <t>ForkJoinPool-12-worker-2</t>
        </is>
      </c>
      <c r="D53" s="12" t="inlineStr">
        <is>
          <t>워커</t>
        </is>
      </c>
      <c r="E53" s="10" t="n">
        <v>46238.48450116898</v>
      </c>
      <c r="F53" s="10" t="n">
        <v>46238.48452551477</v>
      </c>
      <c r="G53" s="13" t="n">
        <v>45</v>
      </c>
      <c r="H53" s="14" t="n">
        <v>1965.5539</v>
      </c>
      <c r="I53" s="13">
        <f>COUNTIFS('클럭 정리'!$A$6:$A$81,"&gt;="&amp;E53,'클럭 정리'!$A$6:$A$81,"&lt;="&amp;F53)</f>
        <v/>
      </c>
      <c r="J53" s="14">
        <f>AVERAGEIFS('클럭 정리'!$N$6:$N$81,'클럭 정리'!$A$6:$A$81,"&gt;="&amp;E53,'클럭 정리'!$A$6:$A$81,"&lt;="&amp;F53)</f>
        <v/>
      </c>
      <c r="K53" s="15">
        <f>J53*'클럭 정리'!$B$2/100</f>
        <v/>
      </c>
    </row>
    <row r="54">
      <c r="A54" s="13" t="inlineStr">
        <is>
          <t>병렬도 12 분할 4</t>
        </is>
      </c>
      <c r="B54" s="13" t="n">
        <v>2</v>
      </c>
      <c r="C54" s="13" t="inlineStr">
        <is>
          <t>ForkJoinPool-12-worker-3</t>
        </is>
      </c>
      <c r="D54" s="12" t="inlineStr">
        <is>
          <t>워커</t>
        </is>
      </c>
      <c r="E54" s="10" t="n">
        <v>46238.48450116898</v>
      </c>
      <c r="F54" s="10" t="n">
        <v>46238.4845254946</v>
      </c>
      <c r="G54" s="13" t="n">
        <v>45</v>
      </c>
      <c r="H54" s="14" t="n">
        <v>2048.2205</v>
      </c>
      <c r="I54" s="13">
        <f>COUNTIFS('클럭 정리'!$A$6:$A$81,"&gt;="&amp;E54,'클럭 정리'!$A$6:$A$81,"&lt;="&amp;F54)</f>
        <v/>
      </c>
      <c r="J54" s="14">
        <f>AVERAGEIFS('클럭 정리'!$N$6:$N$81,'클럭 정리'!$A$6:$A$81,"&gt;="&amp;E54,'클럭 정리'!$A$6:$A$81,"&lt;="&amp;F54)</f>
        <v/>
      </c>
      <c r="K54" s="15">
        <f>J54*'클럭 정리'!$B$2/100</f>
        <v/>
      </c>
    </row>
    <row r="55">
      <c r="A55" s="13" t="inlineStr">
        <is>
          <t>병렬도 12 분할 4</t>
        </is>
      </c>
      <c r="B55" s="13" t="n">
        <v>2</v>
      </c>
      <c r="C55" s="13" t="inlineStr">
        <is>
          <t>ForkJoinPool-12-worker-4</t>
        </is>
      </c>
      <c r="D55" s="12" t="inlineStr">
        <is>
          <t>워커</t>
        </is>
      </c>
      <c r="E55" s="10" t="n">
        <v>46238.48450116898</v>
      </c>
      <c r="F55" s="10" t="n">
        <v>46238.48450171245</v>
      </c>
      <c r="G55" s="13" t="n">
        <v>1</v>
      </c>
      <c r="H55" s="14" t="n">
        <v>46.9564</v>
      </c>
      <c r="I55" s="13">
        <f>COUNTIFS('클럭 정리'!$A$6:$A$81,"&gt;="&amp;E55,'클럭 정리'!$A$6:$A$81,"&lt;="&amp;F55)</f>
        <v/>
      </c>
      <c r="J55" s="14">
        <f>AVERAGEIFS('클럭 정리'!$N$6:$N$81,'클럭 정리'!$A$6:$A$81,"&gt;="&amp;E55,'클럭 정리'!$A$6:$A$81,"&lt;="&amp;F55)</f>
        <v/>
      </c>
      <c r="K55" s="15">
        <f>J55*'클럭 정리'!$B$2/100</f>
        <v/>
      </c>
    </row>
    <row r="56">
      <c r="A56" s="13" t="inlineStr">
        <is>
          <t>병렬도 12 분할 4</t>
        </is>
      </c>
      <c r="B56" s="13" t="n">
        <v>2</v>
      </c>
      <c r="C56" s="13" t="inlineStr">
        <is>
          <t>ForkJoinPool-12-worker-7</t>
        </is>
      </c>
      <c r="D56" s="12" t="inlineStr">
        <is>
          <t>워커</t>
        </is>
      </c>
      <c r="E56" s="10" t="n">
        <v>46238.48450174768</v>
      </c>
      <c r="F56" s="10" t="n">
        <v>46238.4845022458</v>
      </c>
      <c r="G56" s="13" t="n">
        <v>1</v>
      </c>
      <c r="H56" s="14" t="n">
        <v>43.0366</v>
      </c>
      <c r="I56" s="13">
        <f>COUNTIFS('클럭 정리'!$A$6:$A$81,"&gt;="&amp;E56,'클럭 정리'!$A$6:$A$81,"&lt;="&amp;F56)</f>
        <v/>
      </c>
      <c r="J56" s="14">
        <f>AVERAGEIFS('클럭 정리'!$N$6:$N$81,'클럭 정리'!$A$6:$A$81,"&gt;="&amp;E56,'클럭 정리'!$A$6:$A$81,"&lt;="&amp;F56)</f>
        <v/>
      </c>
      <c r="K56" s="15">
        <f>J56*'클럭 정리'!$B$2/100</f>
        <v/>
      </c>
    </row>
    <row r="57">
      <c r="A57" s="13" t="inlineStr">
        <is>
          <t>병렬도 12 분할 4</t>
        </is>
      </c>
      <c r="B57" s="13" t="n">
        <v>2</v>
      </c>
      <c r="C57" s="13" t="inlineStr">
        <is>
          <t>ForkJoinPool-12-worker-9</t>
        </is>
      </c>
      <c r="D57" s="12" t="inlineStr">
        <is>
          <t>워커</t>
        </is>
      </c>
      <c r="E57" s="10" t="n">
        <v>46238.48450228009</v>
      </c>
      <c r="F57" s="10" t="n">
        <v>46238.48450336542</v>
      </c>
      <c r="G57" s="13" t="n">
        <v>2</v>
      </c>
      <c r="H57" s="14" t="n">
        <v>88.2752</v>
      </c>
      <c r="I57" s="13">
        <f>COUNTIFS('클럭 정리'!$A$6:$A$81,"&gt;="&amp;E57,'클럭 정리'!$A$6:$A$81,"&lt;="&amp;F57)</f>
        <v/>
      </c>
      <c r="J57" s="14">
        <f>AVERAGEIFS('클럭 정리'!$N$6:$N$81,'클럭 정리'!$A$6:$A$81,"&gt;="&amp;E57,'클럭 정리'!$A$6:$A$81,"&lt;="&amp;F57)</f>
        <v/>
      </c>
      <c r="K57" s="15">
        <f>J57*'클럭 정리'!$B$2/100</f>
        <v/>
      </c>
    </row>
    <row r="58">
      <c r="A58" s="13" t="inlineStr">
        <is>
          <t>병렬도 12 분할 4</t>
        </is>
      </c>
      <c r="B58" s="13" t="n">
        <v>2</v>
      </c>
      <c r="C58" s="13" t="inlineStr">
        <is>
          <t>main</t>
        </is>
      </c>
      <c r="D58" s="12" t="inlineStr">
        <is>
          <t>main (활동 시간 합 = 그 회차 mainCPU, 창은 워커와 겹침)</t>
        </is>
      </c>
      <c r="E58" s="10" t="n">
        <v>46238.48450115741</v>
      </c>
      <c r="F58" s="10" t="n">
        <v>46238.48452555038</v>
      </c>
      <c r="G58" s="13" t="n">
        <v>45</v>
      </c>
      <c r="H58" s="14" t="n">
        <v>15.625</v>
      </c>
      <c r="I58" s="13">
        <f>COUNTIFS('클럭 정리'!$A$6:$A$81,"&gt;="&amp;E58,'클럭 정리'!$A$6:$A$81,"&lt;="&amp;F58)</f>
        <v/>
      </c>
      <c r="J58" s="14">
        <f>AVERAGEIFS('클럭 정리'!$N$6:$N$81,'클럭 정리'!$A$6:$A$81,"&gt;="&amp;E58,'클럭 정리'!$A$6:$A$81,"&lt;="&amp;F58)</f>
        <v/>
      </c>
      <c r="K58" s="15">
        <f>J58*'클럭 정리'!$B$2/100</f>
        <v/>
      </c>
    </row>
    <row r="59">
      <c r="A59" s="13" t="inlineStr">
        <is>
          <t>병렬도 12 분할 4</t>
        </is>
      </c>
      <c r="B59" s="13" t="n">
        <v>3</v>
      </c>
      <c r="C59" s="13" t="inlineStr">
        <is>
          <t>ForkJoinPool-13-worker-1</t>
        </is>
      </c>
      <c r="D59" s="12" t="inlineStr">
        <is>
          <t>워커</t>
        </is>
      </c>
      <c r="E59" s="10" t="n">
        <v>46238.48452556713</v>
      </c>
      <c r="F59" s="10" t="n">
        <v>46238.48454983381</v>
      </c>
      <c r="G59" s="13" t="n">
        <v>45</v>
      </c>
      <c r="H59" s="14" t="n">
        <v>1981.003</v>
      </c>
      <c r="I59" s="13">
        <f>COUNTIFS('클럭 정리'!$A$6:$A$81,"&gt;="&amp;E59,'클럭 정리'!$A$6:$A$81,"&lt;="&amp;F59)</f>
        <v/>
      </c>
      <c r="J59" s="14">
        <f>AVERAGEIFS('클럭 정리'!$N$6:$N$81,'클럭 정리'!$A$6:$A$81,"&gt;="&amp;E59,'클럭 정리'!$A$6:$A$81,"&lt;="&amp;F59)</f>
        <v/>
      </c>
      <c r="K59" s="15">
        <f>J59*'클럭 정리'!$B$2/100</f>
        <v/>
      </c>
    </row>
    <row r="60">
      <c r="A60" s="13" t="inlineStr">
        <is>
          <t>병렬도 12 분할 4</t>
        </is>
      </c>
      <c r="B60" s="13" t="n">
        <v>3</v>
      </c>
      <c r="C60" s="13" t="inlineStr">
        <is>
          <t>ForkJoinPool-13-worker-10</t>
        </is>
      </c>
      <c r="D60" s="12" t="inlineStr">
        <is>
          <t>워커</t>
        </is>
      </c>
      <c r="E60" s="10" t="n">
        <v>46238.4845278125</v>
      </c>
      <c r="F60" s="10" t="n">
        <v>46238.48452832127</v>
      </c>
      <c r="G60" s="13" t="n">
        <v>1</v>
      </c>
      <c r="H60" s="14" t="n">
        <v>43.9579</v>
      </c>
      <c r="I60" s="13">
        <f>COUNTIFS('클럭 정리'!$A$6:$A$81,"&gt;="&amp;E60,'클럭 정리'!$A$6:$A$81,"&lt;="&amp;F60)</f>
        <v/>
      </c>
      <c r="J60" s="14">
        <f>AVERAGEIFS('클럭 정리'!$N$6:$N$81,'클럭 정리'!$A$6:$A$81,"&gt;="&amp;E60,'클럭 정리'!$A$6:$A$81,"&lt;="&amp;F60)</f>
        <v/>
      </c>
      <c r="K60" s="15">
        <f>J60*'클럭 정리'!$B$2/100</f>
        <v/>
      </c>
    </row>
    <row r="61">
      <c r="A61" s="13" t="inlineStr">
        <is>
          <t>병렬도 12 분할 4</t>
        </is>
      </c>
      <c r="B61" s="13" t="n">
        <v>3</v>
      </c>
      <c r="C61" s="13" t="inlineStr">
        <is>
          <t>ForkJoinPool-13-worker-11</t>
        </is>
      </c>
      <c r="D61" s="12" t="inlineStr">
        <is>
          <t>워커</t>
        </is>
      </c>
      <c r="E61" s="10" t="n">
        <v>46238.48452836806</v>
      </c>
      <c r="F61" s="10" t="n">
        <v>46238.48454394187</v>
      </c>
      <c r="G61" s="13" t="n">
        <v>29</v>
      </c>
      <c r="H61" s="14" t="n">
        <v>1284.2211</v>
      </c>
      <c r="I61" s="13">
        <f>COUNTIFS('클럭 정리'!$A$6:$A$81,"&gt;="&amp;E61,'클럭 정리'!$A$6:$A$81,"&lt;="&amp;F61)</f>
        <v/>
      </c>
      <c r="J61" s="14">
        <f>AVERAGEIFS('클럭 정리'!$N$6:$N$81,'클럭 정리'!$A$6:$A$81,"&gt;="&amp;E61,'클럭 정리'!$A$6:$A$81,"&lt;="&amp;F61)</f>
        <v/>
      </c>
      <c r="K61" s="15">
        <f>J61*'클럭 정리'!$B$2/100</f>
        <v/>
      </c>
    </row>
    <row r="62">
      <c r="A62" s="13" t="inlineStr">
        <is>
          <t>병렬도 12 분할 4</t>
        </is>
      </c>
      <c r="B62" s="13" t="n">
        <v>3</v>
      </c>
      <c r="C62" s="13" t="inlineStr">
        <is>
          <t>ForkJoinPool-13-worker-12</t>
        </is>
      </c>
      <c r="D62" s="12" t="inlineStr">
        <is>
          <t>워커</t>
        </is>
      </c>
      <c r="E62" s="10" t="n">
        <v>46238.48452892361</v>
      </c>
      <c r="F62" s="10" t="n">
        <v>46238.48454984108</v>
      </c>
      <c r="G62" s="13" t="n">
        <v>39</v>
      </c>
      <c r="H62" s="14" t="n">
        <v>1713.5868</v>
      </c>
      <c r="I62" s="13">
        <f>COUNTIFS('클럭 정리'!$A$6:$A$81,"&gt;="&amp;E62,'클럭 정리'!$A$6:$A$81,"&lt;="&amp;F62)</f>
        <v/>
      </c>
      <c r="J62" s="14">
        <f>AVERAGEIFS('클럭 정리'!$N$6:$N$81,'클럭 정리'!$A$6:$A$81,"&gt;="&amp;E62,'클럭 정리'!$A$6:$A$81,"&lt;="&amp;F62)</f>
        <v/>
      </c>
      <c r="K62" s="15">
        <f>J62*'클럭 정리'!$B$2/100</f>
        <v/>
      </c>
    </row>
    <row r="63">
      <c r="A63" s="13" t="inlineStr">
        <is>
          <t>병렬도 12 분할 4</t>
        </is>
      </c>
      <c r="B63" s="13" t="n">
        <v>3</v>
      </c>
      <c r="C63" s="13" t="inlineStr">
        <is>
          <t>ForkJoinPool-13-worker-2</t>
        </is>
      </c>
      <c r="D63" s="12" t="inlineStr">
        <is>
          <t>워커</t>
        </is>
      </c>
      <c r="E63" s="10" t="n">
        <v>46238.4845255787</v>
      </c>
      <c r="F63" s="10" t="n">
        <v>46238.48452662172</v>
      </c>
      <c r="G63" s="13" t="n">
        <v>2</v>
      </c>
      <c r="H63" s="14" t="n">
        <v>84.378</v>
      </c>
      <c r="I63" s="13">
        <f>COUNTIFS('클럭 정리'!$A$6:$A$81,"&gt;="&amp;E63,'클럭 정리'!$A$6:$A$81,"&lt;="&amp;F63)</f>
        <v/>
      </c>
      <c r="J63" s="14">
        <f>AVERAGEIFS('클럭 정리'!$N$6:$N$81,'클럭 정리'!$A$6:$A$81,"&gt;="&amp;E63,'클럭 정리'!$A$6:$A$81,"&lt;="&amp;F63)</f>
        <v/>
      </c>
      <c r="K63" s="15">
        <f>J63*'클럭 정리'!$B$2/100</f>
        <v/>
      </c>
    </row>
    <row r="64">
      <c r="A64" s="13" t="inlineStr">
        <is>
          <t>병렬도 12 분할 4</t>
        </is>
      </c>
      <c r="B64" s="13" t="n">
        <v>3</v>
      </c>
      <c r="C64" s="13" t="inlineStr">
        <is>
          <t>ForkJoinPool-13-worker-3</t>
        </is>
      </c>
      <c r="D64" s="12" t="inlineStr">
        <is>
          <t>워커</t>
        </is>
      </c>
      <c r="E64" s="10" t="n">
        <v>46238.4845255787</v>
      </c>
      <c r="F64" s="10" t="n">
        <v>46238.4845498703</v>
      </c>
      <c r="G64" s="13" t="n">
        <v>45</v>
      </c>
      <c r="H64" s="14" t="n">
        <v>2034.5306</v>
      </c>
      <c r="I64" s="13">
        <f>COUNTIFS('클럭 정리'!$A$6:$A$81,"&gt;="&amp;E64,'클럭 정리'!$A$6:$A$81,"&lt;="&amp;F64)</f>
        <v/>
      </c>
      <c r="J64" s="14">
        <f>AVERAGEIFS('클럭 정리'!$N$6:$N$81,'클럭 정리'!$A$6:$A$81,"&gt;="&amp;E64,'클럭 정리'!$A$6:$A$81,"&lt;="&amp;F64)</f>
        <v/>
      </c>
      <c r="K64" s="15">
        <f>J64*'클럭 정리'!$B$2/100</f>
        <v/>
      </c>
    </row>
    <row r="65">
      <c r="A65" s="13" t="inlineStr">
        <is>
          <t>병렬도 12 분할 4</t>
        </is>
      </c>
      <c r="B65" s="13" t="n">
        <v>3</v>
      </c>
      <c r="C65" s="13" t="inlineStr">
        <is>
          <t>ForkJoinPool-13-worker-4</t>
        </is>
      </c>
      <c r="D65" s="12" t="inlineStr">
        <is>
          <t>워커</t>
        </is>
      </c>
      <c r="E65" s="10" t="n">
        <v>46238.4845255787</v>
      </c>
      <c r="F65" s="10" t="n">
        <v>46238.48452715614</v>
      </c>
      <c r="G65" s="13" t="n">
        <v>3</v>
      </c>
      <c r="H65" s="14" t="n">
        <v>128.9217</v>
      </c>
      <c r="I65" s="13">
        <f>COUNTIFS('클럭 정리'!$A$6:$A$81,"&gt;="&amp;E65,'클럭 정리'!$A$6:$A$81,"&lt;="&amp;F65)</f>
        <v/>
      </c>
      <c r="J65" s="14">
        <f>AVERAGEIFS('클럭 정리'!$N$6:$N$81,'클럭 정리'!$A$6:$A$81,"&gt;="&amp;E65,'클럭 정리'!$A$6:$A$81,"&lt;="&amp;F65)</f>
        <v/>
      </c>
      <c r="K65" s="15">
        <f>J65*'클럭 정리'!$B$2/100</f>
        <v/>
      </c>
    </row>
    <row r="66">
      <c r="A66" s="13" t="inlineStr">
        <is>
          <t>병렬도 12 분할 4</t>
        </is>
      </c>
      <c r="B66" s="13" t="n">
        <v>3</v>
      </c>
      <c r="C66" s="13" t="inlineStr">
        <is>
          <t>ForkJoinPool-13-worker-7</t>
        </is>
      </c>
      <c r="D66" s="12" t="inlineStr">
        <is>
          <t>워커</t>
        </is>
      </c>
      <c r="E66" s="10" t="n">
        <v>46238.48452670139</v>
      </c>
      <c r="F66" s="10" t="n">
        <v>46238.4845277619</v>
      </c>
      <c r="G66" s="13" t="n">
        <v>2</v>
      </c>
      <c r="H66" s="14" t="n">
        <v>91.3257</v>
      </c>
      <c r="I66" s="13">
        <f>COUNTIFS('클럭 정리'!$A$6:$A$81,"&gt;="&amp;E66,'클럭 정리'!$A$6:$A$81,"&lt;="&amp;F66)</f>
        <v/>
      </c>
      <c r="J66" s="14">
        <f>AVERAGEIFS('클럭 정리'!$N$6:$N$81,'클럭 정리'!$A$6:$A$81,"&gt;="&amp;E66,'클럭 정리'!$A$6:$A$81,"&lt;="&amp;F66)</f>
        <v/>
      </c>
      <c r="K66" s="15">
        <f>J66*'클럭 정리'!$B$2/100</f>
        <v/>
      </c>
    </row>
    <row r="67">
      <c r="A67" s="13" t="inlineStr">
        <is>
          <t>병렬도 12 분할 4</t>
        </is>
      </c>
      <c r="B67" s="13" t="n">
        <v>3</v>
      </c>
      <c r="C67" s="13" t="inlineStr">
        <is>
          <t>ForkJoinPool-13-worker-8</t>
        </is>
      </c>
      <c r="D67" s="12" t="inlineStr">
        <is>
          <t>워커</t>
        </is>
      </c>
      <c r="E67" s="10" t="n">
        <v>46238.48452724537</v>
      </c>
      <c r="F67" s="10" t="n">
        <v>46238.48454982964</v>
      </c>
      <c r="G67" s="13" t="n">
        <v>14</v>
      </c>
      <c r="H67" s="14" t="n">
        <v>615.2487</v>
      </c>
      <c r="I67" s="13">
        <f>COUNTIFS('클럭 정리'!$A$6:$A$81,"&gt;="&amp;E67,'클럭 정리'!$A$6:$A$81,"&lt;="&amp;F67)</f>
        <v/>
      </c>
      <c r="J67" s="14">
        <f>AVERAGEIFS('클럭 정리'!$N$6:$N$81,'클럭 정리'!$A$6:$A$81,"&gt;="&amp;E67,'클럭 정리'!$A$6:$A$81,"&lt;="&amp;F67)</f>
        <v/>
      </c>
      <c r="K67" s="15">
        <f>J67*'클럭 정리'!$B$2/100</f>
        <v/>
      </c>
    </row>
    <row r="68">
      <c r="A68" s="13" t="inlineStr">
        <is>
          <t>병렬도 12 분할 4</t>
        </is>
      </c>
      <c r="B68" s="13" t="n">
        <v>3</v>
      </c>
      <c r="C68" s="13" t="inlineStr">
        <is>
          <t>main</t>
        </is>
      </c>
      <c r="D68" s="12" t="inlineStr">
        <is>
          <t>main (활동 시간 합 = 그 회차 mainCPU, 창은 워커와 겹침)</t>
        </is>
      </c>
      <c r="E68" s="10" t="n">
        <v>46238.48452556713</v>
      </c>
      <c r="F68" s="10" t="n">
        <v>46238.48454987346</v>
      </c>
      <c r="G68" s="13" t="n">
        <v>45</v>
      </c>
      <c r="H68" s="14" t="n">
        <v>0</v>
      </c>
      <c r="I68" s="13">
        <f>COUNTIFS('클럭 정리'!$A$6:$A$81,"&gt;="&amp;E68,'클럭 정리'!$A$6:$A$81,"&lt;="&amp;F68)</f>
        <v/>
      </c>
      <c r="J68" s="14">
        <f>AVERAGEIFS('클럭 정리'!$N$6:$N$81,'클럭 정리'!$A$6:$A$81,"&gt;="&amp;E68,'클럭 정리'!$A$6:$A$81,"&lt;="&amp;F68)</f>
        <v/>
      </c>
      <c r="K68" s="15">
        <f>J68*'클럭 정리'!$B$2/100</f>
        <v/>
      </c>
    </row>
    <row r="69">
      <c r="A69" s="13" t="inlineStr">
        <is>
          <t>병렬도 12 분할 4</t>
        </is>
      </c>
      <c r="B69" s="13" t="n">
        <v>4</v>
      </c>
      <c r="C69" s="13" t="inlineStr">
        <is>
          <t>ForkJoinPool-14-worker-1</t>
        </is>
      </c>
      <c r="D69" s="12" t="inlineStr">
        <is>
          <t>워커</t>
        </is>
      </c>
      <c r="E69" s="10" t="n">
        <v>46238.48454988426</v>
      </c>
      <c r="F69" s="10" t="n">
        <v>46238.48457401772</v>
      </c>
      <c r="G69" s="13" t="n">
        <v>45</v>
      </c>
      <c r="H69" s="14" t="n">
        <v>2013.3595</v>
      </c>
      <c r="I69" s="13">
        <f>COUNTIFS('클럭 정리'!$A$6:$A$81,"&gt;="&amp;E69,'클럭 정리'!$A$6:$A$81,"&lt;="&amp;F69)</f>
        <v/>
      </c>
      <c r="J69" s="14">
        <f>AVERAGEIFS('클럭 정리'!$N$6:$N$81,'클럭 정리'!$A$6:$A$81,"&gt;="&amp;E69,'클럭 정리'!$A$6:$A$81,"&lt;="&amp;F69)</f>
        <v/>
      </c>
      <c r="K69" s="15">
        <f>J69*'클럭 정리'!$B$2/100</f>
        <v/>
      </c>
    </row>
    <row r="70">
      <c r="A70" s="13" t="inlineStr">
        <is>
          <t>병렬도 12 분할 4</t>
        </is>
      </c>
      <c r="B70" s="13" t="n">
        <v>4</v>
      </c>
      <c r="C70" s="13" t="inlineStr">
        <is>
          <t>ForkJoinPool-14-worker-10</t>
        </is>
      </c>
      <c r="D70" s="12" t="inlineStr">
        <is>
          <t>워커</t>
        </is>
      </c>
      <c r="E70" s="10" t="n">
        <v>46238.48455204861</v>
      </c>
      <c r="F70" s="10" t="n">
        <v>46238.48455255401</v>
      </c>
      <c r="G70" s="13" t="n">
        <v>1</v>
      </c>
      <c r="H70" s="14" t="n">
        <v>43.6655</v>
      </c>
      <c r="I70" s="13">
        <f>COUNTIFS('클럭 정리'!$A$6:$A$81,"&gt;="&amp;E70,'클럭 정리'!$A$6:$A$81,"&lt;="&amp;F70)</f>
        <v/>
      </c>
      <c r="J70" s="14">
        <f>AVERAGEIFS('클럭 정리'!$N$6:$N$81,'클럭 정리'!$A$6:$A$81,"&gt;="&amp;E70,'클럭 정리'!$A$6:$A$81,"&lt;="&amp;F70)</f>
        <v/>
      </c>
      <c r="K70" s="15">
        <f>J70*'클럭 정리'!$B$2/100</f>
        <v/>
      </c>
    </row>
    <row r="71">
      <c r="A71" s="13" t="inlineStr">
        <is>
          <t>병렬도 12 분할 4</t>
        </is>
      </c>
      <c r="B71" s="13" t="n">
        <v>4</v>
      </c>
      <c r="C71" s="13" t="inlineStr">
        <is>
          <t>ForkJoinPool-14-worker-11</t>
        </is>
      </c>
      <c r="D71" s="12" t="inlineStr">
        <is>
          <t>워커</t>
        </is>
      </c>
      <c r="E71" s="10" t="n">
        <v>46238.48455206019</v>
      </c>
      <c r="F71" s="10" t="n">
        <v>46238.48457398247</v>
      </c>
      <c r="G71" s="13" t="n">
        <v>41</v>
      </c>
      <c r="H71" s="14" t="n">
        <v>1791.4118</v>
      </c>
      <c r="I71" s="13">
        <f>COUNTIFS('클럭 정리'!$A$6:$A$81,"&gt;="&amp;E71,'클럭 정리'!$A$6:$A$81,"&lt;="&amp;F71)</f>
        <v/>
      </c>
      <c r="J71" s="14">
        <f>AVERAGEIFS('클럭 정리'!$N$6:$N$81,'클럭 정리'!$A$6:$A$81,"&gt;="&amp;E71,'클럭 정리'!$A$6:$A$81,"&lt;="&amp;F71)</f>
        <v/>
      </c>
      <c r="K71" s="15">
        <f>J71*'클럭 정리'!$B$2/100</f>
        <v/>
      </c>
    </row>
    <row r="72">
      <c r="A72" s="13" t="inlineStr">
        <is>
          <t>병렬도 12 분할 4</t>
        </is>
      </c>
      <c r="B72" s="13" t="n">
        <v>4</v>
      </c>
      <c r="C72" s="13" t="inlineStr">
        <is>
          <t>ForkJoinPool-14-worker-12</t>
        </is>
      </c>
      <c r="D72" s="12" t="inlineStr">
        <is>
          <t>워커</t>
        </is>
      </c>
      <c r="E72" s="10" t="n">
        <v>46238.48455261574</v>
      </c>
      <c r="F72" s="10" t="n">
        <v>46238.48457397323</v>
      </c>
      <c r="G72" s="13" t="n">
        <v>40</v>
      </c>
      <c r="H72" s="14" t="n">
        <v>1724.986</v>
      </c>
      <c r="I72" s="13">
        <f>COUNTIFS('클럭 정리'!$A$6:$A$81,"&gt;="&amp;E72,'클럭 정리'!$A$6:$A$81,"&lt;="&amp;F72)</f>
        <v/>
      </c>
      <c r="J72" s="14">
        <f>AVERAGEIFS('클럭 정리'!$N$6:$N$81,'클럭 정리'!$A$6:$A$81,"&gt;="&amp;E72,'클럭 정리'!$A$6:$A$81,"&lt;="&amp;F72)</f>
        <v/>
      </c>
      <c r="K72" s="15">
        <f>J72*'클럭 정리'!$B$2/100</f>
        <v/>
      </c>
    </row>
    <row r="73">
      <c r="A73" s="13" t="inlineStr">
        <is>
          <t>병렬도 12 분할 4</t>
        </is>
      </c>
      <c r="B73" s="13" t="n">
        <v>4</v>
      </c>
      <c r="C73" s="13" t="inlineStr">
        <is>
          <t>ForkJoinPool-14-worker-2</t>
        </is>
      </c>
      <c r="D73" s="12" t="inlineStr">
        <is>
          <t>워커</t>
        </is>
      </c>
      <c r="E73" s="10" t="n">
        <v>46238.48454988426</v>
      </c>
      <c r="F73" s="10" t="n">
        <v>46238.48455092961</v>
      </c>
      <c r="G73" s="13" t="n">
        <v>2</v>
      </c>
      <c r="H73" s="14" t="n">
        <v>89.2783</v>
      </c>
      <c r="I73" s="13">
        <f>COUNTIFS('클럭 정리'!$A$6:$A$81,"&gt;="&amp;E73,'클럭 정리'!$A$6:$A$81,"&lt;="&amp;F73)</f>
        <v/>
      </c>
      <c r="J73" s="14">
        <f>AVERAGEIFS('클럭 정리'!$N$6:$N$81,'클럭 정리'!$A$6:$A$81,"&gt;="&amp;E73,'클럭 정리'!$A$6:$A$81,"&lt;="&amp;F73)</f>
        <v/>
      </c>
      <c r="K73" s="15">
        <f>J73*'클럭 정리'!$B$2/100</f>
        <v/>
      </c>
    </row>
    <row r="74">
      <c r="A74" s="13" t="inlineStr">
        <is>
          <t>병렬도 12 분할 4</t>
        </is>
      </c>
      <c r="B74" s="13" t="n">
        <v>4</v>
      </c>
      <c r="C74" s="13" t="inlineStr">
        <is>
          <t>ForkJoinPool-14-worker-3</t>
        </is>
      </c>
      <c r="D74" s="12" t="inlineStr">
        <is>
          <t>워커</t>
        </is>
      </c>
      <c r="E74" s="10" t="n">
        <v>46238.48454989583</v>
      </c>
      <c r="F74" s="10" t="n">
        <v>46238.48455038258</v>
      </c>
      <c r="G74" s="13" t="n">
        <v>1</v>
      </c>
      <c r="H74" s="14" t="n">
        <v>42.0552</v>
      </c>
      <c r="I74" s="13">
        <f>COUNTIFS('클럭 정리'!$A$6:$A$81,"&gt;="&amp;E74,'클럭 정리'!$A$6:$A$81,"&lt;="&amp;F74)</f>
        <v/>
      </c>
      <c r="J74" s="14">
        <f>AVERAGEIFS('클럭 정리'!$N$6:$N$81,'클럭 정리'!$A$6:$A$81,"&gt;="&amp;E74,'클럭 정리'!$A$6:$A$81,"&lt;="&amp;F74)</f>
        <v/>
      </c>
      <c r="K74" s="15">
        <f>J74*'클럭 정리'!$B$2/100</f>
        <v/>
      </c>
    </row>
    <row r="75">
      <c r="A75" s="13" t="inlineStr">
        <is>
          <t>병렬도 12 분할 4</t>
        </is>
      </c>
      <c r="B75" s="13" t="n">
        <v>4</v>
      </c>
      <c r="C75" s="13" t="inlineStr">
        <is>
          <t>ForkJoinPool-14-worker-4</t>
        </is>
      </c>
      <c r="D75" s="12" t="inlineStr">
        <is>
          <t>워커</t>
        </is>
      </c>
      <c r="E75" s="10" t="n">
        <v>46238.48454989583</v>
      </c>
      <c r="F75" s="10" t="n">
        <v>46238.48455200735</v>
      </c>
      <c r="G75" s="13" t="n">
        <v>4</v>
      </c>
      <c r="H75" s="14" t="n">
        <v>178.3683</v>
      </c>
      <c r="I75" s="13">
        <f>COUNTIFS('클럭 정리'!$A$6:$A$81,"&gt;="&amp;E75,'클럭 정리'!$A$6:$A$81,"&lt;="&amp;F75)</f>
        <v/>
      </c>
      <c r="J75" s="14">
        <f>AVERAGEIFS('클럭 정리'!$N$6:$N$81,'클럭 정리'!$A$6:$A$81,"&gt;="&amp;E75,'클럭 정리'!$A$6:$A$81,"&lt;="&amp;F75)</f>
        <v/>
      </c>
      <c r="K75" s="15">
        <f>J75*'클럭 정리'!$B$2/100</f>
        <v/>
      </c>
    </row>
    <row r="76">
      <c r="A76" s="13" t="inlineStr">
        <is>
          <t>병렬도 12 분할 4</t>
        </is>
      </c>
      <c r="B76" s="13" t="n">
        <v>4</v>
      </c>
      <c r="C76" s="13" t="inlineStr">
        <is>
          <t>ForkJoinPool-14-worker-5</t>
        </is>
      </c>
      <c r="D76" s="12" t="inlineStr">
        <is>
          <t>워커</t>
        </is>
      </c>
      <c r="E76" s="10" t="n">
        <v>46238.48455042824</v>
      </c>
      <c r="F76" s="10" t="n">
        <v>46238.48455200241</v>
      </c>
      <c r="G76" s="13" t="n">
        <v>3</v>
      </c>
      <c r="H76" s="14" t="n">
        <v>131.977</v>
      </c>
      <c r="I76" s="13">
        <f>COUNTIFS('클럭 정리'!$A$6:$A$81,"&gt;="&amp;E76,'클럭 정리'!$A$6:$A$81,"&lt;="&amp;F76)</f>
        <v/>
      </c>
      <c r="J76" s="14">
        <f>AVERAGEIFS('클럭 정리'!$N$6:$N$81,'클럭 정리'!$A$6:$A$81,"&gt;="&amp;E76,'클럭 정리'!$A$6:$A$81,"&lt;="&amp;F76)</f>
        <v/>
      </c>
      <c r="K76" s="15">
        <f>J76*'클럭 정리'!$B$2/100</f>
        <v/>
      </c>
    </row>
    <row r="77">
      <c r="A77" s="13" t="inlineStr">
        <is>
          <t>병렬도 12 분할 4</t>
        </is>
      </c>
      <c r="B77" s="13" t="n">
        <v>4</v>
      </c>
      <c r="C77" s="13" t="inlineStr">
        <is>
          <t>ForkJoinPool-14-worker-7</t>
        </is>
      </c>
      <c r="D77" s="12" t="inlineStr">
        <is>
          <t>워커</t>
        </is>
      </c>
      <c r="E77" s="10" t="n">
        <v>46238.48455096065</v>
      </c>
      <c r="F77" s="10" t="n">
        <v>46238.48457399303</v>
      </c>
      <c r="G77" s="13" t="n">
        <v>43</v>
      </c>
      <c r="H77" s="14" t="n">
        <v>1887.7951</v>
      </c>
      <c r="I77" s="13">
        <f>COUNTIFS('클럭 정리'!$A$6:$A$81,"&gt;="&amp;E77,'클럭 정리'!$A$6:$A$81,"&lt;="&amp;F77)</f>
        <v/>
      </c>
      <c r="J77" s="14">
        <f>AVERAGEIFS('클럭 정리'!$N$6:$N$81,'클럭 정리'!$A$6:$A$81,"&gt;="&amp;E77,'클럭 정리'!$A$6:$A$81,"&lt;="&amp;F77)</f>
        <v/>
      </c>
      <c r="K77" s="15">
        <f>J77*'클럭 정리'!$B$2/100</f>
        <v/>
      </c>
    </row>
    <row r="78">
      <c r="A78" s="13" t="inlineStr">
        <is>
          <t>병렬도 12 분할 4</t>
        </is>
      </c>
      <c r="B78" s="13" t="n">
        <v>4</v>
      </c>
      <c r="C78" s="13" t="inlineStr">
        <is>
          <t>main</t>
        </is>
      </c>
      <c r="D78" s="12" t="inlineStr">
        <is>
          <t>main (활동 시간 합 = 그 회차 mainCPU, 창은 워커와 겹침)</t>
        </is>
      </c>
      <c r="E78" s="10" t="n">
        <v>46238.48454988426</v>
      </c>
      <c r="F78" s="10" t="n">
        <v>46238.4845740208</v>
      </c>
      <c r="G78" s="13" t="n">
        <v>45</v>
      </c>
      <c r="H78" s="14" t="n">
        <v>0</v>
      </c>
      <c r="I78" s="13">
        <f>COUNTIFS('클럭 정리'!$A$6:$A$81,"&gt;="&amp;E78,'클럭 정리'!$A$6:$A$81,"&lt;="&amp;F78)</f>
        <v/>
      </c>
      <c r="J78" s="14">
        <f>AVERAGEIFS('클럭 정리'!$N$6:$N$81,'클럭 정리'!$A$6:$A$81,"&gt;="&amp;E78,'클럭 정리'!$A$6:$A$81,"&lt;="&amp;F78)</f>
        <v/>
      </c>
      <c r="K78" s="15">
        <f>J78*'클럭 정리'!$B$2/100</f>
        <v/>
      </c>
    </row>
    <row r="79">
      <c r="A79" s="13" t="inlineStr">
        <is>
          <t>병렬도 12 분할 4</t>
        </is>
      </c>
      <c r="B79" s="13" t="n">
        <v>5</v>
      </c>
      <c r="C79" s="13" t="inlineStr">
        <is>
          <t>ForkJoinPool-15-worker-1</t>
        </is>
      </c>
      <c r="D79" s="12" t="inlineStr">
        <is>
          <t>워커</t>
        </is>
      </c>
      <c r="E79" s="10" t="n">
        <v>46238.48457403935</v>
      </c>
      <c r="F79" s="10" t="n">
        <v>46238.48459856068</v>
      </c>
      <c r="G79" s="13" t="n">
        <v>45</v>
      </c>
      <c r="H79" s="14" t="n">
        <v>1996.4381</v>
      </c>
      <c r="I79" s="13">
        <f>COUNTIFS('클럭 정리'!$A$6:$A$81,"&gt;="&amp;E79,'클럭 정리'!$A$6:$A$81,"&lt;="&amp;F79)</f>
        <v/>
      </c>
      <c r="J79" s="14">
        <f>AVERAGEIFS('클럭 정리'!$N$6:$N$81,'클럭 정리'!$A$6:$A$81,"&gt;="&amp;E79,'클럭 정리'!$A$6:$A$81,"&lt;="&amp;F79)</f>
        <v/>
      </c>
      <c r="K79" s="15">
        <f>J79*'클럭 정리'!$B$2/100</f>
        <v/>
      </c>
    </row>
    <row r="80">
      <c r="A80" s="13" t="inlineStr">
        <is>
          <t>병렬도 12 분할 4</t>
        </is>
      </c>
      <c r="B80" s="13" t="n">
        <v>5</v>
      </c>
      <c r="C80" s="13" t="inlineStr">
        <is>
          <t>ForkJoinPool-15-worker-11</t>
        </is>
      </c>
      <c r="D80" s="12" t="inlineStr">
        <is>
          <t>워커</t>
        </is>
      </c>
      <c r="E80" s="10" t="n">
        <v>46238.48457674769</v>
      </c>
      <c r="F80" s="10" t="n">
        <v>46238.48459848666</v>
      </c>
      <c r="G80" s="13" t="n">
        <v>40</v>
      </c>
      <c r="H80" s="14" t="n">
        <v>1789.5693</v>
      </c>
      <c r="I80" s="13">
        <f>COUNTIFS('클럭 정리'!$A$6:$A$81,"&gt;="&amp;E80,'클럭 정리'!$A$6:$A$81,"&lt;="&amp;F80)</f>
        <v/>
      </c>
      <c r="J80" s="14">
        <f>AVERAGEIFS('클럭 정리'!$N$6:$N$81,'클럭 정리'!$A$6:$A$81,"&gt;="&amp;E80,'클럭 정리'!$A$6:$A$81,"&lt;="&amp;F80)</f>
        <v/>
      </c>
      <c r="K80" s="15">
        <f>J80*'클럭 정리'!$B$2/100</f>
        <v/>
      </c>
    </row>
    <row r="81">
      <c r="A81" s="13" t="inlineStr">
        <is>
          <t>병렬도 12 분할 4</t>
        </is>
      </c>
      <c r="B81" s="13" t="n">
        <v>5</v>
      </c>
      <c r="C81" s="13" t="inlineStr">
        <is>
          <t>ForkJoinPool-15-worker-12</t>
        </is>
      </c>
      <c r="D81" s="12" t="inlineStr">
        <is>
          <t>워커</t>
        </is>
      </c>
      <c r="E81" s="10" t="n">
        <v>46238.48457782407</v>
      </c>
      <c r="F81" s="10" t="n">
        <v>46238.48459847235</v>
      </c>
      <c r="G81" s="13" t="n">
        <v>38</v>
      </c>
      <c r="H81" s="14" t="n">
        <v>1678.5374</v>
      </c>
      <c r="I81" s="13">
        <f>COUNTIFS('클럭 정리'!$A$6:$A$81,"&gt;="&amp;E81,'클럭 정리'!$A$6:$A$81,"&lt;="&amp;F81)</f>
        <v/>
      </c>
      <c r="J81" s="14">
        <f>AVERAGEIFS('클럭 정리'!$N$6:$N$81,'클럭 정리'!$A$6:$A$81,"&gt;="&amp;E81,'클럭 정리'!$A$6:$A$81,"&lt;="&amp;F81)</f>
        <v/>
      </c>
      <c r="K81" s="15">
        <f>J81*'클럭 정리'!$B$2/100</f>
        <v/>
      </c>
    </row>
    <row r="82">
      <c r="A82" s="13" t="inlineStr">
        <is>
          <t>병렬도 12 분할 4</t>
        </is>
      </c>
      <c r="B82" s="13" t="n">
        <v>5</v>
      </c>
      <c r="C82" s="13" t="inlineStr">
        <is>
          <t>ForkJoinPool-15-worker-2</t>
        </is>
      </c>
      <c r="D82" s="12" t="inlineStr">
        <is>
          <t>워커</t>
        </is>
      </c>
      <c r="E82" s="10" t="n">
        <v>46238.48457403935</v>
      </c>
      <c r="F82" s="10" t="n">
        <v>46238.48457778925</v>
      </c>
      <c r="G82" s="13" t="n">
        <v>7</v>
      </c>
      <c r="H82" s="14" t="n">
        <v>315.6052</v>
      </c>
      <c r="I82" s="13">
        <f>COUNTIFS('클럭 정리'!$A$6:$A$81,"&gt;="&amp;E82,'클럭 정리'!$A$6:$A$81,"&lt;="&amp;F82)</f>
        <v/>
      </c>
      <c r="J82" s="14">
        <f>AVERAGEIFS('클럭 정리'!$N$6:$N$81,'클럭 정리'!$A$6:$A$81,"&gt;="&amp;E82,'클럭 정리'!$A$6:$A$81,"&lt;="&amp;F82)</f>
        <v/>
      </c>
      <c r="K82" s="15">
        <f>J82*'클럭 정리'!$B$2/100</f>
        <v/>
      </c>
    </row>
    <row r="83">
      <c r="A83" s="13" t="inlineStr">
        <is>
          <t>병렬도 12 분할 4</t>
        </is>
      </c>
      <c r="B83" s="13" t="n">
        <v>5</v>
      </c>
      <c r="C83" s="13" t="inlineStr">
        <is>
          <t>ForkJoinPool-15-worker-3</t>
        </is>
      </c>
      <c r="D83" s="12" t="inlineStr">
        <is>
          <t>워커</t>
        </is>
      </c>
      <c r="E83" s="10" t="n">
        <v>46238.48457403935</v>
      </c>
      <c r="F83" s="10" t="n">
        <v>46238.48457451522</v>
      </c>
      <c r="G83" s="13" t="n">
        <v>1</v>
      </c>
      <c r="H83" s="14" t="n">
        <v>41.1151</v>
      </c>
      <c r="I83" s="13">
        <f>COUNTIFS('클럭 정리'!$A$6:$A$81,"&gt;="&amp;E83,'클럭 정리'!$A$6:$A$81,"&lt;="&amp;F83)</f>
        <v/>
      </c>
      <c r="J83" s="14">
        <f>AVERAGEIFS('클럭 정리'!$N$6:$N$81,'클럭 정리'!$A$6:$A$81,"&gt;="&amp;E83,'클럭 정리'!$A$6:$A$81,"&lt;="&amp;F83)</f>
        <v/>
      </c>
      <c r="K83" s="15">
        <f>J83*'클럭 정리'!$B$2/100</f>
        <v/>
      </c>
    </row>
    <row r="84">
      <c r="A84" s="13" t="inlineStr">
        <is>
          <t>병렬도 12 분할 4</t>
        </is>
      </c>
      <c r="B84" s="13" t="n">
        <v>5</v>
      </c>
      <c r="C84" s="13" t="inlineStr">
        <is>
          <t>ForkJoinPool-15-worker-4</t>
        </is>
      </c>
      <c r="D84" s="12" t="inlineStr">
        <is>
          <t>워커</t>
        </is>
      </c>
      <c r="E84" s="10" t="n">
        <v>46238.48457403935</v>
      </c>
      <c r="F84" s="10" t="n">
        <v>46238.48457669831</v>
      </c>
      <c r="G84" s="13" t="n">
        <v>5</v>
      </c>
      <c r="H84" s="14" t="n">
        <v>218.8891</v>
      </c>
      <c r="I84" s="13">
        <f>COUNTIFS('클럭 정리'!$A$6:$A$81,"&gt;="&amp;E84,'클럭 정리'!$A$6:$A$81,"&lt;="&amp;F84)</f>
        <v/>
      </c>
      <c r="J84" s="14">
        <f>AVERAGEIFS('클럭 정리'!$N$6:$N$81,'클럭 정리'!$A$6:$A$81,"&gt;="&amp;E84,'클럭 정리'!$A$6:$A$81,"&lt;="&amp;F84)</f>
        <v/>
      </c>
      <c r="K84" s="15">
        <f>J84*'클럭 정리'!$B$2/100</f>
        <v/>
      </c>
    </row>
    <row r="85">
      <c r="A85" s="13" t="inlineStr">
        <is>
          <t>병렬도 12 분할 4</t>
        </is>
      </c>
      <c r="B85" s="13" t="n">
        <v>5</v>
      </c>
      <c r="C85" s="13" t="inlineStr">
        <is>
          <t>ForkJoinPool-15-worker-5</t>
        </is>
      </c>
      <c r="D85" s="12" t="inlineStr">
        <is>
          <t>워커</t>
        </is>
      </c>
      <c r="E85" s="10" t="n">
        <v>46238.48457458333</v>
      </c>
      <c r="F85" s="10" t="n">
        <v>46238.48457509578</v>
      </c>
      <c r="G85" s="13" t="n">
        <v>1</v>
      </c>
      <c r="H85" s="14" t="n">
        <v>44.2746</v>
      </c>
      <c r="I85" s="13">
        <f>COUNTIFS('클럭 정리'!$A$6:$A$81,"&gt;="&amp;E85,'클럭 정리'!$A$6:$A$81,"&lt;="&amp;F85)</f>
        <v/>
      </c>
      <c r="J85" s="14">
        <f>AVERAGEIFS('클럭 정리'!$N$6:$N$81,'클럭 정리'!$A$6:$A$81,"&gt;="&amp;E85,'클럭 정리'!$A$6:$A$81,"&lt;="&amp;F85)</f>
        <v/>
      </c>
      <c r="K85" s="15">
        <f>J85*'클럭 정리'!$B$2/100</f>
        <v/>
      </c>
    </row>
    <row r="86">
      <c r="A86" s="13" t="inlineStr">
        <is>
          <t>병렬도 12 분할 4</t>
        </is>
      </c>
      <c r="B86" s="13" t="n">
        <v>5</v>
      </c>
      <c r="C86" s="13" t="inlineStr">
        <is>
          <t>ForkJoinPool-15-worker-7</t>
        </is>
      </c>
      <c r="D86" s="12" t="inlineStr">
        <is>
          <t>워커</t>
        </is>
      </c>
      <c r="E86" s="10" t="n">
        <v>46238.48457511574</v>
      </c>
      <c r="F86" s="10" t="n">
        <v>46238.48457559924</v>
      </c>
      <c r="G86" s="13" t="n">
        <v>1</v>
      </c>
      <c r="H86" s="14" t="n">
        <v>41.7739</v>
      </c>
      <c r="I86" s="13">
        <f>COUNTIFS('클럭 정리'!$A$6:$A$81,"&gt;="&amp;E86,'클럭 정리'!$A$6:$A$81,"&lt;="&amp;F86)</f>
        <v/>
      </c>
      <c r="J86" s="14">
        <f>AVERAGEIFS('클럭 정리'!$N$6:$N$81,'클럭 정리'!$A$6:$A$81,"&gt;="&amp;E86,'클럭 정리'!$A$6:$A$81,"&lt;="&amp;F86)</f>
        <v/>
      </c>
      <c r="K86" s="15">
        <f>J86*'클럭 정리'!$B$2/100</f>
        <v/>
      </c>
    </row>
    <row r="87">
      <c r="A87" s="13" t="inlineStr">
        <is>
          <t>병렬도 12 분할 4</t>
        </is>
      </c>
      <c r="B87" s="13" t="n">
        <v>5</v>
      </c>
      <c r="C87" s="13" t="inlineStr">
        <is>
          <t>ForkJoinPool-15-worker-8</t>
        </is>
      </c>
      <c r="D87" s="12" t="inlineStr">
        <is>
          <t>워커</t>
        </is>
      </c>
      <c r="E87" s="10" t="n">
        <v>46238.48457565972</v>
      </c>
      <c r="F87" s="10" t="n">
        <v>46238.48457613795</v>
      </c>
      <c r="G87" s="13" t="n">
        <v>1</v>
      </c>
      <c r="H87" s="14" t="n">
        <v>41.3187</v>
      </c>
      <c r="I87" s="13">
        <f>COUNTIFS('클럭 정리'!$A$6:$A$81,"&gt;="&amp;E87,'클럭 정리'!$A$6:$A$81,"&lt;="&amp;F87)</f>
        <v/>
      </c>
      <c r="J87" s="14">
        <f>AVERAGEIFS('클럭 정리'!$N$6:$N$81,'클럭 정리'!$A$6:$A$81,"&gt;="&amp;E87,'클럭 정리'!$A$6:$A$81,"&lt;="&amp;F87)</f>
        <v/>
      </c>
      <c r="K87" s="15">
        <f>J87*'클럭 정리'!$B$2/100</f>
        <v/>
      </c>
    </row>
    <row r="88">
      <c r="A88" s="13" t="inlineStr">
        <is>
          <t>병렬도 12 분할 4</t>
        </is>
      </c>
      <c r="B88" s="13" t="n">
        <v>5</v>
      </c>
      <c r="C88" s="13" t="inlineStr">
        <is>
          <t>ForkJoinPool-15-worker-9</t>
        </is>
      </c>
      <c r="D88" s="12" t="inlineStr">
        <is>
          <t>워커</t>
        </is>
      </c>
      <c r="E88" s="10" t="n">
        <v>46238.48457619213</v>
      </c>
      <c r="F88" s="10" t="n">
        <v>46238.48459854751</v>
      </c>
      <c r="G88" s="13" t="n">
        <v>41</v>
      </c>
      <c r="H88" s="14" t="n">
        <v>1865.0265</v>
      </c>
      <c r="I88" s="13">
        <f>COUNTIFS('클럭 정리'!$A$6:$A$81,"&gt;="&amp;E88,'클럭 정리'!$A$6:$A$81,"&lt;="&amp;F88)</f>
        <v/>
      </c>
      <c r="J88" s="14">
        <f>AVERAGEIFS('클럭 정리'!$N$6:$N$81,'클럭 정리'!$A$6:$A$81,"&gt;="&amp;E88,'클럭 정리'!$A$6:$A$81,"&lt;="&amp;F88)</f>
        <v/>
      </c>
      <c r="K88" s="15">
        <f>J88*'클럭 정리'!$B$2/100</f>
        <v/>
      </c>
    </row>
    <row r="89">
      <c r="A89" s="13" t="inlineStr">
        <is>
          <t>병렬도 12 분할 4</t>
        </is>
      </c>
      <c r="B89" s="13" t="n">
        <v>5</v>
      </c>
      <c r="C89" s="13" t="inlineStr">
        <is>
          <t>main</t>
        </is>
      </c>
      <c r="D89" s="12" t="inlineStr">
        <is>
          <t>main (활동 시간 합 = 그 회차 mainCPU, 창은 워커와 겹침)</t>
        </is>
      </c>
      <c r="E89" s="10" t="n">
        <v>46238.48457402777</v>
      </c>
      <c r="F89" s="10" t="n">
        <v>46238.48459856169</v>
      </c>
      <c r="G89" s="13" t="n">
        <v>45</v>
      </c>
      <c r="H89" s="14" t="n">
        <v>0</v>
      </c>
      <c r="I89" s="13">
        <f>COUNTIFS('클럭 정리'!$A$6:$A$81,"&gt;="&amp;E89,'클럭 정리'!$A$6:$A$81,"&lt;="&amp;F89)</f>
        <v/>
      </c>
      <c r="J89" s="14">
        <f>AVERAGEIFS('클럭 정리'!$N$6:$N$81,'클럭 정리'!$A$6:$A$81,"&gt;="&amp;E89,'클럭 정리'!$A$6:$A$81,"&lt;="&amp;F89)</f>
        <v/>
      </c>
      <c r="K89" s="15">
        <f>J89*'클럭 정리'!$B$2/100</f>
        <v/>
      </c>
    </row>
    <row r="92">
      <c r="A92" s="1" t="inlineStr">
        <is>
          <t>풀·main별 클럭 표본 매핑</t>
        </is>
      </c>
    </row>
    <row r="93">
      <c r="A93" s="4" t="inlineStr">
        <is>
          <t>행 하나가 (풀 또는 main, 그 활동 창에 걸린 클럭 표본 1개)다. 표본 값은 클럭 정리 시트의 해당 행을 참조한다. main의 창은 그 회차 스캔 전체라 같은 회차 풀과 같은 표본에 걸린다.</t>
        </is>
      </c>
    </row>
    <row r="94">
      <c r="A94" s="5" t="inlineStr">
        <is>
          <t>구간</t>
        </is>
      </c>
      <c r="B94" s="5" t="inlineStr">
        <is>
          <t>회차</t>
        </is>
      </c>
      <c r="C94" s="5" t="inlineStr">
        <is>
          <t>풀/스레드</t>
        </is>
      </c>
      <c r="D94" s="5" t="inlineStr">
        <is>
          <t>활동 시작</t>
        </is>
      </c>
      <c r="E94" s="5" t="inlineStr">
        <is>
          <t>활동 끝</t>
        </is>
      </c>
      <c r="F94" s="5" t="inlineStr">
        <is>
          <t>표본 시각</t>
        </is>
      </c>
      <c r="G94" s="5" t="inlineStr">
        <is>
          <t>표본 클럭(%)</t>
        </is>
      </c>
      <c r="H94" s="5" t="inlineStr">
        <is>
          <t>표본 클럭(GHz)</t>
        </is>
      </c>
    </row>
    <row r="95">
      <c r="A95" s="13" t="inlineStr">
        <is>
          <t>병렬도 6 분할 4</t>
        </is>
      </c>
      <c r="B95" s="13" t="n">
        <v>1</v>
      </c>
      <c r="C95" s="13" t="inlineStr">
        <is>
          <t>ForkJoinPool-3</t>
        </is>
      </c>
      <c r="D95" s="10" t="n">
        <v>46238.48428428241</v>
      </c>
      <c r="E95" s="10" t="n">
        <v>46238.48430877956</v>
      </c>
      <c r="F95" s="16">
        <f>'클럭 정리'!A38</f>
        <v/>
      </c>
      <c r="G95" s="17">
        <f>'클럭 정리'!N38</f>
        <v/>
      </c>
      <c r="H95" s="15">
        <f>'클럭 정리'!O38</f>
        <v/>
      </c>
    </row>
    <row r="96">
      <c r="A96" s="13" t="inlineStr">
        <is>
          <t>병렬도 6 분할 4</t>
        </is>
      </c>
      <c r="B96" s="13" t="n">
        <v>1</v>
      </c>
      <c r="C96" s="13" t="inlineStr">
        <is>
          <t>ForkJoinPool-3</t>
        </is>
      </c>
      <c r="D96" s="10" t="n">
        <v>46238.48428428241</v>
      </c>
      <c r="E96" s="10" t="n">
        <v>46238.48430877956</v>
      </c>
      <c r="F96" s="16">
        <f>'클럭 정리'!A39</f>
        <v/>
      </c>
      <c r="G96" s="17">
        <f>'클럭 정리'!N39</f>
        <v/>
      </c>
      <c r="H96" s="15">
        <f>'클럭 정리'!O39</f>
        <v/>
      </c>
    </row>
    <row r="97">
      <c r="A97" s="13" t="inlineStr">
        <is>
          <t>병렬도 6 분할 4</t>
        </is>
      </c>
      <c r="B97" s="13" t="n">
        <v>1</v>
      </c>
      <c r="C97" s="13" t="inlineStr">
        <is>
          <t>ForkJoinPool-3</t>
        </is>
      </c>
      <c r="D97" s="10" t="n">
        <v>46238.48428428241</v>
      </c>
      <c r="E97" s="10" t="n">
        <v>46238.48430877956</v>
      </c>
      <c r="F97" s="16">
        <f>'클럭 정리'!A40</f>
        <v/>
      </c>
      <c r="G97" s="17">
        <f>'클럭 정리'!N40</f>
        <v/>
      </c>
      <c r="H97" s="15">
        <f>'클럭 정리'!O40</f>
        <v/>
      </c>
    </row>
    <row r="98">
      <c r="A98" s="13" t="inlineStr">
        <is>
          <t>병렬도 6 분할 4</t>
        </is>
      </c>
      <c r="B98" s="13" t="n">
        <v>1</v>
      </c>
      <c r="C98" s="13" t="inlineStr">
        <is>
          <t>main</t>
        </is>
      </c>
      <c r="D98" s="10" t="n">
        <v>46238.48428428241</v>
      </c>
      <c r="E98" s="10" t="n">
        <v>46238.48430878218</v>
      </c>
      <c r="F98" s="16">
        <f>'클럭 정리'!A38</f>
        <v/>
      </c>
      <c r="G98" s="17">
        <f>'클럭 정리'!N38</f>
        <v/>
      </c>
      <c r="H98" s="15">
        <f>'클럭 정리'!O38</f>
        <v/>
      </c>
    </row>
    <row r="99">
      <c r="A99" s="13" t="inlineStr">
        <is>
          <t>병렬도 6 분할 4</t>
        </is>
      </c>
      <c r="B99" s="13" t="n">
        <v>1</v>
      </c>
      <c r="C99" s="13" t="inlineStr">
        <is>
          <t>main</t>
        </is>
      </c>
      <c r="D99" s="10" t="n">
        <v>46238.48428428241</v>
      </c>
      <c r="E99" s="10" t="n">
        <v>46238.48430878218</v>
      </c>
      <c r="F99" s="16">
        <f>'클럭 정리'!A39</f>
        <v/>
      </c>
      <c r="G99" s="17">
        <f>'클럭 정리'!N39</f>
        <v/>
      </c>
      <c r="H99" s="15">
        <f>'클럭 정리'!O39</f>
        <v/>
      </c>
    </row>
    <row r="100">
      <c r="A100" s="13" t="inlineStr">
        <is>
          <t>병렬도 6 분할 4</t>
        </is>
      </c>
      <c r="B100" s="13" t="n">
        <v>1</v>
      </c>
      <c r="C100" s="13" t="inlineStr">
        <is>
          <t>main</t>
        </is>
      </c>
      <c r="D100" s="10" t="n">
        <v>46238.48428428241</v>
      </c>
      <c r="E100" s="10" t="n">
        <v>46238.48430878218</v>
      </c>
      <c r="F100" s="16">
        <f>'클럭 정리'!A40</f>
        <v/>
      </c>
      <c r="G100" s="17">
        <f>'클럭 정리'!N40</f>
        <v/>
      </c>
      <c r="H100" s="15">
        <f>'클럭 정리'!O40</f>
        <v/>
      </c>
    </row>
    <row r="101">
      <c r="A101" s="13" t="inlineStr">
        <is>
          <t>병렬도 6 분할 4</t>
        </is>
      </c>
      <c r="B101" s="13" t="n">
        <v>2</v>
      </c>
      <c r="C101" s="13" t="inlineStr">
        <is>
          <t>ForkJoinPool-4</t>
        </is>
      </c>
      <c r="D101" s="10" t="n">
        <v>46238.48430879629</v>
      </c>
      <c r="E101" s="10" t="n">
        <v>46238.4843329259</v>
      </c>
      <c r="F101" s="16">
        <f>'클럭 정리'!A41</f>
        <v/>
      </c>
      <c r="G101" s="17">
        <f>'클럭 정리'!N41</f>
        <v/>
      </c>
      <c r="H101" s="15">
        <f>'클럭 정리'!O41</f>
        <v/>
      </c>
    </row>
    <row r="102">
      <c r="A102" s="13" t="inlineStr">
        <is>
          <t>병렬도 6 분할 4</t>
        </is>
      </c>
      <c r="B102" s="13" t="n">
        <v>2</v>
      </c>
      <c r="C102" s="13" t="inlineStr">
        <is>
          <t>ForkJoinPool-4</t>
        </is>
      </c>
      <c r="D102" s="10" t="n">
        <v>46238.48430879629</v>
      </c>
      <c r="E102" s="10" t="n">
        <v>46238.4843329259</v>
      </c>
      <c r="F102" s="16">
        <f>'클럭 정리'!A42</f>
        <v/>
      </c>
      <c r="G102" s="17">
        <f>'클럭 정리'!N42</f>
        <v/>
      </c>
      <c r="H102" s="15">
        <f>'클럭 정리'!O42</f>
        <v/>
      </c>
    </row>
    <row r="103">
      <c r="A103" s="13" t="inlineStr">
        <is>
          <t>병렬도 6 분할 4</t>
        </is>
      </c>
      <c r="B103" s="13" t="n">
        <v>2</v>
      </c>
      <c r="C103" s="13" t="inlineStr">
        <is>
          <t>main</t>
        </is>
      </c>
      <c r="D103" s="10" t="n">
        <v>46238.48430879629</v>
      </c>
      <c r="E103" s="10" t="n">
        <v>46238.48433292872</v>
      </c>
      <c r="F103" s="16">
        <f>'클럭 정리'!A41</f>
        <v/>
      </c>
      <c r="G103" s="17">
        <f>'클럭 정리'!N41</f>
        <v/>
      </c>
      <c r="H103" s="15">
        <f>'클럭 정리'!O41</f>
        <v/>
      </c>
    </row>
    <row r="104">
      <c r="A104" s="13" t="inlineStr">
        <is>
          <t>병렬도 6 분할 4</t>
        </is>
      </c>
      <c r="B104" s="13" t="n">
        <v>2</v>
      </c>
      <c r="C104" s="13" t="inlineStr">
        <is>
          <t>main</t>
        </is>
      </c>
      <c r="D104" s="10" t="n">
        <v>46238.48430879629</v>
      </c>
      <c r="E104" s="10" t="n">
        <v>46238.48433292872</v>
      </c>
      <c r="F104" s="16">
        <f>'클럭 정리'!A42</f>
        <v/>
      </c>
      <c r="G104" s="17">
        <f>'클럭 정리'!N42</f>
        <v/>
      </c>
      <c r="H104" s="15">
        <f>'클럭 정리'!O42</f>
        <v/>
      </c>
    </row>
    <row r="105">
      <c r="A105" s="13" t="inlineStr">
        <is>
          <t>병렬도 6 분할 4</t>
        </is>
      </c>
      <c r="B105" s="13" t="n">
        <v>3</v>
      </c>
      <c r="C105" s="13" t="inlineStr">
        <is>
          <t>ForkJoinPool-5</t>
        </is>
      </c>
      <c r="D105" s="10" t="n">
        <v>46238.48433293981</v>
      </c>
      <c r="E105" s="10" t="n">
        <v>46238.4843569763</v>
      </c>
      <c r="F105" s="16">
        <f>'클럭 정리'!A43</f>
        <v/>
      </c>
      <c r="G105" s="17">
        <f>'클럭 정리'!N43</f>
        <v/>
      </c>
      <c r="H105" s="15">
        <f>'클럭 정리'!O43</f>
        <v/>
      </c>
    </row>
    <row r="106">
      <c r="A106" s="13" t="inlineStr">
        <is>
          <t>병렬도 6 분할 4</t>
        </is>
      </c>
      <c r="B106" s="13" t="n">
        <v>3</v>
      </c>
      <c r="C106" s="13" t="inlineStr">
        <is>
          <t>ForkJoinPool-5</t>
        </is>
      </c>
      <c r="D106" s="10" t="n">
        <v>46238.48433293981</v>
      </c>
      <c r="E106" s="10" t="n">
        <v>46238.4843569763</v>
      </c>
      <c r="F106" s="16">
        <f>'클럭 정리'!A44</f>
        <v/>
      </c>
      <c r="G106" s="17">
        <f>'클럭 정리'!N44</f>
        <v/>
      </c>
      <c r="H106" s="15">
        <f>'클럭 정리'!O44</f>
        <v/>
      </c>
    </row>
    <row r="107">
      <c r="A107" s="13" t="inlineStr">
        <is>
          <t>병렬도 6 분할 4</t>
        </is>
      </c>
      <c r="B107" s="13" t="n">
        <v>3</v>
      </c>
      <c r="C107" s="13" t="inlineStr">
        <is>
          <t>main</t>
        </is>
      </c>
      <c r="D107" s="10" t="n">
        <v>46238.48433293981</v>
      </c>
      <c r="E107" s="10" t="n">
        <v>46238.48435697817</v>
      </c>
      <c r="F107" s="16">
        <f>'클럭 정리'!A43</f>
        <v/>
      </c>
      <c r="G107" s="17">
        <f>'클럭 정리'!N43</f>
        <v/>
      </c>
      <c r="H107" s="15">
        <f>'클럭 정리'!O43</f>
        <v/>
      </c>
    </row>
    <row r="108">
      <c r="A108" s="13" t="inlineStr">
        <is>
          <t>병렬도 6 분할 4</t>
        </is>
      </c>
      <c r="B108" s="13" t="n">
        <v>3</v>
      </c>
      <c r="C108" s="13" t="inlineStr">
        <is>
          <t>main</t>
        </is>
      </c>
      <c r="D108" s="10" t="n">
        <v>46238.48433293981</v>
      </c>
      <c r="E108" s="10" t="n">
        <v>46238.48435697817</v>
      </c>
      <c r="F108" s="16">
        <f>'클럭 정리'!A44</f>
        <v/>
      </c>
      <c r="G108" s="17">
        <f>'클럭 정리'!N44</f>
        <v/>
      </c>
      <c r="H108" s="15">
        <f>'클럭 정리'!O44</f>
        <v/>
      </c>
    </row>
    <row r="109">
      <c r="A109" s="13" t="inlineStr">
        <is>
          <t>병렬도 6 분할 4</t>
        </is>
      </c>
      <c r="B109" s="13" t="n">
        <v>4</v>
      </c>
      <c r="C109" s="13" t="inlineStr">
        <is>
          <t>ForkJoinPool-6</t>
        </is>
      </c>
      <c r="D109" s="10" t="n">
        <v>46238.48435699074</v>
      </c>
      <c r="E109" s="10" t="n">
        <v>46238.48438102962</v>
      </c>
      <c r="F109" s="16">
        <f>'클럭 정리'!A45</f>
        <v/>
      </c>
      <c r="G109" s="17">
        <f>'클럭 정리'!N45</f>
        <v/>
      </c>
      <c r="H109" s="15">
        <f>'클럭 정리'!O45</f>
        <v/>
      </c>
    </row>
    <row r="110">
      <c r="A110" s="13" t="inlineStr">
        <is>
          <t>병렬도 6 분할 4</t>
        </is>
      </c>
      <c r="B110" s="13" t="n">
        <v>4</v>
      </c>
      <c r="C110" s="13" t="inlineStr">
        <is>
          <t>ForkJoinPool-6</t>
        </is>
      </c>
      <c r="D110" s="10" t="n">
        <v>46238.48435699074</v>
      </c>
      <c r="E110" s="10" t="n">
        <v>46238.48438102962</v>
      </c>
      <c r="F110" s="16">
        <f>'클럭 정리'!A46</f>
        <v/>
      </c>
      <c r="G110" s="17">
        <f>'클럭 정리'!N46</f>
        <v/>
      </c>
      <c r="H110" s="15">
        <f>'클럭 정리'!O46</f>
        <v/>
      </c>
    </row>
    <row r="111">
      <c r="A111" s="13" t="inlineStr">
        <is>
          <t>병렬도 6 분할 4</t>
        </is>
      </c>
      <c r="B111" s="13" t="n">
        <v>4</v>
      </c>
      <c r="C111" s="13" t="inlineStr">
        <is>
          <t>main</t>
        </is>
      </c>
      <c r="D111" s="10" t="n">
        <v>46238.48435697917</v>
      </c>
      <c r="E111" s="10" t="n">
        <v>46238.48438103104</v>
      </c>
      <c r="F111" s="16">
        <f>'클럭 정리'!A45</f>
        <v/>
      </c>
      <c r="G111" s="17">
        <f>'클럭 정리'!N45</f>
        <v/>
      </c>
      <c r="H111" s="15">
        <f>'클럭 정리'!O45</f>
        <v/>
      </c>
    </row>
    <row r="112">
      <c r="A112" s="13" t="inlineStr">
        <is>
          <t>병렬도 6 분할 4</t>
        </is>
      </c>
      <c r="B112" s="13" t="n">
        <v>4</v>
      </c>
      <c r="C112" s="13" t="inlineStr">
        <is>
          <t>main</t>
        </is>
      </c>
      <c r="D112" s="10" t="n">
        <v>46238.48435697917</v>
      </c>
      <c r="E112" s="10" t="n">
        <v>46238.48438103104</v>
      </c>
      <c r="F112" s="16">
        <f>'클럭 정리'!A46</f>
        <v/>
      </c>
      <c r="G112" s="17">
        <f>'클럭 정리'!N46</f>
        <v/>
      </c>
      <c r="H112" s="15">
        <f>'클럭 정리'!O46</f>
        <v/>
      </c>
    </row>
    <row r="113">
      <c r="A113" s="13" t="inlineStr">
        <is>
          <t>병렬도 6 분할 4</t>
        </is>
      </c>
      <c r="B113" s="13" t="n">
        <v>5</v>
      </c>
      <c r="C113" s="13" t="inlineStr">
        <is>
          <t>ForkJoinPool-7</t>
        </is>
      </c>
      <c r="D113" s="10" t="n">
        <v>46238.48438104166</v>
      </c>
      <c r="E113" s="10" t="n">
        <v>46238.48440483212</v>
      </c>
      <c r="F113" s="16">
        <f>'클럭 정리'!A47</f>
        <v/>
      </c>
      <c r="G113" s="17">
        <f>'클럭 정리'!N47</f>
        <v/>
      </c>
      <c r="H113" s="15">
        <f>'클럭 정리'!O47</f>
        <v/>
      </c>
    </row>
    <row r="114">
      <c r="A114" s="13" t="inlineStr">
        <is>
          <t>병렬도 6 분할 4</t>
        </is>
      </c>
      <c r="B114" s="13" t="n">
        <v>5</v>
      </c>
      <c r="C114" s="13" t="inlineStr">
        <is>
          <t>ForkJoinPool-7</t>
        </is>
      </c>
      <c r="D114" s="10" t="n">
        <v>46238.48438104166</v>
      </c>
      <c r="E114" s="10" t="n">
        <v>46238.48440483212</v>
      </c>
      <c r="F114" s="16">
        <f>'클럭 정리'!A48</f>
        <v/>
      </c>
      <c r="G114" s="17">
        <f>'클럭 정리'!N48</f>
        <v/>
      </c>
      <c r="H114" s="15">
        <f>'클럭 정리'!O48</f>
        <v/>
      </c>
    </row>
    <row r="115">
      <c r="A115" s="13" t="inlineStr">
        <is>
          <t>병렬도 6 분할 4</t>
        </is>
      </c>
      <c r="B115" s="13" t="n">
        <v>5</v>
      </c>
      <c r="C115" s="13" t="inlineStr">
        <is>
          <t>main</t>
        </is>
      </c>
      <c r="D115" s="10" t="n">
        <v>46238.48438104166</v>
      </c>
      <c r="E115" s="10" t="n">
        <v>46238.48440483399</v>
      </c>
      <c r="F115" s="16">
        <f>'클럭 정리'!A47</f>
        <v/>
      </c>
      <c r="G115" s="17">
        <f>'클럭 정리'!N47</f>
        <v/>
      </c>
      <c r="H115" s="15">
        <f>'클럭 정리'!O47</f>
        <v/>
      </c>
    </row>
    <row r="116">
      <c r="A116" s="13" t="inlineStr">
        <is>
          <t>병렬도 6 분할 4</t>
        </is>
      </c>
      <c r="B116" s="13" t="n">
        <v>5</v>
      </c>
      <c r="C116" s="13" t="inlineStr">
        <is>
          <t>main</t>
        </is>
      </c>
      <c r="D116" s="10" t="n">
        <v>46238.48438104166</v>
      </c>
      <c r="E116" s="10" t="n">
        <v>46238.48440483399</v>
      </c>
      <c r="F116" s="16">
        <f>'클럭 정리'!A48</f>
        <v/>
      </c>
      <c r="G116" s="17">
        <f>'클럭 정리'!N48</f>
        <v/>
      </c>
      <c r="H116" s="15">
        <f>'클럭 정리'!O48</f>
        <v/>
      </c>
    </row>
    <row r="117">
      <c r="A117" s="13" t="inlineStr">
        <is>
          <t>병렬도 12 분할 4</t>
        </is>
      </c>
      <c r="B117" s="13" t="n">
        <v>1</v>
      </c>
      <c r="C117" s="13" t="inlineStr">
        <is>
          <t>ForkJoinPool-11</t>
        </is>
      </c>
      <c r="D117" s="10" t="n">
        <v>46238.48447734954</v>
      </c>
      <c r="E117" s="10" t="n">
        <v>46238.48450115055</v>
      </c>
      <c r="F117" s="16">
        <f>'클럭 정리'!A55</f>
        <v/>
      </c>
      <c r="G117" s="17">
        <f>'클럭 정리'!N55</f>
        <v/>
      </c>
      <c r="H117" s="15">
        <f>'클럭 정리'!O55</f>
        <v/>
      </c>
    </row>
    <row r="118">
      <c r="A118" s="13" t="inlineStr">
        <is>
          <t>병렬도 12 분할 4</t>
        </is>
      </c>
      <c r="B118" s="13" t="n">
        <v>1</v>
      </c>
      <c r="C118" s="13" t="inlineStr">
        <is>
          <t>ForkJoinPool-11</t>
        </is>
      </c>
      <c r="D118" s="10" t="n">
        <v>46238.48447734954</v>
      </c>
      <c r="E118" s="10" t="n">
        <v>46238.48450115055</v>
      </c>
      <c r="F118" s="16">
        <f>'클럭 정리'!A56</f>
        <v/>
      </c>
      <c r="G118" s="17">
        <f>'클럭 정리'!N56</f>
        <v/>
      </c>
      <c r="H118" s="15">
        <f>'클럭 정리'!O56</f>
        <v/>
      </c>
    </row>
    <row r="119">
      <c r="A119" s="13" t="inlineStr">
        <is>
          <t>병렬도 12 분할 4</t>
        </is>
      </c>
      <c r="B119" s="13" t="n">
        <v>1</v>
      </c>
      <c r="C119" s="13" t="inlineStr">
        <is>
          <t>main</t>
        </is>
      </c>
      <c r="D119" s="10" t="n">
        <v>46238.48447734954</v>
      </c>
      <c r="E119" s="10" t="n">
        <v>46238.48450115423</v>
      </c>
      <c r="F119" s="16">
        <f>'클럭 정리'!A55</f>
        <v/>
      </c>
      <c r="G119" s="17">
        <f>'클럭 정리'!N55</f>
        <v/>
      </c>
      <c r="H119" s="15">
        <f>'클럭 정리'!O55</f>
        <v/>
      </c>
    </row>
    <row r="120">
      <c r="A120" s="13" t="inlineStr">
        <is>
          <t>병렬도 12 분할 4</t>
        </is>
      </c>
      <c r="B120" s="13" t="n">
        <v>1</v>
      </c>
      <c r="C120" s="13" t="inlineStr">
        <is>
          <t>main</t>
        </is>
      </c>
      <c r="D120" s="10" t="n">
        <v>46238.48447734954</v>
      </c>
      <c r="E120" s="10" t="n">
        <v>46238.48450115423</v>
      </c>
      <c r="F120" s="16">
        <f>'클럭 정리'!A56</f>
        <v/>
      </c>
      <c r="G120" s="17">
        <f>'클럭 정리'!N56</f>
        <v/>
      </c>
      <c r="H120" s="15">
        <f>'클럭 정리'!O56</f>
        <v/>
      </c>
    </row>
    <row r="121">
      <c r="A121" s="13" t="inlineStr">
        <is>
          <t>병렬도 12 분할 4</t>
        </is>
      </c>
      <c r="B121" s="13" t="n">
        <v>2</v>
      </c>
      <c r="C121" s="13" t="inlineStr">
        <is>
          <t>ForkJoinPool-12</t>
        </is>
      </c>
      <c r="D121" s="10" t="n">
        <v>46238.48450116898</v>
      </c>
      <c r="E121" s="10" t="n">
        <v>46238.48452554898</v>
      </c>
      <c r="F121" s="16">
        <f>'클럭 정리'!A57</f>
        <v/>
      </c>
      <c r="G121" s="17">
        <f>'클럭 정리'!N57</f>
        <v/>
      </c>
      <c r="H121" s="15">
        <f>'클럭 정리'!O57</f>
        <v/>
      </c>
    </row>
    <row r="122">
      <c r="A122" s="13" t="inlineStr">
        <is>
          <t>병렬도 12 분할 4</t>
        </is>
      </c>
      <c r="B122" s="13" t="n">
        <v>2</v>
      </c>
      <c r="C122" s="13" t="inlineStr">
        <is>
          <t>ForkJoinPool-12</t>
        </is>
      </c>
      <c r="D122" s="10" t="n">
        <v>46238.48450116898</v>
      </c>
      <c r="E122" s="10" t="n">
        <v>46238.48452554898</v>
      </c>
      <c r="F122" s="16">
        <f>'클럭 정리'!A58</f>
        <v/>
      </c>
      <c r="G122" s="17">
        <f>'클럭 정리'!N58</f>
        <v/>
      </c>
      <c r="H122" s="15">
        <f>'클럭 정리'!O58</f>
        <v/>
      </c>
    </row>
    <row r="123">
      <c r="A123" s="13" t="inlineStr">
        <is>
          <t>병렬도 12 분할 4</t>
        </is>
      </c>
      <c r="B123" s="13" t="n">
        <v>2</v>
      </c>
      <c r="C123" s="13" t="inlineStr">
        <is>
          <t>main</t>
        </is>
      </c>
      <c r="D123" s="10" t="n">
        <v>46238.48450115741</v>
      </c>
      <c r="E123" s="10" t="n">
        <v>46238.48452555038</v>
      </c>
      <c r="F123" s="16">
        <f>'클럭 정리'!A57</f>
        <v/>
      </c>
      <c r="G123" s="17">
        <f>'클럭 정리'!N57</f>
        <v/>
      </c>
      <c r="H123" s="15">
        <f>'클럭 정리'!O57</f>
        <v/>
      </c>
    </row>
    <row r="124">
      <c r="A124" s="13" t="inlineStr">
        <is>
          <t>병렬도 12 분할 4</t>
        </is>
      </c>
      <c r="B124" s="13" t="n">
        <v>2</v>
      </c>
      <c r="C124" s="13" t="inlineStr">
        <is>
          <t>main</t>
        </is>
      </c>
      <c r="D124" s="10" t="n">
        <v>46238.48450115741</v>
      </c>
      <c r="E124" s="10" t="n">
        <v>46238.48452555038</v>
      </c>
      <c r="F124" s="16">
        <f>'클럭 정리'!A58</f>
        <v/>
      </c>
      <c r="G124" s="17">
        <f>'클럭 정리'!N58</f>
        <v/>
      </c>
      <c r="H124" s="15">
        <f>'클럭 정리'!O58</f>
        <v/>
      </c>
    </row>
    <row r="125">
      <c r="A125" s="13" t="inlineStr">
        <is>
          <t>병렬도 12 분할 4</t>
        </is>
      </c>
      <c r="B125" s="13" t="n">
        <v>3</v>
      </c>
      <c r="C125" s="13" t="inlineStr">
        <is>
          <t>ForkJoinPool-13</t>
        </is>
      </c>
      <c r="D125" s="10" t="n">
        <v>46238.48452556713</v>
      </c>
      <c r="E125" s="10" t="n">
        <v>46238.4845498703</v>
      </c>
      <c r="F125" s="16">
        <f>'클럭 정리'!A59</f>
        <v/>
      </c>
      <c r="G125" s="17">
        <f>'클럭 정리'!N59</f>
        <v/>
      </c>
      <c r="H125" s="15">
        <f>'클럭 정리'!O59</f>
        <v/>
      </c>
    </row>
    <row r="126">
      <c r="A126" s="13" t="inlineStr">
        <is>
          <t>병렬도 12 분할 4</t>
        </is>
      </c>
      <c r="B126" s="13" t="n">
        <v>3</v>
      </c>
      <c r="C126" s="13" t="inlineStr">
        <is>
          <t>ForkJoinPool-13</t>
        </is>
      </c>
      <c r="D126" s="10" t="n">
        <v>46238.48452556713</v>
      </c>
      <c r="E126" s="10" t="n">
        <v>46238.4845498703</v>
      </c>
      <c r="F126" s="16">
        <f>'클럭 정리'!A60</f>
        <v/>
      </c>
      <c r="G126" s="17">
        <f>'클럭 정리'!N60</f>
        <v/>
      </c>
      <c r="H126" s="15">
        <f>'클럭 정리'!O60</f>
        <v/>
      </c>
    </row>
    <row r="127">
      <c r="A127" s="13" t="inlineStr">
        <is>
          <t>병렬도 12 분할 4</t>
        </is>
      </c>
      <c r="B127" s="13" t="n">
        <v>3</v>
      </c>
      <c r="C127" s="13" t="inlineStr">
        <is>
          <t>main</t>
        </is>
      </c>
      <c r="D127" s="10" t="n">
        <v>46238.48452556713</v>
      </c>
      <c r="E127" s="10" t="n">
        <v>46238.48454987346</v>
      </c>
      <c r="F127" s="16">
        <f>'클럭 정리'!A59</f>
        <v/>
      </c>
      <c r="G127" s="17">
        <f>'클럭 정리'!N59</f>
        <v/>
      </c>
      <c r="H127" s="15">
        <f>'클럭 정리'!O59</f>
        <v/>
      </c>
    </row>
    <row r="128">
      <c r="A128" s="13" t="inlineStr">
        <is>
          <t>병렬도 12 분할 4</t>
        </is>
      </c>
      <c r="B128" s="13" t="n">
        <v>3</v>
      </c>
      <c r="C128" s="13" t="inlineStr">
        <is>
          <t>main</t>
        </is>
      </c>
      <c r="D128" s="10" t="n">
        <v>46238.48452556713</v>
      </c>
      <c r="E128" s="10" t="n">
        <v>46238.48454987346</v>
      </c>
      <c r="F128" s="16">
        <f>'클럭 정리'!A60</f>
        <v/>
      </c>
      <c r="G128" s="17">
        <f>'클럭 정리'!N60</f>
        <v/>
      </c>
      <c r="H128" s="15">
        <f>'클럭 정리'!O60</f>
        <v/>
      </c>
    </row>
    <row r="129">
      <c r="A129" s="13" t="inlineStr">
        <is>
          <t>병렬도 12 분할 4</t>
        </is>
      </c>
      <c r="B129" s="13" t="n">
        <v>4</v>
      </c>
      <c r="C129" s="13" t="inlineStr">
        <is>
          <t>ForkJoinPool-14</t>
        </is>
      </c>
      <c r="D129" s="10" t="n">
        <v>46238.48454988426</v>
      </c>
      <c r="E129" s="10" t="n">
        <v>46238.48457401772</v>
      </c>
      <c r="F129" s="16">
        <f>'클럭 정리'!A61</f>
        <v/>
      </c>
      <c r="G129" s="17">
        <f>'클럭 정리'!N61</f>
        <v/>
      </c>
      <c r="H129" s="15">
        <f>'클럭 정리'!O61</f>
        <v/>
      </c>
    </row>
    <row r="130">
      <c r="A130" s="13" t="inlineStr">
        <is>
          <t>병렬도 12 분할 4</t>
        </is>
      </c>
      <c r="B130" s="13" t="n">
        <v>4</v>
      </c>
      <c r="C130" s="13" t="inlineStr">
        <is>
          <t>ForkJoinPool-14</t>
        </is>
      </c>
      <c r="D130" s="10" t="n">
        <v>46238.48454988426</v>
      </c>
      <c r="E130" s="10" t="n">
        <v>46238.48457401772</v>
      </c>
      <c r="F130" s="16">
        <f>'클럭 정리'!A62</f>
        <v/>
      </c>
      <c r="G130" s="17">
        <f>'클럭 정리'!N62</f>
        <v/>
      </c>
      <c r="H130" s="15">
        <f>'클럭 정리'!O62</f>
        <v/>
      </c>
    </row>
    <row r="131">
      <c r="A131" s="13" t="inlineStr">
        <is>
          <t>병렬도 12 분할 4</t>
        </is>
      </c>
      <c r="B131" s="13" t="n">
        <v>4</v>
      </c>
      <c r="C131" s="13" t="inlineStr">
        <is>
          <t>main</t>
        </is>
      </c>
      <c r="D131" s="10" t="n">
        <v>46238.48454988426</v>
      </c>
      <c r="E131" s="10" t="n">
        <v>46238.4845740208</v>
      </c>
      <c r="F131" s="16">
        <f>'클럭 정리'!A61</f>
        <v/>
      </c>
      <c r="G131" s="17">
        <f>'클럭 정리'!N61</f>
        <v/>
      </c>
      <c r="H131" s="15">
        <f>'클럭 정리'!O61</f>
        <v/>
      </c>
    </row>
    <row r="132">
      <c r="A132" s="13" t="inlineStr">
        <is>
          <t>병렬도 12 분할 4</t>
        </is>
      </c>
      <c r="B132" s="13" t="n">
        <v>4</v>
      </c>
      <c r="C132" s="13" t="inlineStr">
        <is>
          <t>main</t>
        </is>
      </c>
      <c r="D132" s="10" t="n">
        <v>46238.48454988426</v>
      </c>
      <c r="E132" s="10" t="n">
        <v>46238.4845740208</v>
      </c>
      <c r="F132" s="16">
        <f>'클럭 정리'!A62</f>
        <v/>
      </c>
      <c r="G132" s="17">
        <f>'클럭 정리'!N62</f>
        <v/>
      </c>
      <c r="H132" s="15">
        <f>'클럭 정리'!O62</f>
        <v/>
      </c>
    </row>
    <row r="133">
      <c r="A133" s="13" t="inlineStr">
        <is>
          <t>병렬도 12 분할 4</t>
        </is>
      </c>
      <c r="B133" s="13" t="n">
        <v>5</v>
      </c>
      <c r="C133" s="13" t="inlineStr">
        <is>
          <t>ForkJoinPool-15</t>
        </is>
      </c>
      <c r="D133" s="10" t="n">
        <v>46238.48457403935</v>
      </c>
      <c r="E133" s="10" t="n">
        <v>46238.48459856068</v>
      </c>
      <c r="F133" s="16">
        <f>'클럭 정리'!A63</f>
        <v/>
      </c>
      <c r="G133" s="17">
        <f>'클럭 정리'!N63</f>
        <v/>
      </c>
      <c r="H133" s="15">
        <f>'클럭 정리'!O63</f>
        <v/>
      </c>
    </row>
    <row r="134">
      <c r="A134" s="13" t="inlineStr">
        <is>
          <t>병렬도 12 분할 4</t>
        </is>
      </c>
      <c r="B134" s="13" t="n">
        <v>5</v>
      </c>
      <c r="C134" s="13" t="inlineStr">
        <is>
          <t>ForkJoinPool-15</t>
        </is>
      </c>
      <c r="D134" s="10" t="n">
        <v>46238.48457403935</v>
      </c>
      <c r="E134" s="10" t="n">
        <v>46238.48459856068</v>
      </c>
      <c r="F134" s="16">
        <f>'클럭 정리'!A64</f>
        <v/>
      </c>
      <c r="G134" s="17">
        <f>'클럭 정리'!N64</f>
        <v/>
      </c>
      <c r="H134" s="15">
        <f>'클럭 정리'!O64</f>
        <v/>
      </c>
    </row>
    <row r="135">
      <c r="A135" s="13" t="inlineStr">
        <is>
          <t>병렬도 12 분할 4</t>
        </is>
      </c>
      <c r="B135" s="13" t="n">
        <v>5</v>
      </c>
      <c r="C135" s="13" t="inlineStr">
        <is>
          <t>main</t>
        </is>
      </c>
      <c r="D135" s="10" t="n">
        <v>46238.48457402777</v>
      </c>
      <c r="E135" s="10" t="n">
        <v>46238.48459856169</v>
      </c>
      <c r="F135" s="16">
        <f>'클럭 정리'!A63</f>
        <v/>
      </c>
      <c r="G135" s="17">
        <f>'클럭 정리'!N63</f>
        <v/>
      </c>
      <c r="H135" s="15">
        <f>'클럭 정리'!O63</f>
        <v/>
      </c>
    </row>
    <row r="136">
      <c r="A136" s="13" t="inlineStr">
        <is>
          <t>병렬도 12 분할 4</t>
        </is>
      </c>
      <c r="B136" s="13" t="n">
        <v>5</v>
      </c>
      <c r="C136" s="13" t="inlineStr">
        <is>
          <t>main</t>
        </is>
      </c>
      <c r="D136" s="10" t="n">
        <v>46238.48457402777</v>
      </c>
      <c r="E136" s="10" t="n">
        <v>46238.48459856169</v>
      </c>
      <c r="F136" s="16">
        <f>'클럭 정리'!A64</f>
        <v/>
      </c>
      <c r="G136" s="17">
        <f>'클럭 정리'!N64</f>
        <v/>
      </c>
      <c r="H136" s="15">
        <f>'클럭 정리'!O64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6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2" customWidth="1" min="10" max="10"/>
    <col width="12" customWidth="1" min="11" max="11"/>
    <col width="8" customWidth="1" min="12" max="12"/>
    <col width="11" customWidth="1" min="13" max="13"/>
  </cols>
  <sheetData>
    <row r="1">
      <c r="A1" s="1" t="inlineStr">
        <is>
          <t>측정 회차별 원값 (IMPLOG run 레코드). 프로브 표의 행은 5회 평균이고, 이 시트는 그 5회 각각이다</t>
        </is>
      </c>
    </row>
    <row r="2">
      <c r="A2" s="4" t="inlineStr">
        <is>
          <t>busyCore와 speedup은 파생값이라 로그에 없고 여기서 수식으로 계산한다. busyCore는 procCPU를 elapsed로 나눈 값, speedup은 순차 elapsed의 5회 평균을 그 행의 elapsed로 나눈 값이다. 스레드 CPU 시간(mainCPU 등)은 Windows 해상도(15.625ms) 계단이라 작은 값은 0으로 찍힌다.</t>
        </is>
      </c>
    </row>
    <row r="4">
      <c r="A4" s="5" t="inlineStr">
        <is>
          <t>구현</t>
        </is>
      </c>
      <c r="B4" s="5" t="inlineStr">
        <is>
          <t>병렬도</t>
        </is>
      </c>
      <c r="C4" s="5" t="inlineStr">
        <is>
          <t>분할</t>
        </is>
      </c>
      <c r="D4" s="5" t="inlineStr">
        <is>
          <t>회차</t>
        </is>
      </c>
      <c r="E4" s="5" t="inlineStr">
        <is>
          <t>elapsed(ms)</t>
        </is>
      </c>
      <c r="F4" s="5" t="inlineStr">
        <is>
          <t>procCPU(ms)</t>
        </is>
      </c>
      <c r="G4" s="5" t="inlineStr">
        <is>
          <t>busyCore(개)</t>
        </is>
      </c>
      <c r="H4" s="5" t="inlineStr">
        <is>
          <t>mainCPU(ms)</t>
        </is>
      </c>
      <c r="I4" s="5" t="inlineStr">
        <is>
          <t>workerCPU(ms)</t>
        </is>
      </c>
      <c r="J4" s="5" t="inlineStr">
        <is>
          <t>기타 자바(ms)</t>
        </is>
      </c>
      <c r="K4" s="5" t="inlineStr">
        <is>
          <t>자바 아닌(ms)</t>
        </is>
      </c>
      <c r="L4" s="5" t="inlineStr">
        <is>
          <t>GC(ms)</t>
        </is>
      </c>
      <c r="M4" s="5" t="inlineStr">
        <is>
          <t>speedup(배)</t>
        </is>
      </c>
    </row>
    <row r="5">
      <c r="A5" s="13" t="inlineStr">
        <is>
          <t>순차</t>
        </is>
      </c>
      <c r="B5" s="13" t="inlineStr">
        <is>
          <t>-</t>
        </is>
      </c>
      <c r="C5" s="13" t="inlineStr">
        <is>
          <t>-</t>
        </is>
      </c>
      <c r="D5" s="13" t="n">
        <v>1</v>
      </c>
      <c r="E5" s="14" t="n">
        <v>3239.7402</v>
      </c>
      <c r="F5" s="14" t="n">
        <v>3203.125</v>
      </c>
      <c r="G5" s="11">
        <f>F5/E5</f>
        <v/>
      </c>
      <c r="H5" s="14" t="n">
        <v>3156.25</v>
      </c>
      <c r="I5" s="14" t="n">
        <v>0</v>
      </c>
      <c r="J5" s="14" t="n">
        <v>0</v>
      </c>
      <c r="K5" s="14" t="n">
        <v>31.25</v>
      </c>
      <c r="L5" s="13" t="n">
        <v>18</v>
      </c>
      <c r="M5" s="13" t="n"/>
    </row>
    <row r="6">
      <c r="A6" s="13" t="inlineStr">
        <is>
          <t>순차</t>
        </is>
      </c>
      <c r="B6" s="13" t="inlineStr">
        <is>
          <t>-</t>
        </is>
      </c>
      <c r="C6" s="13" t="inlineStr">
        <is>
          <t>-</t>
        </is>
      </c>
      <c r="D6" s="13" t="n">
        <v>2</v>
      </c>
      <c r="E6" s="14" t="n">
        <v>4176.2909</v>
      </c>
      <c r="F6" s="14" t="n">
        <v>4171.875</v>
      </c>
      <c r="G6" s="11">
        <f>F6/E6</f>
        <v/>
      </c>
      <c r="H6" s="14" t="n">
        <v>4125</v>
      </c>
      <c r="I6" s="14" t="n">
        <v>0</v>
      </c>
      <c r="J6" s="14" t="n">
        <v>0</v>
      </c>
      <c r="K6" s="14" t="n">
        <v>46.875</v>
      </c>
      <c r="L6" s="13" t="n">
        <v>19</v>
      </c>
      <c r="M6" s="13" t="n"/>
    </row>
    <row r="7">
      <c r="A7" s="13" t="inlineStr">
        <is>
          <t>순차</t>
        </is>
      </c>
      <c r="B7" s="13" t="inlineStr">
        <is>
          <t>-</t>
        </is>
      </c>
      <c r="C7" s="13" t="inlineStr">
        <is>
          <t>-</t>
        </is>
      </c>
      <c r="D7" s="13" t="n">
        <v>3</v>
      </c>
      <c r="E7" s="14" t="n">
        <v>4151.7423</v>
      </c>
      <c r="F7" s="14" t="n">
        <v>4156.25</v>
      </c>
      <c r="G7" s="11">
        <f>F7/E7</f>
        <v/>
      </c>
      <c r="H7" s="14" t="n">
        <v>4125</v>
      </c>
      <c r="I7" s="14" t="n">
        <v>0</v>
      </c>
      <c r="J7" s="14" t="n">
        <v>0</v>
      </c>
      <c r="K7" s="14" t="n">
        <v>31.25</v>
      </c>
      <c r="L7" s="13" t="n">
        <v>18</v>
      </c>
      <c r="M7" s="13" t="n"/>
    </row>
    <row r="8">
      <c r="A8" s="13" t="inlineStr">
        <is>
          <t>순차</t>
        </is>
      </c>
      <c r="B8" s="13" t="inlineStr">
        <is>
          <t>-</t>
        </is>
      </c>
      <c r="C8" s="13" t="inlineStr">
        <is>
          <t>-</t>
        </is>
      </c>
      <c r="D8" s="13" t="n">
        <v>4</v>
      </c>
      <c r="E8" s="14" t="n">
        <v>4144.0673</v>
      </c>
      <c r="F8" s="14" t="n">
        <v>4187.5</v>
      </c>
      <c r="G8" s="11">
        <f>F8/E8</f>
        <v/>
      </c>
      <c r="H8" s="14" t="n">
        <v>4109.375</v>
      </c>
      <c r="I8" s="14" t="n">
        <v>0</v>
      </c>
      <c r="J8" s="14" t="n">
        <v>0</v>
      </c>
      <c r="K8" s="14" t="n">
        <v>78.125</v>
      </c>
      <c r="L8" s="13" t="n">
        <v>18</v>
      </c>
      <c r="M8" s="13" t="n"/>
    </row>
    <row r="9">
      <c r="A9" s="13" t="inlineStr">
        <is>
          <t>순차</t>
        </is>
      </c>
      <c r="B9" s="13" t="inlineStr">
        <is>
          <t>-</t>
        </is>
      </c>
      <c r="C9" s="13" t="inlineStr">
        <is>
          <t>-</t>
        </is>
      </c>
      <c r="D9" s="13" t="n">
        <v>5</v>
      </c>
      <c r="E9" s="14" t="n">
        <v>4118.7656</v>
      </c>
      <c r="F9" s="14" t="n">
        <v>4109.375</v>
      </c>
      <c r="G9" s="11">
        <f>F9/E9</f>
        <v/>
      </c>
      <c r="H9" s="14" t="n">
        <v>4093.75</v>
      </c>
      <c r="I9" s="14" t="n">
        <v>0</v>
      </c>
      <c r="J9" s="14" t="n">
        <v>0</v>
      </c>
      <c r="K9" s="14" t="n">
        <v>15.625</v>
      </c>
      <c r="L9" s="13" t="n">
        <v>17</v>
      </c>
      <c r="M9" s="13" t="n"/>
    </row>
    <row r="10">
      <c r="A10" s="13" t="inlineStr">
        <is>
          <t>병렬</t>
        </is>
      </c>
      <c r="B10" s="13" t="n">
        <v>6</v>
      </c>
      <c r="C10" s="13" t="n">
        <v>4</v>
      </c>
      <c r="D10" s="13" t="n">
        <v>1</v>
      </c>
      <c r="E10" s="14" t="n">
        <v>2116.9591</v>
      </c>
      <c r="F10" s="14" t="n">
        <v>8703.125</v>
      </c>
      <c r="G10" s="11">
        <f>F10/E10</f>
        <v/>
      </c>
      <c r="H10" s="14" t="n">
        <v>0</v>
      </c>
      <c r="I10" s="14" t="n">
        <v>8234.375</v>
      </c>
      <c r="J10" s="14" t="n">
        <v>0</v>
      </c>
      <c r="K10" s="14" t="n">
        <v>468.75</v>
      </c>
      <c r="L10" s="13" t="n">
        <v>19</v>
      </c>
      <c r="M10" s="11">
        <f>AVERAGEIFS($E$5:$E$19,$A$5:$A$19,"순차")/E10</f>
        <v/>
      </c>
    </row>
    <row r="11">
      <c r="A11" s="13" t="inlineStr">
        <is>
          <t>병렬</t>
        </is>
      </c>
      <c r="B11" s="13" t="n">
        <v>6</v>
      </c>
      <c r="C11" s="13" t="n">
        <v>4</v>
      </c>
      <c r="D11" s="13" t="n">
        <v>2</v>
      </c>
      <c r="E11" s="14" t="n">
        <v>2085.3142</v>
      </c>
      <c r="F11" s="14" t="n">
        <v>8078.125</v>
      </c>
      <c r="G11" s="11">
        <f>F11/E11</f>
        <v/>
      </c>
      <c r="H11" s="14" t="n">
        <v>15.625</v>
      </c>
      <c r="I11" s="14" t="n">
        <v>7921.875</v>
      </c>
      <c r="J11" s="14" t="n">
        <v>0</v>
      </c>
      <c r="K11" s="14" t="n">
        <v>140.625</v>
      </c>
      <c r="L11" s="13" t="n">
        <v>18</v>
      </c>
      <c r="M11" s="11">
        <f>AVERAGEIFS($E$5:$E$19,$A$5:$A$19,"순차")/E11</f>
        <v/>
      </c>
    </row>
    <row r="12">
      <c r="A12" s="13" t="inlineStr">
        <is>
          <t>병렬</t>
        </is>
      </c>
      <c r="B12" s="13" t="n">
        <v>6</v>
      </c>
      <c r="C12" s="13" t="n">
        <v>4</v>
      </c>
      <c r="D12" s="13" t="n">
        <v>3</v>
      </c>
      <c r="E12" s="14" t="n">
        <v>2076.7611</v>
      </c>
      <c r="F12" s="14" t="n">
        <v>7750</v>
      </c>
      <c r="G12" s="11">
        <f>F12/E12</f>
        <v/>
      </c>
      <c r="H12" s="14" t="n">
        <v>15.625</v>
      </c>
      <c r="I12" s="14" t="n">
        <v>7593.75</v>
      </c>
      <c r="J12" s="14" t="n">
        <v>0</v>
      </c>
      <c r="K12" s="14" t="n">
        <v>125</v>
      </c>
      <c r="L12" s="13" t="n">
        <v>18</v>
      </c>
      <c r="M12" s="11">
        <f>AVERAGEIFS($E$5:$E$19,$A$5:$A$19,"순차")/E12</f>
        <v/>
      </c>
    </row>
    <row r="13">
      <c r="A13" s="13" t="inlineStr">
        <is>
          <t>병렬</t>
        </is>
      </c>
      <c r="B13" s="13" t="n">
        <v>6</v>
      </c>
      <c r="C13" s="13" t="n">
        <v>4</v>
      </c>
      <c r="D13" s="13" t="n">
        <v>4</v>
      </c>
      <c r="E13" s="14" t="n">
        <v>2077.1233</v>
      </c>
      <c r="F13" s="14" t="n">
        <v>7484.375</v>
      </c>
      <c r="G13" s="11">
        <f>F13/E13</f>
        <v/>
      </c>
      <c r="H13" s="14" t="n">
        <v>0</v>
      </c>
      <c r="I13" s="14" t="n">
        <v>7406.25</v>
      </c>
      <c r="J13" s="14" t="n">
        <v>0</v>
      </c>
      <c r="K13" s="14" t="n">
        <v>78.125</v>
      </c>
      <c r="L13" s="13" t="n">
        <v>18</v>
      </c>
      <c r="M13" s="11">
        <f>AVERAGEIFS($E$5:$E$19,$A$5:$A$19,"순차")/E13</f>
        <v/>
      </c>
    </row>
    <row r="14">
      <c r="A14" s="13" t="inlineStr">
        <is>
          <t>병렬</t>
        </is>
      </c>
      <c r="B14" s="13" t="n">
        <v>6</v>
      </c>
      <c r="C14" s="13" t="n">
        <v>4</v>
      </c>
      <c r="D14" s="13" t="n">
        <v>5</v>
      </c>
      <c r="E14" s="14" t="n">
        <v>2056.0301</v>
      </c>
      <c r="F14" s="14" t="n">
        <v>7734.375</v>
      </c>
      <c r="G14" s="11">
        <f>F14/E14</f>
        <v/>
      </c>
      <c r="H14" s="14" t="n">
        <v>0</v>
      </c>
      <c r="I14" s="14" t="n">
        <v>7687.5</v>
      </c>
      <c r="J14" s="14" t="n">
        <v>0</v>
      </c>
      <c r="K14" s="14" t="n">
        <v>46.875</v>
      </c>
      <c r="L14" s="13" t="n">
        <v>18</v>
      </c>
      <c r="M14" s="11">
        <f>AVERAGEIFS($E$5:$E$19,$A$5:$A$19,"순차")/E14</f>
        <v/>
      </c>
    </row>
    <row r="15">
      <c r="A15" s="13" t="inlineStr">
        <is>
          <t>병렬</t>
        </is>
      </c>
      <c r="B15" s="13" t="n">
        <v>12</v>
      </c>
      <c r="C15" s="13" t="n">
        <v>4</v>
      </c>
      <c r="D15" s="13" t="n">
        <v>1</v>
      </c>
      <c r="E15" s="14" t="n">
        <v>2056.8542</v>
      </c>
      <c r="F15" s="14" t="n">
        <v>7781.25</v>
      </c>
      <c r="G15" s="11">
        <f>F15/E15</f>
        <v/>
      </c>
      <c r="H15" s="14" t="n">
        <v>0</v>
      </c>
      <c r="I15" s="14" t="n">
        <v>7781.25</v>
      </c>
      <c r="J15" s="14" t="n">
        <v>0</v>
      </c>
      <c r="K15" s="14" t="n">
        <v>0</v>
      </c>
      <c r="L15" s="13" t="n">
        <v>19</v>
      </c>
      <c r="M15" s="11">
        <f>AVERAGEIFS($E$5:$E$19,$A$5:$A$19,"순차")/E15</f>
        <v/>
      </c>
    </row>
    <row r="16">
      <c r="A16" s="13" t="inlineStr">
        <is>
          <t>병렬</t>
        </is>
      </c>
      <c r="B16" s="13" t="n">
        <v>12</v>
      </c>
      <c r="C16" s="13" t="n">
        <v>4</v>
      </c>
      <c r="D16" s="13" t="n">
        <v>2</v>
      </c>
      <c r="E16" s="14" t="n">
        <v>2107.5501</v>
      </c>
      <c r="F16" s="14" t="n">
        <v>7968.75</v>
      </c>
      <c r="G16" s="11">
        <f>F16/E16</f>
        <v/>
      </c>
      <c r="H16" s="14" t="n">
        <v>15.625</v>
      </c>
      <c r="I16" s="14" t="n">
        <v>7859.375</v>
      </c>
      <c r="J16" s="14" t="n">
        <v>0</v>
      </c>
      <c r="K16" s="14" t="n">
        <v>93.75</v>
      </c>
      <c r="L16" s="13" t="n">
        <v>18</v>
      </c>
      <c r="M16" s="11">
        <f>AVERAGEIFS($E$5:$E$19,$A$5:$A$19,"순차")/E16</f>
        <v/>
      </c>
    </row>
    <row r="17">
      <c r="A17" s="13" t="inlineStr">
        <is>
          <t>병렬</t>
        </is>
      </c>
      <c r="B17" s="13" t="n">
        <v>12</v>
      </c>
      <c r="C17" s="13" t="n">
        <v>4</v>
      </c>
      <c r="D17" s="13" t="n">
        <v>3</v>
      </c>
      <c r="E17" s="14" t="n">
        <v>2099.7181</v>
      </c>
      <c r="F17" s="14" t="n">
        <v>7781.25</v>
      </c>
      <c r="G17" s="11">
        <f>F17/E17</f>
        <v/>
      </c>
      <c r="H17" s="14" t="n">
        <v>0</v>
      </c>
      <c r="I17" s="14" t="n">
        <v>7781.25</v>
      </c>
      <c r="J17" s="14" t="n">
        <v>0</v>
      </c>
      <c r="K17" s="14" t="n">
        <v>0</v>
      </c>
      <c r="L17" s="13" t="n">
        <v>19</v>
      </c>
      <c r="M17" s="11">
        <f>AVERAGEIFS($E$5:$E$19,$A$5:$A$19,"순차")/E17</f>
        <v/>
      </c>
    </row>
    <row r="18">
      <c r="A18" s="13" t="inlineStr">
        <is>
          <t>병렬</t>
        </is>
      </c>
      <c r="B18" s="13" t="n">
        <v>12</v>
      </c>
      <c r="C18" s="13" t="n">
        <v>4</v>
      </c>
      <c r="D18" s="13" t="n">
        <v>4</v>
      </c>
      <c r="E18" s="14" t="n">
        <v>2085.3152</v>
      </c>
      <c r="F18" s="14" t="n">
        <v>8046.875</v>
      </c>
      <c r="G18" s="11">
        <f>F18/E18</f>
        <v/>
      </c>
      <c r="H18" s="14" t="n">
        <v>0</v>
      </c>
      <c r="I18" s="14" t="n">
        <v>8000</v>
      </c>
      <c r="J18" s="14" t="n">
        <v>0</v>
      </c>
      <c r="K18" s="14" t="n">
        <v>46.875</v>
      </c>
      <c r="L18" s="13" t="n">
        <v>19</v>
      </c>
      <c r="M18" s="11">
        <f>AVERAGEIFS($E$5:$E$19,$A$5:$A$19,"순차")/E18</f>
        <v/>
      </c>
    </row>
    <row r="19">
      <c r="A19" s="13" t="inlineStr">
        <is>
          <t>병렬</t>
        </is>
      </c>
      <c r="B19" s="13" t="n">
        <v>12</v>
      </c>
      <c r="C19" s="13" t="n">
        <v>4</v>
      </c>
      <c r="D19" s="13" t="n">
        <v>5</v>
      </c>
      <c r="E19" s="14" t="n">
        <v>2120.5055</v>
      </c>
      <c r="F19" s="14" t="n">
        <v>7875</v>
      </c>
      <c r="G19" s="11">
        <f>F19/E19</f>
        <v/>
      </c>
      <c r="H19" s="14" t="n">
        <v>0</v>
      </c>
      <c r="I19" s="14" t="n">
        <v>7781.25</v>
      </c>
      <c r="J19" s="14" t="n">
        <v>0</v>
      </c>
      <c r="K19" s="14" t="n">
        <v>93.75</v>
      </c>
      <c r="L19" s="13" t="n">
        <v>19</v>
      </c>
      <c r="M19" s="11">
        <f>AVERAGEIFS($E$5:$E$19,$A$5:$A$19,"순차")/E19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8" t="inlineStr">
        <is>
          <t>이 시트의 값: '구간과 스레드 매핑' 시트의 평균 클럭(GHz) 열이다. 수식 참조로 그대로 가져왔다</t>
        </is>
      </c>
    </row>
    <row r="2">
      <c r="A2" s="18" t="inlineStr">
        <is>
          <t>차트: 전체 추이 선(전체 평균과 스레드별 선), 구간별 평균 막대, 측정 회차마다 스레드별 클럭 선 그래프다. 스레드별 선은 그 스레드의 활동 창에 걸린 표본만 그린다. 분할 1처럼 창이 겹치면 선도 겹친다. 그래프의 원천 표는 '차트 데이터' 시트에 있다</t>
        </is>
      </c>
    </row>
    <row r="3">
      <c r="A3" s="19" t="inlineStr">
        <is>
          <t>구간 종류</t>
        </is>
      </c>
      <c r="B3" s="19" t="inlineStr">
        <is>
          <t>순차</t>
        </is>
      </c>
      <c r="C3" s="19" t="inlineStr">
        <is>
          <t>병렬도 6 분할 4</t>
        </is>
      </c>
      <c r="D3" s="19" t="inlineStr">
        <is>
          <t>병렬도 12 분할 4</t>
        </is>
      </c>
    </row>
    <row r="4">
      <c r="A4" s="18" t="inlineStr">
        <is>
          <t>전체</t>
        </is>
      </c>
      <c r="B4" s="20">
        <f>'구간과 스레드 매핑'!H6</f>
        <v/>
      </c>
      <c r="C4" s="20">
        <f>'구간과 스레드 매핑'!H7</f>
        <v/>
      </c>
      <c r="D4" s="20">
        <f>'구간과 스레드 매핑'!H15</f>
        <v/>
      </c>
    </row>
    <row r="5">
      <c r="A5" s="18" t="inlineStr">
        <is>
          <t>워밍업</t>
        </is>
      </c>
      <c r="C5" s="20">
        <f>'구간과 스레드 매핑'!H8</f>
        <v/>
      </c>
      <c r="D5" s="20">
        <f>'구간과 스레드 매핑'!H16</f>
        <v/>
      </c>
    </row>
    <row r="6">
      <c r="A6" s="18" t="inlineStr">
        <is>
          <t>측정 1회차</t>
        </is>
      </c>
      <c r="C6" s="20">
        <f>'구간과 스레드 매핑'!H9</f>
        <v/>
      </c>
      <c r="D6" s="20">
        <f>'구간과 스레드 매핑'!H17</f>
        <v/>
      </c>
    </row>
    <row r="7">
      <c r="A7" s="18" t="inlineStr">
        <is>
          <t>측정 2회차</t>
        </is>
      </c>
      <c r="C7" s="20">
        <f>'구간과 스레드 매핑'!H10</f>
        <v/>
      </c>
      <c r="D7" s="20">
        <f>'구간과 스레드 매핑'!H18</f>
        <v/>
      </c>
    </row>
    <row r="8">
      <c r="A8" s="18" t="inlineStr">
        <is>
          <t>측정 3회차</t>
        </is>
      </c>
      <c r="C8" s="20">
        <f>'구간과 스레드 매핑'!H11</f>
        <v/>
      </c>
      <c r="D8" s="20">
        <f>'구간과 스레드 매핑'!H19</f>
        <v/>
      </c>
    </row>
    <row r="9">
      <c r="A9" s="18" t="inlineStr">
        <is>
          <t>측정 4회차</t>
        </is>
      </c>
      <c r="C9" s="20">
        <f>'구간과 스레드 매핑'!H12</f>
        <v/>
      </c>
      <c r="D9" s="20">
        <f>'구간과 스레드 매핑'!H20</f>
        <v/>
      </c>
    </row>
    <row r="10">
      <c r="A10" s="18" t="inlineStr">
        <is>
          <t>측정 5회차</t>
        </is>
      </c>
      <c r="C10" s="20">
        <f>'구간과 스레드 매핑'!H13</f>
        <v/>
      </c>
      <c r="D10" s="20">
        <f>'구간과 스레드 매핑'!H21</f>
        <v/>
      </c>
    </row>
    <row r="11">
      <c r="A11" s="18" t="inlineStr">
        <is>
          <t>워커별 CPU 읽기 실행</t>
        </is>
      </c>
      <c r="C11" s="20">
        <f>'구간과 스레드 매핑'!H14</f>
        <v/>
      </c>
      <c r="D11" s="20">
        <f>'구간과 스레드 매핑'!H22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M8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</cols>
  <sheetData>
    <row r="1">
      <c r="A1" s="4" t="inlineStr">
        <is>
          <t>차트 시트 그래프들의 원천 표다. 값은 전부 '클럭 정리' 시트를 참조하는 수식이고, 여기서는 보기만 한다</t>
        </is>
      </c>
    </row>
    <row r="3">
      <c r="A3" s="2" t="inlineStr">
        <is>
          <t>병렬도 6 분할 4 측정 1회차 (스레드별 클럭, GHz)</t>
        </is>
      </c>
      <c r="O3" s="2" t="inlineStr">
        <is>
          <t>전체 추이 데이터 (스레드별 선용, GHz)</t>
        </is>
      </c>
    </row>
    <row r="4">
      <c r="A4" s="21" t="inlineStr">
        <is>
          <t>시각</t>
        </is>
      </c>
      <c r="B4" s="21" t="inlineStr">
        <is>
          <t>ForkJoinPool-3-worker-1</t>
        </is>
      </c>
      <c r="C4" s="21" t="inlineStr">
        <is>
          <t>ForkJoinPool-3-worker-2</t>
        </is>
      </c>
      <c r="D4" s="21" t="inlineStr">
        <is>
          <t>ForkJoinPool-3-worker-3</t>
        </is>
      </c>
      <c r="E4" s="21" t="inlineStr">
        <is>
          <t>ForkJoinPool-3-worker-4</t>
        </is>
      </c>
      <c r="F4" s="21" t="inlineStr">
        <is>
          <t>ForkJoinPool-3-worker-6</t>
        </is>
      </c>
      <c r="G4" s="21" t="inlineStr">
        <is>
          <t>main</t>
        </is>
      </c>
      <c r="O4" s="21" t="inlineStr">
        <is>
          <t>시각</t>
        </is>
      </c>
      <c r="P4" s="21" t="inlineStr">
        <is>
          <t>전체 평균</t>
        </is>
      </c>
      <c r="Q4" s="21" t="inlineStr">
        <is>
          <t>ForkJoinPool-3-worker-1</t>
        </is>
      </c>
      <c r="R4" s="21" t="inlineStr">
        <is>
          <t>ForkJoinPool-3-worker-2</t>
        </is>
      </c>
      <c r="S4" s="21" t="inlineStr">
        <is>
          <t>ForkJoinPool-3-worker-3</t>
        </is>
      </c>
      <c r="T4" s="21" t="inlineStr">
        <is>
          <t>ForkJoinPool-3-worker-4</t>
        </is>
      </c>
      <c r="U4" s="21" t="inlineStr">
        <is>
          <t>ForkJoinPool-3-worker-6</t>
        </is>
      </c>
      <c r="V4" s="21" t="inlineStr">
        <is>
          <t>main</t>
        </is>
      </c>
      <c r="W4" s="21" t="inlineStr">
        <is>
          <t>ForkJoinPool-4-worker-1</t>
        </is>
      </c>
      <c r="X4" s="21" t="inlineStr">
        <is>
          <t>ForkJoinPool-4-worker-2</t>
        </is>
      </c>
      <c r="Y4" s="21" t="inlineStr">
        <is>
          <t>ForkJoinPool-4-worker-3</t>
        </is>
      </c>
      <c r="Z4" s="21" t="inlineStr">
        <is>
          <t>ForkJoinPool-4-worker-4</t>
        </is>
      </c>
      <c r="AA4" s="21" t="inlineStr">
        <is>
          <t>ForkJoinPool-4-worker-5</t>
        </is>
      </c>
      <c r="AB4" s="21" t="inlineStr">
        <is>
          <t>ForkJoinPool-4-worker-6</t>
        </is>
      </c>
      <c r="AC4" s="21" t="inlineStr">
        <is>
          <t>ForkJoinPool-5-worker-1</t>
        </is>
      </c>
      <c r="AD4" s="21" t="inlineStr">
        <is>
          <t>ForkJoinPool-5-worker-2</t>
        </is>
      </c>
      <c r="AE4" s="21" t="inlineStr">
        <is>
          <t>ForkJoinPool-5-worker-3</t>
        </is>
      </c>
      <c r="AF4" s="21" t="inlineStr">
        <is>
          <t>ForkJoinPool-5-worker-4</t>
        </is>
      </c>
      <c r="AG4" s="21" t="inlineStr">
        <is>
          <t>ForkJoinPool-5-worker-5</t>
        </is>
      </c>
      <c r="AH4" s="21" t="inlineStr">
        <is>
          <t>ForkJoinPool-5-worker-6</t>
        </is>
      </c>
      <c r="AI4" s="21" t="inlineStr">
        <is>
          <t>ForkJoinPool-6-worker-1</t>
        </is>
      </c>
      <c r="AJ4" s="21" t="inlineStr">
        <is>
          <t>ForkJoinPool-6-worker-2</t>
        </is>
      </c>
      <c r="AK4" s="21" t="inlineStr">
        <is>
          <t>ForkJoinPool-6-worker-3</t>
        </is>
      </c>
      <c r="AL4" s="21" t="inlineStr">
        <is>
          <t>ForkJoinPool-6-worker-4</t>
        </is>
      </c>
      <c r="AM4" s="21" t="inlineStr">
        <is>
          <t>ForkJoinPool-6-worker-5</t>
        </is>
      </c>
      <c r="AN4" s="21" t="inlineStr">
        <is>
          <t>ForkJoinPool-6-worker-6</t>
        </is>
      </c>
      <c r="AO4" s="21" t="inlineStr">
        <is>
          <t>ForkJoinPool-7-worker-1</t>
        </is>
      </c>
      <c r="AP4" s="21" t="inlineStr">
        <is>
          <t>ForkJoinPool-7-worker-2</t>
        </is>
      </c>
      <c r="AQ4" s="21" t="inlineStr">
        <is>
          <t>ForkJoinPool-7-worker-3</t>
        </is>
      </c>
      <c r="AR4" s="21" t="inlineStr">
        <is>
          <t>ForkJoinPool-7-worker-4</t>
        </is>
      </c>
      <c r="AS4" s="21" t="inlineStr">
        <is>
          <t>ForkJoinPool-7-worker-6</t>
        </is>
      </c>
      <c r="AT4" s="21" t="inlineStr">
        <is>
          <t>ForkJoinPool-11-worker-1</t>
        </is>
      </c>
      <c r="AU4" s="21" t="inlineStr">
        <is>
          <t>ForkJoinPool-11-worker-10</t>
        </is>
      </c>
      <c r="AV4" s="21" t="inlineStr">
        <is>
          <t>ForkJoinPool-11-worker-11</t>
        </is>
      </c>
      <c r="AW4" s="21" t="inlineStr">
        <is>
          <t>ForkJoinPool-11-worker-12</t>
        </is>
      </c>
      <c r="AX4" s="21" t="inlineStr">
        <is>
          <t>ForkJoinPool-11-worker-2</t>
        </is>
      </c>
      <c r="AY4" s="21" t="inlineStr">
        <is>
          <t>ForkJoinPool-11-worker-3</t>
        </is>
      </c>
      <c r="AZ4" s="21" t="inlineStr">
        <is>
          <t>ForkJoinPool-11-worker-4</t>
        </is>
      </c>
      <c r="BA4" s="21" t="inlineStr">
        <is>
          <t>ForkJoinPool-11-worker-6</t>
        </is>
      </c>
      <c r="BB4" s="21" t="inlineStr">
        <is>
          <t>ForkJoinPool-11-worker-7</t>
        </is>
      </c>
      <c r="BC4" s="21" t="inlineStr">
        <is>
          <t>ForkJoinPool-11-worker-8</t>
        </is>
      </c>
      <c r="BD4" s="21" t="inlineStr">
        <is>
          <t>ForkJoinPool-11-worker-9</t>
        </is>
      </c>
      <c r="BE4" s="21" t="inlineStr">
        <is>
          <t>ForkJoinPool-12-worker-1</t>
        </is>
      </c>
      <c r="BF4" s="21" t="inlineStr">
        <is>
          <t>ForkJoinPool-12-worker-11</t>
        </is>
      </c>
      <c r="BG4" s="21" t="inlineStr">
        <is>
          <t>ForkJoinPool-12-worker-2</t>
        </is>
      </c>
      <c r="BH4" s="21" t="inlineStr">
        <is>
          <t>ForkJoinPool-12-worker-3</t>
        </is>
      </c>
      <c r="BI4" s="21" t="inlineStr">
        <is>
          <t>ForkJoinPool-12-worker-4</t>
        </is>
      </c>
      <c r="BJ4" s="21" t="inlineStr">
        <is>
          <t>ForkJoinPool-12-worker-7</t>
        </is>
      </c>
      <c r="BK4" s="21" t="inlineStr">
        <is>
          <t>ForkJoinPool-12-worker-9</t>
        </is>
      </c>
      <c r="BL4" s="21" t="inlineStr">
        <is>
          <t>ForkJoinPool-13-worker-1</t>
        </is>
      </c>
      <c r="BM4" s="21" t="inlineStr">
        <is>
          <t>ForkJoinPool-13-worker-10</t>
        </is>
      </c>
      <c r="BN4" s="21" t="inlineStr">
        <is>
          <t>ForkJoinPool-13-worker-11</t>
        </is>
      </c>
      <c r="BO4" s="21" t="inlineStr">
        <is>
          <t>ForkJoinPool-13-worker-12</t>
        </is>
      </c>
      <c r="BP4" s="21" t="inlineStr">
        <is>
          <t>ForkJoinPool-13-worker-2</t>
        </is>
      </c>
      <c r="BQ4" s="21" t="inlineStr">
        <is>
          <t>ForkJoinPool-13-worker-3</t>
        </is>
      </c>
      <c r="BR4" s="21" t="inlineStr">
        <is>
          <t>ForkJoinPool-13-worker-4</t>
        </is>
      </c>
      <c r="BS4" s="21" t="inlineStr">
        <is>
          <t>ForkJoinPool-13-worker-7</t>
        </is>
      </c>
      <c r="BT4" s="21" t="inlineStr">
        <is>
          <t>ForkJoinPool-13-worker-8</t>
        </is>
      </c>
      <c r="BU4" s="21" t="inlineStr">
        <is>
          <t>ForkJoinPool-14-worker-1</t>
        </is>
      </c>
      <c r="BV4" s="21" t="inlineStr">
        <is>
          <t>ForkJoinPool-14-worker-10</t>
        </is>
      </c>
      <c r="BW4" s="21" t="inlineStr">
        <is>
          <t>ForkJoinPool-14-worker-11</t>
        </is>
      </c>
      <c r="BX4" s="21" t="inlineStr">
        <is>
          <t>ForkJoinPool-14-worker-12</t>
        </is>
      </c>
      <c r="BY4" s="21" t="inlineStr">
        <is>
          <t>ForkJoinPool-14-worker-2</t>
        </is>
      </c>
      <c r="BZ4" s="21" t="inlineStr">
        <is>
          <t>ForkJoinPool-14-worker-3</t>
        </is>
      </c>
      <c r="CA4" s="21" t="inlineStr">
        <is>
          <t>ForkJoinPool-14-worker-4</t>
        </is>
      </c>
      <c r="CB4" s="21" t="inlineStr">
        <is>
          <t>ForkJoinPool-14-worker-5</t>
        </is>
      </c>
      <c r="CC4" s="21" t="inlineStr">
        <is>
          <t>ForkJoinPool-14-worker-7</t>
        </is>
      </c>
      <c r="CD4" s="21" t="inlineStr">
        <is>
          <t>ForkJoinPool-15-worker-1</t>
        </is>
      </c>
      <c r="CE4" s="21" t="inlineStr">
        <is>
          <t>ForkJoinPool-15-worker-11</t>
        </is>
      </c>
      <c r="CF4" s="21" t="inlineStr">
        <is>
          <t>ForkJoinPool-15-worker-12</t>
        </is>
      </c>
      <c r="CG4" s="21" t="inlineStr">
        <is>
          <t>ForkJoinPool-15-worker-2</t>
        </is>
      </c>
      <c r="CH4" s="21" t="inlineStr">
        <is>
          <t>ForkJoinPool-15-worker-3</t>
        </is>
      </c>
      <c r="CI4" s="21" t="inlineStr">
        <is>
          <t>ForkJoinPool-15-worker-4</t>
        </is>
      </c>
      <c r="CJ4" s="21" t="inlineStr">
        <is>
          <t>ForkJoinPool-15-worker-5</t>
        </is>
      </c>
      <c r="CK4" s="21" t="inlineStr">
        <is>
          <t>ForkJoinPool-15-worker-7</t>
        </is>
      </c>
      <c r="CL4" s="21" t="inlineStr">
        <is>
          <t>ForkJoinPool-15-worker-8</t>
        </is>
      </c>
      <c r="CM4" s="21" t="inlineStr">
        <is>
          <t>ForkJoinPool-15-worker-9</t>
        </is>
      </c>
    </row>
    <row r="5">
      <c r="A5" s="22">
        <f>'클럭 정리'!A38</f>
        <v/>
      </c>
      <c r="B5" s="23">
        <f>'클럭 정리'!O38</f>
        <v/>
      </c>
      <c r="C5" s="23">
        <f>'클럭 정리'!O38</f>
        <v/>
      </c>
      <c r="D5" s="24" t="n"/>
      <c r="E5" s="23">
        <f>'클럭 정리'!O38</f>
        <v/>
      </c>
      <c r="F5" s="23">
        <f>'클럭 정리'!O38</f>
        <v/>
      </c>
      <c r="G5" s="23">
        <f>'클럭 정리'!O38</f>
        <v/>
      </c>
      <c r="O5" s="25">
        <f>'클럭 정리'!A6</f>
        <v/>
      </c>
      <c r="P5" s="23">
        <f>'클럭 정리'!O6</f>
        <v/>
      </c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  <c r="AR5" s="24" t="n"/>
      <c r="AS5" s="24" t="n"/>
      <c r="AT5" s="24" t="n"/>
      <c r="AU5" s="24" t="n"/>
      <c r="AV5" s="24" t="n"/>
      <c r="AW5" s="24" t="n"/>
      <c r="AX5" s="24" t="n"/>
      <c r="AY5" s="24" t="n"/>
      <c r="AZ5" s="24" t="n"/>
      <c r="BA5" s="24" t="n"/>
      <c r="BB5" s="24" t="n"/>
      <c r="BC5" s="24" t="n"/>
      <c r="BD5" s="24" t="n"/>
      <c r="BE5" s="24" t="n"/>
      <c r="BF5" s="24" t="n"/>
      <c r="BG5" s="24" t="n"/>
      <c r="BH5" s="24" t="n"/>
      <c r="BI5" s="24" t="n"/>
      <c r="BJ5" s="24" t="n"/>
      <c r="BK5" s="24" t="n"/>
      <c r="BL5" s="24" t="n"/>
      <c r="BM5" s="24" t="n"/>
      <c r="BN5" s="24" t="n"/>
      <c r="BO5" s="24" t="n"/>
      <c r="BP5" s="24" t="n"/>
      <c r="BQ5" s="24" t="n"/>
      <c r="BR5" s="24" t="n"/>
      <c r="BS5" s="24" t="n"/>
      <c r="BT5" s="24" t="n"/>
      <c r="BU5" s="24" t="n"/>
      <c r="BV5" s="24" t="n"/>
      <c r="BW5" s="24" t="n"/>
      <c r="BX5" s="24" t="n"/>
      <c r="BY5" s="24" t="n"/>
      <c r="BZ5" s="24" t="n"/>
      <c r="CA5" s="24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</row>
    <row r="6">
      <c r="A6" s="22">
        <f>'클럭 정리'!A39</f>
        <v/>
      </c>
      <c r="B6" s="23">
        <f>'클럭 정리'!O39</f>
        <v/>
      </c>
      <c r="C6" s="23">
        <f>'클럭 정리'!O39</f>
        <v/>
      </c>
      <c r="D6" s="24" t="n"/>
      <c r="E6" s="23">
        <f>'클럭 정리'!O39</f>
        <v/>
      </c>
      <c r="F6" s="23">
        <f>'클럭 정리'!O39</f>
        <v/>
      </c>
      <c r="G6" s="23">
        <f>'클럭 정리'!O39</f>
        <v/>
      </c>
      <c r="O6" s="25">
        <f>'클럭 정리'!A7</f>
        <v/>
      </c>
      <c r="P6" s="23">
        <f>'클럭 정리'!O7</f>
        <v/>
      </c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  <c r="AR6" s="24" t="n"/>
      <c r="AS6" s="24" t="n"/>
      <c r="AT6" s="24" t="n"/>
      <c r="AU6" s="24" t="n"/>
      <c r="AV6" s="24" t="n"/>
      <c r="AW6" s="24" t="n"/>
      <c r="AX6" s="24" t="n"/>
      <c r="AY6" s="24" t="n"/>
      <c r="AZ6" s="24" t="n"/>
      <c r="BA6" s="24" t="n"/>
      <c r="BB6" s="24" t="n"/>
      <c r="BC6" s="24" t="n"/>
      <c r="BD6" s="24" t="n"/>
      <c r="BE6" s="24" t="n"/>
      <c r="BF6" s="24" t="n"/>
      <c r="BG6" s="24" t="n"/>
      <c r="BH6" s="24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</row>
    <row r="7">
      <c r="A7" s="22">
        <f>'클럭 정리'!A40</f>
        <v/>
      </c>
      <c r="B7" s="23">
        <f>'클럭 정리'!O40</f>
        <v/>
      </c>
      <c r="C7" s="23">
        <f>'클럭 정리'!O40</f>
        <v/>
      </c>
      <c r="D7" s="24" t="n"/>
      <c r="E7" s="23">
        <f>'클럭 정리'!O40</f>
        <v/>
      </c>
      <c r="F7" s="23">
        <f>'클럭 정리'!O40</f>
        <v/>
      </c>
      <c r="G7" s="23">
        <f>'클럭 정리'!O40</f>
        <v/>
      </c>
      <c r="O7" s="25">
        <f>'클럭 정리'!A8</f>
        <v/>
      </c>
      <c r="P7" s="23">
        <f>'클럭 정리'!O8</f>
        <v/>
      </c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  <c r="AR7" s="24" t="n"/>
      <c r="AS7" s="24" t="n"/>
      <c r="AT7" s="24" t="n"/>
      <c r="AU7" s="24" t="n"/>
      <c r="AV7" s="24" t="n"/>
      <c r="AW7" s="24" t="n"/>
      <c r="AX7" s="24" t="n"/>
      <c r="AY7" s="24" t="n"/>
      <c r="AZ7" s="24" t="n"/>
      <c r="BA7" s="24" t="n"/>
      <c r="BB7" s="24" t="n"/>
      <c r="BC7" s="24" t="n"/>
      <c r="BD7" s="24" t="n"/>
      <c r="BE7" s="24" t="n"/>
      <c r="BF7" s="24" t="n"/>
      <c r="BG7" s="24" t="n"/>
      <c r="BH7" s="24" t="n"/>
      <c r="BI7" s="24" t="n"/>
      <c r="BJ7" s="24" t="n"/>
      <c r="BK7" s="24" t="n"/>
      <c r="BL7" s="24" t="n"/>
      <c r="BM7" s="24" t="n"/>
      <c r="BN7" s="24" t="n"/>
      <c r="BO7" s="24" t="n"/>
      <c r="BP7" s="24" t="n"/>
      <c r="BQ7" s="24" t="n"/>
      <c r="BR7" s="24" t="n"/>
      <c r="BS7" s="24" t="n"/>
      <c r="BT7" s="24" t="n"/>
      <c r="BU7" s="24" t="n"/>
      <c r="BV7" s="24" t="n"/>
      <c r="BW7" s="24" t="n"/>
      <c r="BX7" s="24" t="n"/>
      <c r="BY7" s="24" t="n"/>
      <c r="BZ7" s="24" t="n"/>
      <c r="CA7" s="24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</row>
    <row r="8">
      <c r="O8" s="25">
        <f>'클럭 정리'!A9</f>
        <v/>
      </c>
      <c r="P8" s="23">
        <f>'클럭 정리'!O9</f>
        <v/>
      </c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  <c r="AR8" s="24" t="n"/>
      <c r="AS8" s="24" t="n"/>
      <c r="AT8" s="24" t="n"/>
      <c r="AU8" s="24" t="n"/>
      <c r="AV8" s="24" t="n"/>
      <c r="AW8" s="24" t="n"/>
      <c r="AX8" s="24" t="n"/>
      <c r="AY8" s="24" t="n"/>
      <c r="AZ8" s="24" t="n"/>
      <c r="BA8" s="24" t="n"/>
      <c r="BB8" s="24" t="n"/>
      <c r="BC8" s="24" t="n"/>
      <c r="BD8" s="24" t="n"/>
      <c r="BE8" s="24" t="n"/>
      <c r="BF8" s="24" t="n"/>
      <c r="BG8" s="24" t="n"/>
      <c r="BH8" s="24" t="n"/>
      <c r="BI8" s="24" t="n"/>
      <c r="BJ8" s="24" t="n"/>
      <c r="BK8" s="24" t="n"/>
      <c r="BL8" s="24" t="n"/>
      <c r="BM8" s="24" t="n"/>
      <c r="BN8" s="24" t="n"/>
      <c r="BO8" s="24" t="n"/>
      <c r="BP8" s="24" t="n"/>
      <c r="BQ8" s="24" t="n"/>
      <c r="BR8" s="24" t="n"/>
      <c r="BS8" s="24" t="n"/>
      <c r="BT8" s="24" t="n"/>
      <c r="BU8" s="24" t="n"/>
      <c r="BV8" s="24" t="n"/>
      <c r="BW8" s="24" t="n"/>
      <c r="BX8" s="24" t="n"/>
      <c r="BY8" s="24" t="n"/>
      <c r="BZ8" s="24" t="n"/>
      <c r="CA8" s="24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</row>
    <row r="9">
      <c r="A9" s="2" t="inlineStr">
        <is>
          <t>병렬도 6 분할 4 측정 2회차 (스레드별 클럭, GHz)</t>
        </is>
      </c>
      <c r="O9" s="25">
        <f>'클럭 정리'!A10</f>
        <v/>
      </c>
      <c r="P9" s="23">
        <f>'클럭 정리'!O10</f>
        <v/>
      </c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  <c r="AR9" s="24" t="n"/>
      <c r="AS9" s="24" t="n"/>
      <c r="AT9" s="24" t="n"/>
      <c r="AU9" s="24" t="n"/>
      <c r="AV9" s="24" t="n"/>
      <c r="AW9" s="24" t="n"/>
      <c r="AX9" s="24" t="n"/>
      <c r="AY9" s="24" t="n"/>
      <c r="AZ9" s="24" t="n"/>
      <c r="BA9" s="24" t="n"/>
      <c r="BB9" s="24" t="n"/>
      <c r="BC9" s="24" t="n"/>
      <c r="BD9" s="24" t="n"/>
      <c r="BE9" s="24" t="n"/>
      <c r="BF9" s="24" t="n"/>
      <c r="BG9" s="24" t="n"/>
      <c r="BH9" s="24" t="n"/>
      <c r="BI9" s="24" t="n"/>
      <c r="BJ9" s="24" t="n"/>
      <c r="BK9" s="24" t="n"/>
      <c r="BL9" s="24" t="n"/>
      <c r="BM9" s="24" t="n"/>
      <c r="BN9" s="24" t="n"/>
      <c r="BO9" s="24" t="n"/>
      <c r="BP9" s="24" t="n"/>
      <c r="BQ9" s="24" t="n"/>
      <c r="BR9" s="24" t="n"/>
      <c r="BS9" s="24" t="n"/>
      <c r="BT9" s="24" t="n"/>
      <c r="BU9" s="24" t="n"/>
      <c r="BV9" s="24" t="n"/>
      <c r="BW9" s="24" t="n"/>
      <c r="BX9" s="24" t="n"/>
      <c r="BY9" s="24" t="n"/>
      <c r="BZ9" s="24" t="n"/>
      <c r="CA9" s="24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</row>
    <row r="10">
      <c r="A10" s="21" t="inlineStr">
        <is>
          <t>시각</t>
        </is>
      </c>
      <c r="B10" s="21" t="inlineStr">
        <is>
          <t>ForkJoinPool-4-worker-1</t>
        </is>
      </c>
      <c r="C10" s="21" t="inlineStr">
        <is>
          <t>ForkJoinPool-4-worker-2</t>
        </is>
      </c>
      <c r="D10" s="21" t="inlineStr">
        <is>
          <t>ForkJoinPool-4-worker-3</t>
        </is>
      </c>
      <c r="E10" s="21" t="inlineStr">
        <is>
          <t>ForkJoinPool-4-worker-4</t>
        </is>
      </c>
      <c r="F10" s="21" t="inlineStr">
        <is>
          <t>ForkJoinPool-4-worker-5</t>
        </is>
      </c>
      <c r="G10" s="21" t="inlineStr">
        <is>
          <t>ForkJoinPool-4-worker-6</t>
        </is>
      </c>
      <c r="H10" s="21" t="inlineStr">
        <is>
          <t>main</t>
        </is>
      </c>
      <c r="O10" s="25">
        <f>'클럭 정리'!A11</f>
        <v/>
      </c>
      <c r="P10" s="23">
        <f>'클럭 정리'!O11</f>
        <v/>
      </c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4" t="n"/>
      <c r="BK10" s="24" t="n"/>
      <c r="BL10" s="24" t="n"/>
      <c r="BM10" s="24" t="n"/>
      <c r="BN10" s="24" t="n"/>
      <c r="BO10" s="24" t="n"/>
      <c r="BP10" s="24" t="n"/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</row>
    <row r="11">
      <c r="A11" s="22">
        <f>'클럭 정리'!A41</f>
        <v/>
      </c>
      <c r="B11" s="23">
        <f>'클럭 정리'!O41</f>
        <v/>
      </c>
      <c r="C11" s="23">
        <f>'클럭 정리'!O41</f>
        <v/>
      </c>
      <c r="D11" s="23">
        <f>'클럭 정리'!O41</f>
        <v/>
      </c>
      <c r="E11" s="24" t="n"/>
      <c r="F11" s="24" t="n"/>
      <c r="G11" s="23">
        <f>'클럭 정리'!O41</f>
        <v/>
      </c>
      <c r="H11" s="23">
        <f>'클럭 정리'!O41</f>
        <v/>
      </c>
      <c r="O11" s="25">
        <f>'클럭 정리'!A12</f>
        <v/>
      </c>
      <c r="P11" s="23">
        <f>'클럭 정리'!O12</f>
        <v/>
      </c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  <c r="AS11" s="24" t="n"/>
      <c r="AT11" s="24" t="n"/>
      <c r="AU11" s="24" t="n"/>
      <c r="AV11" s="24" t="n"/>
      <c r="AW11" s="24" t="n"/>
      <c r="AX11" s="24" t="n"/>
      <c r="AY11" s="24" t="n"/>
      <c r="AZ11" s="24" t="n"/>
      <c r="BA11" s="24" t="n"/>
      <c r="BB11" s="24" t="n"/>
      <c r="BC11" s="24" t="n"/>
      <c r="BD11" s="24" t="n"/>
      <c r="BE11" s="24" t="n"/>
      <c r="BF11" s="24" t="n"/>
      <c r="BG11" s="24" t="n"/>
      <c r="BH11" s="24" t="n"/>
      <c r="BI11" s="24" t="n"/>
      <c r="BJ11" s="24" t="n"/>
      <c r="BK11" s="24" t="n"/>
      <c r="BL11" s="24" t="n"/>
      <c r="BM11" s="24" t="n"/>
      <c r="BN11" s="24" t="n"/>
      <c r="BO11" s="24" t="n"/>
      <c r="BP11" s="24" t="n"/>
      <c r="BQ11" s="24" t="n"/>
      <c r="BR11" s="24" t="n"/>
      <c r="BS11" s="24" t="n"/>
      <c r="BT11" s="24" t="n"/>
      <c r="BU11" s="24" t="n"/>
      <c r="BV11" s="24" t="n"/>
      <c r="BW11" s="24" t="n"/>
      <c r="BX11" s="24" t="n"/>
      <c r="BY11" s="24" t="n"/>
      <c r="BZ11" s="24" t="n"/>
      <c r="CA11" s="24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</row>
    <row r="12">
      <c r="A12" s="22">
        <f>'클럭 정리'!A42</f>
        <v/>
      </c>
      <c r="B12" s="23">
        <f>'클럭 정리'!O42</f>
        <v/>
      </c>
      <c r="C12" s="23">
        <f>'클럭 정리'!O42</f>
        <v/>
      </c>
      <c r="D12" s="23">
        <f>'클럭 정리'!O42</f>
        <v/>
      </c>
      <c r="E12" s="24" t="n"/>
      <c r="F12" s="24" t="n"/>
      <c r="G12" s="23">
        <f>'클럭 정리'!O42</f>
        <v/>
      </c>
      <c r="H12" s="23">
        <f>'클럭 정리'!O42</f>
        <v/>
      </c>
      <c r="O12" s="25">
        <f>'클럭 정리'!A13</f>
        <v/>
      </c>
      <c r="P12" s="23">
        <f>'클럭 정리'!O13</f>
        <v/>
      </c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  <c r="AR12" s="24" t="n"/>
      <c r="AS12" s="24" t="n"/>
      <c r="AT12" s="24" t="n"/>
      <c r="AU12" s="24" t="n"/>
      <c r="AV12" s="24" t="n"/>
      <c r="AW12" s="24" t="n"/>
      <c r="AX12" s="24" t="n"/>
      <c r="AY12" s="24" t="n"/>
      <c r="AZ12" s="24" t="n"/>
      <c r="BA12" s="24" t="n"/>
      <c r="BB12" s="24" t="n"/>
      <c r="BC12" s="24" t="n"/>
      <c r="BD12" s="24" t="n"/>
      <c r="BE12" s="24" t="n"/>
      <c r="BF12" s="24" t="n"/>
      <c r="BG12" s="24" t="n"/>
      <c r="BH12" s="24" t="n"/>
      <c r="BI12" s="24" t="n"/>
      <c r="BJ12" s="24" t="n"/>
      <c r="BK12" s="24" t="n"/>
      <c r="BL12" s="24" t="n"/>
      <c r="BM12" s="24" t="n"/>
      <c r="BN12" s="24" t="n"/>
      <c r="BO12" s="24" t="n"/>
      <c r="BP12" s="24" t="n"/>
      <c r="BQ12" s="24" t="n"/>
      <c r="BR12" s="24" t="n"/>
      <c r="BS12" s="24" t="n"/>
      <c r="BT12" s="24" t="n"/>
      <c r="BU12" s="24" t="n"/>
      <c r="BV12" s="24" t="n"/>
      <c r="BW12" s="24" t="n"/>
      <c r="BX12" s="24" t="n"/>
      <c r="BY12" s="24" t="n"/>
      <c r="BZ12" s="24" t="n"/>
      <c r="CA12" s="24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</row>
    <row r="13">
      <c r="O13" s="25">
        <f>'클럭 정리'!A14</f>
        <v/>
      </c>
      <c r="P13" s="23">
        <f>'클럭 정리'!O14</f>
        <v/>
      </c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  <c r="AR13" s="24" t="n"/>
      <c r="AS13" s="24" t="n"/>
      <c r="AT13" s="24" t="n"/>
      <c r="AU13" s="24" t="n"/>
      <c r="AV13" s="24" t="n"/>
      <c r="AW13" s="24" t="n"/>
      <c r="AX13" s="24" t="n"/>
      <c r="AY13" s="24" t="n"/>
      <c r="AZ13" s="24" t="n"/>
      <c r="BA13" s="24" t="n"/>
      <c r="BB13" s="24" t="n"/>
      <c r="BC13" s="24" t="n"/>
      <c r="BD13" s="24" t="n"/>
      <c r="BE13" s="24" t="n"/>
      <c r="BF13" s="24" t="n"/>
      <c r="BG13" s="24" t="n"/>
      <c r="BH13" s="24" t="n"/>
      <c r="BI13" s="24" t="n"/>
      <c r="BJ13" s="24" t="n"/>
      <c r="BK13" s="24" t="n"/>
      <c r="BL13" s="24" t="n"/>
      <c r="BM13" s="24" t="n"/>
      <c r="BN13" s="24" t="n"/>
      <c r="BO13" s="24" t="n"/>
      <c r="BP13" s="24" t="n"/>
      <c r="BQ13" s="24" t="n"/>
      <c r="BR13" s="24" t="n"/>
      <c r="BS13" s="24" t="n"/>
      <c r="BT13" s="24" t="n"/>
      <c r="BU13" s="24" t="n"/>
      <c r="BV13" s="24" t="n"/>
      <c r="BW13" s="24" t="n"/>
      <c r="BX13" s="24" t="n"/>
      <c r="BY13" s="24" t="n"/>
      <c r="BZ13" s="24" t="n"/>
      <c r="CA13" s="24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</row>
    <row r="14">
      <c r="A14" s="2" t="inlineStr">
        <is>
          <t>병렬도 6 분할 4 측정 3회차 (스레드별 클럭, GHz)</t>
        </is>
      </c>
      <c r="O14" s="25">
        <f>'클럭 정리'!A15</f>
        <v/>
      </c>
      <c r="P14" s="23">
        <f>'클럭 정리'!O15</f>
        <v/>
      </c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  <c r="AR14" s="24" t="n"/>
      <c r="AS14" s="24" t="n"/>
      <c r="AT14" s="24" t="n"/>
      <c r="AU14" s="24" t="n"/>
      <c r="AV14" s="24" t="n"/>
      <c r="AW14" s="24" t="n"/>
      <c r="AX14" s="24" t="n"/>
      <c r="AY14" s="24" t="n"/>
      <c r="AZ14" s="24" t="n"/>
      <c r="BA14" s="24" t="n"/>
      <c r="BB14" s="24" t="n"/>
      <c r="BC14" s="24" t="n"/>
      <c r="BD14" s="24" t="n"/>
      <c r="BE14" s="24" t="n"/>
      <c r="BF14" s="24" t="n"/>
      <c r="BG14" s="24" t="n"/>
      <c r="BH14" s="24" t="n"/>
      <c r="BI14" s="24" t="n"/>
      <c r="BJ14" s="24" t="n"/>
      <c r="BK14" s="24" t="n"/>
      <c r="BL14" s="24" t="n"/>
      <c r="BM14" s="24" t="n"/>
      <c r="BN14" s="24" t="n"/>
      <c r="BO14" s="24" t="n"/>
      <c r="BP14" s="24" t="n"/>
      <c r="BQ14" s="24" t="n"/>
      <c r="BR14" s="24" t="n"/>
      <c r="BS14" s="24" t="n"/>
      <c r="BT14" s="24" t="n"/>
      <c r="BU14" s="24" t="n"/>
      <c r="BV14" s="24" t="n"/>
      <c r="BW14" s="24" t="n"/>
      <c r="BX14" s="24" t="n"/>
      <c r="BY14" s="24" t="n"/>
      <c r="BZ14" s="24" t="n"/>
      <c r="CA14" s="24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</row>
    <row r="15">
      <c r="A15" s="21" t="inlineStr">
        <is>
          <t>시각</t>
        </is>
      </c>
      <c r="B15" s="21" t="inlineStr">
        <is>
          <t>ForkJoinPool-5-worker-1</t>
        </is>
      </c>
      <c r="C15" s="21" t="inlineStr">
        <is>
          <t>ForkJoinPool-5-worker-2</t>
        </is>
      </c>
      <c r="D15" s="21" t="inlineStr">
        <is>
          <t>ForkJoinPool-5-worker-3</t>
        </is>
      </c>
      <c r="E15" s="21" t="inlineStr">
        <is>
          <t>ForkJoinPool-5-worker-4</t>
        </is>
      </c>
      <c r="F15" s="21" t="inlineStr">
        <is>
          <t>ForkJoinPool-5-worker-5</t>
        </is>
      </c>
      <c r="G15" s="21" t="inlineStr">
        <is>
          <t>ForkJoinPool-5-worker-6</t>
        </is>
      </c>
      <c r="H15" s="21" t="inlineStr">
        <is>
          <t>main</t>
        </is>
      </c>
      <c r="O15" s="25">
        <f>'클럭 정리'!A16</f>
        <v/>
      </c>
      <c r="P15" s="23">
        <f>'클럭 정리'!O16</f>
        <v/>
      </c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  <c r="AR15" s="24" t="n"/>
      <c r="AS15" s="24" t="n"/>
      <c r="AT15" s="24" t="n"/>
      <c r="AU15" s="24" t="n"/>
      <c r="AV15" s="24" t="n"/>
      <c r="AW15" s="24" t="n"/>
      <c r="AX15" s="24" t="n"/>
      <c r="AY15" s="24" t="n"/>
      <c r="AZ15" s="24" t="n"/>
      <c r="BA15" s="24" t="n"/>
      <c r="BB15" s="24" t="n"/>
      <c r="BC15" s="24" t="n"/>
      <c r="BD15" s="24" t="n"/>
      <c r="BE15" s="24" t="n"/>
      <c r="BF15" s="24" t="n"/>
      <c r="BG15" s="24" t="n"/>
      <c r="BH15" s="24" t="n"/>
      <c r="BI15" s="24" t="n"/>
      <c r="BJ15" s="24" t="n"/>
      <c r="BK15" s="24" t="n"/>
      <c r="BL15" s="24" t="n"/>
      <c r="BM15" s="24" t="n"/>
      <c r="BN15" s="24" t="n"/>
      <c r="BO15" s="24" t="n"/>
      <c r="BP15" s="24" t="n"/>
      <c r="BQ15" s="24" t="n"/>
      <c r="BR15" s="24" t="n"/>
      <c r="BS15" s="24" t="n"/>
      <c r="BT15" s="24" t="n"/>
      <c r="BU15" s="24" t="n"/>
      <c r="BV15" s="24" t="n"/>
      <c r="BW15" s="24" t="n"/>
      <c r="BX15" s="24" t="n"/>
      <c r="BY15" s="24" t="n"/>
      <c r="BZ15" s="24" t="n"/>
      <c r="CA15" s="24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</row>
    <row r="16">
      <c r="A16" s="22">
        <f>'클럭 정리'!A43</f>
        <v/>
      </c>
      <c r="B16" s="23">
        <f>'클럭 정리'!O43</f>
        <v/>
      </c>
      <c r="C16" s="23">
        <f>'클럭 정리'!O43</f>
        <v/>
      </c>
      <c r="D16" s="24" t="n"/>
      <c r="E16" s="23">
        <f>'클럭 정리'!O43</f>
        <v/>
      </c>
      <c r="F16" s="23">
        <f>'클럭 정리'!O43</f>
        <v/>
      </c>
      <c r="G16" s="24" t="n"/>
      <c r="H16" s="23">
        <f>'클럭 정리'!O43</f>
        <v/>
      </c>
      <c r="O16" s="25">
        <f>'클럭 정리'!A17</f>
        <v/>
      </c>
      <c r="P16" s="23">
        <f>'클럭 정리'!O17</f>
        <v/>
      </c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  <c r="AR16" s="24" t="n"/>
      <c r="AS16" s="24" t="n"/>
      <c r="AT16" s="24" t="n"/>
      <c r="AU16" s="24" t="n"/>
      <c r="AV16" s="24" t="n"/>
      <c r="AW16" s="24" t="n"/>
      <c r="AX16" s="24" t="n"/>
      <c r="AY16" s="24" t="n"/>
      <c r="AZ16" s="24" t="n"/>
      <c r="BA16" s="24" t="n"/>
      <c r="BB16" s="24" t="n"/>
      <c r="BC16" s="24" t="n"/>
      <c r="BD16" s="24" t="n"/>
      <c r="BE16" s="24" t="n"/>
      <c r="BF16" s="24" t="n"/>
      <c r="BG16" s="24" t="n"/>
      <c r="BH16" s="24" t="n"/>
      <c r="BI16" s="24" t="n"/>
      <c r="BJ16" s="24" t="n"/>
      <c r="BK16" s="24" t="n"/>
      <c r="BL16" s="24" t="n"/>
      <c r="BM16" s="24" t="n"/>
      <c r="BN16" s="24" t="n"/>
      <c r="BO16" s="24" t="n"/>
      <c r="BP16" s="24" t="n"/>
      <c r="BQ16" s="24" t="n"/>
      <c r="BR16" s="24" t="n"/>
      <c r="BS16" s="24" t="n"/>
      <c r="BT16" s="24" t="n"/>
      <c r="BU16" s="24" t="n"/>
      <c r="BV16" s="24" t="n"/>
      <c r="BW16" s="24" t="n"/>
      <c r="BX16" s="24" t="n"/>
      <c r="BY16" s="24" t="n"/>
      <c r="BZ16" s="24" t="n"/>
      <c r="CA16" s="24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</row>
    <row r="17">
      <c r="A17" s="22">
        <f>'클럭 정리'!A44</f>
        <v/>
      </c>
      <c r="B17" s="23">
        <f>'클럭 정리'!O44</f>
        <v/>
      </c>
      <c r="C17" s="23">
        <f>'클럭 정리'!O44</f>
        <v/>
      </c>
      <c r="D17" s="24" t="n"/>
      <c r="E17" s="23">
        <f>'클럭 정리'!O44</f>
        <v/>
      </c>
      <c r="F17" s="23">
        <f>'클럭 정리'!O44</f>
        <v/>
      </c>
      <c r="G17" s="24" t="n"/>
      <c r="H17" s="23">
        <f>'클럭 정리'!O44</f>
        <v/>
      </c>
      <c r="O17" s="25">
        <f>'클럭 정리'!A18</f>
        <v/>
      </c>
      <c r="P17" s="23">
        <f>'클럭 정리'!O18</f>
        <v/>
      </c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  <c r="AR17" s="24" t="n"/>
      <c r="AS17" s="24" t="n"/>
      <c r="AT17" s="24" t="n"/>
      <c r="AU17" s="24" t="n"/>
      <c r="AV17" s="24" t="n"/>
      <c r="AW17" s="24" t="n"/>
      <c r="AX17" s="24" t="n"/>
      <c r="AY17" s="24" t="n"/>
      <c r="AZ17" s="24" t="n"/>
      <c r="BA17" s="24" t="n"/>
      <c r="BB17" s="24" t="n"/>
      <c r="BC17" s="24" t="n"/>
      <c r="BD17" s="24" t="n"/>
      <c r="BE17" s="24" t="n"/>
      <c r="BF17" s="24" t="n"/>
      <c r="BG17" s="24" t="n"/>
      <c r="BH17" s="24" t="n"/>
      <c r="BI17" s="24" t="n"/>
      <c r="BJ17" s="24" t="n"/>
      <c r="BK17" s="24" t="n"/>
      <c r="BL17" s="24" t="n"/>
      <c r="BM17" s="24" t="n"/>
      <c r="BN17" s="24" t="n"/>
      <c r="BO17" s="24" t="n"/>
      <c r="BP17" s="24" t="n"/>
      <c r="BQ17" s="24" t="n"/>
      <c r="BR17" s="24" t="n"/>
      <c r="BS17" s="24" t="n"/>
      <c r="BT17" s="24" t="n"/>
      <c r="BU17" s="24" t="n"/>
      <c r="BV17" s="24" t="n"/>
      <c r="BW17" s="24" t="n"/>
      <c r="BX17" s="24" t="n"/>
      <c r="BY17" s="24" t="n"/>
      <c r="BZ17" s="24" t="n"/>
      <c r="CA17" s="24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</row>
    <row r="18">
      <c r="O18" s="25">
        <f>'클럭 정리'!A19</f>
        <v/>
      </c>
      <c r="P18" s="23">
        <f>'클럭 정리'!O19</f>
        <v/>
      </c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4" t="n"/>
      <c r="AI18" s="24" t="n"/>
      <c r="AJ18" s="24" t="n"/>
      <c r="AK18" s="24" t="n"/>
      <c r="AL18" s="24" t="n"/>
      <c r="AM18" s="24" t="n"/>
      <c r="AN18" s="24" t="n"/>
      <c r="AO18" s="24" t="n"/>
      <c r="AP18" s="24" t="n"/>
      <c r="AQ18" s="24" t="n"/>
      <c r="AR18" s="24" t="n"/>
      <c r="AS18" s="24" t="n"/>
      <c r="AT18" s="24" t="n"/>
      <c r="AU18" s="24" t="n"/>
      <c r="AV18" s="24" t="n"/>
      <c r="AW18" s="24" t="n"/>
      <c r="AX18" s="24" t="n"/>
      <c r="AY18" s="24" t="n"/>
      <c r="AZ18" s="24" t="n"/>
      <c r="BA18" s="24" t="n"/>
      <c r="BB18" s="24" t="n"/>
      <c r="BC18" s="24" t="n"/>
      <c r="BD18" s="24" t="n"/>
      <c r="BE18" s="24" t="n"/>
      <c r="BF18" s="24" t="n"/>
      <c r="BG18" s="24" t="n"/>
      <c r="BH18" s="24" t="n"/>
      <c r="BI18" s="24" t="n"/>
      <c r="BJ18" s="24" t="n"/>
      <c r="BK18" s="24" t="n"/>
      <c r="BL18" s="24" t="n"/>
      <c r="BM18" s="24" t="n"/>
      <c r="BN18" s="24" t="n"/>
      <c r="BO18" s="24" t="n"/>
      <c r="BP18" s="24" t="n"/>
      <c r="BQ18" s="24" t="n"/>
      <c r="BR18" s="24" t="n"/>
      <c r="BS18" s="24" t="n"/>
      <c r="BT18" s="24" t="n"/>
      <c r="BU18" s="24" t="n"/>
      <c r="BV18" s="24" t="n"/>
      <c r="BW18" s="24" t="n"/>
      <c r="BX18" s="24" t="n"/>
      <c r="BY18" s="24" t="n"/>
      <c r="BZ18" s="24" t="n"/>
      <c r="CA18" s="24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</row>
    <row r="19">
      <c r="A19" s="2" t="inlineStr">
        <is>
          <t>병렬도 6 분할 4 측정 4회차 (스레드별 클럭, GHz)</t>
        </is>
      </c>
      <c r="O19" s="25">
        <f>'클럭 정리'!A20</f>
        <v/>
      </c>
      <c r="P19" s="23">
        <f>'클럭 정리'!O20</f>
        <v/>
      </c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n"/>
      <c r="AJ19" s="24" t="n"/>
      <c r="AK19" s="24" t="n"/>
      <c r="AL19" s="24" t="n"/>
      <c r="AM19" s="24" t="n"/>
      <c r="AN19" s="24" t="n"/>
      <c r="AO19" s="24" t="n"/>
      <c r="AP19" s="24" t="n"/>
      <c r="AQ19" s="24" t="n"/>
      <c r="AR19" s="24" t="n"/>
      <c r="AS19" s="24" t="n"/>
      <c r="AT19" s="24" t="n"/>
      <c r="AU19" s="24" t="n"/>
      <c r="AV19" s="24" t="n"/>
      <c r="AW19" s="24" t="n"/>
      <c r="AX19" s="24" t="n"/>
      <c r="AY19" s="24" t="n"/>
      <c r="AZ19" s="24" t="n"/>
      <c r="BA19" s="24" t="n"/>
      <c r="BB19" s="24" t="n"/>
      <c r="BC19" s="24" t="n"/>
      <c r="BD19" s="24" t="n"/>
      <c r="BE19" s="24" t="n"/>
      <c r="BF19" s="24" t="n"/>
      <c r="BG19" s="24" t="n"/>
      <c r="BH19" s="24" t="n"/>
      <c r="BI19" s="24" t="n"/>
      <c r="BJ19" s="24" t="n"/>
      <c r="BK19" s="24" t="n"/>
      <c r="BL19" s="24" t="n"/>
      <c r="BM19" s="24" t="n"/>
      <c r="BN19" s="24" t="n"/>
      <c r="BO19" s="24" t="n"/>
      <c r="BP19" s="24" t="n"/>
      <c r="BQ19" s="24" t="n"/>
      <c r="BR19" s="24" t="n"/>
      <c r="BS19" s="24" t="n"/>
      <c r="BT19" s="24" t="n"/>
      <c r="BU19" s="24" t="n"/>
      <c r="BV19" s="24" t="n"/>
      <c r="BW19" s="24" t="n"/>
      <c r="BX19" s="24" t="n"/>
      <c r="BY19" s="24" t="n"/>
      <c r="BZ19" s="24" t="n"/>
      <c r="CA19" s="24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</row>
    <row r="20">
      <c r="A20" s="21" t="inlineStr">
        <is>
          <t>시각</t>
        </is>
      </c>
      <c r="B20" s="21" t="inlineStr">
        <is>
          <t>ForkJoinPool-6-worker-1</t>
        </is>
      </c>
      <c r="C20" s="21" t="inlineStr">
        <is>
          <t>ForkJoinPool-6-worker-2</t>
        </is>
      </c>
      <c r="D20" s="21" t="inlineStr">
        <is>
          <t>ForkJoinPool-6-worker-3</t>
        </is>
      </c>
      <c r="E20" s="21" t="inlineStr">
        <is>
          <t>ForkJoinPool-6-worker-4</t>
        </is>
      </c>
      <c r="F20" s="21" t="inlineStr">
        <is>
          <t>ForkJoinPool-6-worker-5</t>
        </is>
      </c>
      <c r="G20" s="21" t="inlineStr">
        <is>
          <t>ForkJoinPool-6-worker-6</t>
        </is>
      </c>
      <c r="H20" s="21" t="inlineStr">
        <is>
          <t>main</t>
        </is>
      </c>
      <c r="O20" s="25">
        <f>'클럭 정리'!A21</f>
        <v/>
      </c>
      <c r="P20" s="23">
        <f>'클럭 정리'!O21</f>
        <v/>
      </c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4" t="n"/>
      <c r="AI20" s="24" t="n"/>
      <c r="AJ20" s="24" t="n"/>
      <c r="AK20" s="24" t="n"/>
      <c r="AL20" s="24" t="n"/>
      <c r="AM20" s="24" t="n"/>
      <c r="AN20" s="24" t="n"/>
      <c r="AO20" s="24" t="n"/>
      <c r="AP20" s="24" t="n"/>
      <c r="AQ20" s="24" t="n"/>
      <c r="AR20" s="24" t="n"/>
      <c r="AS20" s="24" t="n"/>
      <c r="AT20" s="24" t="n"/>
      <c r="AU20" s="24" t="n"/>
      <c r="AV20" s="24" t="n"/>
      <c r="AW20" s="24" t="n"/>
      <c r="AX20" s="24" t="n"/>
      <c r="AY20" s="24" t="n"/>
      <c r="AZ20" s="24" t="n"/>
      <c r="BA20" s="24" t="n"/>
      <c r="BB20" s="24" t="n"/>
      <c r="BC20" s="24" t="n"/>
      <c r="BD20" s="24" t="n"/>
      <c r="BE20" s="24" t="n"/>
      <c r="BF20" s="24" t="n"/>
      <c r="BG20" s="24" t="n"/>
      <c r="BH20" s="24" t="n"/>
      <c r="BI20" s="24" t="n"/>
      <c r="BJ20" s="24" t="n"/>
      <c r="BK20" s="24" t="n"/>
      <c r="BL20" s="24" t="n"/>
      <c r="BM20" s="24" t="n"/>
      <c r="BN20" s="24" t="n"/>
      <c r="BO20" s="24" t="n"/>
      <c r="BP20" s="24" t="n"/>
      <c r="BQ20" s="24" t="n"/>
      <c r="BR20" s="24" t="n"/>
      <c r="BS20" s="24" t="n"/>
      <c r="BT20" s="24" t="n"/>
      <c r="BU20" s="24" t="n"/>
      <c r="BV20" s="24" t="n"/>
      <c r="BW20" s="24" t="n"/>
      <c r="BX20" s="24" t="n"/>
      <c r="BY20" s="24" t="n"/>
      <c r="BZ20" s="24" t="n"/>
      <c r="CA20" s="24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</row>
    <row r="21">
      <c r="A21" s="22">
        <f>'클럭 정리'!A45</f>
        <v/>
      </c>
      <c r="B21" s="23">
        <f>'클럭 정리'!O45</f>
        <v/>
      </c>
      <c r="C21" s="23">
        <f>'클럭 정리'!O45</f>
        <v/>
      </c>
      <c r="D21" s="23">
        <f>'클럭 정리'!O45</f>
        <v/>
      </c>
      <c r="E21" s="24" t="n"/>
      <c r="F21" s="24" t="n"/>
      <c r="G21" s="23">
        <f>'클럭 정리'!O45</f>
        <v/>
      </c>
      <c r="H21" s="23">
        <f>'클럭 정리'!O45</f>
        <v/>
      </c>
      <c r="O21" s="25">
        <f>'클럭 정리'!A22</f>
        <v/>
      </c>
      <c r="P21" s="23">
        <f>'클럭 정리'!O22</f>
        <v/>
      </c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4" t="n"/>
      <c r="AG21" s="24" t="n"/>
      <c r="AH21" s="24" t="n"/>
      <c r="AI21" s="24" t="n"/>
      <c r="AJ21" s="24" t="n"/>
      <c r="AK21" s="24" t="n"/>
      <c r="AL21" s="24" t="n"/>
      <c r="AM21" s="24" t="n"/>
      <c r="AN21" s="24" t="n"/>
      <c r="AO21" s="24" t="n"/>
      <c r="AP21" s="24" t="n"/>
      <c r="AQ21" s="24" t="n"/>
      <c r="AR21" s="24" t="n"/>
      <c r="AS21" s="24" t="n"/>
      <c r="AT21" s="24" t="n"/>
      <c r="AU21" s="24" t="n"/>
      <c r="AV21" s="24" t="n"/>
      <c r="AW21" s="24" t="n"/>
      <c r="AX21" s="24" t="n"/>
      <c r="AY21" s="24" t="n"/>
      <c r="AZ21" s="24" t="n"/>
      <c r="BA21" s="24" t="n"/>
      <c r="BB21" s="24" t="n"/>
      <c r="BC21" s="24" t="n"/>
      <c r="BD21" s="24" t="n"/>
      <c r="BE21" s="24" t="n"/>
      <c r="BF21" s="24" t="n"/>
      <c r="BG21" s="24" t="n"/>
      <c r="BH21" s="24" t="n"/>
      <c r="BI21" s="24" t="n"/>
      <c r="BJ21" s="24" t="n"/>
      <c r="BK21" s="24" t="n"/>
      <c r="BL21" s="24" t="n"/>
      <c r="BM21" s="24" t="n"/>
      <c r="BN21" s="24" t="n"/>
      <c r="BO21" s="24" t="n"/>
      <c r="BP21" s="24" t="n"/>
      <c r="BQ21" s="24" t="n"/>
      <c r="BR21" s="24" t="n"/>
      <c r="BS21" s="24" t="n"/>
      <c r="BT21" s="24" t="n"/>
      <c r="BU21" s="24" t="n"/>
      <c r="BV21" s="24" t="n"/>
      <c r="BW21" s="24" t="n"/>
      <c r="BX21" s="24" t="n"/>
      <c r="BY21" s="24" t="n"/>
      <c r="BZ21" s="24" t="n"/>
      <c r="CA21" s="24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</row>
    <row r="22">
      <c r="A22" s="22">
        <f>'클럭 정리'!A46</f>
        <v/>
      </c>
      <c r="B22" s="23">
        <f>'클럭 정리'!O46</f>
        <v/>
      </c>
      <c r="C22" s="23">
        <f>'클럭 정리'!O46</f>
        <v/>
      </c>
      <c r="D22" s="23">
        <f>'클럭 정리'!O46</f>
        <v/>
      </c>
      <c r="E22" s="24" t="n"/>
      <c r="F22" s="24" t="n"/>
      <c r="G22" s="23">
        <f>'클럭 정리'!O46</f>
        <v/>
      </c>
      <c r="H22" s="23">
        <f>'클럭 정리'!O46</f>
        <v/>
      </c>
      <c r="O22" s="25">
        <f>'클럭 정리'!A23</f>
        <v/>
      </c>
      <c r="P22" s="23">
        <f>'클럭 정리'!O23</f>
        <v/>
      </c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4" t="n"/>
      <c r="AL22" s="24" t="n"/>
      <c r="AM22" s="24" t="n"/>
      <c r="AN22" s="24" t="n"/>
      <c r="AO22" s="24" t="n"/>
      <c r="AP22" s="24" t="n"/>
      <c r="AQ22" s="24" t="n"/>
      <c r="AR22" s="24" t="n"/>
      <c r="AS22" s="24" t="n"/>
      <c r="AT22" s="24" t="n"/>
      <c r="AU22" s="24" t="n"/>
      <c r="AV22" s="24" t="n"/>
      <c r="AW22" s="24" t="n"/>
      <c r="AX22" s="24" t="n"/>
      <c r="AY22" s="24" t="n"/>
      <c r="AZ22" s="24" t="n"/>
      <c r="BA22" s="24" t="n"/>
      <c r="BB22" s="24" t="n"/>
      <c r="BC22" s="24" t="n"/>
      <c r="BD22" s="24" t="n"/>
      <c r="BE22" s="24" t="n"/>
      <c r="BF22" s="24" t="n"/>
      <c r="BG22" s="24" t="n"/>
      <c r="BH22" s="24" t="n"/>
      <c r="BI22" s="24" t="n"/>
      <c r="BJ22" s="24" t="n"/>
      <c r="BK22" s="24" t="n"/>
      <c r="BL22" s="24" t="n"/>
      <c r="BM22" s="24" t="n"/>
      <c r="BN22" s="24" t="n"/>
      <c r="BO22" s="24" t="n"/>
      <c r="BP22" s="24" t="n"/>
      <c r="BQ22" s="24" t="n"/>
      <c r="BR22" s="24" t="n"/>
      <c r="BS22" s="24" t="n"/>
      <c r="BT22" s="24" t="n"/>
      <c r="BU22" s="24" t="n"/>
      <c r="BV22" s="24" t="n"/>
      <c r="BW22" s="24" t="n"/>
      <c r="BX22" s="24" t="n"/>
      <c r="BY22" s="24" t="n"/>
      <c r="BZ22" s="24" t="n"/>
      <c r="CA22" s="24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</row>
    <row r="23">
      <c r="O23" s="25">
        <f>'클럭 정리'!A24</f>
        <v/>
      </c>
      <c r="P23" s="23">
        <f>'클럭 정리'!O24</f>
        <v/>
      </c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4" t="n"/>
      <c r="AG23" s="24" t="n"/>
      <c r="AH23" s="24" t="n"/>
      <c r="AI23" s="24" t="n"/>
      <c r="AJ23" s="24" t="n"/>
      <c r="AK23" s="24" t="n"/>
      <c r="AL23" s="24" t="n"/>
      <c r="AM23" s="24" t="n"/>
      <c r="AN23" s="24" t="n"/>
      <c r="AO23" s="24" t="n"/>
      <c r="AP23" s="24" t="n"/>
      <c r="AQ23" s="24" t="n"/>
      <c r="AR23" s="24" t="n"/>
      <c r="AS23" s="24" t="n"/>
      <c r="AT23" s="24" t="n"/>
      <c r="AU23" s="24" t="n"/>
      <c r="AV23" s="24" t="n"/>
      <c r="AW23" s="24" t="n"/>
      <c r="AX23" s="24" t="n"/>
      <c r="AY23" s="24" t="n"/>
      <c r="AZ23" s="24" t="n"/>
      <c r="BA23" s="24" t="n"/>
      <c r="BB23" s="24" t="n"/>
      <c r="BC23" s="24" t="n"/>
      <c r="BD23" s="24" t="n"/>
      <c r="BE23" s="24" t="n"/>
      <c r="BF23" s="24" t="n"/>
      <c r="BG23" s="24" t="n"/>
      <c r="BH23" s="24" t="n"/>
      <c r="BI23" s="24" t="n"/>
      <c r="BJ23" s="24" t="n"/>
      <c r="BK23" s="24" t="n"/>
      <c r="BL23" s="24" t="n"/>
      <c r="BM23" s="24" t="n"/>
      <c r="BN23" s="24" t="n"/>
      <c r="BO23" s="24" t="n"/>
      <c r="BP23" s="24" t="n"/>
      <c r="BQ23" s="24" t="n"/>
      <c r="BR23" s="24" t="n"/>
      <c r="BS23" s="24" t="n"/>
      <c r="BT23" s="24" t="n"/>
      <c r="BU23" s="24" t="n"/>
      <c r="BV23" s="24" t="n"/>
      <c r="BW23" s="24" t="n"/>
      <c r="BX23" s="24" t="n"/>
      <c r="BY23" s="24" t="n"/>
      <c r="BZ23" s="24" t="n"/>
      <c r="CA23" s="24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</row>
    <row r="24">
      <c r="A24" s="2" t="inlineStr">
        <is>
          <t>병렬도 6 분할 4 측정 5회차 (스레드별 클럭, GHz)</t>
        </is>
      </c>
      <c r="O24" s="25">
        <f>'클럭 정리'!A25</f>
        <v/>
      </c>
      <c r="P24" s="23">
        <f>'클럭 정리'!O25</f>
        <v/>
      </c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  <c r="AR24" s="24" t="n"/>
      <c r="AS24" s="24" t="n"/>
      <c r="AT24" s="24" t="n"/>
      <c r="AU24" s="24" t="n"/>
      <c r="AV24" s="24" t="n"/>
      <c r="AW24" s="24" t="n"/>
      <c r="AX24" s="24" t="n"/>
      <c r="AY24" s="24" t="n"/>
      <c r="AZ24" s="24" t="n"/>
      <c r="BA24" s="24" t="n"/>
      <c r="BB24" s="24" t="n"/>
      <c r="BC24" s="24" t="n"/>
      <c r="BD24" s="24" t="n"/>
      <c r="BE24" s="24" t="n"/>
      <c r="BF24" s="24" t="n"/>
      <c r="BG24" s="24" t="n"/>
      <c r="BH24" s="24" t="n"/>
      <c r="BI24" s="24" t="n"/>
      <c r="BJ24" s="24" t="n"/>
      <c r="BK24" s="24" t="n"/>
      <c r="BL24" s="24" t="n"/>
      <c r="BM24" s="24" t="n"/>
      <c r="BN24" s="24" t="n"/>
      <c r="BO24" s="24" t="n"/>
      <c r="BP24" s="24" t="n"/>
      <c r="BQ24" s="24" t="n"/>
      <c r="BR24" s="24" t="n"/>
      <c r="BS24" s="24" t="n"/>
      <c r="BT24" s="24" t="n"/>
      <c r="BU24" s="24" t="n"/>
      <c r="BV24" s="24" t="n"/>
      <c r="BW24" s="24" t="n"/>
      <c r="BX24" s="24" t="n"/>
      <c r="BY24" s="24" t="n"/>
      <c r="BZ24" s="24" t="n"/>
      <c r="CA24" s="24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</row>
    <row r="25">
      <c r="A25" s="21" t="inlineStr">
        <is>
          <t>시각</t>
        </is>
      </c>
      <c r="B25" s="21" t="inlineStr">
        <is>
          <t>ForkJoinPool-7-worker-1</t>
        </is>
      </c>
      <c r="C25" s="21" t="inlineStr">
        <is>
          <t>ForkJoinPool-7-worker-2</t>
        </is>
      </c>
      <c r="D25" s="21" t="inlineStr">
        <is>
          <t>ForkJoinPool-7-worker-3</t>
        </is>
      </c>
      <c r="E25" s="21" t="inlineStr">
        <is>
          <t>ForkJoinPool-7-worker-4</t>
        </is>
      </c>
      <c r="F25" s="21" t="inlineStr">
        <is>
          <t>ForkJoinPool-7-worker-6</t>
        </is>
      </c>
      <c r="G25" s="21" t="inlineStr">
        <is>
          <t>main</t>
        </is>
      </c>
      <c r="O25" s="25">
        <f>'클럭 정리'!A26</f>
        <v/>
      </c>
      <c r="P25" s="23">
        <f>'클럭 정리'!O26</f>
        <v/>
      </c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4" t="n"/>
      <c r="AL25" s="24" t="n"/>
      <c r="AM25" s="24" t="n"/>
      <c r="AN25" s="24" t="n"/>
      <c r="AO25" s="24" t="n"/>
      <c r="AP25" s="24" t="n"/>
      <c r="AQ25" s="24" t="n"/>
      <c r="AR25" s="24" t="n"/>
      <c r="AS25" s="24" t="n"/>
      <c r="AT25" s="24" t="n"/>
      <c r="AU25" s="24" t="n"/>
      <c r="AV25" s="24" t="n"/>
      <c r="AW25" s="24" t="n"/>
      <c r="AX25" s="24" t="n"/>
      <c r="AY25" s="24" t="n"/>
      <c r="AZ25" s="24" t="n"/>
      <c r="BA25" s="24" t="n"/>
      <c r="BB25" s="24" t="n"/>
      <c r="BC25" s="24" t="n"/>
      <c r="BD25" s="24" t="n"/>
      <c r="BE25" s="24" t="n"/>
      <c r="BF25" s="24" t="n"/>
      <c r="BG25" s="24" t="n"/>
      <c r="BH25" s="24" t="n"/>
      <c r="BI25" s="24" t="n"/>
      <c r="BJ25" s="24" t="n"/>
      <c r="BK25" s="24" t="n"/>
      <c r="BL25" s="24" t="n"/>
      <c r="BM25" s="24" t="n"/>
      <c r="BN25" s="24" t="n"/>
      <c r="BO25" s="24" t="n"/>
      <c r="BP25" s="24" t="n"/>
      <c r="BQ25" s="24" t="n"/>
      <c r="BR25" s="24" t="n"/>
      <c r="BS25" s="24" t="n"/>
      <c r="BT25" s="24" t="n"/>
      <c r="BU25" s="24" t="n"/>
      <c r="BV25" s="24" t="n"/>
      <c r="BW25" s="24" t="n"/>
      <c r="BX25" s="24" t="n"/>
      <c r="BY25" s="24" t="n"/>
      <c r="BZ25" s="24" t="n"/>
      <c r="CA25" s="24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</row>
    <row r="26">
      <c r="A26" s="22">
        <f>'클럭 정리'!A47</f>
        <v/>
      </c>
      <c r="B26" s="23">
        <f>'클럭 정리'!O47</f>
        <v/>
      </c>
      <c r="C26" s="23">
        <f>'클럭 정리'!O47</f>
        <v/>
      </c>
      <c r="D26" s="23">
        <f>'클럭 정리'!O47</f>
        <v/>
      </c>
      <c r="E26" s="23">
        <f>'클럭 정리'!O47</f>
        <v/>
      </c>
      <c r="F26" s="23">
        <f>'클럭 정리'!O47</f>
        <v/>
      </c>
      <c r="G26" s="23">
        <f>'클럭 정리'!O47</f>
        <v/>
      </c>
      <c r="O26" s="25">
        <f>'클럭 정리'!A27</f>
        <v/>
      </c>
      <c r="P26" s="23">
        <f>'클럭 정리'!O27</f>
        <v/>
      </c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  <c r="AR26" s="24" t="n"/>
      <c r="AS26" s="24" t="n"/>
      <c r="AT26" s="24" t="n"/>
      <c r="AU26" s="24" t="n"/>
      <c r="AV26" s="24" t="n"/>
      <c r="AW26" s="24" t="n"/>
      <c r="AX26" s="24" t="n"/>
      <c r="AY26" s="24" t="n"/>
      <c r="AZ26" s="24" t="n"/>
      <c r="BA26" s="24" t="n"/>
      <c r="BB26" s="24" t="n"/>
      <c r="BC26" s="24" t="n"/>
      <c r="BD26" s="24" t="n"/>
      <c r="BE26" s="24" t="n"/>
      <c r="BF26" s="24" t="n"/>
      <c r="BG26" s="24" t="n"/>
      <c r="BH26" s="24" t="n"/>
      <c r="BI26" s="24" t="n"/>
      <c r="BJ26" s="24" t="n"/>
      <c r="BK26" s="24" t="n"/>
      <c r="BL26" s="24" t="n"/>
      <c r="BM26" s="24" t="n"/>
      <c r="BN26" s="24" t="n"/>
      <c r="BO26" s="24" t="n"/>
      <c r="BP26" s="24" t="n"/>
      <c r="BQ26" s="24" t="n"/>
      <c r="BR26" s="24" t="n"/>
      <c r="BS26" s="24" t="n"/>
      <c r="BT26" s="24" t="n"/>
      <c r="BU26" s="24" t="n"/>
      <c r="BV26" s="24" t="n"/>
      <c r="BW26" s="24" t="n"/>
      <c r="BX26" s="24" t="n"/>
      <c r="BY26" s="24" t="n"/>
      <c r="BZ26" s="24" t="n"/>
      <c r="CA26" s="24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</row>
    <row r="27">
      <c r="A27" s="22">
        <f>'클럭 정리'!A48</f>
        <v/>
      </c>
      <c r="B27" s="23">
        <f>'클럭 정리'!O48</f>
        <v/>
      </c>
      <c r="C27" s="23">
        <f>'클럭 정리'!O48</f>
        <v/>
      </c>
      <c r="D27" s="23">
        <f>'클럭 정리'!O48</f>
        <v/>
      </c>
      <c r="E27" s="23">
        <f>'클럭 정리'!O48</f>
        <v/>
      </c>
      <c r="F27" s="24" t="n"/>
      <c r="G27" s="23">
        <f>'클럭 정리'!O48</f>
        <v/>
      </c>
      <c r="O27" s="25">
        <f>'클럭 정리'!A28</f>
        <v/>
      </c>
      <c r="P27" s="23">
        <f>'클럭 정리'!O28</f>
        <v/>
      </c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  <c r="AR27" s="24" t="n"/>
      <c r="AS27" s="24" t="n"/>
      <c r="AT27" s="24" t="n"/>
      <c r="AU27" s="24" t="n"/>
      <c r="AV27" s="24" t="n"/>
      <c r="AW27" s="24" t="n"/>
      <c r="AX27" s="24" t="n"/>
      <c r="AY27" s="24" t="n"/>
      <c r="AZ27" s="24" t="n"/>
      <c r="BA27" s="24" t="n"/>
      <c r="BB27" s="24" t="n"/>
      <c r="BC27" s="24" t="n"/>
      <c r="BD27" s="24" t="n"/>
      <c r="BE27" s="24" t="n"/>
      <c r="BF27" s="24" t="n"/>
      <c r="BG27" s="24" t="n"/>
      <c r="BH27" s="24" t="n"/>
      <c r="BI27" s="24" t="n"/>
      <c r="BJ27" s="24" t="n"/>
      <c r="BK27" s="24" t="n"/>
      <c r="BL27" s="24" t="n"/>
      <c r="BM27" s="24" t="n"/>
      <c r="BN27" s="24" t="n"/>
      <c r="BO27" s="24" t="n"/>
      <c r="BP27" s="24" t="n"/>
      <c r="BQ27" s="24" t="n"/>
      <c r="BR27" s="24" t="n"/>
      <c r="BS27" s="24" t="n"/>
      <c r="BT27" s="24" t="n"/>
      <c r="BU27" s="24" t="n"/>
      <c r="BV27" s="24" t="n"/>
      <c r="BW27" s="24" t="n"/>
      <c r="BX27" s="24" t="n"/>
      <c r="BY27" s="24" t="n"/>
      <c r="BZ27" s="24" t="n"/>
      <c r="CA27" s="24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</row>
    <row r="28">
      <c r="O28" s="25">
        <f>'클럭 정리'!A29</f>
        <v/>
      </c>
      <c r="P28" s="23">
        <f>'클럭 정리'!O29</f>
        <v/>
      </c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  <c r="AS28" s="24" t="n"/>
      <c r="AT28" s="24" t="n"/>
      <c r="AU28" s="24" t="n"/>
      <c r="AV28" s="24" t="n"/>
      <c r="AW28" s="24" t="n"/>
      <c r="AX28" s="24" t="n"/>
      <c r="AY28" s="24" t="n"/>
      <c r="AZ28" s="24" t="n"/>
      <c r="BA28" s="24" t="n"/>
      <c r="BB28" s="24" t="n"/>
      <c r="BC28" s="24" t="n"/>
      <c r="BD28" s="24" t="n"/>
      <c r="BE28" s="24" t="n"/>
      <c r="BF28" s="24" t="n"/>
      <c r="BG28" s="24" t="n"/>
      <c r="BH28" s="24" t="n"/>
      <c r="BI28" s="24" t="n"/>
      <c r="BJ28" s="24" t="n"/>
      <c r="BK28" s="24" t="n"/>
      <c r="BL28" s="24" t="n"/>
      <c r="BM28" s="24" t="n"/>
      <c r="BN28" s="24" t="n"/>
      <c r="BO28" s="24" t="n"/>
      <c r="BP28" s="24" t="n"/>
      <c r="BQ28" s="24" t="n"/>
      <c r="BR28" s="24" t="n"/>
      <c r="BS28" s="24" t="n"/>
      <c r="BT28" s="24" t="n"/>
      <c r="BU28" s="24" t="n"/>
      <c r="BV28" s="24" t="n"/>
      <c r="BW28" s="24" t="n"/>
      <c r="BX28" s="24" t="n"/>
      <c r="BY28" s="24" t="n"/>
      <c r="BZ28" s="24" t="n"/>
      <c r="CA28" s="24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</row>
    <row r="29">
      <c r="A29" s="2" t="inlineStr">
        <is>
          <t>병렬도 12 분할 4 측정 1회차 (스레드별 클럭, GHz)</t>
        </is>
      </c>
      <c r="O29" s="25">
        <f>'클럭 정리'!A30</f>
        <v/>
      </c>
      <c r="P29" s="23">
        <f>'클럭 정리'!O30</f>
        <v/>
      </c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R29" s="24" t="n"/>
      <c r="AS29" s="24" t="n"/>
      <c r="AT29" s="24" t="n"/>
      <c r="AU29" s="24" t="n"/>
      <c r="AV29" s="24" t="n"/>
      <c r="AW29" s="24" t="n"/>
      <c r="AX29" s="24" t="n"/>
      <c r="AY29" s="24" t="n"/>
      <c r="AZ29" s="24" t="n"/>
      <c r="BA29" s="24" t="n"/>
      <c r="BB29" s="24" t="n"/>
      <c r="BC29" s="24" t="n"/>
      <c r="BD29" s="24" t="n"/>
      <c r="BE29" s="24" t="n"/>
      <c r="BF29" s="24" t="n"/>
      <c r="BG29" s="24" t="n"/>
      <c r="BH29" s="24" t="n"/>
      <c r="BI29" s="24" t="n"/>
      <c r="BJ29" s="24" t="n"/>
      <c r="BK29" s="24" t="n"/>
      <c r="BL29" s="24" t="n"/>
      <c r="BM29" s="24" t="n"/>
      <c r="BN29" s="24" t="n"/>
      <c r="BO29" s="24" t="n"/>
      <c r="BP29" s="24" t="n"/>
      <c r="BQ29" s="24" t="n"/>
      <c r="BR29" s="24" t="n"/>
      <c r="BS29" s="24" t="n"/>
      <c r="BT29" s="24" t="n"/>
      <c r="BU29" s="24" t="n"/>
      <c r="BV29" s="24" t="n"/>
      <c r="BW29" s="24" t="n"/>
      <c r="BX29" s="24" t="n"/>
      <c r="BY29" s="24" t="n"/>
      <c r="BZ29" s="24" t="n"/>
      <c r="CA29" s="24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</row>
    <row r="30">
      <c r="A30" s="21" t="inlineStr">
        <is>
          <t>시각</t>
        </is>
      </c>
      <c r="B30" s="21" t="inlineStr">
        <is>
          <t>ForkJoinPool-11-worker-1</t>
        </is>
      </c>
      <c r="C30" s="21" t="inlineStr">
        <is>
          <t>ForkJoinPool-11-worker-10</t>
        </is>
      </c>
      <c r="D30" s="21" t="inlineStr">
        <is>
          <t>ForkJoinPool-11-worker-11</t>
        </is>
      </c>
      <c r="E30" s="21" t="inlineStr">
        <is>
          <t>ForkJoinPool-11-worker-12</t>
        </is>
      </c>
      <c r="F30" s="21" t="inlineStr">
        <is>
          <t>ForkJoinPool-11-worker-2</t>
        </is>
      </c>
      <c r="G30" s="21" t="inlineStr">
        <is>
          <t>ForkJoinPool-11-worker-3</t>
        </is>
      </c>
      <c r="H30" s="21" t="inlineStr">
        <is>
          <t>ForkJoinPool-11-worker-4</t>
        </is>
      </c>
      <c r="I30" s="21" t="inlineStr">
        <is>
          <t>ForkJoinPool-11-worker-6</t>
        </is>
      </c>
      <c r="J30" s="21" t="inlineStr">
        <is>
          <t>ForkJoinPool-11-worker-7</t>
        </is>
      </c>
      <c r="K30" s="21" t="inlineStr">
        <is>
          <t>ForkJoinPool-11-worker-8</t>
        </is>
      </c>
      <c r="L30" s="21" t="inlineStr">
        <is>
          <t>ForkJoinPool-11-worker-9</t>
        </is>
      </c>
      <c r="M30" s="21" t="inlineStr">
        <is>
          <t>main</t>
        </is>
      </c>
      <c r="O30" s="25">
        <f>'클럭 정리'!A31</f>
        <v/>
      </c>
      <c r="P30" s="23">
        <f>'클럭 정리'!O31</f>
        <v/>
      </c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  <c r="AS30" s="24" t="n"/>
      <c r="AT30" s="24" t="n"/>
      <c r="AU30" s="24" t="n"/>
      <c r="AV30" s="24" t="n"/>
      <c r="AW30" s="24" t="n"/>
      <c r="AX30" s="24" t="n"/>
      <c r="AY30" s="24" t="n"/>
      <c r="AZ30" s="24" t="n"/>
      <c r="BA30" s="24" t="n"/>
      <c r="BB30" s="24" t="n"/>
      <c r="BC30" s="24" t="n"/>
      <c r="BD30" s="24" t="n"/>
      <c r="BE30" s="24" t="n"/>
      <c r="BF30" s="24" t="n"/>
      <c r="BG30" s="24" t="n"/>
      <c r="BH30" s="24" t="n"/>
      <c r="BI30" s="24" t="n"/>
      <c r="BJ30" s="24" t="n"/>
      <c r="BK30" s="24" t="n"/>
      <c r="BL30" s="24" t="n"/>
      <c r="BM30" s="24" t="n"/>
      <c r="BN30" s="24" t="n"/>
      <c r="BO30" s="24" t="n"/>
      <c r="BP30" s="24" t="n"/>
      <c r="BQ30" s="24" t="n"/>
      <c r="BR30" s="24" t="n"/>
      <c r="BS30" s="24" t="n"/>
      <c r="BT30" s="24" t="n"/>
      <c r="BU30" s="24" t="n"/>
      <c r="BV30" s="24" t="n"/>
      <c r="BW30" s="24" t="n"/>
      <c r="BX30" s="24" t="n"/>
      <c r="BY30" s="24" t="n"/>
      <c r="BZ30" s="24" t="n"/>
      <c r="CA30" s="24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</row>
    <row r="31">
      <c r="A31" s="22">
        <f>'클럭 정리'!A55</f>
        <v/>
      </c>
      <c r="B31" s="23">
        <f>'클럭 정리'!O55</f>
        <v/>
      </c>
      <c r="C31" s="23">
        <f>'클럭 정리'!O55</f>
        <v/>
      </c>
      <c r="D31" s="23">
        <f>'클럭 정리'!O55</f>
        <v/>
      </c>
      <c r="E31" s="23">
        <f>'클럭 정리'!O55</f>
        <v/>
      </c>
      <c r="F31" s="23">
        <f>'클럭 정리'!O55</f>
        <v/>
      </c>
      <c r="G31" s="24" t="n"/>
      <c r="H31" s="24" t="n"/>
      <c r="I31" s="24" t="n"/>
      <c r="J31" s="24" t="n"/>
      <c r="K31" s="24" t="n"/>
      <c r="L31" s="24" t="n"/>
      <c r="M31" s="23">
        <f>'클럭 정리'!O55</f>
        <v/>
      </c>
      <c r="O31" s="25">
        <f>'클럭 정리'!A32</f>
        <v/>
      </c>
      <c r="P31" s="23">
        <f>'클럭 정리'!O32</f>
        <v/>
      </c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  <c r="AR31" s="24" t="n"/>
      <c r="AS31" s="24" t="n"/>
      <c r="AT31" s="24" t="n"/>
      <c r="AU31" s="24" t="n"/>
      <c r="AV31" s="24" t="n"/>
      <c r="AW31" s="24" t="n"/>
      <c r="AX31" s="24" t="n"/>
      <c r="AY31" s="24" t="n"/>
      <c r="AZ31" s="24" t="n"/>
      <c r="BA31" s="24" t="n"/>
      <c r="BB31" s="24" t="n"/>
      <c r="BC31" s="24" t="n"/>
      <c r="BD31" s="24" t="n"/>
      <c r="BE31" s="24" t="n"/>
      <c r="BF31" s="24" t="n"/>
      <c r="BG31" s="24" t="n"/>
      <c r="BH31" s="24" t="n"/>
      <c r="BI31" s="24" t="n"/>
      <c r="BJ31" s="24" t="n"/>
      <c r="BK31" s="24" t="n"/>
      <c r="BL31" s="24" t="n"/>
      <c r="BM31" s="24" t="n"/>
      <c r="BN31" s="24" t="n"/>
      <c r="BO31" s="24" t="n"/>
      <c r="BP31" s="24" t="n"/>
      <c r="BQ31" s="24" t="n"/>
      <c r="BR31" s="24" t="n"/>
      <c r="BS31" s="24" t="n"/>
      <c r="BT31" s="24" t="n"/>
      <c r="BU31" s="24" t="n"/>
      <c r="BV31" s="24" t="n"/>
      <c r="BW31" s="24" t="n"/>
      <c r="BX31" s="24" t="n"/>
      <c r="BY31" s="24" t="n"/>
      <c r="BZ31" s="24" t="n"/>
      <c r="CA31" s="24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</row>
    <row r="32">
      <c r="A32" s="22">
        <f>'클럭 정리'!A56</f>
        <v/>
      </c>
      <c r="B32" s="23">
        <f>'클럭 정리'!O56</f>
        <v/>
      </c>
      <c r="C32" s="24" t="n"/>
      <c r="D32" s="23">
        <f>'클럭 정리'!O56</f>
        <v/>
      </c>
      <c r="E32" s="23">
        <f>'클럭 정리'!O56</f>
        <v/>
      </c>
      <c r="F32" s="23">
        <f>'클럭 정리'!O56</f>
        <v/>
      </c>
      <c r="G32" s="24" t="n"/>
      <c r="H32" s="24" t="n"/>
      <c r="I32" s="24" t="n"/>
      <c r="J32" s="24" t="n"/>
      <c r="K32" s="24" t="n"/>
      <c r="L32" s="24" t="n"/>
      <c r="M32" s="23">
        <f>'클럭 정리'!O56</f>
        <v/>
      </c>
      <c r="O32" s="25">
        <f>'클럭 정리'!A33</f>
        <v/>
      </c>
      <c r="P32" s="23">
        <f>'클럭 정리'!O33</f>
        <v/>
      </c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  <c r="AV32" s="24" t="n"/>
      <c r="AW32" s="24" t="n"/>
      <c r="AX32" s="24" t="n"/>
      <c r="AY32" s="24" t="n"/>
      <c r="AZ32" s="24" t="n"/>
      <c r="BA32" s="24" t="n"/>
      <c r="BB32" s="24" t="n"/>
      <c r="BC32" s="24" t="n"/>
      <c r="BD32" s="24" t="n"/>
      <c r="BE32" s="24" t="n"/>
      <c r="BF32" s="24" t="n"/>
      <c r="BG32" s="24" t="n"/>
      <c r="BH32" s="24" t="n"/>
      <c r="BI32" s="24" t="n"/>
      <c r="BJ32" s="24" t="n"/>
      <c r="BK32" s="24" t="n"/>
      <c r="BL32" s="24" t="n"/>
      <c r="BM32" s="24" t="n"/>
      <c r="BN32" s="24" t="n"/>
      <c r="BO32" s="24" t="n"/>
      <c r="BP32" s="24" t="n"/>
      <c r="BQ32" s="24" t="n"/>
      <c r="BR32" s="24" t="n"/>
      <c r="BS32" s="24" t="n"/>
      <c r="BT32" s="24" t="n"/>
      <c r="BU32" s="24" t="n"/>
      <c r="BV32" s="24" t="n"/>
      <c r="BW32" s="24" t="n"/>
      <c r="BX32" s="24" t="n"/>
      <c r="BY32" s="24" t="n"/>
      <c r="BZ32" s="24" t="n"/>
      <c r="CA32" s="24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</row>
    <row r="33">
      <c r="O33" s="25">
        <f>'클럭 정리'!A34</f>
        <v/>
      </c>
      <c r="P33" s="23">
        <f>'클럭 정리'!O34</f>
        <v/>
      </c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4" t="n"/>
      <c r="AG33" s="24" t="n"/>
      <c r="AH33" s="24" t="n"/>
      <c r="AI33" s="24" t="n"/>
      <c r="AJ33" s="24" t="n"/>
      <c r="AK33" s="24" t="n"/>
      <c r="AL33" s="24" t="n"/>
      <c r="AM33" s="24" t="n"/>
      <c r="AN33" s="24" t="n"/>
      <c r="AO33" s="24" t="n"/>
      <c r="AP33" s="24" t="n"/>
      <c r="AQ33" s="24" t="n"/>
      <c r="AR33" s="24" t="n"/>
      <c r="AS33" s="24" t="n"/>
      <c r="AT33" s="24" t="n"/>
      <c r="AU33" s="24" t="n"/>
      <c r="AV33" s="24" t="n"/>
      <c r="AW33" s="24" t="n"/>
      <c r="AX33" s="24" t="n"/>
      <c r="AY33" s="24" t="n"/>
      <c r="AZ33" s="24" t="n"/>
      <c r="BA33" s="24" t="n"/>
      <c r="BB33" s="24" t="n"/>
      <c r="BC33" s="24" t="n"/>
      <c r="BD33" s="24" t="n"/>
      <c r="BE33" s="24" t="n"/>
      <c r="BF33" s="24" t="n"/>
      <c r="BG33" s="24" t="n"/>
      <c r="BH33" s="24" t="n"/>
      <c r="BI33" s="24" t="n"/>
      <c r="BJ33" s="24" t="n"/>
      <c r="BK33" s="24" t="n"/>
      <c r="BL33" s="24" t="n"/>
      <c r="BM33" s="24" t="n"/>
      <c r="BN33" s="24" t="n"/>
      <c r="BO33" s="24" t="n"/>
      <c r="BP33" s="24" t="n"/>
      <c r="BQ33" s="24" t="n"/>
      <c r="BR33" s="24" t="n"/>
      <c r="BS33" s="24" t="n"/>
      <c r="BT33" s="24" t="n"/>
      <c r="BU33" s="24" t="n"/>
      <c r="BV33" s="24" t="n"/>
      <c r="BW33" s="24" t="n"/>
      <c r="BX33" s="24" t="n"/>
      <c r="BY33" s="24" t="n"/>
      <c r="BZ33" s="24" t="n"/>
      <c r="CA33" s="24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</row>
    <row r="34">
      <c r="A34" s="2" t="inlineStr">
        <is>
          <t>병렬도 12 분할 4 측정 2회차 (스레드별 클럭, GHz)</t>
        </is>
      </c>
      <c r="O34" s="25">
        <f>'클럭 정리'!A35</f>
        <v/>
      </c>
      <c r="P34" s="23">
        <f>'클럭 정리'!O35</f>
        <v/>
      </c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 t="n"/>
      <c r="AW34" s="24" t="n"/>
      <c r="AX34" s="24" t="n"/>
      <c r="AY34" s="24" t="n"/>
      <c r="AZ34" s="24" t="n"/>
      <c r="BA34" s="24" t="n"/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4" t="n"/>
      <c r="BK34" s="24" t="n"/>
      <c r="BL34" s="24" t="n"/>
      <c r="BM34" s="24" t="n"/>
      <c r="BN34" s="24" t="n"/>
      <c r="BO34" s="24" t="n"/>
      <c r="BP34" s="24" t="n"/>
      <c r="BQ34" s="24" t="n"/>
      <c r="BR34" s="24" t="n"/>
      <c r="BS34" s="24" t="n"/>
      <c r="BT34" s="24" t="n"/>
      <c r="BU34" s="24" t="n"/>
      <c r="BV34" s="24" t="n"/>
      <c r="BW34" s="24" t="n"/>
      <c r="BX34" s="24" t="n"/>
      <c r="BY34" s="24" t="n"/>
      <c r="BZ34" s="24" t="n"/>
      <c r="CA34" s="24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</row>
    <row r="35">
      <c r="A35" s="21" t="inlineStr">
        <is>
          <t>시각</t>
        </is>
      </c>
      <c r="B35" s="21" t="inlineStr">
        <is>
          <t>ForkJoinPool-12-worker-1</t>
        </is>
      </c>
      <c r="C35" s="21" t="inlineStr">
        <is>
          <t>ForkJoinPool-12-worker-11</t>
        </is>
      </c>
      <c r="D35" s="21" t="inlineStr">
        <is>
          <t>ForkJoinPool-12-worker-2</t>
        </is>
      </c>
      <c r="E35" s="21" t="inlineStr">
        <is>
          <t>ForkJoinPool-12-worker-3</t>
        </is>
      </c>
      <c r="F35" s="21" t="inlineStr">
        <is>
          <t>ForkJoinPool-12-worker-4</t>
        </is>
      </c>
      <c r="G35" s="21" t="inlineStr">
        <is>
          <t>ForkJoinPool-12-worker-7</t>
        </is>
      </c>
      <c r="H35" s="21" t="inlineStr">
        <is>
          <t>ForkJoinPool-12-worker-9</t>
        </is>
      </c>
      <c r="I35" s="21" t="inlineStr">
        <is>
          <t>main</t>
        </is>
      </c>
      <c r="O35" s="25">
        <f>'클럭 정리'!A36</f>
        <v/>
      </c>
      <c r="P35" s="23">
        <f>'클럭 정리'!O36</f>
        <v/>
      </c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4" t="n"/>
      <c r="AQ35" s="24" t="n"/>
      <c r="AR35" s="24" t="n"/>
      <c r="AS35" s="24" t="n"/>
      <c r="AT35" s="24" t="n"/>
      <c r="AU35" s="24" t="n"/>
      <c r="AV35" s="24" t="n"/>
      <c r="AW35" s="24" t="n"/>
      <c r="AX35" s="24" t="n"/>
      <c r="AY35" s="24" t="n"/>
      <c r="AZ35" s="24" t="n"/>
      <c r="BA35" s="24" t="n"/>
      <c r="BB35" s="24" t="n"/>
      <c r="BC35" s="24" t="n"/>
      <c r="BD35" s="24" t="n"/>
      <c r="BE35" s="24" t="n"/>
      <c r="BF35" s="24" t="n"/>
      <c r="BG35" s="24" t="n"/>
      <c r="BH35" s="24" t="n"/>
      <c r="BI35" s="24" t="n"/>
      <c r="BJ35" s="24" t="n"/>
      <c r="BK35" s="24" t="n"/>
      <c r="BL35" s="24" t="n"/>
      <c r="BM35" s="24" t="n"/>
      <c r="BN35" s="24" t="n"/>
      <c r="BO35" s="24" t="n"/>
      <c r="BP35" s="24" t="n"/>
      <c r="BQ35" s="24" t="n"/>
      <c r="BR35" s="24" t="n"/>
      <c r="BS35" s="24" t="n"/>
      <c r="BT35" s="24" t="n"/>
      <c r="BU35" s="24" t="n"/>
      <c r="BV35" s="24" t="n"/>
      <c r="BW35" s="24" t="n"/>
      <c r="BX35" s="24" t="n"/>
      <c r="BY35" s="24" t="n"/>
      <c r="BZ35" s="24" t="n"/>
      <c r="CA35" s="24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</row>
    <row r="36">
      <c r="A36" s="22">
        <f>'클럭 정리'!A57</f>
        <v/>
      </c>
      <c r="B36" s="23">
        <f>'클럭 정리'!O57</f>
        <v/>
      </c>
      <c r="C36" s="23">
        <f>'클럭 정리'!O57</f>
        <v/>
      </c>
      <c r="D36" s="23">
        <f>'클럭 정리'!O57</f>
        <v/>
      </c>
      <c r="E36" s="23">
        <f>'클럭 정리'!O57</f>
        <v/>
      </c>
      <c r="F36" s="24" t="n"/>
      <c r="G36" s="24" t="n"/>
      <c r="H36" s="24" t="n"/>
      <c r="I36" s="23">
        <f>'클럭 정리'!O57</f>
        <v/>
      </c>
      <c r="O36" s="25">
        <f>'클럭 정리'!A37</f>
        <v/>
      </c>
      <c r="P36" s="23">
        <f>'클럭 정리'!O37</f>
        <v/>
      </c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 t="n"/>
      <c r="AW36" s="24" t="n"/>
      <c r="AX36" s="24" t="n"/>
      <c r="AY36" s="24" t="n"/>
      <c r="AZ36" s="24" t="n"/>
      <c r="BA36" s="24" t="n"/>
      <c r="BB36" s="24" t="n"/>
      <c r="BC36" s="24" t="n"/>
      <c r="BD36" s="24" t="n"/>
      <c r="BE36" s="24" t="n"/>
      <c r="BF36" s="24" t="n"/>
      <c r="BG36" s="24" t="n"/>
      <c r="BH36" s="24" t="n"/>
      <c r="BI36" s="24" t="n"/>
      <c r="BJ36" s="24" t="n"/>
      <c r="BK36" s="24" t="n"/>
      <c r="BL36" s="24" t="n"/>
      <c r="BM36" s="24" t="n"/>
      <c r="BN36" s="24" t="n"/>
      <c r="BO36" s="24" t="n"/>
      <c r="BP36" s="24" t="n"/>
      <c r="BQ36" s="24" t="n"/>
      <c r="BR36" s="24" t="n"/>
      <c r="BS36" s="24" t="n"/>
      <c r="BT36" s="24" t="n"/>
      <c r="BU36" s="24" t="n"/>
      <c r="BV36" s="24" t="n"/>
      <c r="BW36" s="24" t="n"/>
      <c r="BX36" s="24" t="n"/>
      <c r="BY36" s="24" t="n"/>
      <c r="BZ36" s="24" t="n"/>
      <c r="CA36" s="24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</row>
    <row r="37">
      <c r="A37" s="22">
        <f>'클럭 정리'!A58</f>
        <v/>
      </c>
      <c r="B37" s="23">
        <f>'클럭 정리'!O58</f>
        <v/>
      </c>
      <c r="C37" s="23">
        <f>'클럭 정리'!O58</f>
        <v/>
      </c>
      <c r="D37" s="23">
        <f>'클럭 정리'!O58</f>
        <v/>
      </c>
      <c r="E37" s="23">
        <f>'클럭 정리'!O58</f>
        <v/>
      </c>
      <c r="F37" s="24" t="n"/>
      <c r="G37" s="24" t="n"/>
      <c r="H37" s="24" t="n"/>
      <c r="I37" s="23">
        <f>'클럭 정리'!O58</f>
        <v/>
      </c>
      <c r="O37" s="25">
        <f>'클럭 정리'!A38</f>
        <v/>
      </c>
      <c r="P37" s="23">
        <f>'클럭 정리'!O38</f>
        <v/>
      </c>
      <c r="Q37" s="23">
        <f>'클럭 정리'!O38</f>
        <v/>
      </c>
      <c r="R37" s="23">
        <f>'클럭 정리'!O38</f>
        <v/>
      </c>
      <c r="S37" s="24" t="n"/>
      <c r="T37" s="23">
        <f>'클럭 정리'!O38</f>
        <v/>
      </c>
      <c r="U37" s="23">
        <f>'클럭 정리'!O38</f>
        <v/>
      </c>
      <c r="V37" s="23">
        <f>'클럭 정리'!O38</f>
        <v/>
      </c>
      <c r="W37" s="24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4" t="n"/>
      <c r="AG37" s="24" t="n"/>
      <c r="AH37" s="24" t="n"/>
      <c r="AI37" s="24" t="n"/>
      <c r="AJ37" s="24" t="n"/>
      <c r="AK37" s="24" t="n"/>
      <c r="AL37" s="24" t="n"/>
      <c r="AM37" s="24" t="n"/>
      <c r="AN37" s="24" t="n"/>
      <c r="AO37" s="24" t="n"/>
      <c r="AP37" s="24" t="n"/>
      <c r="AQ37" s="24" t="n"/>
      <c r="AR37" s="24" t="n"/>
      <c r="AS37" s="24" t="n"/>
      <c r="AT37" s="24" t="n"/>
      <c r="AU37" s="24" t="n"/>
      <c r="AV37" s="24" t="n"/>
      <c r="AW37" s="24" t="n"/>
      <c r="AX37" s="24" t="n"/>
      <c r="AY37" s="24" t="n"/>
      <c r="AZ37" s="24" t="n"/>
      <c r="BA37" s="24" t="n"/>
      <c r="BB37" s="24" t="n"/>
      <c r="BC37" s="24" t="n"/>
      <c r="BD37" s="24" t="n"/>
      <c r="BE37" s="24" t="n"/>
      <c r="BF37" s="24" t="n"/>
      <c r="BG37" s="24" t="n"/>
      <c r="BH37" s="24" t="n"/>
      <c r="BI37" s="24" t="n"/>
      <c r="BJ37" s="24" t="n"/>
      <c r="BK37" s="24" t="n"/>
      <c r="BL37" s="24" t="n"/>
      <c r="BM37" s="24" t="n"/>
      <c r="BN37" s="24" t="n"/>
      <c r="BO37" s="24" t="n"/>
      <c r="BP37" s="24" t="n"/>
      <c r="BQ37" s="24" t="n"/>
      <c r="BR37" s="24" t="n"/>
      <c r="BS37" s="24" t="n"/>
      <c r="BT37" s="24" t="n"/>
      <c r="BU37" s="24" t="n"/>
      <c r="BV37" s="24" t="n"/>
      <c r="BW37" s="24" t="n"/>
      <c r="BX37" s="24" t="n"/>
      <c r="BY37" s="24" t="n"/>
      <c r="BZ37" s="24" t="n"/>
      <c r="CA37" s="24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</row>
    <row r="38">
      <c r="O38" s="25">
        <f>'클럭 정리'!A39</f>
        <v/>
      </c>
      <c r="P38" s="23">
        <f>'클럭 정리'!O39</f>
        <v/>
      </c>
      <c r="Q38" s="23">
        <f>'클럭 정리'!O39</f>
        <v/>
      </c>
      <c r="R38" s="23">
        <f>'클럭 정리'!O39</f>
        <v/>
      </c>
      <c r="S38" s="24" t="n"/>
      <c r="T38" s="23">
        <f>'클럭 정리'!O39</f>
        <v/>
      </c>
      <c r="U38" s="23">
        <f>'클럭 정리'!O39</f>
        <v/>
      </c>
      <c r="V38" s="23">
        <f>'클럭 정리'!O39</f>
        <v/>
      </c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  <c r="AS38" s="24" t="n"/>
      <c r="AT38" s="24" t="n"/>
      <c r="AU38" s="24" t="n"/>
      <c r="AV38" s="24" t="n"/>
      <c r="AW38" s="24" t="n"/>
      <c r="AX38" s="24" t="n"/>
      <c r="AY38" s="24" t="n"/>
      <c r="AZ38" s="24" t="n"/>
      <c r="BA38" s="24" t="n"/>
      <c r="BB38" s="24" t="n"/>
      <c r="BC38" s="24" t="n"/>
      <c r="BD38" s="24" t="n"/>
      <c r="BE38" s="24" t="n"/>
      <c r="BF38" s="24" t="n"/>
      <c r="BG38" s="24" t="n"/>
      <c r="BH38" s="24" t="n"/>
      <c r="BI38" s="24" t="n"/>
      <c r="BJ38" s="24" t="n"/>
      <c r="BK38" s="24" t="n"/>
      <c r="BL38" s="24" t="n"/>
      <c r="BM38" s="24" t="n"/>
      <c r="BN38" s="24" t="n"/>
      <c r="BO38" s="24" t="n"/>
      <c r="BP38" s="24" t="n"/>
      <c r="BQ38" s="24" t="n"/>
      <c r="BR38" s="24" t="n"/>
      <c r="BS38" s="24" t="n"/>
      <c r="BT38" s="24" t="n"/>
      <c r="BU38" s="24" t="n"/>
      <c r="BV38" s="24" t="n"/>
      <c r="BW38" s="24" t="n"/>
      <c r="BX38" s="24" t="n"/>
      <c r="BY38" s="24" t="n"/>
      <c r="BZ38" s="24" t="n"/>
      <c r="CA38" s="24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</row>
    <row r="39">
      <c r="A39" s="2" t="inlineStr">
        <is>
          <t>병렬도 12 분할 4 측정 3회차 (스레드별 클럭, GHz)</t>
        </is>
      </c>
      <c r="O39" s="25">
        <f>'클럭 정리'!A40</f>
        <v/>
      </c>
      <c r="P39" s="23">
        <f>'클럭 정리'!O40</f>
        <v/>
      </c>
      <c r="Q39" s="23">
        <f>'클럭 정리'!O40</f>
        <v/>
      </c>
      <c r="R39" s="23">
        <f>'클럭 정리'!O40</f>
        <v/>
      </c>
      <c r="S39" s="24" t="n"/>
      <c r="T39" s="23">
        <f>'클럭 정리'!O40</f>
        <v/>
      </c>
      <c r="U39" s="23">
        <f>'클럭 정리'!O40</f>
        <v/>
      </c>
      <c r="V39" s="23">
        <f>'클럭 정리'!O40</f>
        <v/>
      </c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4" t="n"/>
      <c r="AN39" s="24" t="n"/>
      <c r="AO39" s="24" t="n"/>
      <c r="AP39" s="24" t="n"/>
      <c r="AQ39" s="24" t="n"/>
      <c r="AR39" s="24" t="n"/>
      <c r="AS39" s="24" t="n"/>
      <c r="AT39" s="24" t="n"/>
      <c r="AU39" s="24" t="n"/>
      <c r="AV39" s="24" t="n"/>
      <c r="AW39" s="24" t="n"/>
      <c r="AX39" s="24" t="n"/>
      <c r="AY39" s="24" t="n"/>
      <c r="AZ39" s="24" t="n"/>
      <c r="BA39" s="24" t="n"/>
      <c r="BB39" s="24" t="n"/>
      <c r="BC39" s="24" t="n"/>
      <c r="BD39" s="24" t="n"/>
      <c r="BE39" s="24" t="n"/>
      <c r="BF39" s="24" t="n"/>
      <c r="BG39" s="24" t="n"/>
      <c r="BH39" s="24" t="n"/>
      <c r="BI39" s="24" t="n"/>
      <c r="BJ39" s="24" t="n"/>
      <c r="BK39" s="24" t="n"/>
      <c r="BL39" s="24" t="n"/>
      <c r="BM39" s="24" t="n"/>
      <c r="BN39" s="24" t="n"/>
      <c r="BO39" s="24" t="n"/>
      <c r="BP39" s="24" t="n"/>
      <c r="BQ39" s="24" t="n"/>
      <c r="BR39" s="24" t="n"/>
      <c r="BS39" s="24" t="n"/>
      <c r="BT39" s="24" t="n"/>
      <c r="BU39" s="24" t="n"/>
      <c r="BV39" s="24" t="n"/>
      <c r="BW39" s="24" t="n"/>
      <c r="BX39" s="24" t="n"/>
      <c r="BY39" s="24" t="n"/>
      <c r="BZ39" s="24" t="n"/>
      <c r="CA39" s="24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</row>
    <row r="40">
      <c r="A40" s="21" t="inlineStr">
        <is>
          <t>시각</t>
        </is>
      </c>
      <c r="B40" s="21" t="inlineStr">
        <is>
          <t>ForkJoinPool-13-worker-1</t>
        </is>
      </c>
      <c r="C40" s="21" t="inlineStr">
        <is>
          <t>ForkJoinPool-13-worker-10</t>
        </is>
      </c>
      <c r="D40" s="21" t="inlineStr">
        <is>
          <t>ForkJoinPool-13-worker-11</t>
        </is>
      </c>
      <c r="E40" s="21" t="inlineStr">
        <is>
          <t>ForkJoinPool-13-worker-12</t>
        </is>
      </c>
      <c r="F40" s="21" t="inlineStr">
        <is>
          <t>ForkJoinPool-13-worker-2</t>
        </is>
      </c>
      <c r="G40" s="21" t="inlineStr">
        <is>
          <t>ForkJoinPool-13-worker-3</t>
        </is>
      </c>
      <c r="H40" s="21" t="inlineStr">
        <is>
          <t>ForkJoinPool-13-worker-4</t>
        </is>
      </c>
      <c r="I40" s="21" t="inlineStr">
        <is>
          <t>ForkJoinPool-13-worker-7</t>
        </is>
      </c>
      <c r="J40" s="21" t="inlineStr">
        <is>
          <t>ForkJoinPool-13-worker-8</t>
        </is>
      </c>
      <c r="K40" s="21" t="inlineStr">
        <is>
          <t>main</t>
        </is>
      </c>
      <c r="O40" s="25">
        <f>'클럭 정리'!A41</f>
        <v/>
      </c>
      <c r="P40" s="23">
        <f>'클럭 정리'!O41</f>
        <v/>
      </c>
      <c r="Q40" s="24" t="n"/>
      <c r="R40" s="24" t="n"/>
      <c r="S40" s="24" t="n"/>
      <c r="T40" s="24" t="n"/>
      <c r="U40" s="24" t="n"/>
      <c r="V40" s="23">
        <f>'클럭 정리'!O41</f>
        <v/>
      </c>
      <c r="W40" s="23">
        <f>'클럭 정리'!O41</f>
        <v/>
      </c>
      <c r="X40" s="23">
        <f>'클럭 정리'!O41</f>
        <v/>
      </c>
      <c r="Y40" s="23">
        <f>'클럭 정리'!O41</f>
        <v/>
      </c>
      <c r="Z40" s="24" t="n"/>
      <c r="AA40" s="24" t="n"/>
      <c r="AB40" s="23">
        <f>'클럭 정리'!O41</f>
        <v/>
      </c>
      <c r="AC40" s="24" t="n"/>
      <c r="AD40" s="24" t="n"/>
      <c r="AE40" s="24" t="n"/>
      <c r="AF40" s="24" t="n"/>
      <c r="AG40" s="24" t="n"/>
      <c r="AH40" s="24" t="n"/>
      <c r="AI40" s="24" t="n"/>
      <c r="AJ40" s="24" t="n"/>
      <c r="AK40" s="24" t="n"/>
      <c r="AL40" s="24" t="n"/>
      <c r="AM40" s="24" t="n"/>
      <c r="AN40" s="24" t="n"/>
      <c r="AO40" s="24" t="n"/>
      <c r="AP40" s="24" t="n"/>
      <c r="AQ40" s="24" t="n"/>
      <c r="AR40" s="24" t="n"/>
      <c r="AS40" s="24" t="n"/>
      <c r="AT40" s="24" t="n"/>
      <c r="AU40" s="24" t="n"/>
      <c r="AV40" s="24" t="n"/>
      <c r="AW40" s="24" t="n"/>
      <c r="AX40" s="24" t="n"/>
      <c r="AY40" s="24" t="n"/>
      <c r="AZ40" s="24" t="n"/>
      <c r="BA40" s="24" t="n"/>
      <c r="BB40" s="24" t="n"/>
      <c r="BC40" s="24" t="n"/>
      <c r="BD40" s="24" t="n"/>
      <c r="BE40" s="24" t="n"/>
      <c r="BF40" s="24" t="n"/>
      <c r="BG40" s="24" t="n"/>
      <c r="BH40" s="24" t="n"/>
      <c r="BI40" s="24" t="n"/>
      <c r="BJ40" s="24" t="n"/>
      <c r="BK40" s="24" t="n"/>
      <c r="BL40" s="24" t="n"/>
      <c r="BM40" s="24" t="n"/>
      <c r="BN40" s="24" t="n"/>
      <c r="BO40" s="24" t="n"/>
      <c r="BP40" s="24" t="n"/>
      <c r="BQ40" s="24" t="n"/>
      <c r="BR40" s="24" t="n"/>
      <c r="BS40" s="24" t="n"/>
      <c r="BT40" s="24" t="n"/>
      <c r="BU40" s="24" t="n"/>
      <c r="BV40" s="24" t="n"/>
      <c r="BW40" s="24" t="n"/>
      <c r="BX40" s="24" t="n"/>
      <c r="BY40" s="24" t="n"/>
      <c r="BZ40" s="24" t="n"/>
      <c r="CA40" s="24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</row>
    <row r="41">
      <c r="A41" s="22">
        <f>'클럭 정리'!A59</f>
        <v/>
      </c>
      <c r="B41" s="23">
        <f>'클럭 정리'!O59</f>
        <v/>
      </c>
      <c r="C41" s="24" t="n"/>
      <c r="D41" s="23">
        <f>'클럭 정리'!O59</f>
        <v/>
      </c>
      <c r="E41" s="23">
        <f>'클럭 정리'!O59</f>
        <v/>
      </c>
      <c r="F41" s="24" t="n"/>
      <c r="G41" s="23">
        <f>'클럭 정리'!O59</f>
        <v/>
      </c>
      <c r="H41" s="24" t="n"/>
      <c r="I41" s="24" t="n"/>
      <c r="J41" s="23">
        <f>'클럭 정리'!O59</f>
        <v/>
      </c>
      <c r="K41" s="23">
        <f>'클럭 정리'!O59</f>
        <v/>
      </c>
      <c r="O41" s="25">
        <f>'클럭 정리'!A42</f>
        <v/>
      </c>
      <c r="P41" s="23">
        <f>'클럭 정리'!O42</f>
        <v/>
      </c>
      <c r="Q41" s="24" t="n"/>
      <c r="R41" s="24" t="n"/>
      <c r="S41" s="24" t="n"/>
      <c r="T41" s="24" t="n"/>
      <c r="U41" s="24" t="n"/>
      <c r="V41" s="23">
        <f>'클럭 정리'!O42</f>
        <v/>
      </c>
      <c r="W41" s="23">
        <f>'클럭 정리'!O42</f>
        <v/>
      </c>
      <c r="X41" s="23">
        <f>'클럭 정리'!O42</f>
        <v/>
      </c>
      <c r="Y41" s="23">
        <f>'클럭 정리'!O42</f>
        <v/>
      </c>
      <c r="Z41" s="24" t="n"/>
      <c r="AA41" s="24" t="n"/>
      <c r="AB41" s="23">
        <f>'클럭 정리'!O42</f>
        <v/>
      </c>
      <c r="AC41" s="24" t="n"/>
      <c r="AD41" s="24" t="n"/>
      <c r="AE41" s="24" t="n"/>
      <c r="AF41" s="24" t="n"/>
      <c r="AG41" s="24" t="n"/>
      <c r="AH41" s="24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  <c r="AR41" s="24" t="n"/>
      <c r="AS41" s="24" t="n"/>
      <c r="AT41" s="24" t="n"/>
      <c r="AU41" s="24" t="n"/>
      <c r="AV41" s="24" t="n"/>
      <c r="AW41" s="24" t="n"/>
      <c r="AX41" s="24" t="n"/>
      <c r="AY41" s="24" t="n"/>
      <c r="AZ41" s="24" t="n"/>
      <c r="BA41" s="24" t="n"/>
      <c r="BB41" s="24" t="n"/>
      <c r="BC41" s="24" t="n"/>
      <c r="BD41" s="24" t="n"/>
      <c r="BE41" s="24" t="n"/>
      <c r="BF41" s="24" t="n"/>
      <c r="BG41" s="24" t="n"/>
      <c r="BH41" s="24" t="n"/>
      <c r="BI41" s="24" t="n"/>
      <c r="BJ41" s="24" t="n"/>
      <c r="BK41" s="24" t="n"/>
      <c r="BL41" s="24" t="n"/>
      <c r="BM41" s="24" t="n"/>
      <c r="BN41" s="24" t="n"/>
      <c r="BO41" s="24" t="n"/>
      <c r="BP41" s="24" t="n"/>
      <c r="BQ41" s="24" t="n"/>
      <c r="BR41" s="24" t="n"/>
      <c r="BS41" s="24" t="n"/>
      <c r="BT41" s="24" t="n"/>
      <c r="BU41" s="24" t="n"/>
      <c r="BV41" s="24" t="n"/>
      <c r="BW41" s="24" t="n"/>
      <c r="BX41" s="24" t="n"/>
      <c r="BY41" s="24" t="n"/>
      <c r="BZ41" s="24" t="n"/>
      <c r="CA41" s="24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</row>
    <row r="42">
      <c r="A42" s="22">
        <f>'클럭 정리'!A60</f>
        <v/>
      </c>
      <c r="B42" s="23">
        <f>'클럭 정리'!O60</f>
        <v/>
      </c>
      <c r="C42" s="24" t="n"/>
      <c r="D42" s="23">
        <f>'클럭 정리'!O60</f>
        <v/>
      </c>
      <c r="E42" s="23">
        <f>'클럭 정리'!O60</f>
        <v/>
      </c>
      <c r="F42" s="24" t="n"/>
      <c r="G42" s="23">
        <f>'클럭 정리'!O60</f>
        <v/>
      </c>
      <c r="H42" s="24" t="n"/>
      <c r="I42" s="24" t="n"/>
      <c r="J42" s="23">
        <f>'클럭 정리'!O60</f>
        <v/>
      </c>
      <c r="K42" s="23">
        <f>'클럭 정리'!O60</f>
        <v/>
      </c>
      <c r="O42" s="25">
        <f>'클럭 정리'!A43</f>
        <v/>
      </c>
      <c r="P42" s="23">
        <f>'클럭 정리'!O43</f>
        <v/>
      </c>
      <c r="Q42" s="24" t="n"/>
      <c r="R42" s="24" t="n"/>
      <c r="S42" s="24" t="n"/>
      <c r="T42" s="24" t="n"/>
      <c r="U42" s="24" t="n"/>
      <c r="V42" s="23">
        <f>'클럭 정리'!O43</f>
        <v/>
      </c>
      <c r="W42" s="24" t="n"/>
      <c r="X42" s="24" t="n"/>
      <c r="Y42" s="24" t="n"/>
      <c r="Z42" s="24" t="n"/>
      <c r="AA42" s="24" t="n"/>
      <c r="AB42" s="24" t="n"/>
      <c r="AC42" s="23">
        <f>'클럭 정리'!O43</f>
        <v/>
      </c>
      <c r="AD42" s="23">
        <f>'클럭 정리'!O43</f>
        <v/>
      </c>
      <c r="AE42" s="24" t="n"/>
      <c r="AF42" s="23">
        <f>'클럭 정리'!O43</f>
        <v/>
      </c>
      <c r="AG42" s="23">
        <f>'클럭 정리'!O43</f>
        <v/>
      </c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  <c r="AR42" s="24" t="n"/>
      <c r="AS42" s="24" t="n"/>
      <c r="AT42" s="24" t="n"/>
      <c r="AU42" s="24" t="n"/>
      <c r="AV42" s="24" t="n"/>
      <c r="AW42" s="24" t="n"/>
      <c r="AX42" s="24" t="n"/>
      <c r="AY42" s="24" t="n"/>
      <c r="AZ42" s="24" t="n"/>
      <c r="BA42" s="24" t="n"/>
      <c r="BB42" s="24" t="n"/>
      <c r="BC42" s="24" t="n"/>
      <c r="BD42" s="24" t="n"/>
      <c r="BE42" s="24" t="n"/>
      <c r="BF42" s="24" t="n"/>
      <c r="BG42" s="24" t="n"/>
      <c r="BH42" s="24" t="n"/>
      <c r="BI42" s="24" t="n"/>
      <c r="BJ42" s="24" t="n"/>
      <c r="BK42" s="24" t="n"/>
      <c r="BL42" s="24" t="n"/>
      <c r="BM42" s="24" t="n"/>
      <c r="BN42" s="24" t="n"/>
      <c r="BO42" s="24" t="n"/>
      <c r="BP42" s="24" t="n"/>
      <c r="BQ42" s="24" t="n"/>
      <c r="BR42" s="24" t="n"/>
      <c r="BS42" s="24" t="n"/>
      <c r="BT42" s="24" t="n"/>
      <c r="BU42" s="24" t="n"/>
      <c r="BV42" s="24" t="n"/>
      <c r="BW42" s="24" t="n"/>
      <c r="BX42" s="24" t="n"/>
      <c r="BY42" s="24" t="n"/>
      <c r="BZ42" s="24" t="n"/>
      <c r="CA42" s="24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</row>
    <row r="43">
      <c r="O43" s="25">
        <f>'클럭 정리'!A44</f>
        <v/>
      </c>
      <c r="P43" s="23">
        <f>'클럭 정리'!O44</f>
        <v/>
      </c>
      <c r="Q43" s="24" t="n"/>
      <c r="R43" s="24" t="n"/>
      <c r="S43" s="24" t="n"/>
      <c r="T43" s="24" t="n"/>
      <c r="U43" s="24" t="n"/>
      <c r="V43" s="23">
        <f>'클럭 정리'!O44</f>
        <v/>
      </c>
      <c r="W43" s="24" t="n"/>
      <c r="X43" s="24" t="n"/>
      <c r="Y43" s="24" t="n"/>
      <c r="Z43" s="24" t="n"/>
      <c r="AA43" s="24" t="n"/>
      <c r="AB43" s="24" t="n"/>
      <c r="AC43" s="23">
        <f>'클럭 정리'!O44</f>
        <v/>
      </c>
      <c r="AD43" s="23">
        <f>'클럭 정리'!O44</f>
        <v/>
      </c>
      <c r="AE43" s="24" t="n"/>
      <c r="AF43" s="23">
        <f>'클럭 정리'!O44</f>
        <v/>
      </c>
      <c r="AG43" s="23">
        <f>'클럭 정리'!O44</f>
        <v/>
      </c>
      <c r="AH43" s="24" t="n"/>
      <c r="AI43" s="24" t="n"/>
      <c r="AJ43" s="24" t="n"/>
      <c r="AK43" s="24" t="n"/>
      <c r="AL43" s="24" t="n"/>
      <c r="AM43" s="24" t="n"/>
      <c r="AN43" s="24" t="n"/>
      <c r="AO43" s="24" t="n"/>
      <c r="AP43" s="24" t="n"/>
      <c r="AQ43" s="24" t="n"/>
      <c r="AR43" s="24" t="n"/>
      <c r="AS43" s="24" t="n"/>
      <c r="AT43" s="24" t="n"/>
      <c r="AU43" s="24" t="n"/>
      <c r="AV43" s="24" t="n"/>
      <c r="AW43" s="24" t="n"/>
      <c r="AX43" s="24" t="n"/>
      <c r="AY43" s="24" t="n"/>
      <c r="AZ43" s="24" t="n"/>
      <c r="BA43" s="24" t="n"/>
      <c r="BB43" s="24" t="n"/>
      <c r="BC43" s="24" t="n"/>
      <c r="BD43" s="24" t="n"/>
      <c r="BE43" s="24" t="n"/>
      <c r="BF43" s="24" t="n"/>
      <c r="BG43" s="24" t="n"/>
      <c r="BH43" s="24" t="n"/>
      <c r="BI43" s="24" t="n"/>
      <c r="BJ43" s="24" t="n"/>
      <c r="BK43" s="24" t="n"/>
      <c r="BL43" s="24" t="n"/>
      <c r="BM43" s="24" t="n"/>
      <c r="BN43" s="24" t="n"/>
      <c r="BO43" s="24" t="n"/>
      <c r="BP43" s="24" t="n"/>
      <c r="BQ43" s="24" t="n"/>
      <c r="BR43" s="24" t="n"/>
      <c r="BS43" s="24" t="n"/>
      <c r="BT43" s="24" t="n"/>
      <c r="BU43" s="24" t="n"/>
      <c r="BV43" s="24" t="n"/>
      <c r="BW43" s="24" t="n"/>
      <c r="BX43" s="24" t="n"/>
      <c r="BY43" s="24" t="n"/>
      <c r="BZ43" s="24" t="n"/>
      <c r="CA43" s="24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</row>
    <row r="44">
      <c r="A44" s="2" t="inlineStr">
        <is>
          <t>병렬도 12 분할 4 측정 4회차 (스레드별 클럭, GHz)</t>
        </is>
      </c>
      <c r="O44" s="25">
        <f>'클럭 정리'!A45</f>
        <v/>
      </c>
      <c r="P44" s="23">
        <f>'클럭 정리'!O45</f>
        <v/>
      </c>
      <c r="Q44" s="24" t="n"/>
      <c r="R44" s="24" t="n"/>
      <c r="S44" s="24" t="n"/>
      <c r="T44" s="24" t="n"/>
      <c r="U44" s="24" t="n"/>
      <c r="V44" s="23">
        <f>'클럭 정리'!O45</f>
        <v/>
      </c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4" t="n"/>
      <c r="AH44" s="24" t="n"/>
      <c r="AI44" s="23">
        <f>'클럭 정리'!O45</f>
        <v/>
      </c>
      <c r="AJ44" s="23">
        <f>'클럭 정리'!O45</f>
        <v/>
      </c>
      <c r="AK44" s="23">
        <f>'클럭 정리'!O45</f>
        <v/>
      </c>
      <c r="AL44" s="24" t="n"/>
      <c r="AM44" s="24" t="n"/>
      <c r="AN44" s="23">
        <f>'클럭 정리'!O45</f>
        <v/>
      </c>
      <c r="AO44" s="24" t="n"/>
      <c r="AP44" s="24" t="n"/>
      <c r="AQ44" s="24" t="n"/>
      <c r="AR44" s="24" t="n"/>
      <c r="AS44" s="24" t="n"/>
      <c r="AT44" s="24" t="n"/>
      <c r="AU44" s="24" t="n"/>
      <c r="AV44" s="24" t="n"/>
      <c r="AW44" s="24" t="n"/>
      <c r="AX44" s="24" t="n"/>
      <c r="AY44" s="24" t="n"/>
      <c r="AZ44" s="24" t="n"/>
      <c r="BA44" s="24" t="n"/>
      <c r="BB44" s="24" t="n"/>
      <c r="BC44" s="24" t="n"/>
      <c r="BD44" s="24" t="n"/>
      <c r="BE44" s="24" t="n"/>
      <c r="BF44" s="24" t="n"/>
      <c r="BG44" s="24" t="n"/>
      <c r="BH44" s="24" t="n"/>
      <c r="BI44" s="24" t="n"/>
      <c r="BJ44" s="24" t="n"/>
      <c r="BK44" s="24" t="n"/>
      <c r="BL44" s="24" t="n"/>
      <c r="BM44" s="24" t="n"/>
      <c r="BN44" s="24" t="n"/>
      <c r="BO44" s="24" t="n"/>
      <c r="BP44" s="24" t="n"/>
      <c r="BQ44" s="24" t="n"/>
      <c r="BR44" s="24" t="n"/>
      <c r="BS44" s="24" t="n"/>
      <c r="BT44" s="24" t="n"/>
      <c r="BU44" s="24" t="n"/>
      <c r="BV44" s="24" t="n"/>
      <c r="BW44" s="24" t="n"/>
      <c r="BX44" s="24" t="n"/>
      <c r="BY44" s="24" t="n"/>
      <c r="BZ44" s="24" t="n"/>
      <c r="CA44" s="24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</row>
    <row r="45">
      <c r="A45" s="21" t="inlineStr">
        <is>
          <t>시각</t>
        </is>
      </c>
      <c r="B45" s="21" t="inlineStr">
        <is>
          <t>ForkJoinPool-14-worker-1</t>
        </is>
      </c>
      <c r="C45" s="21" t="inlineStr">
        <is>
          <t>ForkJoinPool-14-worker-10</t>
        </is>
      </c>
      <c r="D45" s="21" t="inlineStr">
        <is>
          <t>ForkJoinPool-14-worker-11</t>
        </is>
      </c>
      <c r="E45" s="21" t="inlineStr">
        <is>
          <t>ForkJoinPool-14-worker-12</t>
        </is>
      </c>
      <c r="F45" s="21" t="inlineStr">
        <is>
          <t>ForkJoinPool-14-worker-2</t>
        </is>
      </c>
      <c r="G45" s="21" t="inlineStr">
        <is>
          <t>ForkJoinPool-14-worker-3</t>
        </is>
      </c>
      <c r="H45" s="21" t="inlineStr">
        <is>
          <t>ForkJoinPool-14-worker-4</t>
        </is>
      </c>
      <c r="I45" s="21" t="inlineStr">
        <is>
          <t>ForkJoinPool-14-worker-5</t>
        </is>
      </c>
      <c r="J45" s="21" t="inlineStr">
        <is>
          <t>ForkJoinPool-14-worker-7</t>
        </is>
      </c>
      <c r="K45" s="21" t="inlineStr">
        <is>
          <t>main</t>
        </is>
      </c>
      <c r="O45" s="25">
        <f>'클럭 정리'!A46</f>
        <v/>
      </c>
      <c r="P45" s="23">
        <f>'클럭 정리'!O46</f>
        <v/>
      </c>
      <c r="Q45" s="24" t="n"/>
      <c r="R45" s="24" t="n"/>
      <c r="S45" s="24" t="n"/>
      <c r="T45" s="24" t="n"/>
      <c r="U45" s="24" t="n"/>
      <c r="V45" s="23">
        <f>'클럭 정리'!O46</f>
        <v/>
      </c>
      <c r="W45" s="24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4" t="n"/>
      <c r="AG45" s="24" t="n"/>
      <c r="AH45" s="24" t="n"/>
      <c r="AI45" s="23">
        <f>'클럭 정리'!O46</f>
        <v/>
      </c>
      <c r="AJ45" s="23">
        <f>'클럭 정리'!O46</f>
        <v/>
      </c>
      <c r="AK45" s="23">
        <f>'클럭 정리'!O46</f>
        <v/>
      </c>
      <c r="AL45" s="24" t="n"/>
      <c r="AM45" s="24" t="n"/>
      <c r="AN45" s="23">
        <f>'클럭 정리'!O46</f>
        <v/>
      </c>
      <c r="AO45" s="24" t="n"/>
      <c r="AP45" s="24" t="n"/>
      <c r="AQ45" s="24" t="n"/>
      <c r="AR45" s="24" t="n"/>
      <c r="AS45" s="24" t="n"/>
      <c r="AT45" s="24" t="n"/>
      <c r="AU45" s="24" t="n"/>
      <c r="AV45" s="24" t="n"/>
      <c r="AW45" s="24" t="n"/>
      <c r="AX45" s="24" t="n"/>
      <c r="AY45" s="24" t="n"/>
      <c r="AZ45" s="24" t="n"/>
      <c r="BA45" s="24" t="n"/>
      <c r="BB45" s="24" t="n"/>
      <c r="BC45" s="24" t="n"/>
      <c r="BD45" s="24" t="n"/>
      <c r="BE45" s="24" t="n"/>
      <c r="BF45" s="24" t="n"/>
      <c r="BG45" s="24" t="n"/>
      <c r="BH45" s="24" t="n"/>
      <c r="BI45" s="24" t="n"/>
      <c r="BJ45" s="24" t="n"/>
      <c r="BK45" s="24" t="n"/>
      <c r="BL45" s="24" t="n"/>
      <c r="BM45" s="24" t="n"/>
      <c r="BN45" s="24" t="n"/>
      <c r="BO45" s="24" t="n"/>
      <c r="BP45" s="24" t="n"/>
      <c r="BQ45" s="24" t="n"/>
      <c r="BR45" s="24" t="n"/>
      <c r="BS45" s="24" t="n"/>
      <c r="BT45" s="24" t="n"/>
      <c r="BU45" s="24" t="n"/>
      <c r="BV45" s="24" t="n"/>
      <c r="BW45" s="24" t="n"/>
      <c r="BX45" s="24" t="n"/>
      <c r="BY45" s="24" t="n"/>
      <c r="BZ45" s="24" t="n"/>
      <c r="CA45" s="24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</row>
    <row r="46">
      <c r="A46" s="22">
        <f>'클럭 정리'!A61</f>
        <v/>
      </c>
      <c r="B46" s="23">
        <f>'클럭 정리'!O61</f>
        <v/>
      </c>
      <c r="C46" s="24" t="n"/>
      <c r="D46" s="23">
        <f>'클럭 정리'!O61</f>
        <v/>
      </c>
      <c r="E46" s="23">
        <f>'클럭 정리'!O61</f>
        <v/>
      </c>
      <c r="F46" s="24" t="n"/>
      <c r="G46" s="24" t="n"/>
      <c r="H46" s="24" t="n"/>
      <c r="I46" s="24" t="n"/>
      <c r="J46" s="23">
        <f>'클럭 정리'!O61</f>
        <v/>
      </c>
      <c r="K46" s="23">
        <f>'클럭 정리'!O61</f>
        <v/>
      </c>
      <c r="O46" s="25">
        <f>'클럭 정리'!A47</f>
        <v/>
      </c>
      <c r="P46" s="23">
        <f>'클럭 정리'!O47</f>
        <v/>
      </c>
      <c r="Q46" s="24" t="n"/>
      <c r="R46" s="24" t="n"/>
      <c r="S46" s="24" t="n"/>
      <c r="T46" s="24" t="n"/>
      <c r="U46" s="24" t="n"/>
      <c r="V46" s="23">
        <f>'클럭 정리'!O47</f>
        <v/>
      </c>
      <c r="W46" s="24" t="n"/>
      <c r="X46" s="24" t="n"/>
      <c r="Y46" s="24" t="n"/>
      <c r="Z46" s="24" t="n"/>
      <c r="AA46" s="24" t="n"/>
      <c r="AB46" s="24" t="n"/>
      <c r="AC46" s="24" t="n"/>
      <c r="AD46" s="24" t="n"/>
      <c r="AE46" s="24" t="n"/>
      <c r="AF46" s="24" t="n"/>
      <c r="AG46" s="24" t="n"/>
      <c r="AH46" s="24" t="n"/>
      <c r="AI46" s="24" t="n"/>
      <c r="AJ46" s="24" t="n"/>
      <c r="AK46" s="24" t="n"/>
      <c r="AL46" s="24" t="n"/>
      <c r="AM46" s="24" t="n"/>
      <c r="AN46" s="24" t="n"/>
      <c r="AO46" s="23">
        <f>'클럭 정리'!O47</f>
        <v/>
      </c>
      <c r="AP46" s="23">
        <f>'클럭 정리'!O47</f>
        <v/>
      </c>
      <c r="AQ46" s="23">
        <f>'클럭 정리'!O47</f>
        <v/>
      </c>
      <c r="AR46" s="23">
        <f>'클럭 정리'!O47</f>
        <v/>
      </c>
      <c r="AS46" s="23">
        <f>'클럭 정리'!O47</f>
        <v/>
      </c>
      <c r="AT46" s="24" t="n"/>
      <c r="AU46" s="24" t="n"/>
      <c r="AV46" s="24" t="n"/>
      <c r="AW46" s="24" t="n"/>
      <c r="AX46" s="24" t="n"/>
      <c r="AY46" s="24" t="n"/>
      <c r="AZ46" s="24" t="n"/>
      <c r="BA46" s="24" t="n"/>
      <c r="BB46" s="24" t="n"/>
      <c r="BC46" s="24" t="n"/>
      <c r="BD46" s="24" t="n"/>
      <c r="BE46" s="24" t="n"/>
      <c r="BF46" s="24" t="n"/>
      <c r="BG46" s="24" t="n"/>
      <c r="BH46" s="24" t="n"/>
      <c r="BI46" s="24" t="n"/>
      <c r="BJ46" s="24" t="n"/>
      <c r="BK46" s="24" t="n"/>
      <c r="BL46" s="24" t="n"/>
      <c r="BM46" s="24" t="n"/>
      <c r="BN46" s="24" t="n"/>
      <c r="BO46" s="24" t="n"/>
      <c r="BP46" s="24" t="n"/>
      <c r="BQ46" s="24" t="n"/>
      <c r="BR46" s="24" t="n"/>
      <c r="BS46" s="24" t="n"/>
      <c r="BT46" s="24" t="n"/>
      <c r="BU46" s="24" t="n"/>
      <c r="BV46" s="24" t="n"/>
      <c r="BW46" s="24" t="n"/>
      <c r="BX46" s="24" t="n"/>
      <c r="BY46" s="24" t="n"/>
      <c r="BZ46" s="24" t="n"/>
      <c r="CA46" s="24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</row>
    <row r="47">
      <c r="A47" s="22">
        <f>'클럭 정리'!A62</f>
        <v/>
      </c>
      <c r="B47" s="23">
        <f>'클럭 정리'!O62</f>
        <v/>
      </c>
      <c r="C47" s="24" t="n"/>
      <c r="D47" s="23">
        <f>'클럭 정리'!O62</f>
        <v/>
      </c>
      <c r="E47" s="23">
        <f>'클럭 정리'!O62</f>
        <v/>
      </c>
      <c r="F47" s="24" t="n"/>
      <c r="G47" s="24" t="n"/>
      <c r="H47" s="24" t="n"/>
      <c r="I47" s="24" t="n"/>
      <c r="J47" s="23">
        <f>'클럭 정리'!O62</f>
        <v/>
      </c>
      <c r="K47" s="23">
        <f>'클럭 정리'!O62</f>
        <v/>
      </c>
      <c r="O47" s="25">
        <f>'클럭 정리'!A48</f>
        <v/>
      </c>
      <c r="P47" s="23">
        <f>'클럭 정리'!O48</f>
        <v/>
      </c>
      <c r="Q47" s="24" t="n"/>
      <c r="R47" s="24" t="n"/>
      <c r="S47" s="24" t="n"/>
      <c r="T47" s="24" t="n"/>
      <c r="U47" s="24" t="n"/>
      <c r="V47" s="23">
        <f>'클럭 정리'!O48</f>
        <v/>
      </c>
      <c r="W47" s="24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4" t="n"/>
      <c r="AG47" s="24" t="n"/>
      <c r="AH47" s="24" t="n"/>
      <c r="AI47" s="24" t="n"/>
      <c r="AJ47" s="24" t="n"/>
      <c r="AK47" s="24" t="n"/>
      <c r="AL47" s="24" t="n"/>
      <c r="AM47" s="24" t="n"/>
      <c r="AN47" s="24" t="n"/>
      <c r="AO47" s="23">
        <f>'클럭 정리'!O48</f>
        <v/>
      </c>
      <c r="AP47" s="23">
        <f>'클럭 정리'!O48</f>
        <v/>
      </c>
      <c r="AQ47" s="23">
        <f>'클럭 정리'!O48</f>
        <v/>
      </c>
      <c r="AR47" s="23">
        <f>'클럭 정리'!O48</f>
        <v/>
      </c>
      <c r="AS47" s="24" t="n"/>
      <c r="AT47" s="24" t="n"/>
      <c r="AU47" s="24" t="n"/>
      <c r="AV47" s="24" t="n"/>
      <c r="AW47" s="24" t="n"/>
      <c r="AX47" s="24" t="n"/>
      <c r="AY47" s="24" t="n"/>
      <c r="AZ47" s="24" t="n"/>
      <c r="BA47" s="24" t="n"/>
      <c r="BB47" s="24" t="n"/>
      <c r="BC47" s="24" t="n"/>
      <c r="BD47" s="24" t="n"/>
      <c r="BE47" s="24" t="n"/>
      <c r="BF47" s="24" t="n"/>
      <c r="BG47" s="24" t="n"/>
      <c r="BH47" s="24" t="n"/>
      <c r="BI47" s="24" t="n"/>
      <c r="BJ47" s="24" t="n"/>
      <c r="BK47" s="24" t="n"/>
      <c r="BL47" s="24" t="n"/>
      <c r="BM47" s="24" t="n"/>
      <c r="BN47" s="24" t="n"/>
      <c r="BO47" s="24" t="n"/>
      <c r="BP47" s="24" t="n"/>
      <c r="BQ47" s="24" t="n"/>
      <c r="BR47" s="24" t="n"/>
      <c r="BS47" s="24" t="n"/>
      <c r="BT47" s="24" t="n"/>
      <c r="BU47" s="24" t="n"/>
      <c r="BV47" s="24" t="n"/>
      <c r="BW47" s="24" t="n"/>
      <c r="BX47" s="24" t="n"/>
      <c r="BY47" s="24" t="n"/>
      <c r="BZ47" s="24" t="n"/>
      <c r="CA47" s="24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</row>
    <row r="48">
      <c r="O48" s="25">
        <f>'클럭 정리'!A49</f>
        <v/>
      </c>
      <c r="P48" s="23">
        <f>'클럭 정리'!O49</f>
        <v/>
      </c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  <c r="AE48" s="24" t="n"/>
      <c r="AF48" s="24" t="n"/>
      <c r="AG48" s="24" t="n"/>
      <c r="AH48" s="24" t="n"/>
      <c r="AI48" s="24" t="n"/>
      <c r="AJ48" s="24" t="n"/>
      <c r="AK48" s="24" t="n"/>
      <c r="AL48" s="24" t="n"/>
      <c r="AM48" s="24" t="n"/>
      <c r="AN48" s="24" t="n"/>
      <c r="AO48" s="24" t="n"/>
      <c r="AP48" s="24" t="n"/>
      <c r="AQ48" s="24" t="n"/>
      <c r="AR48" s="24" t="n"/>
      <c r="AS48" s="24" t="n"/>
      <c r="AT48" s="24" t="n"/>
      <c r="AU48" s="24" t="n"/>
      <c r="AV48" s="24" t="n"/>
      <c r="AW48" s="24" t="n"/>
      <c r="AX48" s="24" t="n"/>
      <c r="AY48" s="24" t="n"/>
      <c r="AZ48" s="24" t="n"/>
      <c r="BA48" s="24" t="n"/>
      <c r="BB48" s="24" t="n"/>
      <c r="BC48" s="24" t="n"/>
      <c r="BD48" s="24" t="n"/>
      <c r="BE48" s="24" t="n"/>
      <c r="BF48" s="24" t="n"/>
      <c r="BG48" s="24" t="n"/>
      <c r="BH48" s="24" t="n"/>
      <c r="BI48" s="24" t="n"/>
      <c r="BJ48" s="24" t="n"/>
      <c r="BK48" s="24" t="n"/>
      <c r="BL48" s="24" t="n"/>
      <c r="BM48" s="24" t="n"/>
      <c r="BN48" s="24" t="n"/>
      <c r="BO48" s="24" t="n"/>
      <c r="BP48" s="24" t="n"/>
      <c r="BQ48" s="24" t="n"/>
      <c r="BR48" s="24" t="n"/>
      <c r="BS48" s="24" t="n"/>
      <c r="BT48" s="24" t="n"/>
      <c r="BU48" s="24" t="n"/>
      <c r="BV48" s="24" t="n"/>
      <c r="BW48" s="24" t="n"/>
      <c r="BX48" s="24" t="n"/>
      <c r="BY48" s="24" t="n"/>
      <c r="BZ48" s="24" t="n"/>
      <c r="CA48" s="24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</row>
    <row r="49">
      <c r="A49" s="2" t="inlineStr">
        <is>
          <t>병렬도 12 분할 4 측정 5회차 (스레드별 클럭, GHz)</t>
        </is>
      </c>
      <c r="O49" s="25">
        <f>'클럭 정리'!A50</f>
        <v/>
      </c>
      <c r="P49" s="23">
        <f>'클럭 정리'!O50</f>
        <v/>
      </c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4" t="n"/>
      <c r="AG49" s="24" t="n"/>
      <c r="AH49" s="24" t="n"/>
      <c r="AI49" s="24" t="n"/>
      <c r="AJ49" s="24" t="n"/>
      <c r="AK49" s="24" t="n"/>
      <c r="AL49" s="24" t="n"/>
      <c r="AM49" s="24" t="n"/>
      <c r="AN49" s="24" t="n"/>
      <c r="AO49" s="24" t="n"/>
      <c r="AP49" s="24" t="n"/>
      <c r="AQ49" s="24" t="n"/>
      <c r="AR49" s="24" t="n"/>
      <c r="AS49" s="24" t="n"/>
      <c r="AT49" s="24" t="n"/>
      <c r="AU49" s="24" t="n"/>
      <c r="AV49" s="24" t="n"/>
      <c r="AW49" s="24" t="n"/>
      <c r="AX49" s="24" t="n"/>
      <c r="AY49" s="24" t="n"/>
      <c r="AZ49" s="24" t="n"/>
      <c r="BA49" s="24" t="n"/>
      <c r="BB49" s="24" t="n"/>
      <c r="BC49" s="24" t="n"/>
      <c r="BD49" s="24" t="n"/>
      <c r="BE49" s="24" t="n"/>
      <c r="BF49" s="24" t="n"/>
      <c r="BG49" s="24" t="n"/>
      <c r="BH49" s="24" t="n"/>
      <c r="BI49" s="24" t="n"/>
      <c r="BJ49" s="24" t="n"/>
      <c r="BK49" s="24" t="n"/>
      <c r="BL49" s="24" t="n"/>
      <c r="BM49" s="24" t="n"/>
      <c r="BN49" s="24" t="n"/>
      <c r="BO49" s="24" t="n"/>
      <c r="BP49" s="24" t="n"/>
      <c r="BQ49" s="24" t="n"/>
      <c r="BR49" s="24" t="n"/>
      <c r="BS49" s="24" t="n"/>
      <c r="BT49" s="24" t="n"/>
      <c r="BU49" s="24" t="n"/>
      <c r="BV49" s="24" t="n"/>
      <c r="BW49" s="24" t="n"/>
      <c r="BX49" s="24" t="n"/>
      <c r="BY49" s="24" t="n"/>
      <c r="BZ49" s="24" t="n"/>
      <c r="CA49" s="24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</row>
    <row r="50">
      <c r="A50" s="21" t="inlineStr">
        <is>
          <t>시각</t>
        </is>
      </c>
      <c r="B50" s="21" t="inlineStr">
        <is>
          <t>ForkJoinPool-15-worker-1</t>
        </is>
      </c>
      <c r="C50" s="21" t="inlineStr">
        <is>
          <t>ForkJoinPool-15-worker-11</t>
        </is>
      </c>
      <c r="D50" s="21" t="inlineStr">
        <is>
          <t>ForkJoinPool-15-worker-12</t>
        </is>
      </c>
      <c r="E50" s="21" t="inlineStr">
        <is>
          <t>ForkJoinPool-15-worker-2</t>
        </is>
      </c>
      <c r="F50" s="21" t="inlineStr">
        <is>
          <t>ForkJoinPool-15-worker-3</t>
        </is>
      </c>
      <c r="G50" s="21" t="inlineStr">
        <is>
          <t>ForkJoinPool-15-worker-4</t>
        </is>
      </c>
      <c r="H50" s="21" t="inlineStr">
        <is>
          <t>ForkJoinPool-15-worker-5</t>
        </is>
      </c>
      <c r="I50" s="21" t="inlineStr">
        <is>
          <t>ForkJoinPool-15-worker-7</t>
        </is>
      </c>
      <c r="J50" s="21" t="inlineStr">
        <is>
          <t>ForkJoinPool-15-worker-8</t>
        </is>
      </c>
      <c r="K50" s="21" t="inlineStr">
        <is>
          <t>ForkJoinPool-15-worker-9</t>
        </is>
      </c>
      <c r="L50" s="21" t="inlineStr">
        <is>
          <t>main</t>
        </is>
      </c>
      <c r="O50" s="25">
        <f>'클럭 정리'!A51</f>
        <v/>
      </c>
      <c r="P50" s="23">
        <f>'클럭 정리'!O51</f>
        <v/>
      </c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  <c r="AC50" s="24" t="n"/>
      <c r="AD50" s="24" t="n"/>
      <c r="AE50" s="24" t="n"/>
      <c r="AF50" s="24" t="n"/>
      <c r="AG50" s="24" t="n"/>
      <c r="AH50" s="24" t="n"/>
      <c r="AI50" s="24" t="n"/>
      <c r="AJ50" s="24" t="n"/>
      <c r="AK50" s="24" t="n"/>
      <c r="AL50" s="24" t="n"/>
      <c r="AM50" s="24" t="n"/>
      <c r="AN50" s="24" t="n"/>
      <c r="AO50" s="24" t="n"/>
      <c r="AP50" s="24" t="n"/>
      <c r="AQ50" s="24" t="n"/>
      <c r="AR50" s="24" t="n"/>
      <c r="AS50" s="24" t="n"/>
      <c r="AT50" s="24" t="n"/>
      <c r="AU50" s="24" t="n"/>
      <c r="AV50" s="24" t="n"/>
      <c r="AW50" s="24" t="n"/>
      <c r="AX50" s="24" t="n"/>
      <c r="AY50" s="24" t="n"/>
      <c r="AZ50" s="24" t="n"/>
      <c r="BA50" s="24" t="n"/>
      <c r="BB50" s="24" t="n"/>
      <c r="BC50" s="24" t="n"/>
      <c r="BD50" s="24" t="n"/>
      <c r="BE50" s="24" t="n"/>
      <c r="BF50" s="24" t="n"/>
      <c r="BG50" s="24" t="n"/>
      <c r="BH50" s="24" t="n"/>
      <c r="BI50" s="24" t="n"/>
      <c r="BJ50" s="24" t="n"/>
      <c r="BK50" s="24" t="n"/>
      <c r="BL50" s="24" t="n"/>
      <c r="BM50" s="24" t="n"/>
      <c r="BN50" s="24" t="n"/>
      <c r="BO50" s="24" t="n"/>
      <c r="BP50" s="24" t="n"/>
      <c r="BQ50" s="24" t="n"/>
      <c r="BR50" s="24" t="n"/>
      <c r="BS50" s="24" t="n"/>
      <c r="BT50" s="24" t="n"/>
      <c r="BU50" s="24" t="n"/>
      <c r="BV50" s="24" t="n"/>
      <c r="BW50" s="24" t="n"/>
      <c r="BX50" s="24" t="n"/>
      <c r="BY50" s="24" t="n"/>
      <c r="BZ50" s="24" t="n"/>
      <c r="CA50" s="24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</row>
    <row r="51">
      <c r="A51" s="22">
        <f>'클럭 정리'!A63</f>
        <v/>
      </c>
      <c r="B51" s="23">
        <f>'클럭 정리'!O63</f>
        <v/>
      </c>
      <c r="C51" s="23">
        <f>'클럭 정리'!O63</f>
        <v/>
      </c>
      <c r="D51" s="23">
        <f>'클럭 정리'!O63</f>
        <v/>
      </c>
      <c r="E51" s="24" t="n"/>
      <c r="F51" s="24" t="n"/>
      <c r="G51" s="24" t="n"/>
      <c r="H51" s="24" t="n"/>
      <c r="I51" s="24" t="n"/>
      <c r="J51" s="24" t="n"/>
      <c r="K51" s="23">
        <f>'클럭 정리'!O63</f>
        <v/>
      </c>
      <c r="L51" s="23">
        <f>'클럭 정리'!O63</f>
        <v/>
      </c>
      <c r="O51" s="25">
        <f>'클럭 정리'!A52</f>
        <v/>
      </c>
      <c r="P51" s="23">
        <f>'클럭 정리'!O52</f>
        <v/>
      </c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4" t="n"/>
      <c r="AF51" s="24" t="n"/>
      <c r="AG51" s="24" t="n"/>
      <c r="AH51" s="24" t="n"/>
      <c r="AI51" s="24" t="n"/>
      <c r="AJ51" s="24" t="n"/>
      <c r="AK51" s="24" t="n"/>
      <c r="AL51" s="24" t="n"/>
      <c r="AM51" s="24" t="n"/>
      <c r="AN51" s="24" t="n"/>
      <c r="AO51" s="24" t="n"/>
      <c r="AP51" s="24" t="n"/>
      <c r="AQ51" s="24" t="n"/>
      <c r="AR51" s="24" t="n"/>
      <c r="AS51" s="24" t="n"/>
      <c r="AT51" s="24" t="n"/>
      <c r="AU51" s="24" t="n"/>
      <c r="AV51" s="24" t="n"/>
      <c r="AW51" s="24" t="n"/>
      <c r="AX51" s="24" t="n"/>
      <c r="AY51" s="24" t="n"/>
      <c r="AZ51" s="24" t="n"/>
      <c r="BA51" s="24" t="n"/>
      <c r="BB51" s="24" t="n"/>
      <c r="BC51" s="24" t="n"/>
      <c r="BD51" s="24" t="n"/>
      <c r="BE51" s="24" t="n"/>
      <c r="BF51" s="24" t="n"/>
      <c r="BG51" s="24" t="n"/>
      <c r="BH51" s="24" t="n"/>
      <c r="BI51" s="24" t="n"/>
      <c r="BJ51" s="24" t="n"/>
      <c r="BK51" s="24" t="n"/>
      <c r="BL51" s="24" t="n"/>
      <c r="BM51" s="24" t="n"/>
      <c r="BN51" s="24" t="n"/>
      <c r="BO51" s="24" t="n"/>
      <c r="BP51" s="24" t="n"/>
      <c r="BQ51" s="24" t="n"/>
      <c r="BR51" s="24" t="n"/>
      <c r="BS51" s="24" t="n"/>
      <c r="BT51" s="24" t="n"/>
      <c r="BU51" s="24" t="n"/>
      <c r="BV51" s="24" t="n"/>
      <c r="BW51" s="24" t="n"/>
      <c r="BX51" s="24" t="n"/>
      <c r="BY51" s="24" t="n"/>
      <c r="BZ51" s="24" t="n"/>
      <c r="CA51" s="24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</row>
    <row r="52">
      <c r="A52" s="22">
        <f>'클럭 정리'!A64</f>
        <v/>
      </c>
      <c r="B52" s="23">
        <f>'클럭 정리'!O64</f>
        <v/>
      </c>
      <c r="C52" s="23">
        <f>'클럭 정리'!O64</f>
        <v/>
      </c>
      <c r="D52" s="23">
        <f>'클럭 정리'!O64</f>
        <v/>
      </c>
      <c r="E52" s="24" t="n"/>
      <c r="F52" s="24" t="n"/>
      <c r="G52" s="24" t="n"/>
      <c r="H52" s="24" t="n"/>
      <c r="I52" s="24" t="n"/>
      <c r="J52" s="24" t="n"/>
      <c r="K52" s="23">
        <f>'클럭 정리'!O64</f>
        <v/>
      </c>
      <c r="L52" s="23">
        <f>'클럭 정리'!O64</f>
        <v/>
      </c>
      <c r="O52" s="25">
        <f>'클럭 정리'!A53</f>
        <v/>
      </c>
      <c r="P52" s="23">
        <f>'클럭 정리'!O53</f>
        <v/>
      </c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  <c r="AS52" s="24" t="n"/>
      <c r="AT52" s="24" t="n"/>
      <c r="AU52" s="24" t="n"/>
      <c r="AV52" s="24" t="n"/>
      <c r="AW52" s="24" t="n"/>
      <c r="AX52" s="24" t="n"/>
      <c r="AY52" s="24" t="n"/>
      <c r="AZ52" s="24" t="n"/>
      <c r="BA52" s="24" t="n"/>
      <c r="BB52" s="24" t="n"/>
      <c r="BC52" s="24" t="n"/>
      <c r="BD52" s="24" t="n"/>
      <c r="BE52" s="24" t="n"/>
      <c r="BF52" s="24" t="n"/>
      <c r="BG52" s="24" t="n"/>
      <c r="BH52" s="24" t="n"/>
      <c r="BI52" s="24" t="n"/>
      <c r="BJ52" s="24" t="n"/>
      <c r="BK52" s="24" t="n"/>
      <c r="BL52" s="24" t="n"/>
      <c r="BM52" s="24" t="n"/>
      <c r="BN52" s="24" t="n"/>
      <c r="BO52" s="24" t="n"/>
      <c r="BP52" s="24" t="n"/>
      <c r="BQ52" s="24" t="n"/>
      <c r="BR52" s="24" t="n"/>
      <c r="BS52" s="24" t="n"/>
      <c r="BT52" s="24" t="n"/>
      <c r="BU52" s="24" t="n"/>
      <c r="BV52" s="24" t="n"/>
      <c r="BW52" s="24" t="n"/>
      <c r="BX52" s="24" t="n"/>
      <c r="BY52" s="24" t="n"/>
      <c r="BZ52" s="24" t="n"/>
      <c r="CA52" s="24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</row>
    <row r="53">
      <c r="O53" s="25">
        <f>'클럭 정리'!A54</f>
        <v/>
      </c>
      <c r="P53" s="23">
        <f>'클럭 정리'!O54</f>
        <v/>
      </c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4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  <c r="AR53" s="24" t="n"/>
      <c r="AS53" s="24" t="n"/>
      <c r="AT53" s="24" t="n"/>
      <c r="AU53" s="24" t="n"/>
      <c r="AV53" s="24" t="n"/>
      <c r="AW53" s="24" t="n"/>
      <c r="AX53" s="24" t="n"/>
      <c r="AY53" s="24" t="n"/>
      <c r="AZ53" s="24" t="n"/>
      <c r="BA53" s="24" t="n"/>
      <c r="BB53" s="24" t="n"/>
      <c r="BC53" s="24" t="n"/>
      <c r="BD53" s="24" t="n"/>
      <c r="BE53" s="24" t="n"/>
      <c r="BF53" s="24" t="n"/>
      <c r="BG53" s="24" t="n"/>
      <c r="BH53" s="24" t="n"/>
      <c r="BI53" s="24" t="n"/>
      <c r="BJ53" s="24" t="n"/>
      <c r="BK53" s="24" t="n"/>
      <c r="BL53" s="24" t="n"/>
      <c r="BM53" s="24" t="n"/>
      <c r="BN53" s="24" t="n"/>
      <c r="BO53" s="24" t="n"/>
      <c r="BP53" s="24" t="n"/>
      <c r="BQ53" s="24" t="n"/>
      <c r="BR53" s="24" t="n"/>
      <c r="BS53" s="24" t="n"/>
      <c r="BT53" s="24" t="n"/>
      <c r="BU53" s="24" t="n"/>
      <c r="BV53" s="24" t="n"/>
      <c r="BW53" s="24" t="n"/>
      <c r="BX53" s="24" t="n"/>
      <c r="BY53" s="24" t="n"/>
      <c r="BZ53" s="24" t="n"/>
      <c r="CA53" s="24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</row>
    <row r="54">
      <c r="O54" s="25">
        <f>'클럭 정리'!A55</f>
        <v/>
      </c>
      <c r="P54" s="23">
        <f>'클럭 정리'!O55</f>
        <v/>
      </c>
      <c r="Q54" s="24" t="n"/>
      <c r="R54" s="24" t="n"/>
      <c r="S54" s="24" t="n"/>
      <c r="T54" s="24" t="n"/>
      <c r="U54" s="24" t="n"/>
      <c r="V54" s="23">
        <f>'클럭 정리'!O55</f>
        <v/>
      </c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  <c r="AH54" s="24" t="n"/>
      <c r="AI54" s="24" t="n"/>
      <c r="AJ54" s="24" t="n"/>
      <c r="AK54" s="24" t="n"/>
      <c r="AL54" s="24" t="n"/>
      <c r="AM54" s="24" t="n"/>
      <c r="AN54" s="24" t="n"/>
      <c r="AO54" s="24" t="n"/>
      <c r="AP54" s="24" t="n"/>
      <c r="AQ54" s="24" t="n"/>
      <c r="AR54" s="24" t="n"/>
      <c r="AS54" s="24" t="n"/>
      <c r="AT54" s="23">
        <f>'클럭 정리'!O55</f>
        <v/>
      </c>
      <c r="AU54" s="23">
        <f>'클럭 정리'!O55</f>
        <v/>
      </c>
      <c r="AV54" s="23">
        <f>'클럭 정리'!O55</f>
        <v/>
      </c>
      <c r="AW54" s="23">
        <f>'클럭 정리'!O55</f>
        <v/>
      </c>
      <c r="AX54" s="23">
        <f>'클럭 정리'!O55</f>
        <v/>
      </c>
      <c r="AY54" s="24" t="n"/>
      <c r="AZ54" s="24" t="n"/>
      <c r="BA54" s="24" t="n"/>
      <c r="BB54" s="24" t="n"/>
      <c r="BC54" s="24" t="n"/>
      <c r="BD54" s="24" t="n"/>
      <c r="BE54" s="24" t="n"/>
      <c r="BF54" s="24" t="n"/>
      <c r="BG54" s="24" t="n"/>
      <c r="BH54" s="24" t="n"/>
      <c r="BI54" s="24" t="n"/>
      <c r="BJ54" s="24" t="n"/>
      <c r="BK54" s="24" t="n"/>
      <c r="BL54" s="24" t="n"/>
      <c r="BM54" s="24" t="n"/>
      <c r="BN54" s="24" t="n"/>
      <c r="BO54" s="24" t="n"/>
      <c r="BP54" s="24" t="n"/>
      <c r="BQ54" s="24" t="n"/>
      <c r="BR54" s="24" t="n"/>
      <c r="BS54" s="24" t="n"/>
      <c r="BT54" s="24" t="n"/>
      <c r="BU54" s="24" t="n"/>
      <c r="BV54" s="24" t="n"/>
      <c r="BW54" s="24" t="n"/>
      <c r="BX54" s="24" t="n"/>
      <c r="BY54" s="24" t="n"/>
      <c r="BZ54" s="24" t="n"/>
      <c r="CA54" s="24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</row>
    <row r="55">
      <c r="O55" s="25">
        <f>'클럭 정리'!A56</f>
        <v/>
      </c>
      <c r="P55" s="23">
        <f>'클럭 정리'!O56</f>
        <v/>
      </c>
      <c r="Q55" s="24" t="n"/>
      <c r="R55" s="24" t="n"/>
      <c r="S55" s="24" t="n"/>
      <c r="T55" s="24" t="n"/>
      <c r="U55" s="24" t="n"/>
      <c r="V55" s="23">
        <f>'클럭 정리'!O56</f>
        <v/>
      </c>
      <c r="W55" s="24" t="n"/>
      <c r="X55" s="24" t="n"/>
      <c r="Y55" s="24" t="n"/>
      <c r="Z55" s="24" t="n"/>
      <c r="AA55" s="24" t="n"/>
      <c r="AB55" s="24" t="n"/>
      <c r="AC55" s="24" t="n"/>
      <c r="AD55" s="24" t="n"/>
      <c r="AE55" s="24" t="n"/>
      <c r="AF55" s="24" t="n"/>
      <c r="AG55" s="24" t="n"/>
      <c r="AH55" s="24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  <c r="AR55" s="24" t="n"/>
      <c r="AS55" s="24" t="n"/>
      <c r="AT55" s="23">
        <f>'클럭 정리'!O56</f>
        <v/>
      </c>
      <c r="AU55" s="24" t="n"/>
      <c r="AV55" s="23">
        <f>'클럭 정리'!O56</f>
        <v/>
      </c>
      <c r="AW55" s="23">
        <f>'클럭 정리'!O56</f>
        <v/>
      </c>
      <c r="AX55" s="23">
        <f>'클럭 정리'!O56</f>
        <v/>
      </c>
      <c r="AY55" s="24" t="n"/>
      <c r="AZ55" s="24" t="n"/>
      <c r="BA55" s="24" t="n"/>
      <c r="BB55" s="24" t="n"/>
      <c r="BC55" s="24" t="n"/>
      <c r="BD55" s="24" t="n"/>
      <c r="BE55" s="24" t="n"/>
      <c r="BF55" s="24" t="n"/>
      <c r="BG55" s="24" t="n"/>
      <c r="BH55" s="24" t="n"/>
      <c r="BI55" s="24" t="n"/>
      <c r="BJ55" s="24" t="n"/>
      <c r="BK55" s="24" t="n"/>
      <c r="BL55" s="24" t="n"/>
      <c r="BM55" s="24" t="n"/>
      <c r="BN55" s="24" t="n"/>
      <c r="BO55" s="24" t="n"/>
      <c r="BP55" s="24" t="n"/>
      <c r="BQ55" s="24" t="n"/>
      <c r="BR55" s="24" t="n"/>
      <c r="BS55" s="24" t="n"/>
      <c r="BT55" s="24" t="n"/>
      <c r="BU55" s="24" t="n"/>
      <c r="BV55" s="24" t="n"/>
      <c r="BW55" s="24" t="n"/>
      <c r="BX55" s="24" t="n"/>
      <c r="BY55" s="24" t="n"/>
      <c r="BZ55" s="24" t="n"/>
      <c r="CA55" s="24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</row>
    <row r="56">
      <c r="O56" s="25">
        <f>'클럭 정리'!A57</f>
        <v/>
      </c>
      <c r="P56" s="23">
        <f>'클럭 정리'!O57</f>
        <v/>
      </c>
      <c r="Q56" s="24" t="n"/>
      <c r="R56" s="24" t="n"/>
      <c r="S56" s="24" t="n"/>
      <c r="T56" s="24" t="n"/>
      <c r="U56" s="24" t="n"/>
      <c r="V56" s="23">
        <f>'클럭 정리'!O57</f>
        <v/>
      </c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4" t="n"/>
      <c r="AI56" s="24" t="n"/>
      <c r="AJ56" s="24" t="n"/>
      <c r="AK56" s="24" t="n"/>
      <c r="AL56" s="24" t="n"/>
      <c r="AM56" s="24" t="n"/>
      <c r="AN56" s="24" t="n"/>
      <c r="AO56" s="24" t="n"/>
      <c r="AP56" s="24" t="n"/>
      <c r="AQ56" s="24" t="n"/>
      <c r="AR56" s="24" t="n"/>
      <c r="AS56" s="24" t="n"/>
      <c r="AT56" s="24" t="n"/>
      <c r="AU56" s="24" t="n"/>
      <c r="AV56" s="24" t="n"/>
      <c r="AW56" s="24" t="n"/>
      <c r="AX56" s="24" t="n"/>
      <c r="AY56" s="24" t="n"/>
      <c r="AZ56" s="24" t="n"/>
      <c r="BA56" s="24" t="n"/>
      <c r="BB56" s="24" t="n"/>
      <c r="BC56" s="24" t="n"/>
      <c r="BD56" s="24" t="n"/>
      <c r="BE56" s="23">
        <f>'클럭 정리'!O57</f>
        <v/>
      </c>
      <c r="BF56" s="23">
        <f>'클럭 정리'!O57</f>
        <v/>
      </c>
      <c r="BG56" s="23">
        <f>'클럭 정리'!O57</f>
        <v/>
      </c>
      <c r="BH56" s="23">
        <f>'클럭 정리'!O57</f>
        <v/>
      </c>
      <c r="BI56" s="24" t="n"/>
      <c r="BJ56" s="24" t="n"/>
      <c r="BK56" s="24" t="n"/>
      <c r="BL56" s="24" t="n"/>
      <c r="BM56" s="24" t="n"/>
      <c r="BN56" s="24" t="n"/>
      <c r="BO56" s="24" t="n"/>
      <c r="BP56" s="24" t="n"/>
      <c r="BQ56" s="24" t="n"/>
      <c r="BR56" s="24" t="n"/>
      <c r="BS56" s="24" t="n"/>
      <c r="BT56" s="24" t="n"/>
      <c r="BU56" s="24" t="n"/>
      <c r="BV56" s="24" t="n"/>
      <c r="BW56" s="24" t="n"/>
      <c r="BX56" s="24" t="n"/>
      <c r="BY56" s="24" t="n"/>
      <c r="BZ56" s="24" t="n"/>
      <c r="CA56" s="24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</row>
    <row r="57">
      <c r="O57" s="25">
        <f>'클럭 정리'!A58</f>
        <v/>
      </c>
      <c r="P57" s="23">
        <f>'클럭 정리'!O58</f>
        <v/>
      </c>
      <c r="Q57" s="24" t="n"/>
      <c r="R57" s="24" t="n"/>
      <c r="S57" s="24" t="n"/>
      <c r="T57" s="24" t="n"/>
      <c r="U57" s="24" t="n"/>
      <c r="V57" s="23">
        <f>'클럭 정리'!O58</f>
        <v/>
      </c>
      <c r="W57" s="24" t="n"/>
      <c r="X57" s="24" t="n"/>
      <c r="Y57" s="24" t="n"/>
      <c r="Z57" s="24" t="n"/>
      <c r="AA57" s="24" t="n"/>
      <c r="AB57" s="24" t="n"/>
      <c r="AC57" s="24" t="n"/>
      <c r="AD57" s="24" t="n"/>
      <c r="AE57" s="24" t="n"/>
      <c r="AF57" s="24" t="n"/>
      <c r="AG57" s="24" t="n"/>
      <c r="AH57" s="24" t="n"/>
      <c r="AI57" s="24" t="n"/>
      <c r="AJ57" s="24" t="n"/>
      <c r="AK57" s="24" t="n"/>
      <c r="AL57" s="24" t="n"/>
      <c r="AM57" s="24" t="n"/>
      <c r="AN57" s="24" t="n"/>
      <c r="AO57" s="24" t="n"/>
      <c r="AP57" s="24" t="n"/>
      <c r="AQ57" s="24" t="n"/>
      <c r="AR57" s="24" t="n"/>
      <c r="AS57" s="24" t="n"/>
      <c r="AT57" s="24" t="n"/>
      <c r="AU57" s="24" t="n"/>
      <c r="AV57" s="24" t="n"/>
      <c r="AW57" s="24" t="n"/>
      <c r="AX57" s="24" t="n"/>
      <c r="AY57" s="24" t="n"/>
      <c r="AZ57" s="24" t="n"/>
      <c r="BA57" s="24" t="n"/>
      <c r="BB57" s="24" t="n"/>
      <c r="BC57" s="24" t="n"/>
      <c r="BD57" s="24" t="n"/>
      <c r="BE57" s="23">
        <f>'클럭 정리'!O58</f>
        <v/>
      </c>
      <c r="BF57" s="23">
        <f>'클럭 정리'!O58</f>
        <v/>
      </c>
      <c r="BG57" s="23">
        <f>'클럭 정리'!O58</f>
        <v/>
      </c>
      <c r="BH57" s="23">
        <f>'클럭 정리'!O58</f>
        <v/>
      </c>
      <c r="BI57" s="24" t="n"/>
      <c r="BJ57" s="24" t="n"/>
      <c r="BK57" s="24" t="n"/>
      <c r="BL57" s="24" t="n"/>
      <c r="BM57" s="24" t="n"/>
      <c r="BN57" s="24" t="n"/>
      <c r="BO57" s="24" t="n"/>
      <c r="BP57" s="24" t="n"/>
      <c r="BQ57" s="24" t="n"/>
      <c r="BR57" s="24" t="n"/>
      <c r="BS57" s="24" t="n"/>
      <c r="BT57" s="24" t="n"/>
      <c r="BU57" s="24" t="n"/>
      <c r="BV57" s="24" t="n"/>
      <c r="BW57" s="24" t="n"/>
      <c r="BX57" s="24" t="n"/>
      <c r="BY57" s="24" t="n"/>
      <c r="BZ57" s="24" t="n"/>
      <c r="CA57" s="24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</row>
    <row r="58">
      <c r="O58" s="25">
        <f>'클럭 정리'!A59</f>
        <v/>
      </c>
      <c r="P58" s="23">
        <f>'클럭 정리'!O59</f>
        <v/>
      </c>
      <c r="Q58" s="24" t="n"/>
      <c r="R58" s="24" t="n"/>
      <c r="S58" s="24" t="n"/>
      <c r="T58" s="24" t="n"/>
      <c r="U58" s="24" t="n"/>
      <c r="V58" s="23">
        <f>'클럭 정리'!O59</f>
        <v/>
      </c>
      <c r="W58" s="24" t="n"/>
      <c r="X58" s="24" t="n"/>
      <c r="Y58" s="24" t="n"/>
      <c r="Z58" s="24" t="n"/>
      <c r="AA58" s="24" t="n"/>
      <c r="AB58" s="24" t="n"/>
      <c r="AC58" s="24" t="n"/>
      <c r="AD58" s="24" t="n"/>
      <c r="AE58" s="24" t="n"/>
      <c r="AF58" s="24" t="n"/>
      <c r="AG58" s="24" t="n"/>
      <c r="AH58" s="24" t="n"/>
      <c r="AI58" s="24" t="n"/>
      <c r="AJ58" s="24" t="n"/>
      <c r="AK58" s="24" t="n"/>
      <c r="AL58" s="24" t="n"/>
      <c r="AM58" s="24" t="n"/>
      <c r="AN58" s="24" t="n"/>
      <c r="AO58" s="24" t="n"/>
      <c r="AP58" s="24" t="n"/>
      <c r="AQ58" s="24" t="n"/>
      <c r="AR58" s="24" t="n"/>
      <c r="AS58" s="24" t="n"/>
      <c r="AT58" s="24" t="n"/>
      <c r="AU58" s="24" t="n"/>
      <c r="AV58" s="24" t="n"/>
      <c r="AW58" s="24" t="n"/>
      <c r="AX58" s="24" t="n"/>
      <c r="AY58" s="24" t="n"/>
      <c r="AZ58" s="24" t="n"/>
      <c r="BA58" s="24" t="n"/>
      <c r="BB58" s="24" t="n"/>
      <c r="BC58" s="24" t="n"/>
      <c r="BD58" s="24" t="n"/>
      <c r="BE58" s="24" t="n"/>
      <c r="BF58" s="24" t="n"/>
      <c r="BG58" s="24" t="n"/>
      <c r="BH58" s="24" t="n"/>
      <c r="BI58" s="24" t="n"/>
      <c r="BJ58" s="24" t="n"/>
      <c r="BK58" s="24" t="n"/>
      <c r="BL58" s="23">
        <f>'클럭 정리'!O59</f>
        <v/>
      </c>
      <c r="BM58" s="24" t="n"/>
      <c r="BN58" s="23">
        <f>'클럭 정리'!O59</f>
        <v/>
      </c>
      <c r="BO58" s="23">
        <f>'클럭 정리'!O59</f>
        <v/>
      </c>
      <c r="BP58" s="24" t="n"/>
      <c r="BQ58" s="23">
        <f>'클럭 정리'!O59</f>
        <v/>
      </c>
      <c r="BR58" s="24" t="n"/>
      <c r="BS58" s="24" t="n"/>
      <c r="BT58" s="23">
        <f>'클럭 정리'!O59</f>
        <v/>
      </c>
      <c r="BU58" s="24" t="n"/>
      <c r="BV58" s="24" t="n"/>
      <c r="BW58" s="24" t="n"/>
      <c r="BX58" s="24" t="n"/>
      <c r="BY58" s="24" t="n"/>
      <c r="BZ58" s="24" t="n"/>
      <c r="CA58" s="24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</row>
    <row r="59">
      <c r="O59" s="25">
        <f>'클럭 정리'!A60</f>
        <v/>
      </c>
      <c r="P59" s="23">
        <f>'클럭 정리'!O60</f>
        <v/>
      </c>
      <c r="Q59" s="24" t="n"/>
      <c r="R59" s="24" t="n"/>
      <c r="S59" s="24" t="n"/>
      <c r="T59" s="24" t="n"/>
      <c r="U59" s="24" t="n"/>
      <c r="V59" s="23">
        <f>'클럭 정리'!O60</f>
        <v/>
      </c>
      <c r="W59" s="24" t="n"/>
      <c r="X59" s="24" t="n"/>
      <c r="Y59" s="24" t="n"/>
      <c r="Z59" s="24" t="n"/>
      <c r="AA59" s="24" t="n"/>
      <c r="AB59" s="24" t="n"/>
      <c r="AC59" s="24" t="n"/>
      <c r="AD59" s="24" t="n"/>
      <c r="AE59" s="24" t="n"/>
      <c r="AF59" s="24" t="n"/>
      <c r="AG59" s="24" t="n"/>
      <c r="AH59" s="24" t="n"/>
      <c r="AI59" s="24" t="n"/>
      <c r="AJ59" s="24" t="n"/>
      <c r="AK59" s="24" t="n"/>
      <c r="AL59" s="24" t="n"/>
      <c r="AM59" s="24" t="n"/>
      <c r="AN59" s="24" t="n"/>
      <c r="AO59" s="24" t="n"/>
      <c r="AP59" s="24" t="n"/>
      <c r="AQ59" s="24" t="n"/>
      <c r="AR59" s="24" t="n"/>
      <c r="AS59" s="24" t="n"/>
      <c r="AT59" s="24" t="n"/>
      <c r="AU59" s="24" t="n"/>
      <c r="AV59" s="24" t="n"/>
      <c r="AW59" s="24" t="n"/>
      <c r="AX59" s="24" t="n"/>
      <c r="AY59" s="24" t="n"/>
      <c r="AZ59" s="24" t="n"/>
      <c r="BA59" s="24" t="n"/>
      <c r="BB59" s="24" t="n"/>
      <c r="BC59" s="24" t="n"/>
      <c r="BD59" s="24" t="n"/>
      <c r="BE59" s="24" t="n"/>
      <c r="BF59" s="24" t="n"/>
      <c r="BG59" s="24" t="n"/>
      <c r="BH59" s="24" t="n"/>
      <c r="BI59" s="24" t="n"/>
      <c r="BJ59" s="24" t="n"/>
      <c r="BK59" s="24" t="n"/>
      <c r="BL59" s="23">
        <f>'클럭 정리'!O60</f>
        <v/>
      </c>
      <c r="BM59" s="24" t="n"/>
      <c r="BN59" s="23">
        <f>'클럭 정리'!O60</f>
        <v/>
      </c>
      <c r="BO59" s="23">
        <f>'클럭 정리'!O60</f>
        <v/>
      </c>
      <c r="BP59" s="24" t="n"/>
      <c r="BQ59" s="23">
        <f>'클럭 정리'!O60</f>
        <v/>
      </c>
      <c r="BR59" s="24" t="n"/>
      <c r="BS59" s="24" t="n"/>
      <c r="BT59" s="23">
        <f>'클럭 정리'!O60</f>
        <v/>
      </c>
      <c r="BU59" s="24" t="n"/>
      <c r="BV59" s="24" t="n"/>
      <c r="BW59" s="24" t="n"/>
      <c r="BX59" s="24" t="n"/>
      <c r="BY59" s="24" t="n"/>
      <c r="BZ59" s="24" t="n"/>
      <c r="CA59" s="24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</row>
    <row r="60">
      <c r="O60" s="25">
        <f>'클럭 정리'!A61</f>
        <v/>
      </c>
      <c r="P60" s="23">
        <f>'클럭 정리'!O61</f>
        <v/>
      </c>
      <c r="Q60" s="24" t="n"/>
      <c r="R60" s="24" t="n"/>
      <c r="S60" s="24" t="n"/>
      <c r="T60" s="24" t="n"/>
      <c r="U60" s="24" t="n"/>
      <c r="V60" s="23">
        <f>'클럭 정리'!O61</f>
        <v/>
      </c>
      <c r="W60" s="24" t="n"/>
      <c r="X60" s="24" t="n"/>
      <c r="Y60" s="24" t="n"/>
      <c r="Z60" s="24" t="n"/>
      <c r="AA60" s="24" t="n"/>
      <c r="AB60" s="24" t="n"/>
      <c r="AC60" s="24" t="n"/>
      <c r="AD60" s="24" t="n"/>
      <c r="AE60" s="24" t="n"/>
      <c r="AF60" s="24" t="n"/>
      <c r="AG60" s="24" t="n"/>
      <c r="AH60" s="24" t="n"/>
      <c r="AI60" s="24" t="n"/>
      <c r="AJ60" s="24" t="n"/>
      <c r="AK60" s="24" t="n"/>
      <c r="AL60" s="24" t="n"/>
      <c r="AM60" s="24" t="n"/>
      <c r="AN60" s="24" t="n"/>
      <c r="AO60" s="24" t="n"/>
      <c r="AP60" s="24" t="n"/>
      <c r="AQ60" s="24" t="n"/>
      <c r="AR60" s="24" t="n"/>
      <c r="AS60" s="24" t="n"/>
      <c r="AT60" s="24" t="n"/>
      <c r="AU60" s="24" t="n"/>
      <c r="AV60" s="24" t="n"/>
      <c r="AW60" s="24" t="n"/>
      <c r="AX60" s="24" t="n"/>
      <c r="AY60" s="24" t="n"/>
      <c r="AZ60" s="24" t="n"/>
      <c r="BA60" s="24" t="n"/>
      <c r="BB60" s="24" t="n"/>
      <c r="BC60" s="24" t="n"/>
      <c r="BD60" s="24" t="n"/>
      <c r="BE60" s="24" t="n"/>
      <c r="BF60" s="24" t="n"/>
      <c r="BG60" s="24" t="n"/>
      <c r="BH60" s="24" t="n"/>
      <c r="BI60" s="24" t="n"/>
      <c r="BJ60" s="24" t="n"/>
      <c r="BK60" s="24" t="n"/>
      <c r="BL60" s="24" t="n"/>
      <c r="BM60" s="24" t="n"/>
      <c r="BN60" s="24" t="n"/>
      <c r="BO60" s="24" t="n"/>
      <c r="BP60" s="24" t="n"/>
      <c r="BQ60" s="24" t="n"/>
      <c r="BR60" s="24" t="n"/>
      <c r="BS60" s="24" t="n"/>
      <c r="BT60" s="24" t="n"/>
      <c r="BU60" s="23">
        <f>'클럭 정리'!O61</f>
        <v/>
      </c>
      <c r="BV60" s="24" t="n"/>
      <c r="BW60" s="23">
        <f>'클럭 정리'!O61</f>
        <v/>
      </c>
      <c r="BX60" s="23">
        <f>'클럭 정리'!O61</f>
        <v/>
      </c>
      <c r="BY60" s="24" t="n"/>
      <c r="BZ60" s="24" t="n"/>
      <c r="CA60" s="24" t="n"/>
      <c r="CB60" s="24" t="n"/>
      <c r="CC60" s="23">
        <f>'클럭 정리'!O61</f>
        <v/>
      </c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</row>
    <row r="61">
      <c r="O61" s="25">
        <f>'클럭 정리'!A62</f>
        <v/>
      </c>
      <c r="P61" s="23">
        <f>'클럭 정리'!O62</f>
        <v/>
      </c>
      <c r="Q61" s="24" t="n"/>
      <c r="R61" s="24" t="n"/>
      <c r="S61" s="24" t="n"/>
      <c r="T61" s="24" t="n"/>
      <c r="U61" s="24" t="n"/>
      <c r="V61" s="23">
        <f>'클럭 정리'!O62</f>
        <v/>
      </c>
      <c r="W61" s="24" t="n"/>
      <c r="X61" s="24" t="n"/>
      <c r="Y61" s="24" t="n"/>
      <c r="Z61" s="24" t="n"/>
      <c r="AA61" s="24" t="n"/>
      <c r="AB61" s="24" t="n"/>
      <c r="AC61" s="24" t="n"/>
      <c r="AD61" s="24" t="n"/>
      <c r="AE61" s="24" t="n"/>
      <c r="AF61" s="24" t="n"/>
      <c r="AG61" s="24" t="n"/>
      <c r="AH61" s="24" t="n"/>
      <c r="AI61" s="24" t="n"/>
      <c r="AJ61" s="24" t="n"/>
      <c r="AK61" s="24" t="n"/>
      <c r="AL61" s="24" t="n"/>
      <c r="AM61" s="24" t="n"/>
      <c r="AN61" s="24" t="n"/>
      <c r="AO61" s="24" t="n"/>
      <c r="AP61" s="24" t="n"/>
      <c r="AQ61" s="24" t="n"/>
      <c r="AR61" s="24" t="n"/>
      <c r="AS61" s="24" t="n"/>
      <c r="AT61" s="24" t="n"/>
      <c r="AU61" s="24" t="n"/>
      <c r="AV61" s="24" t="n"/>
      <c r="AW61" s="24" t="n"/>
      <c r="AX61" s="24" t="n"/>
      <c r="AY61" s="24" t="n"/>
      <c r="AZ61" s="24" t="n"/>
      <c r="BA61" s="24" t="n"/>
      <c r="BB61" s="24" t="n"/>
      <c r="BC61" s="24" t="n"/>
      <c r="BD61" s="24" t="n"/>
      <c r="BE61" s="24" t="n"/>
      <c r="BF61" s="24" t="n"/>
      <c r="BG61" s="24" t="n"/>
      <c r="BH61" s="24" t="n"/>
      <c r="BI61" s="24" t="n"/>
      <c r="BJ61" s="24" t="n"/>
      <c r="BK61" s="24" t="n"/>
      <c r="BL61" s="24" t="n"/>
      <c r="BM61" s="24" t="n"/>
      <c r="BN61" s="24" t="n"/>
      <c r="BO61" s="24" t="n"/>
      <c r="BP61" s="24" t="n"/>
      <c r="BQ61" s="24" t="n"/>
      <c r="BR61" s="24" t="n"/>
      <c r="BS61" s="24" t="n"/>
      <c r="BT61" s="24" t="n"/>
      <c r="BU61" s="23">
        <f>'클럭 정리'!O62</f>
        <v/>
      </c>
      <c r="BV61" s="24" t="n"/>
      <c r="BW61" s="23">
        <f>'클럭 정리'!O62</f>
        <v/>
      </c>
      <c r="BX61" s="23">
        <f>'클럭 정리'!O62</f>
        <v/>
      </c>
      <c r="BY61" s="24" t="n"/>
      <c r="BZ61" s="24" t="n"/>
      <c r="CA61" s="24" t="n"/>
      <c r="CB61" s="24" t="n"/>
      <c r="CC61" s="23">
        <f>'클럭 정리'!O62</f>
        <v/>
      </c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</row>
    <row r="62">
      <c r="O62" s="25">
        <f>'클럭 정리'!A63</f>
        <v/>
      </c>
      <c r="P62" s="23">
        <f>'클럭 정리'!O63</f>
        <v/>
      </c>
      <c r="Q62" s="24" t="n"/>
      <c r="R62" s="24" t="n"/>
      <c r="S62" s="24" t="n"/>
      <c r="T62" s="24" t="n"/>
      <c r="U62" s="24" t="n"/>
      <c r="V62" s="23">
        <f>'클럭 정리'!O63</f>
        <v/>
      </c>
      <c r="W62" s="24" t="n"/>
      <c r="X62" s="24" t="n"/>
      <c r="Y62" s="24" t="n"/>
      <c r="Z62" s="24" t="n"/>
      <c r="AA62" s="24" t="n"/>
      <c r="AB62" s="24" t="n"/>
      <c r="AC62" s="24" t="n"/>
      <c r="AD62" s="24" t="n"/>
      <c r="AE62" s="24" t="n"/>
      <c r="AF62" s="24" t="n"/>
      <c r="AG62" s="24" t="n"/>
      <c r="AH62" s="24" t="n"/>
      <c r="AI62" s="24" t="n"/>
      <c r="AJ62" s="24" t="n"/>
      <c r="AK62" s="24" t="n"/>
      <c r="AL62" s="24" t="n"/>
      <c r="AM62" s="24" t="n"/>
      <c r="AN62" s="24" t="n"/>
      <c r="AO62" s="24" t="n"/>
      <c r="AP62" s="24" t="n"/>
      <c r="AQ62" s="24" t="n"/>
      <c r="AR62" s="24" t="n"/>
      <c r="AS62" s="24" t="n"/>
      <c r="AT62" s="24" t="n"/>
      <c r="AU62" s="24" t="n"/>
      <c r="AV62" s="24" t="n"/>
      <c r="AW62" s="24" t="n"/>
      <c r="AX62" s="24" t="n"/>
      <c r="AY62" s="24" t="n"/>
      <c r="AZ62" s="24" t="n"/>
      <c r="BA62" s="24" t="n"/>
      <c r="BB62" s="24" t="n"/>
      <c r="BC62" s="24" t="n"/>
      <c r="BD62" s="24" t="n"/>
      <c r="BE62" s="24" t="n"/>
      <c r="BF62" s="24" t="n"/>
      <c r="BG62" s="24" t="n"/>
      <c r="BH62" s="24" t="n"/>
      <c r="BI62" s="24" t="n"/>
      <c r="BJ62" s="24" t="n"/>
      <c r="BK62" s="24" t="n"/>
      <c r="BL62" s="24" t="n"/>
      <c r="BM62" s="24" t="n"/>
      <c r="BN62" s="24" t="n"/>
      <c r="BO62" s="24" t="n"/>
      <c r="BP62" s="24" t="n"/>
      <c r="BQ62" s="24" t="n"/>
      <c r="BR62" s="24" t="n"/>
      <c r="BS62" s="24" t="n"/>
      <c r="BT62" s="24" t="n"/>
      <c r="BU62" s="24" t="n"/>
      <c r="BV62" s="24" t="n"/>
      <c r="BW62" s="24" t="n"/>
      <c r="BX62" s="24" t="n"/>
      <c r="BY62" s="24" t="n"/>
      <c r="BZ62" s="24" t="n"/>
      <c r="CA62" s="24" t="n"/>
      <c r="CB62" s="24" t="n"/>
      <c r="CC62" s="24" t="n"/>
      <c r="CD62" s="23">
        <f>'클럭 정리'!O63</f>
        <v/>
      </c>
      <c r="CE62" s="23">
        <f>'클럭 정리'!O63</f>
        <v/>
      </c>
      <c r="CF62" s="23">
        <f>'클럭 정리'!O63</f>
        <v/>
      </c>
      <c r="CG62" s="24" t="n"/>
      <c r="CH62" s="24" t="n"/>
      <c r="CI62" s="24" t="n"/>
      <c r="CJ62" s="24" t="n"/>
      <c r="CK62" s="24" t="n"/>
      <c r="CL62" s="24" t="n"/>
      <c r="CM62" s="23">
        <f>'클럭 정리'!O63</f>
        <v/>
      </c>
    </row>
    <row r="63">
      <c r="O63" s="25">
        <f>'클럭 정리'!A64</f>
        <v/>
      </c>
      <c r="P63" s="23">
        <f>'클럭 정리'!O64</f>
        <v/>
      </c>
      <c r="Q63" s="24" t="n"/>
      <c r="R63" s="24" t="n"/>
      <c r="S63" s="24" t="n"/>
      <c r="T63" s="24" t="n"/>
      <c r="U63" s="24" t="n"/>
      <c r="V63" s="23">
        <f>'클럭 정리'!O64</f>
        <v/>
      </c>
      <c r="W63" s="24" t="n"/>
      <c r="X63" s="24" t="n"/>
      <c r="Y63" s="24" t="n"/>
      <c r="Z63" s="24" t="n"/>
      <c r="AA63" s="24" t="n"/>
      <c r="AB63" s="24" t="n"/>
      <c r="AC63" s="24" t="n"/>
      <c r="AD63" s="24" t="n"/>
      <c r="AE63" s="24" t="n"/>
      <c r="AF63" s="24" t="n"/>
      <c r="AG63" s="24" t="n"/>
      <c r="AH63" s="24" t="n"/>
      <c r="AI63" s="24" t="n"/>
      <c r="AJ63" s="24" t="n"/>
      <c r="AK63" s="24" t="n"/>
      <c r="AL63" s="24" t="n"/>
      <c r="AM63" s="24" t="n"/>
      <c r="AN63" s="24" t="n"/>
      <c r="AO63" s="24" t="n"/>
      <c r="AP63" s="24" t="n"/>
      <c r="AQ63" s="24" t="n"/>
      <c r="AR63" s="24" t="n"/>
      <c r="AS63" s="24" t="n"/>
      <c r="AT63" s="24" t="n"/>
      <c r="AU63" s="24" t="n"/>
      <c r="AV63" s="24" t="n"/>
      <c r="AW63" s="24" t="n"/>
      <c r="AX63" s="24" t="n"/>
      <c r="AY63" s="24" t="n"/>
      <c r="AZ63" s="24" t="n"/>
      <c r="BA63" s="24" t="n"/>
      <c r="BB63" s="24" t="n"/>
      <c r="BC63" s="24" t="n"/>
      <c r="BD63" s="24" t="n"/>
      <c r="BE63" s="24" t="n"/>
      <c r="BF63" s="24" t="n"/>
      <c r="BG63" s="24" t="n"/>
      <c r="BH63" s="24" t="n"/>
      <c r="BI63" s="24" t="n"/>
      <c r="BJ63" s="24" t="n"/>
      <c r="BK63" s="24" t="n"/>
      <c r="BL63" s="24" t="n"/>
      <c r="BM63" s="24" t="n"/>
      <c r="BN63" s="24" t="n"/>
      <c r="BO63" s="24" t="n"/>
      <c r="BP63" s="24" t="n"/>
      <c r="BQ63" s="24" t="n"/>
      <c r="BR63" s="24" t="n"/>
      <c r="BS63" s="24" t="n"/>
      <c r="BT63" s="24" t="n"/>
      <c r="BU63" s="24" t="n"/>
      <c r="BV63" s="24" t="n"/>
      <c r="BW63" s="24" t="n"/>
      <c r="BX63" s="24" t="n"/>
      <c r="BY63" s="24" t="n"/>
      <c r="BZ63" s="24" t="n"/>
      <c r="CA63" s="24" t="n"/>
      <c r="CB63" s="24" t="n"/>
      <c r="CC63" s="24" t="n"/>
      <c r="CD63" s="23">
        <f>'클럭 정리'!O64</f>
        <v/>
      </c>
      <c r="CE63" s="23">
        <f>'클럭 정리'!O64</f>
        <v/>
      </c>
      <c r="CF63" s="23">
        <f>'클럭 정리'!O64</f>
        <v/>
      </c>
      <c r="CG63" s="24" t="n"/>
      <c r="CH63" s="24" t="n"/>
      <c r="CI63" s="24" t="n"/>
      <c r="CJ63" s="24" t="n"/>
      <c r="CK63" s="24" t="n"/>
      <c r="CL63" s="24" t="n"/>
      <c r="CM63" s="23">
        <f>'클럭 정리'!O64</f>
        <v/>
      </c>
    </row>
    <row r="64">
      <c r="O64" s="25">
        <f>'클럭 정리'!A65</f>
        <v/>
      </c>
      <c r="P64" s="23">
        <f>'클럭 정리'!O65</f>
        <v/>
      </c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  <c r="AA64" s="24" t="n"/>
      <c r="AB64" s="24" t="n"/>
      <c r="AC64" s="24" t="n"/>
      <c r="AD64" s="24" t="n"/>
      <c r="AE64" s="24" t="n"/>
      <c r="AF64" s="24" t="n"/>
      <c r="AG64" s="24" t="n"/>
      <c r="AH64" s="24" t="n"/>
      <c r="AI64" s="24" t="n"/>
      <c r="AJ64" s="24" t="n"/>
      <c r="AK64" s="24" t="n"/>
      <c r="AL64" s="24" t="n"/>
      <c r="AM64" s="24" t="n"/>
      <c r="AN64" s="24" t="n"/>
      <c r="AO64" s="24" t="n"/>
      <c r="AP64" s="24" t="n"/>
      <c r="AQ64" s="24" t="n"/>
      <c r="AR64" s="24" t="n"/>
      <c r="AS64" s="24" t="n"/>
      <c r="AT64" s="24" t="n"/>
      <c r="AU64" s="24" t="n"/>
      <c r="AV64" s="24" t="n"/>
      <c r="AW64" s="24" t="n"/>
      <c r="AX64" s="24" t="n"/>
      <c r="AY64" s="24" t="n"/>
      <c r="AZ64" s="24" t="n"/>
      <c r="BA64" s="24" t="n"/>
      <c r="BB64" s="24" t="n"/>
      <c r="BC64" s="24" t="n"/>
      <c r="BD64" s="24" t="n"/>
      <c r="BE64" s="24" t="n"/>
      <c r="BF64" s="24" t="n"/>
      <c r="BG64" s="24" t="n"/>
      <c r="BH64" s="24" t="n"/>
      <c r="BI64" s="24" t="n"/>
      <c r="BJ64" s="24" t="n"/>
      <c r="BK64" s="24" t="n"/>
      <c r="BL64" s="24" t="n"/>
      <c r="BM64" s="24" t="n"/>
      <c r="BN64" s="24" t="n"/>
      <c r="BO64" s="24" t="n"/>
      <c r="BP64" s="24" t="n"/>
      <c r="BQ64" s="24" t="n"/>
      <c r="BR64" s="24" t="n"/>
      <c r="BS64" s="24" t="n"/>
      <c r="BT64" s="24" t="n"/>
      <c r="BU64" s="24" t="n"/>
      <c r="BV64" s="24" t="n"/>
      <c r="BW64" s="24" t="n"/>
      <c r="BX64" s="24" t="n"/>
      <c r="BY64" s="24" t="n"/>
      <c r="BZ64" s="24" t="n"/>
      <c r="CA64" s="24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</row>
    <row r="65">
      <c r="O65" s="25">
        <f>'클럭 정리'!A66</f>
        <v/>
      </c>
      <c r="P65" s="23">
        <f>'클럭 정리'!O66</f>
        <v/>
      </c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  <c r="AA65" s="24" t="n"/>
      <c r="AB65" s="24" t="n"/>
      <c r="AC65" s="24" t="n"/>
      <c r="AD65" s="24" t="n"/>
      <c r="AE65" s="24" t="n"/>
      <c r="AF65" s="24" t="n"/>
      <c r="AG65" s="24" t="n"/>
      <c r="AH65" s="24" t="n"/>
      <c r="AI65" s="24" t="n"/>
      <c r="AJ65" s="24" t="n"/>
      <c r="AK65" s="24" t="n"/>
      <c r="AL65" s="24" t="n"/>
      <c r="AM65" s="24" t="n"/>
      <c r="AN65" s="24" t="n"/>
      <c r="AO65" s="24" t="n"/>
      <c r="AP65" s="24" t="n"/>
      <c r="AQ65" s="24" t="n"/>
      <c r="AR65" s="24" t="n"/>
      <c r="AS65" s="24" t="n"/>
      <c r="AT65" s="24" t="n"/>
      <c r="AU65" s="24" t="n"/>
      <c r="AV65" s="24" t="n"/>
      <c r="AW65" s="24" t="n"/>
      <c r="AX65" s="24" t="n"/>
      <c r="AY65" s="24" t="n"/>
      <c r="AZ65" s="24" t="n"/>
      <c r="BA65" s="24" t="n"/>
      <c r="BB65" s="24" t="n"/>
      <c r="BC65" s="24" t="n"/>
      <c r="BD65" s="24" t="n"/>
      <c r="BE65" s="24" t="n"/>
      <c r="BF65" s="24" t="n"/>
      <c r="BG65" s="24" t="n"/>
      <c r="BH65" s="24" t="n"/>
      <c r="BI65" s="24" t="n"/>
      <c r="BJ65" s="24" t="n"/>
      <c r="BK65" s="24" t="n"/>
      <c r="BL65" s="24" t="n"/>
      <c r="BM65" s="24" t="n"/>
      <c r="BN65" s="24" t="n"/>
      <c r="BO65" s="24" t="n"/>
      <c r="BP65" s="24" t="n"/>
      <c r="BQ65" s="24" t="n"/>
      <c r="BR65" s="24" t="n"/>
      <c r="BS65" s="24" t="n"/>
      <c r="BT65" s="24" t="n"/>
      <c r="BU65" s="24" t="n"/>
      <c r="BV65" s="24" t="n"/>
      <c r="BW65" s="24" t="n"/>
      <c r="BX65" s="24" t="n"/>
      <c r="BY65" s="24" t="n"/>
      <c r="BZ65" s="24" t="n"/>
      <c r="CA65" s="24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</row>
    <row r="66">
      <c r="O66" s="25">
        <f>'클럭 정리'!A67</f>
        <v/>
      </c>
      <c r="P66" s="23">
        <f>'클럭 정리'!O67</f>
        <v/>
      </c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  <c r="AA66" s="24" t="n"/>
      <c r="AB66" s="24" t="n"/>
      <c r="AC66" s="24" t="n"/>
      <c r="AD66" s="24" t="n"/>
      <c r="AE66" s="24" t="n"/>
      <c r="AF66" s="24" t="n"/>
      <c r="AG66" s="24" t="n"/>
      <c r="AH66" s="24" t="n"/>
      <c r="AI66" s="24" t="n"/>
      <c r="AJ66" s="24" t="n"/>
      <c r="AK66" s="24" t="n"/>
      <c r="AL66" s="24" t="n"/>
      <c r="AM66" s="24" t="n"/>
      <c r="AN66" s="24" t="n"/>
      <c r="AO66" s="24" t="n"/>
      <c r="AP66" s="24" t="n"/>
      <c r="AQ66" s="24" t="n"/>
      <c r="AR66" s="24" t="n"/>
      <c r="AS66" s="24" t="n"/>
      <c r="AT66" s="24" t="n"/>
      <c r="AU66" s="24" t="n"/>
      <c r="AV66" s="24" t="n"/>
      <c r="AW66" s="24" t="n"/>
      <c r="AX66" s="24" t="n"/>
      <c r="AY66" s="24" t="n"/>
      <c r="AZ66" s="24" t="n"/>
      <c r="BA66" s="24" t="n"/>
      <c r="BB66" s="24" t="n"/>
      <c r="BC66" s="24" t="n"/>
      <c r="BD66" s="24" t="n"/>
      <c r="BE66" s="24" t="n"/>
      <c r="BF66" s="24" t="n"/>
      <c r="BG66" s="24" t="n"/>
      <c r="BH66" s="24" t="n"/>
      <c r="BI66" s="24" t="n"/>
      <c r="BJ66" s="24" t="n"/>
      <c r="BK66" s="24" t="n"/>
      <c r="BL66" s="24" t="n"/>
      <c r="BM66" s="24" t="n"/>
      <c r="BN66" s="24" t="n"/>
      <c r="BO66" s="24" t="n"/>
      <c r="BP66" s="24" t="n"/>
      <c r="BQ66" s="24" t="n"/>
      <c r="BR66" s="24" t="n"/>
      <c r="BS66" s="24" t="n"/>
      <c r="BT66" s="24" t="n"/>
      <c r="BU66" s="24" t="n"/>
      <c r="BV66" s="24" t="n"/>
      <c r="BW66" s="24" t="n"/>
      <c r="BX66" s="24" t="n"/>
      <c r="BY66" s="24" t="n"/>
      <c r="BZ66" s="24" t="n"/>
      <c r="CA66" s="24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</row>
    <row r="67">
      <c r="O67" s="25">
        <f>'클럭 정리'!A68</f>
        <v/>
      </c>
      <c r="P67" s="23">
        <f>'클럭 정리'!O68</f>
        <v/>
      </c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  <c r="AA67" s="24" t="n"/>
      <c r="AB67" s="24" t="n"/>
      <c r="AC67" s="24" t="n"/>
      <c r="AD67" s="24" t="n"/>
      <c r="AE67" s="24" t="n"/>
      <c r="AF67" s="24" t="n"/>
      <c r="AG67" s="24" t="n"/>
      <c r="AH67" s="24" t="n"/>
      <c r="AI67" s="24" t="n"/>
      <c r="AJ67" s="24" t="n"/>
      <c r="AK67" s="24" t="n"/>
      <c r="AL67" s="24" t="n"/>
      <c r="AM67" s="24" t="n"/>
      <c r="AN67" s="24" t="n"/>
      <c r="AO67" s="24" t="n"/>
      <c r="AP67" s="24" t="n"/>
      <c r="AQ67" s="24" t="n"/>
      <c r="AR67" s="24" t="n"/>
      <c r="AS67" s="24" t="n"/>
      <c r="AT67" s="24" t="n"/>
      <c r="AU67" s="24" t="n"/>
      <c r="AV67" s="24" t="n"/>
      <c r="AW67" s="24" t="n"/>
      <c r="AX67" s="24" t="n"/>
      <c r="AY67" s="24" t="n"/>
      <c r="AZ67" s="24" t="n"/>
      <c r="BA67" s="24" t="n"/>
      <c r="BB67" s="24" t="n"/>
      <c r="BC67" s="24" t="n"/>
      <c r="BD67" s="24" t="n"/>
      <c r="BE67" s="24" t="n"/>
      <c r="BF67" s="24" t="n"/>
      <c r="BG67" s="24" t="n"/>
      <c r="BH67" s="24" t="n"/>
      <c r="BI67" s="24" t="n"/>
      <c r="BJ67" s="24" t="n"/>
      <c r="BK67" s="24" t="n"/>
      <c r="BL67" s="24" t="n"/>
      <c r="BM67" s="24" t="n"/>
      <c r="BN67" s="24" t="n"/>
      <c r="BO67" s="24" t="n"/>
      <c r="BP67" s="24" t="n"/>
      <c r="BQ67" s="24" t="n"/>
      <c r="BR67" s="24" t="n"/>
      <c r="BS67" s="24" t="n"/>
      <c r="BT67" s="24" t="n"/>
      <c r="BU67" s="24" t="n"/>
      <c r="BV67" s="24" t="n"/>
      <c r="BW67" s="24" t="n"/>
      <c r="BX67" s="24" t="n"/>
      <c r="BY67" s="24" t="n"/>
      <c r="BZ67" s="24" t="n"/>
      <c r="CA67" s="24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</row>
    <row r="68">
      <c r="O68" s="25">
        <f>'클럭 정리'!A69</f>
        <v/>
      </c>
      <c r="P68" s="23">
        <f>'클럭 정리'!O69</f>
        <v/>
      </c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  <c r="AA68" s="24" t="n"/>
      <c r="AB68" s="24" t="n"/>
      <c r="AC68" s="24" t="n"/>
      <c r="AD68" s="24" t="n"/>
      <c r="AE68" s="24" t="n"/>
      <c r="AF68" s="24" t="n"/>
      <c r="AG68" s="24" t="n"/>
      <c r="AH68" s="24" t="n"/>
      <c r="AI68" s="24" t="n"/>
      <c r="AJ68" s="24" t="n"/>
      <c r="AK68" s="24" t="n"/>
      <c r="AL68" s="24" t="n"/>
      <c r="AM68" s="24" t="n"/>
      <c r="AN68" s="24" t="n"/>
      <c r="AO68" s="24" t="n"/>
      <c r="AP68" s="24" t="n"/>
      <c r="AQ68" s="24" t="n"/>
      <c r="AR68" s="24" t="n"/>
      <c r="AS68" s="24" t="n"/>
      <c r="AT68" s="24" t="n"/>
      <c r="AU68" s="24" t="n"/>
      <c r="AV68" s="24" t="n"/>
      <c r="AW68" s="24" t="n"/>
      <c r="AX68" s="24" t="n"/>
      <c r="AY68" s="24" t="n"/>
      <c r="AZ68" s="24" t="n"/>
      <c r="BA68" s="24" t="n"/>
      <c r="BB68" s="24" t="n"/>
      <c r="BC68" s="24" t="n"/>
      <c r="BD68" s="24" t="n"/>
      <c r="BE68" s="24" t="n"/>
      <c r="BF68" s="24" t="n"/>
      <c r="BG68" s="24" t="n"/>
      <c r="BH68" s="24" t="n"/>
      <c r="BI68" s="24" t="n"/>
      <c r="BJ68" s="24" t="n"/>
      <c r="BK68" s="24" t="n"/>
      <c r="BL68" s="24" t="n"/>
      <c r="BM68" s="24" t="n"/>
      <c r="BN68" s="24" t="n"/>
      <c r="BO68" s="24" t="n"/>
      <c r="BP68" s="24" t="n"/>
      <c r="BQ68" s="24" t="n"/>
      <c r="BR68" s="24" t="n"/>
      <c r="BS68" s="24" t="n"/>
      <c r="BT68" s="24" t="n"/>
      <c r="BU68" s="24" t="n"/>
      <c r="BV68" s="24" t="n"/>
      <c r="BW68" s="24" t="n"/>
      <c r="BX68" s="24" t="n"/>
      <c r="BY68" s="24" t="n"/>
      <c r="BZ68" s="24" t="n"/>
      <c r="CA68" s="24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</row>
    <row r="69">
      <c r="O69" s="25">
        <f>'클럭 정리'!A70</f>
        <v/>
      </c>
      <c r="P69" s="23">
        <f>'클럭 정리'!O70</f>
        <v/>
      </c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  <c r="AA69" s="24" t="n"/>
      <c r="AB69" s="24" t="n"/>
      <c r="AC69" s="24" t="n"/>
      <c r="AD69" s="24" t="n"/>
      <c r="AE69" s="24" t="n"/>
      <c r="AF69" s="24" t="n"/>
      <c r="AG69" s="24" t="n"/>
      <c r="AH69" s="24" t="n"/>
      <c r="AI69" s="24" t="n"/>
      <c r="AJ69" s="24" t="n"/>
      <c r="AK69" s="24" t="n"/>
      <c r="AL69" s="24" t="n"/>
      <c r="AM69" s="24" t="n"/>
      <c r="AN69" s="24" t="n"/>
      <c r="AO69" s="24" t="n"/>
      <c r="AP69" s="24" t="n"/>
      <c r="AQ69" s="24" t="n"/>
      <c r="AR69" s="24" t="n"/>
      <c r="AS69" s="24" t="n"/>
      <c r="AT69" s="24" t="n"/>
      <c r="AU69" s="24" t="n"/>
      <c r="AV69" s="24" t="n"/>
      <c r="AW69" s="24" t="n"/>
      <c r="AX69" s="24" t="n"/>
      <c r="AY69" s="24" t="n"/>
      <c r="AZ69" s="24" t="n"/>
      <c r="BA69" s="24" t="n"/>
      <c r="BB69" s="24" t="n"/>
      <c r="BC69" s="24" t="n"/>
      <c r="BD69" s="24" t="n"/>
      <c r="BE69" s="24" t="n"/>
      <c r="BF69" s="24" t="n"/>
      <c r="BG69" s="24" t="n"/>
      <c r="BH69" s="24" t="n"/>
      <c r="BI69" s="24" t="n"/>
      <c r="BJ69" s="24" t="n"/>
      <c r="BK69" s="24" t="n"/>
      <c r="BL69" s="24" t="n"/>
      <c r="BM69" s="24" t="n"/>
      <c r="BN69" s="24" t="n"/>
      <c r="BO69" s="24" t="n"/>
      <c r="BP69" s="24" t="n"/>
      <c r="BQ69" s="24" t="n"/>
      <c r="BR69" s="24" t="n"/>
      <c r="BS69" s="24" t="n"/>
      <c r="BT69" s="24" t="n"/>
      <c r="BU69" s="24" t="n"/>
      <c r="BV69" s="24" t="n"/>
      <c r="BW69" s="24" t="n"/>
      <c r="BX69" s="24" t="n"/>
      <c r="BY69" s="24" t="n"/>
      <c r="BZ69" s="24" t="n"/>
      <c r="CA69" s="24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</row>
    <row r="70">
      <c r="O70" s="25">
        <f>'클럭 정리'!A71</f>
        <v/>
      </c>
      <c r="P70" s="23">
        <f>'클럭 정리'!O71</f>
        <v/>
      </c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  <c r="AA70" s="24" t="n"/>
      <c r="AB70" s="24" t="n"/>
      <c r="AC70" s="24" t="n"/>
      <c r="AD70" s="24" t="n"/>
      <c r="AE70" s="24" t="n"/>
      <c r="AF70" s="24" t="n"/>
      <c r="AG70" s="24" t="n"/>
      <c r="AH70" s="24" t="n"/>
      <c r="AI70" s="24" t="n"/>
      <c r="AJ70" s="24" t="n"/>
      <c r="AK70" s="24" t="n"/>
      <c r="AL70" s="24" t="n"/>
      <c r="AM70" s="24" t="n"/>
      <c r="AN70" s="24" t="n"/>
      <c r="AO70" s="24" t="n"/>
      <c r="AP70" s="24" t="n"/>
      <c r="AQ70" s="24" t="n"/>
      <c r="AR70" s="24" t="n"/>
      <c r="AS70" s="24" t="n"/>
      <c r="AT70" s="24" t="n"/>
      <c r="AU70" s="24" t="n"/>
      <c r="AV70" s="24" t="n"/>
      <c r="AW70" s="24" t="n"/>
      <c r="AX70" s="24" t="n"/>
      <c r="AY70" s="24" t="n"/>
      <c r="AZ70" s="24" t="n"/>
      <c r="BA70" s="24" t="n"/>
      <c r="BB70" s="24" t="n"/>
      <c r="BC70" s="24" t="n"/>
      <c r="BD70" s="24" t="n"/>
      <c r="BE70" s="24" t="n"/>
      <c r="BF70" s="24" t="n"/>
      <c r="BG70" s="24" t="n"/>
      <c r="BH70" s="24" t="n"/>
      <c r="BI70" s="24" t="n"/>
      <c r="BJ70" s="24" t="n"/>
      <c r="BK70" s="24" t="n"/>
      <c r="BL70" s="24" t="n"/>
      <c r="BM70" s="24" t="n"/>
      <c r="BN70" s="24" t="n"/>
      <c r="BO70" s="24" t="n"/>
      <c r="BP70" s="24" t="n"/>
      <c r="BQ70" s="24" t="n"/>
      <c r="BR70" s="24" t="n"/>
      <c r="BS70" s="24" t="n"/>
      <c r="BT70" s="24" t="n"/>
      <c r="BU70" s="24" t="n"/>
      <c r="BV70" s="24" t="n"/>
      <c r="BW70" s="24" t="n"/>
      <c r="BX70" s="24" t="n"/>
      <c r="BY70" s="24" t="n"/>
      <c r="BZ70" s="24" t="n"/>
      <c r="CA70" s="24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</row>
    <row r="71">
      <c r="O71" s="25">
        <f>'클럭 정리'!A72</f>
        <v/>
      </c>
      <c r="P71" s="23">
        <f>'클럭 정리'!O72</f>
        <v/>
      </c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  <c r="AA71" s="24" t="n"/>
      <c r="AB71" s="24" t="n"/>
      <c r="AC71" s="24" t="n"/>
      <c r="AD71" s="24" t="n"/>
      <c r="AE71" s="24" t="n"/>
      <c r="AF71" s="24" t="n"/>
      <c r="AG71" s="24" t="n"/>
      <c r="AH71" s="24" t="n"/>
      <c r="AI71" s="24" t="n"/>
      <c r="AJ71" s="24" t="n"/>
      <c r="AK71" s="24" t="n"/>
      <c r="AL71" s="24" t="n"/>
      <c r="AM71" s="24" t="n"/>
      <c r="AN71" s="24" t="n"/>
      <c r="AO71" s="24" t="n"/>
      <c r="AP71" s="24" t="n"/>
      <c r="AQ71" s="24" t="n"/>
      <c r="AR71" s="24" t="n"/>
      <c r="AS71" s="24" t="n"/>
      <c r="AT71" s="24" t="n"/>
      <c r="AU71" s="24" t="n"/>
      <c r="AV71" s="24" t="n"/>
      <c r="AW71" s="24" t="n"/>
      <c r="AX71" s="24" t="n"/>
      <c r="AY71" s="24" t="n"/>
      <c r="AZ71" s="24" t="n"/>
      <c r="BA71" s="24" t="n"/>
      <c r="BB71" s="24" t="n"/>
      <c r="BC71" s="24" t="n"/>
      <c r="BD71" s="24" t="n"/>
      <c r="BE71" s="24" t="n"/>
      <c r="BF71" s="24" t="n"/>
      <c r="BG71" s="24" t="n"/>
      <c r="BH71" s="24" t="n"/>
      <c r="BI71" s="24" t="n"/>
      <c r="BJ71" s="24" t="n"/>
      <c r="BK71" s="24" t="n"/>
      <c r="BL71" s="24" t="n"/>
      <c r="BM71" s="24" t="n"/>
      <c r="BN71" s="24" t="n"/>
      <c r="BO71" s="24" t="n"/>
      <c r="BP71" s="24" t="n"/>
      <c r="BQ71" s="24" t="n"/>
      <c r="BR71" s="24" t="n"/>
      <c r="BS71" s="24" t="n"/>
      <c r="BT71" s="24" t="n"/>
      <c r="BU71" s="24" t="n"/>
      <c r="BV71" s="24" t="n"/>
      <c r="BW71" s="24" t="n"/>
      <c r="BX71" s="24" t="n"/>
      <c r="BY71" s="24" t="n"/>
      <c r="BZ71" s="24" t="n"/>
      <c r="CA71" s="24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</row>
    <row r="72">
      <c r="O72" s="25">
        <f>'클럭 정리'!A73</f>
        <v/>
      </c>
      <c r="P72" s="23">
        <f>'클럭 정리'!O73</f>
        <v/>
      </c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  <c r="AA72" s="24" t="n"/>
      <c r="AB72" s="24" t="n"/>
      <c r="AC72" s="24" t="n"/>
      <c r="AD72" s="24" t="n"/>
      <c r="AE72" s="24" t="n"/>
      <c r="AF72" s="24" t="n"/>
      <c r="AG72" s="24" t="n"/>
      <c r="AH72" s="24" t="n"/>
      <c r="AI72" s="24" t="n"/>
      <c r="AJ72" s="24" t="n"/>
      <c r="AK72" s="24" t="n"/>
      <c r="AL72" s="24" t="n"/>
      <c r="AM72" s="24" t="n"/>
      <c r="AN72" s="24" t="n"/>
      <c r="AO72" s="24" t="n"/>
      <c r="AP72" s="24" t="n"/>
      <c r="AQ72" s="24" t="n"/>
      <c r="AR72" s="24" t="n"/>
      <c r="AS72" s="24" t="n"/>
      <c r="AT72" s="24" t="n"/>
      <c r="AU72" s="24" t="n"/>
      <c r="AV72" s="24" t="n"/>
      <c r="AW72" s="24" t="n"/>
      <c r="AX72" s="24" t="n"/>
      <c r="AY72" s="24" t="n"/>
      <c r="AZ72" s="24" t="n"/>
      <c r="BA72" s="24" t="n"/>
      <c r="BB72" s="24" t="n"/>
      <c r="BC72" s="24" t="n"/>
      <c r="BD72" s="24" t="n"/>
      <c r="BE72" s="24" t="n"/>
      <c r="BF72" s="24" t="n"/>
      <c r="BG72" s="24" t="n"/>
      <c r="BH72" s="24" t="n"/>
      <c r="BI72" s="24" t="n"/>
      <c r="BJ72" s="24" t="n"/>
      <c r="BK72" s="24" t="n"/>
      <c r="BL72" s="24" t="n"/>
      <c r="BM72" s="24" t="n"/>
      <c r="BN72" s="24" t="n"/>
      <c r="BO72" s="24" t="n"/>
      <c r="BP72" s="24" t="n"/>
      <c r="BQ72" s="24" t="n"/>
      <c r="BR72" s="24" t="n"/>
      <c r="BS72" s="24" t="n"/>
      <c r="BT72" s="24" t="n"/>
      <c r="BU72" s="24" t="n"/>
      <c r="BV72" s="24" t="n"/>
      <c r="BW72" s="24" t="n"/>
      <c r="BX72" s="24" t="n"/>
      <c r="BY72" s="24" t="n"/>
      <c r="BZ72" s="24" t="n"/>
      <c r="CA72" s="24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</row>
    <row r="73">
      <c r="O73" s="25">
        <f>'클럭 정리'!A74</f>
        <v/>
      </c>
      <c r="P73" s="23">
        <f>'클럭 정리'!O74</f>
        <v/>
      </c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  <c r="AA73" s="24" t="n"/>
      <c r="AB73" s="24" t="n"/>
      <c r="AC73" s="24" t="n"/>
      <c r="AD73" s="24" t="n"/>
      <c r="AE73" s="24" t="n"/>
      <c r="AF73" s="24" t="n"/>
      <c r="AG73" s="24" t="n"/>
      <c r="AH73" s="24" t="n"/>
      <c r="AI73" s="24" t="n"/>
      <c r="AJ73" s="24" t="n"/>
      <c r="AK73" s="24" t="n"/>
      <c r="AL73" s="24" t="n"/>
      <c r="AM73" s="24" t="n"/>
      <c r="AN73" s="24" t="n"/>
      <c r="AO73" s="24" t="n"/>
      <c r="AP73" s="24" t="n"/>
      <c r="AQ73" s="24" t="n"/>
      <c r="AR73" s="24" t="n"/>
      <c r="AS73" s="24" t="n"/>
      <c r="AT73" s="24" t="n"/>
      <c r="AU73" s="24" t="n"/>
      <c r="AV73" s="24" t="n"/>
      <c r="AW73" s="24" t="n"/>
      <c r="AX73" s="24" t="n"/>
      <c r="AY73" s="24" t="n"/>
      <c r="AZ73" s="24" t="n"/>
      <c r="BA73" s="24" t="n"/>
      <c r="BB73" s="24" t="n"/>
      <c r="BC73" s="24" t="n"/>
      <c r="BD73" s="24" t="n"/>
      <c r="BE73" s="24" t="n"/>
      <c r="BF73" s="24" t="n"/>
      <c r="BG73" s="24" t="n"/>
      <c r="BH73" s="24" t="n"/>
      <c r="BI73" s="24" t="n"/>
      <c r="BJ73" s="24" t="n"/>
      <c r="BK73" s="24" t="n"/>
      <c r="BL73" s="24" t="n"/>
      <c r="BM73" s="24" t="n"/>
      <c r="BN73" s="24" t="n"/>
      <c r="BO73" s="24" t="n"/>
      <c r="BP73" s="24" t="n"/>
      <c r="BQ73" s="24" t="n"/>
      <c r="BR73" s="24" t="n"/>
      <c r="BS73" s="24" t="n"/>
      <c r="BT73" s="24" t="n"/>
      <c r="BU73" s="24" t="n"/>
      <c r="BV73" s="24" t="n"/>
      <c r="BW73" s="24" t="n"/>
      <c r="BX73" s="24" t="n"/>
      <c r="BY73" s="24" t="n"/>
      <c r="BZ73" s="24" t="n"/>
      <c r="CA73" s="24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</row>
    <row r="74">
      <c r="O74" s="25">
        <f>'클럭 정리'!A75</f>
        <v/>
      </c>
      <c r="P74" s="23">
        <f>'클럭 정리'!O75</f>
        <v/>
      </c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  <c r="AA74" s="24" t="n"/>
      <c r="AB74" s="24" t="n"/>
      <c r="AC74" s="24" t="n"/>
      <c r="AD74" s="24" t="n"/>
      <c r="AE74" s="24" t="n"/>
      <c r="AF74" s="24" t="n"/>
      <c r="AG74" s="24" t="n"/>
      <c r="AH74" s="24" t="n"/>
      <c r="AI74" s="24" t="n"/>
      <c r="AJ74" s="24" t="n"/>
      <c r="AK74" s="24" t="n"/>
      <c r="AL74" s="24" t="n"/>
      <c r="AM74" s="24" t="n"/>
      <c r="AN74" s="24" t="n"/>
      <c r="AO74" s="24" t="n"/>
      <c r="AP74" s="24" t="n"/>
      <c r="AQ74" s="24" t="n"/>
      <c r="AR74" s="24" t="n"/>
      <c r="AS74" s="24" t="n"/>
      <c r="AT74" s="24" t="n"/>
      <c r="AU74" s="24" t="n"/>
      <c r="AV74" s="24" t="n"/>
      <c r="AW74" s="24" t="n"/>
      <c r="AX74" s="24" t="n"/>
      <c r="AY74" s="24" t="n"/>
      <c r="AZ74" s="24" t="n"/>
      <c r="BA74" s="24" t="n"/>
      <c r="BB74" s="24" t="n"/>
      <c r="BC74" s="24" t="n"/>
      <c r="BD74" s="24" t="n"/>
      <c r="BE74" s="24" t="n"/>
      <c r="BF74" s="24" t="n"/>
      <c r="BG74" s="24" t="n"/>
      <c r="BH74" s="24" t="n"/>
      <c r="BI74" s="24" t="n"/>
      <c r="BJ74" s="24" t="n"/>
      <c r="BK74" s="24" t="n"/>
      <c r="BL74" s="24" t="n"/>
      <c r="BM74" s="24" t="n"/>
      <c r="BN74" s="24" t="n"/>
      <c r="BO74" s="24" t="n"/>
      <c r="BP74" s="24" t="n"/>
      <c r="BQ74" s="24" t="n"/>
      <c r="BR74" s="24" t="n"/>
      <c r="BS74" s="24" t="n"/>
      <c r="BT74" s="24" t="n"/>
      <c r="BU74" s="24" t="n"/>
      <c r="BV74" s="24" t="n"/>
      <c r="BW74" s="24" t="n"/>
      <c r="BX74" s="24" t="n"/>
      <c r="BY74" s="24" t="n"/>
      <c r="BZ74" s="24" t="n"/>
      <c r="CA74" s="24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</row>
    <row r="75">
      <c r="O75" s="25">
        <f>'클럭 정리'!A76</f>
        <v/>
      </c>
      <c r="P75" s="23">
        <f>'클럭 정리'!O76</f>
        <v/>
      </c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  <c r="AA75" s="24" t="n"/>
      <c r="AB75" s="24" t="n"/>
      <c r="AC75" s="24" t="n"/>
      <c r="AD75" s="24" t="n"/>
      <c r="AE75" s="24" t="n"/>
      <c r="AF75" s="24" t="n"/>
      <c r="AG75" s="24" t="n"/>
      <c r="AH75" s="24" t="n"/>
      <c r="AI75" s="24" t="n"/>
      <c r="AJ75" s="24" t="n"/>
      <c r="AK75" s="24" t="n"/>
      <c r="AL75" s="24" t="n"/>
      <c r="AM75" s="24" t="n"/>
      <c r="AN75" s="24" t="n"/>
      <c r="AO75" s="24" t="n"/>
      <c r="AP75" s="24" t="n"/>
      <c r="AQ75" s="24" t="n"/>
      <c r="AR75" s="24" t="n"/>
      <c r="AS75" s="24" t="n"/>
      <c r="AT75" s="24" t="n"/>
      <c r="AU75" s="24" t="n"/>
      <c r="AV75" s="24" t="n"/>
      <c r="AW75" s="24" t="n"/>
      <c r="AX75" s="24" t="n"/>
      <c r="AY75" s="24" t="n"/>
      <c r="AZ75" s="24" t="n"/>
      <c r="BA75" s="24" t="n"/>
      <c r="BB75" s="24" t="n"/>
      <c r="BC75" s="24" t="n"/>
      <c r="BD75" s="24" t="n"/>
      <c r="BE75" s="24" t="n"/>
      <c r="BF75" s="24" t="n"/>
      <c r="BG75" s="24" t="n"/>
      <c r="BH75" s="24" t="n"/>
      <c r="BI75" s="24" t="n"/>
      <c r="BJ75" s="24" t="n"/>
      <c r="BK75" s="24" t="n"/>
      <c r="BL75" s="24" t="n"/>
      <c r="BM75" s="24" t="n"/>
      <c r="BN75" s="24" t="n"/>
      <c r="BO75" s="24" t="n"/>
      <c r="BP75" s="24" t="n"/>
      <c r="BQ75" s="24" t="n"/>
      <c r="BR75" s="24" t="n"/>
      <c r="BS75" s="24" t="n"/>
      <c r="BT75" s="24" t="n"/>
      <c r="BU75" s="24" t="n"/>
      <c r="BV75" s="24" t="n"/>
      <c r="BW75" s="24" t="n"/>
      <c r="BX75" s="24" t="n"/>
      <c r="BY75" s="24" t="n"/>
      <c r="BZ75" s="24" t="n"/>
      <c r="CA75" s="24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</row>
    <row r="76">
      <c r="O76" s="25">
        <f>'클럭 정리'!A77</f>
        <v/>
      </c>
      <c r="P76" s="23">
        <f>'클럭 정리'!O77</f>
        <v/>
      </c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  <c r="AA76" s="24" t="n"/>
      <c r="AB76" s="24" t="n"/>
      <c r="AC76" s="24" t="n"/>
      <c r="AD76" s="24" t="n"/>
      <c r="AE76" s="24" t="n"/>
      <c r="AF76" s="24" t="n"/>
      <c r="AG76" s="24" t="n"/>
      <c r="AH76" s="24" t="n"/>
      <c r="AI76" s="24" t="n"/>
      <c r="AJ76" s="24" t="n"/>
      <c r="AK76" s="24" t="n"/>
      <c r="AL76" s="24" t="n"/>
      <c r="AM76" s="24" t="n"/>
      <c r="AN76" s="24" t="n"/>
      <c r="AO76" s="24" t="n"/>
      <c r="AP76" s="24" t="n"/>
      <c r="AQ76" s="24" t="n"/>
      <c r="AR76" s="24" t="n"/>
      <c r="AS76" s="24" t="n"/>
      <c r="AT76" s="24" t="n"/>
      <c r="AU76" s="24" t="n"/>
      <c r="AV76" s="24" t="n"/>
      <c r="AW76" s="24" t="n"/>
      <c r="AX76" s="24" t="n"/>
      <c r="AY76" s="24" t="n"/>
      <c r="AZ76" s="24" t="n"/>
      <c r="BA76" s="24" t="n"/>
      <c r="BB76" s="24" t="n"/>
      <c r="BC76" s="24" t="n"/>
      <c r="BD76" s="24" t="n"/>
      <c r="BE76" s="24" t="n"/>
      <c r="BF76" s="24" t="n"/>
      <c r="BG76" s="24" t="n"/>
      <c r="BH76" s="24" t="n"/>
      <c r="BI76" s="24" t="n"/>
      <c r="BJ76" s="24" t="n"/>
      <c r="BK76" s="24" t="n"/>
      <c r="BL76" s="24" t="n"/>
      <c r="BM76" s="24" t="n"/>
      <c r="BN76" s="24" t="n"/>
      <c r="BO76" s="24" t="n"/>
      <c r="BP76" s="24" t="n"/>
      <c r="BQ76" s="24" t="n"/>
      <c r="BR76" s="24" t="n"/>
      <c r="BS76" s="24" t="n"/>
      <c r="BT76" s="24" t="n"/>
      <c r="BU76" s="24" t="n"/>
      <c r="BV76" s="24" t="n"/>
      <c r="BW76" s="24" t="n"/>
      <c r="BX76" s="24" t="n"/>
      <c r="BY76" s="24" t="n"/>
      <c r="BZ76" s="24" t="n"/>
      <c r="CA76" s="24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</row>
    <row r="77">
      <c r="O77" s="25">
        <f>'클럭 정리'!A78</f>
        <v/>
      </c>
      <c r="P77" s="23">
        <f>'클럭 정리'!O78</f>
        <v/>
      </c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  <c r="AA77" s="24" t="n"/>
      <c r="AB77" s="24" t="n"/>
      <c r="AC77" s="24" t="n"/>
      <c r="AD77" s="24" t="n"/>
      <c r="AE77" s="24" t="n"/>
      <c r="AF77" s="24" t="n"/>
      <c r="AG77" s="24" t="n"/>
      <c r="AH77" s="24" t="n"/>
      <c r="AI77" s="24" t="n"/>
      <c r="AJ77" s="24" t="n"/>
      <c r="AK77" s="24" t="n"/>
      <c r="AL77" s="24" t="n"/>
      <c r="AM77" s="24" t="n"/>
      <c r="AN77" s="24" t="n"/>
      <c r="AO77" s="24" t="n"/>
      <c r="AP77" s="24" t="n"/>
      <c r="AQ77" s="24" t="n"/>
      <c r="AR77" s="24" t="n"/>
      <c r="AS77" s="24" t="n"/>
      <c r="AT77" s="24" t="n"/>
      <c r="AU77" s="24" t="n"/>
      <c r="AV77" s="24" t="n"/>
      <c r="AW77" s="24" t="n"/>
      <c r="AX77" s="24" t="n"/>
      <c r="AY77" s="24" t="n"/>
      <c r="AZ77" s="24" t="n"/>
      <c r="BA77" s="24" t="n"/>
      <c r="BB77" s="24" t="n"/>
      <c r="BC77" s="24" t="n"/>
      <c r="BD77" s="24" t="n"/>
      <c r="BE77" s="24" t="n"/>
      <c r="BF77" s="24" t="n"/>
      <c r="BG77" s="24" t="n"/>
      <c r="BH77" s="24" t="n"/>
      <c r="BI77" s="24" t="n"/>
      <c r="BJ77" s="24" t="n"/>
      <c r="BK77" s="24" t="n"/>
      <c r="BL77" s="24" t="n"/>
      <c r="BM77" s="24" t="n"/>
      <c r="BN77" s="24" t="n"/>
      <c r="BO77" s="24" t="n"/>
      <c r="BP77" s="24" t="n"/>
      <c r="BQ77" s="24" t="n"/>
      <c r="BR77" s="24" t="n"/>
      <c r="BS77" s="24" t="n"/>
      <c r="BT77" s="24" t="n"/>
      <c r="BU77" s="24" t="n"/>
      <c r="BV77" s="24" t="n"/>
      <c r="BW77" s="24" t="n"/>
      <c r="BX77" s="24" t="n"/>
      <c r="BY77" s="24" t="n"/>
      <c r="BZ77" s="24" t="n"/>
      <c r="CA77" s="24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</row>
    <row r="78">
      <c r="O78" s="25">
        <f>'클럭 정리'!A79</f>
        <v/>
      </c>
      <c r="P78" s="23">
        <f>'클럭 정리'!O79</f>
        <v/>
      </c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  <c r="AA78" s="24" t="n"/>
      <c r="AB78" s="24" t="n"/>
      <c r="AC78" s="24" t="n"/>
      <c r="AD78" s="24" t="n"/>
      <c r="AE78" s="24" t="n"/>
      <c r="AF78" s="24" t="n"/>
      <c r="AG78" s="24" t="n"/>
      <c r="AH78" s="24" t="n"/>
      <c r="AI78" s="24" t="n"/>
      <c r="AJ78" s="24" t="n"/>
      <c r="AK78" s="24" t="n"/>
      <c r="AL78" s="24" t="n"/>
      <c r="AM78" s="24" t="n"/>
      <c r="AN78" s="24" t="n"/>
      <c r="AO78" s="24" t="n"/>
      <c r="AP78" s="24" t="n"/>
      <c r="AQ78" s="24" t="n"/>
      <c r="AR78" s="24" t="n"/>
      <c r="AS78" s="24" t="n"/>
      <c r="AT78" s="24" t="n"/>
      <c r="AU78" s="24" t="n"/>
      <c r="AV78" s="24" t="n"/>
      <c r="AW78" s="24" t="n"/>
      <c r="AX78" s="24" t="n"/>
      <c r="AY78" s="24" t="n"/>
      <c r="AZ78" s="24" t="n"/>
      <c r="BA78" s="24" t="n"/>
      <c r="BB78" s="24" t="n"/>
      <c r="BC78" s="24" t="n"/>
      <c r="BD78" s="24" t="n"/>
      <c r="BE78" s="24" t="n"/>
      <c r="BF78" s="24" t="n"/>
      <c r="BG78" s="24" t="n"/>
      <c r="BH78" s="24" t="n"/>
      <c r="BI78" s="24" t="n"/>
      <c r="BJ78" s="24" t="n"/>
      <c r="BK78" s="24" t="n"/>
      <c r="BL78" s="24" t="n"/>
      <c r="BM78" s="24" t="n"/>
      <c r="BN78" s="24" t="n"/>
      <c r="BO78" s="24" t="n"/>
      <c r="BP78" s="24" t="n"/>
      <c r="BQ78" s="24" t="n"/>
      <c r="BR78" s="24" t="n"/>
      <c r="BS78" s="24" t="n"/>
      <c r="BT78" s="24" t="n"/>
      <c r="BU78" s="24" t="n"/>
      <c r="BV78" s="24" t="n"/>
      <c r="BW78" s="24" t="n"/>
      <c r="BX78" s="24" t="n"/>
      <c r="BY78" s="24" t="n"/>
      <c r="BZ78" s="24" t="n"/>
      <c r="CA78" s="24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</row>
    <row r="79">
      <c r="O79" s="25">
        <f>'클럭 정리'!A80</f>
        <v/>
      </c>
      <c r="P79" s="23">
        <f>'클럭 정리'!O80</f>
        <v/>
      </c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  <c r="AA79" s="24" t="n"/>
      <c r="AB79" s="24" t="n"/>
      <c r="AC79" s="24" t="n"/>
      <c r="AD79" s="24" t="n"/>
      <c r="AE79" s="24" t="n"/>
      <c r="AF79" s="24" t="n"/>
      <c r="AG79" s="24" t="n"/>
      <c r="AH79" s="24" t="n"/>
      <c r="AI79" s="24" t="n"/>
      <c r="AJ79" s="24" t="n"/>
      <c r="AK79" s="24" t="n"/>
      <c r="AL79" s="24" t="n"/>
      <c r="AM79" s="24" t="n"/>
      <c r="AN79" s="24" t="n"/>
      <c r="AO79" s="24" t="n"/>
      <c r="AP79" s="24" t="n"/>
      <c r="AQ79" s="24" t="n"/>
      <c r="AR79" s="24" t="n"/>
      <c r="AS79" s="24" t="n"/>
      <c r="AT79" s="24" t="n"/>
      <c r="AU79" s="24" t="n"/>
      <c r="AV79" s="24" t="n"/>
      <c r="AW79" s="24" t="n"/>
      <c r="AX79" s="24" t="n"/>
      <c r="AY79" s="24" t="n"/>
      <c r="AZ79" s="24" t="n"/>
      <c r="BA79" s="24" t="n"/>
      <c r="BB79" s="24" t="n"/>
      <c r="BC79" s="24" t="n"/>
      <c r="BD79" s="24" t="n"/>
      <c r="BE79" s="24" t="n"/>
      <c r="BF79" s="24" t="n"/>
      <c r="BG79" s="24" t="n"/>
      <c r="BH79" s="24" t="n"/>
      <c r="BI79" s="24" t="n"/>
      <c r="BJ79" s="24" t="n"/>
      <c r="BK79" s="24" t="n"/>
      <c r="BL79" s="24" t="n"/>
      <c r="BM79" s="24" t="n"/>
      <c r="BN79" s="24" t="n"/>
      <c r="BO79" s="24" t="n"/>
      <c r="BP79" s="24" t="n"/>
      <c r="BQ79" s="24" t="n"/>
      <c r="BR79" s="24" t="n"/>
      <c r="BS79" s="24" t="n"/>
      <c r="BT79" s="24" t="n"/>
      <c r="BU79" s="24" t="n"/>
      <c r="BV79" s="24" t="n"/>
      <c r="BW79" s="24" t="n"/>
      <c r="BX79" s="24" t="n"/>
      <c r="BY79" s="24" t="n"/>
      <c r="BZ79" s="24" t="n"/>
      <c r="CA79" s="24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</row>
    <row r="80">
      <c r="O80" s="25">
        <f>'클럭 정리'!A81</f>
        <v/>
      </c>
      <c r="P80" s="23">
        <f>'클럭 정리'!O81</f>
        <v/>
      </c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  <c r="AA80" s="24" t="n"/>
      <c r="AB80" s="24" t="n"/>
      <c r="AC80" s="24" t="n"/>
      <c r="AD80" s="24" t="n"/>
      <c r="AE80" s="24" t="n"/>
      <c r="AF80" s="24" t="n"/>
      <c r="AG80" s="24" t="n"/>
      <c r="AH80" s="24" t="n"/>
      <c r="AI80" s="24" t="n"/>
      <c r="AJ80" s="24" t="n"/>
      <c r="AK80" s="24" t="n"/>
      <c r="AL80" s="24" t="n"/>
      <c r="AM80" s="24" t="n"/>
      <c r="AN80" s="24" t="n"/>
      <c r="AO80" s="24" t="n"/>
      <c r="AP80" s="24" t="n"/>
      <c r="AQ80" s="24" t="n"/>
      <c r="AR80" s="24" t="n"/>
      <c r="AS80" s="24" t="n"/>
      <c r="AT80" s="24" t="n"/>
      <c r="AU80" s="24" t="n"/>
      <c r="AV80" s="24" t="n"/>
      <c r="AW80" s="24" t="n"/>
      <c r="AX80" s="24" t="n"/>
      <c r="AY80" s="24" t="n"/>
      <c r="AZ80" s="24" t="n"/>
      <c r="BA80" s="24" t="n"/>
      <c r="BB80" s="24" t="n"/>
      <c r="BC80" s="24" t="n"/>
      <c r="BD80" s="24" t="n"/>
      <c r="BE80" s="24" t="n"/>
      <c r="BF80" s="24" t="n"/>
      <c r="BG80" s="24" t="n"/>
      <c r="BH80" s="24" t="n"/>
      <c r="BI80" s="24" t="n"/>
      <c r="BJ80" s="24" t="n"/>
      <c r="BK80" s="24" t="n"/>
      <c r="BL80" s="24" t="n"/>
      <c r="BM80" s="24" t="n"/>
      <c r="BN80" s="24" t="n"/>
      <c r="BO80" s="24" t="n"/>
      <c r="BP80" s="24" t="n"/>
      <c r="BQ80" s="24" t="n"/>
      <c r="BR80" s="24" t="n"/>
      <c r="BS80" s="24" t="n"/>
      <c r="BT80" s="24" t="n"/>
      <c r="BU80" s="24" t="n"/>
      <c r="BV80" s="24" t="n"/>
      <c r="BW80" s="24" t="n"/>
      <c r="BX80" s="24" t="n"/>
      <c r="BY80" s="24" t="n"/>
      <c r="BZ80" s="24" t="n"/>
      <c r="CA80" s="24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2026-08-04T02:38:41Z</dcterms:created>
  <dcterms:modified xmlns:dcterms="http://purl.org/dc/terms/" xmlns:xsi="http://www.w3.org/2001/XMLSchema-instance" xsi:type="dcterms:W3CDTF">2026-08-04T02:38:41Z</dcterms:modified>
</cp:coreProperties>
</file>