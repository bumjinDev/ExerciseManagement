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데이터'!$Q$5:$Q$74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데이터'!$R$5:$R$74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데이터'!$S$5:$S$74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데이터'!$T$5:$T$74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데이터'!$U$5:$U$74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데이터'!$V$5:$V$74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데이터'!$W$5:$W$74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데이터'!$X$5:$X$74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데이터'!$Y$5:$Y$74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데이터'!$Z$5:$Z$74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데이터'!$AA$5:$AA$74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데이터'!$AB$5:$AB$74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데이터'!$AC$5:$AC$74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데이터'!$AD$5:$AD$74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데이터'!$AE$5:$AE$74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데이터'!$AF$5:$AF$74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데이터'!$AG$5:$AG$74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데이터'!$AH$5:$AH$74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데이터'!$AI$5:$AI$74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데이터'!$AJ$5:$AJ$74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데이터'!$AK$5:$AK$74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데이터'!$AL$5:$AL$74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데이터'!$AM$5:$AM$74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데이터'!$AN$5:$AN$74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데이터'!$AO$5:$AO$74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데이터'!$AP$5:$AP$74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데이터'!$AQ$5:$AQ$74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데이터'!$AR$5:$AR$74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데이터'!$AS$5:$AS$74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데이터'!$AT$5:$AT$74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데이터'!$AU$5:$AU$74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데이터'!$AV$5:$AV$74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데이터'!$AW$5:$AW$74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데이터'!$AX$5:$AX$74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데이터'!$AY$5:$AY$74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데이터'!$AZ$5:$AZ$74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데이터'!$BA$5:$BA$74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데이터'!$BB$5:$BB$74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데이터'!$BC$5:$BC$74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데이터'!$BD$5:$BD$74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데이터'!$BE$5:$BE$74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데이터'!$BF$5:$BF$74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데이터'!$BG$5:$BG$74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데이터'!$BH$5:$BH$74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데이터'!$BI$5:$BI$74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데이터'!$BJ$5:$BJ$74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데이터'!$BK$5:$BK$74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데이터'!$BL$5:$BL$74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데이터'!$BM$5:$BM$74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데이터'!$BN$5:$BN$74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데이터'!$BO$5:$BO$74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데이터'!$BP$5:$BP$74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데이터'!$BQ$5:$BQ$74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데이터'!$BR$5:$BR$74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데이터'!$BS$5:$BS$74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데이터'!$BT$5:$BT$74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데이터'!$BU$5:$BU$74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데이터'!$BV$5:$BV$74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데이터'!$BW$5:$BW$74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데이터'!$BX$5:$BX$74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데이터'!$BY$5:$BY$74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데이터'!$BZ$5:$BZ$74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데이터'!$CA$5:$CA$74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데이터'!$CB$5:$CB$74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데이터'!$CC$5:$CC$74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데이터'!$CD$5:$CD$74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데이터'!$CE$5:$CE$74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데이터'!$CF$5:$CF$74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데이터'!$CG$5:$CG$74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데이터'!$CH$5:$CH$74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데이터'!$CI$5:$CI$74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데이터'!$CJ$5:$CJ$74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데이터'!$CK$5:$CK$74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데이터'!$CL$5:$CL$74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데이터'!$CM$5:$CM$74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데이터'!$CN$5:$CN$74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데이터'!$CO$5:$CO$74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데이터'!$CP$5:$CP$74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데이터'!$CQ$5:$CQ$74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데이터'!$CR$5:$CR$74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데이터'!$CS$5:$CS$74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데이터'!$CT$5:$CT$74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데이터'!$CU$5:$CU$74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데이터'!$CV$5:$CV$74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데이터'!$CW$5:$CW$74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데이터'!$CX$5:$CX$74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데이터'!$CY$5:$CY$74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데이터'!$CZ$5:$CZ$74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8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8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8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데이터'!$B$15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데이터'!$C$15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데이터'!$D$15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데이터'!$E$15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데이터'!$F$15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데이터'!$G$15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데이터'!$H$15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8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데이터'!$B$19</f>
            </numRef>
          </val>
        </ser>
        <ser>
          <idx val="1"/>
          <order val="1"/>
          <tx>
            <strRef>
              <f>'차트 데이터'!C18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데이터'!$C$19</f>
            </numRef>
          </val>
        </ser>
        <ser>
          <idx val="2"/>
          <order val="2"/>
          <tx>
            <strRef>
              <f>'차트 데이터'!D18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데이터'!$D$19</f>
            </numRef>
          </val>
        </ser>
        <ser>
          <idx val="3"/>
          <order val="3"/>
          <tx>
            <strRef>
              <f>'차트 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데이터'!$E$19</f>
            </numRef>
          </val>
        </ser>
        <ser>
          <idx val="4"/>
          <order val="4"/>
          <tx>
            <strRef>
              <f>'차트 데이터'!F18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데이터'!$F$19</f>
            </numRef>
          </val>
        </ser>
        <ser>
          <idx val="5"/>
          <order val="5"/>
          <tx>
            <strRef>
              <f>'차트 데이터'!G18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데이터'!$G$19</f>
            </numRef>
          </val>
        </ser>
        <ser>
          <idx val="6"/>
          <order val="6"/>
          <tx>
            <strRef>
              <f>'차트 데이터'!H18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</f>
            </numRef>
          </cat>
          <val>
            <numRef>
              <f>'차트 데이터'!$H$19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8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데이터'!$B$23:$B$24</f>
            </numRef>
          </val>
        </ser>
        <ser>
          <idx val="1"/>
          <order val="1"/>
          <tx>
            <strRef>
              <f>'차트 데이터'!C22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데이터'!$C$23:$C$24</f>
            </numRef>
          </val>
        </ser>
        <ser>
          <idx val="2"/>
          <order val="2"/>
          <tx>
            <strRef>
              <f>'차트 데이터'!D22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데이터'!$D$23:$D$24</f>
            </numRef>
          </val>
        </ser>
        <ser>
          <idx val="3"/>
          <order val="3"/>
          <tx>
            <strRef>
              <f>'차트 데이터'!E22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데이터'!$E$23:$E$24</f>
            </numRef>
          </val>
        </ser>
        <ser>
          <idx val="4"/>
          <order val="4"/>
          <tx>
            <strRef>
              <f>'차트 데이터'!F22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데이터'!$F$23:$F$24</f>
            </numRef>
          </val>
        </ser>
        <ser>
          <idx val="5"/>
          <order val="5"/>
          <tx>
            <strRef>
              <f>'차트 데이터'!G22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데이터'!$G$23:$G$24</f>
            </numRef>
          </val>
        </ser>
        <ser>
          <idx val="6"/>
          <order val="6"/>
          <tx>
            <strRef>
              <f>'차트 데이터'!H22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데이터'!$A$23:$A$24</f>
            </numRef>
          </cat>
          <val>
            <numRef>
              <f>'차트 데이터'!$H$23:$H$24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8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데이터'!$B$28</f>
            </numRef>
          </val>
        </ser>
        <ser>
          <idx val="1"/>
          <order val="1"/>
          <tx>
            <strRef>
              <f>'차트 데이터'!C27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데이터'!$C$28</f>
            </numRef>
          </val>
        </ser>
        <ser>
          <idx val="2"/>
          <order val="2"/>
          <tx>
            <strRef>
              <f>'차트 데이터'!D27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데이터'!$D$28</f>
            </numRef>
          </val>
        </ser>
        <ser>
          <idx val="3"/>
          <order val="3"/>
          <tx>
            <strRef>
              <f>'차트 데이터'!E27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데이터'!$E$28</f>
            </numRef>
          </val>
        </ser>
        <ser>
          <idx val="4"/>
          <order val="4"/>
          <tx>
            <strRef>
              <f>'차트 데이터'!F27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데이터'!$F$28</f>
            </numRef>
          </val>
        </ser>
        <ser>
          <idx val="5"/>
          <order val="5"/>
          <tx>
            <strRef>
              <f>'차트 데이터'!G27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데이터'!$G$28</f>
            </numRef>
          </val>
        </ser>
        <ser>
          <idx val="6"/>
          <order val="6"/>
          <tx>
            <strRef>
              <f>'차트 데이터'!H27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데이터'!$H$28</f>
            </numRef>
          </val>
        </ser>
        <ser>
          <idx val="7"/>
          <order val="7"/>
          <tx>
            <strRef>
              <f>'차트 데이터'!I27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데이터'!$I$28</f>
            </numRef>
          </val>
        </ser>
        <ser>
          <idx val="8"/>
          <order val="8"/>
          <tx>
            <strRef>
              <f>'차트 데이터'!J27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데이터'!$J$28</f>
            </numRef>
          </val>
        </ser>
        <ser>
          <idx val="9"/>
          <order val="9"/>
          <tx>
            <strRef>
              <f>'차트 데이터'!K27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데이터'!$K$28</f>
            </numRef>
          </val>
        </ser>
        <ser>
          <idx val="10"/>
          <order val="10"/>
          <tx>
            <strRef>
              <f>'차트 데이터'!L27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데이터'!$L$28</f>
            </numRef>
          </val>
        </ser>
        <ser>
          <idx val="11"/>
          <order val="11"/>
          <tx>
            <strRef>
              <f>'차트 데이터'!M27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데이터'!$M$28</f>
            </numRef>
          </val>
        </ser>
        <ser>
          <idx val="12"/>
          <order val="12"/>
          <tx>
            <strRef>
              <f>'차트 데이터'!N27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데이터'!$A$28</f>
            </numRef>
          </cat>
          <val>
            <numRef>
              <f>'차트 데이터'!$N$28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8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데이터'!$B$32</f>
            </numRef>
          </val>
        </ser>
        <ser>
          <idx val="1"/>
          <order val="1"/>
          <tx>
            <strRef>
              <f>'차트 데이터'!C31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데이터'!$C$32</f>
            </numRef>
          </val>
        </ser>
        <ser>
          <idx val="2"/>
          <order val="2"/>
          <tx>
            <strRef>
              <f>'차트 데이터'!D31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데이터'!$D$32</f>
            </numRef>
          </val>
        </ser>
        <ser>
          <idx val="3"/>
          <order val="3"/>
          <tx>
            <strRef>
              <f>'차트 데이터'!E31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데이터'!$E$32</f>
            </numRef>
          </val>
        </ser>
        <ser>
          <idx val="4"/>
          <order val="4"/>
          <tx>
            <strRef>
              <f>'차트 데이터'!F31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데이터'!$F$32</f>
            </numRef>
          </val>
        </ser>
        <ser>
          <idx val="5"/>
          <order val="5"/>
          <tx>
            <strRef>
              <f>'차트 데이터'!G31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데이터'!$G$32</f>
            </numRef>
          </val>
        </ser>
        <ser>
          <idx val="6"/>
          <order val="6"/>
          <tx>
            <strRef>
              <f>'차트 데이터'!H31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데이터'!$H$32</f>
            </numRef>
          </val>
        </ser>
        <ser>
          <idx val="7"/>
          <order val="7"/>
          <tx>
            <strRef>
              <f>'차트 데이터'!I31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데이터'!$I$32</f>
            </numRef>
          </val>
        </ser>
        <ser>
          <idx val="8"/>
          <order val="8"/>
          <tx>
            <strRef>
              <f>'차트 데이터'!J31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데이터'!$J$32</f>
            </numRef>
          </val>
        </ser>
        <ser>
          <idx val="9"/>
          <order val="9"/>
          <tx>
            <strRef>
              <f>'차트 데이터'!K31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데이터'!$K$32</f>
            </numRef>
          </val>
        </ser>
        <ser>
          <idx val="10"/>
          <order val="10"/>
          <tx>
            <strRef>
              <f>'차트 데이터'!L31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데이터'!$L$32</f>
            </numRef>
          </val>
        </ser>
        <ser>
          <idx val="11"/>
          <order val="11"/>
          <tx>
            <strRef>
              <f>'차트 데이터'!M31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데이터'!$M$32</f>
            </numRef>
          </val>
        </ser>
        <ser>
          <idx val="12"/>
          <order val="12"/>
          <tx>
            <strRef>
              <f>'차트 데이터'!N31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데이터'!$A$32</f>
            </numRef>
          </cat>
          <val>
            <numRef>
              <f>'차트 데이터'!$N$32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8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데이터'!$B$36</f>
            </numRef>
          </val>
        </ser>
        <ser>
          <idx val="1"/>
          <order val="1"/>
          <tx>
            <strRef>
              <f>'차트 데이터'!C35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데이터'!$C$36</f>
            </numRef>
          </val>
        </ser>
        <ser>
          <idx val="2"/>
          <order val="2"/>
          <tx>
            <strRef>
              <f>'차트 데이터'!D35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데이터'!$D$36</f>
            </numRef>
          </val>
        </ser>
        <ser>
          <idx val="3"/>
          <order val="3"/>
          <tx>
            <strRef>
              <f>'차트 데이터'!E35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데이터'!$E$36</f>
            </numRef>
          </val>
        </ser>
        <ser>
          <idx val="4"/>
          <order val="4"/>
          <tx>
            <strRef>
              <f>'차트 데이터'!F35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데이터'!$F$36</f>
            </numRef>
          </val>
        </ser>
        <ser>
          <idx val="5"/>
          <order val="5"/>
          <tx>
            <strRef>
              <f>'차트 데이터'!G35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데이터'!$G$36</f>
            </numRef>
          </val>
        </ser>
        <ser>
          <idx val="6"/>
          <order val="6"/>
          <tx>
            <strRef>
              <f>'차트 데이터'!H35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데이터'!$H$36</f>
            </numRef>
          </val>
        </ser>
        <ser>
          <idx val="7"/>
          <order val="7"/>
          <tx>
            <strRef>
              <f>'차트 데이터'!I35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데이터'!$I$36</f>
            </numRef>
          </val>
        </ser>
        <ser>
          <idx val="8"/>
          <order val="8"/>
          <tx>
            <strRef>
              <f>'차트 데이터'!J35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데이터'!$J$36</f>
            </numRef>
          </val>
        </ser>
        <ser>
          <idx val="9"/>
          <order val="9"/>
          <tx>
            <strRef>
              <f>'차트 데이터'!K35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데이터'!$K$36</f>
            </numRef>
          </val>
        </ser>
        <ser>
          <idx val="10"/>
          <order val="10"/>
          <tx>
            <strRef>
              <f>'차트 데이터'!L35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데이터'!$A$36</f>
            </numRef>
          </cat>
          <val>
            <numRef>
              <f>'차트 데이터'!$L$36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8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데이터'!$B$40</f>
            </numRef>
          </val>
        </ser>
        <ser>
          <idx val="1"/>
          <order val="1"/>
          <tx>
            <strRef>
              <f>'차트 데이터'!C39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데이터'!$C$40</f>
            </numRef>
          </val>
        </ser>
        <ser>
          <idx val="2"/>
          <order val="2"/>
          <tx>
            <strRef>
              <f>'차트 데이터'!D39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데이터'!$D$40</f>
            </numRef>
          </val>
        </ser>
        <ser>
          <idx val="3"/>
          <order val="3"/>
          <tx>
            <strRef>
              <f>'차트 데이터'!E39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데이터'!$E$40</f>
            </numRef>
          </val>
        </ser>
        <ser>
          <idx val="4"/>
          <order val="4"/>
          <tx>
            <strRef>
              <f>'차트 데이터'!F39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데이터'!$F$40</f>
            </numRef>
          </val>
        </ser>
        <ser>
          <idx val="5"/>
          <order val="5"/>
          <tx>
            <strRef>
              <f>'차트 데이터'!G39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데이터'!$G$40</f>
            </numRef>
          </val>
        </ser>
        <ser>
          <idx val="6"/>
          <order val="6"/>
          <tx>
            <strRef>
              <f>'차트 데이터'!H39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데이터'!$H$40</f>
            </numRef>
          </val>
        </ser>
        <ser>
          <idx val="7"/>
          <order val="7"/>
          <tx>
            <strRef>
              <f>'차트 데이터'!I39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데이터'!$I$40</f>
            </numRef>
          </val>
        </ser>
        <ser>
          <idx val="8"/>
          <order val="8"/>
          <tx>
            <strRef>
              <f>'차트 데이터'!J39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데이터'!$J$40</f>
            </numRef>
          </val>
        </ser>
        <ser>
          <idx val="9"/>
          <order val="9"/>
          <tx>
            <strRef>
              <f>'차트 데이터'!K39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데이터'!$K$40</f>
            </numRef>
          </val>
        </ser>
        <ser>
          <idx val="10"/>
          <order val="10"/>
          <tx>
            <strRef>
              <f>'차트 데이터'!L39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데이터'!$L$40</f>
            </numRef>
          </val>
        </ser>
        <ser>
          <idx val="11"/>
          <order val="11"/>
          <tx>
            <strRef>
              <f>'차트 데이터'!M39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</f>
            </numRef>
          </cat>
          <val>
            <numRef>
              <f>'차트 데이터'!$M$40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8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데이터'!$B$44</f>
            </numRef>
          </val>
        </ser>
        <ser>
          <idx val="1"/>
          <order val="1"/>
          <tx>
            <strRef>
              <f>'차트 데이터'!C43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데이터'!$C$44</f>
            </numRef>
          </val>
        </ser>
        <ser>
          <idx val="2"/>
          <order val="2"/>
          <tx>
            <strRef>
              <f>'차트 데이터'!D43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데이터'!$D$44</f>
            </numRef>
          </val>
        </ser>
        <ser>
          <idx val="3"/>
          <order val="3"/>
          <tx>
            <strRef>
              <f>'차트 데이터'!E43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데이터'!$E$44</f>
            </numRef>
          </val>
        </ser>
        <ser>
          <idx val="4"/>
          <order val="4"/>
          <tx>
            <strRef>
              <f>'차트 데이터'!F43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데이터'!$F$44</f>
            </numRef>
          </val>
        </ser>
        <ser>
          <idx val="5"/>
          <order val="5"/>
          <tx>
            <strRef>
              <f>'차트 데이터'!G43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데이터'!$G$44</f>
            </numRef>
          </val>
        </ser>
        <ser>
          <idx val="6"/>
          <order val="6"/>
          <tx>
            <strRef>
              <f>'차트 데이터'!H43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데이터'!$H$44</f>
            </numRef>
          </val>
        </ser>
        <ser>
          <idx val="7"/>
          <order val="7"/>
          <tx>
            <strRef>
              <f>'차트 데이터'!I43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데이터'!$I$44</f>
            </numRef>
          </val>
        </ser>
        <ser>
          <idx val="8"/>
          <order val="8"/>
          <tx>
            <strRef>
              <f>'차트 데이터'!J43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데이터'!$J$44</f>
            </numRef>
          </val>
        </ser>
        <ser>
          <idx val="9"/>
          <order val="9"/>
          <tx>
            <strRef>
              <f>'차트 데이터'!K43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데이터'!$K$44</f>
            </numRef>
          </val>
        </ser>
        <ser>
          <idx val="10"/>
          <order val="10"/>
          <tx>
            <strRef>
              <f>'차트 데이터'!L43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데이터'!$L$44</f>
            </numRef>
          </val>
        </ser>
        <ser>
          <idx val="11"/>
          <order val="11"/>
          <tx>
            <strRef>
              <f>'차트 데이터'!M43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데이터'!$A$44</f>
            </numRef>
          </cat>
          <val>
            <numRef>
              <f>'차트 데이터'!$M$44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46238.49743980324</v>
      </c>
      <c r="B6" s="7" t="n">
        <v>132.5209011459402</v>
      </c>
      <c r="C6" s="7" t="n">
        <v>159.6893574677122</v>
      </c>
      <c r="D6" s="7" t="n">
        <v>113.072299285414</v>
      </c>
      <c r="E6" s="7" t="n">
        <v>84.95888879332588</v>
      </c>
      <c r="F6" s="7" t="n">
        <v>154.5083592534992</v>
      </c>
      <c r="G6" s="7" t="n">
        <v>100.7354358300482</v>
      </c>
      <c r="H6" s="7" t="n">
        <v>138.3634216983046</v>
      </c>
      <c r="I6" s="7" t="n">
        <v>100.0631215325029</v>
      </c>
      <c r="J6" s="7" t="n">
        <v>147.4426351925989</v>
      </c>
      <c r="K6" s="7" t="n">
        <v>96.13307589484629</v>
      </c>
      <c r="L6" s="7" t="n">
        <v>131.0905945914116</v>
      </c>
      <c r="M6" s="7" t="n">
        <v>107.8291304768977</v>
      </c>
      <c r="N6" s="7" t="n">
        <v>140.2528522705632</v>
      </c>
      <c r="O6" s="8">
        <f>N6*$B$2/100</f>
        <v/>
      </c>
    </row>
    <row r="7">
      <c r="A7" s="6" t="n">
        <v>46238.49745150463</v>
      </c>
      <c r="B7" s="7" t="n">
        <v>147.6455308122531</v>
      </c>
      <c r="C7" s="7" t="n">
        <v>154.6651866439889</v>
      </c>
      <c r="D7" s="7" t="n">
        <v>157.6280457192583</v>
      </c>
      <c r="E7" s="7" t="n">
        <v>146.7664202323523</v>
      </c>
      <c r="F7" s="7" t="n">
        <v>144.5715570251769</v>
      </c>
      <c r="G7" s="7" t="n">
        <v>143.3658209509213</v>
      </c>
      <c r="H7" s="7" t="n">
        <v>149.4444856819158</v>
      </c>
      <c r="I7" s="7" t="n">
        <v>144.9680371969446</v>
      </c>
      <c r="J7" s="7" t="n">
        <v>149.237840057489</v>
      </c>
      <c r="K7" s="7" t="n">
        <v>148.9618878692064</v>
      </c>
      <c r="L7" s="7" t="n">
        <v>148.8332035938669</v>
      </c>
      <c r="M7" s="7" t="n">
        <v>151.701465989054</v>
      </c>
      <c r="N7" s="7" t="n">
        <v>150.4166808911865</v>
      </c>
      <c r="O7" s="8">
        <f>N7*$B$2/100</f>
        <v/>
      </c>
    </row>
    <row r="8">
      <c r="A8" s="6" t="n">
        <v>46238.49746320602</v>
      </c>
      <c r="B8" s="7" t="n">
        <v>149.3791051052855</v>
      </c>
      <c r="C8" s="7" t="n">
        <v>151.6550368324125</v>
      </c>
      <c r="D8" s="7" t="n">
        <v>143.0011534731792</v>
      </c>
      <c r="E8" s="7" t="n">
        <v>146.1849345640879</v>
      </c>
      <c r="F8" s="7" t="n">
        <v>155.3554598300335</v>
      </c>
      <c r="G8" s="7" t="n">
        <v>137.5379416352087</v>
      </c>
      <c r="H8" s="7" t="n">
        <v>144.2909975118751</v>
      </c>
      <c r="I8" s="7" t="n">
        <v>144.8677587255808</v>
      </c>
      <c r="J8" s="7" t="n">
        <v>153.4243683383907</v>
      </c>
      <c r="K8" s="7" t="n">
        <v>145.2050654464191</v>
      </c>
      <c r="L8" s="7" t="n">
        <v>147.2636587023579</v>
      </c>
      <c r="M8" s="7" t="n">
        <v>148.3201433069854</v>
      </c>
      <c r="N8" s="7" t="n">
        <v>148.9392801432781</v>
      </c>
      <c r="O8" s="8">
        <f>N8*$B$2/100</f>
        <v/>
      </c>
    </row>
    <row r="9">
      <c r="A9" s="6" t="n">
        <v>46238.49747494213</v>
      </c>
      <c r="B9" s="7" t="n">
        <v>151.1493880142503</v>
      </c>
      <c r="C9" s="7" t="n">
        <v>151.7474037797134</v>
      </c>
      <c r="D9" s="7" t="n">
        <v>151.561004378607</v>
      </c>
      <c r="E9" s="7" t="n">
        <v>151.8956222972573</v>
      </c>
      <c r="F9" s="7" t="n">
        <v>151.3061118640916</v>
      </c>
      <c r="G9" s="7" t="n">
        <v>151.5350954501818</v>
      </c>
      <c r="H9" s="7" t="n">
        <v>151.596059001622</v>
      </c>
      <c r="I9" s="7" t="n">
        <v>151.7170250474529</v>
      </c>
      <c r="J9" s="7" t="n">
        <v>151.5618787945633</v>
      </c>
      <c r="K9" s="7" t="n">
        <v>151.7823191971214</v>
      </c>
      <c r="L9" s="7" t="n">
        <v>151.3682780816559</v>
      </c>
      <c r="M9" s="7" t="n">
        <v>151.9790544101101</v>
      </c>
      <c r="N9" s="7" t="n">
        <v>151.6137749312408</v>
      </c>
      <c r="O9" s="8">
        <f>N9*$B$2/100</f>
        <v/>
      </c>
    </row>
    <row r="10">
      <c r="A10" s="6" t="n">
        <v>46238.49748664352</v>
      </c>
      <c r="B10" s="7" t="n">
        <v>146.1639735155734</v>
      </c>
      <c r="C10" s="7" t="n">
        <v>156.5913719429039</v>
      </c>
      <c r="D10" s="7" t="n">
        <v>155.878953360477</v>
      </c>
      <c r="E10" s="7" t="n">
        <v>151.3928073833725</v>
      </c>
      <c r="F10" s="7" t="n">
        <v>145.0955109544967</v>
      </c>
      <c r="G10" s="7" t="n">
        <v>143.2409407101836</v>
      </c>
      <c r="H10" s="7" t="n">
        <v>145.3245373280792</v>
      </c>
      <c r="I10" s="7" t="n">
        <v>142.4574159622567</v>
      </c>
      <c r="J10" s="7" t="n">
        <v>152.4561888321714</v>
      </c>
      <c r="K10" s="7" t="n">
        <v>149.7210643619103</v>
      </c>
      <c r="L10" s="7" t="n">
        <v>146.2395855586413</v>
      </c>
      <c r="M10" s="7" t="n">
        <v>154.8605332022088</v>
      </c>
      <c r="N10" s="7" t="n">
        <v>151.4040288685657</v>
      </c>
      <c r="O10" s="8">
        <f>N10*$B$2/100</f>
        <v/>
      </c>
    </row>
    <row r="11">
      <c r="A11" s="6" t="n">
        <v>46238.49749825231</v>
      </c>
      <c r="B11" s="7" t="n">
        <v>153.7594518446402</v>
      </c>
      <c r="C11" s="7" t="n">
        <v>154.5060599093477</v>
      </c>
      <c r="D11" s="7" t="n">
        <v>157.0627773563201</v>
      </c>
      <c r="E11" s="7" t="n">
        <v>145.299606779661</v>
      </c>
      <c r="F11" s="7" t="n">
        <v>134.9206152319524</v>
      </c>
      <c r="G11" s="7" t="n">
        <v>133.2634059793978</v>
      </c>
      <c r="H11" s="7" t="n">
        <v>145.8882282845697</v>
      </c>
      <c r="I11" s="7" t="n">
        <v>136.8663987419186</v>
      </c>
      <c r="J11" s="7" t="n">
        <v>150.6037531967006</v>
      </c>
      <c r="K11" s="7" t="n">
        <v>140.3818905472637</v>
      </c>
      <c r="L11" s="7" t="n">
        <v>124.841733104206</v>
      </c>
      <c r="M11" s="7" t="n">
        <v>135.8596776578441</v>
      </c>
      <c r="N11" s="7" t="n">
        <v>148.9992736594745</v>
      </c>
      <c r="O11" s="8">
        <f>N11*$B$2/100</f>
        <v/>
      </c>
    </row>
    <row r="12">
      <c r="A12" s="6" t="n">
        <v>46238.49750989583</v>
      </c>
      <c r="B12" s="7" t="n">
        <v>128.2762787363678</v>
      </c>
      <c r="C12" s="7" t="n">
        <v>158.1794279255236</v>
      </c>
      <c r="D12" s="7" t="n">
        <v>135.103643946127</v>
      </c>
      <c r="E12" s="7" t="n">
        <v>146.0295171389839</v>
      </c>
      <c r="F12" s="7" t="n">
        <v>156.7073262062122</v>
      </c>
      <c r="G12" s="7" t="n">
        <v>136.2836958959408</v>
      </c>
      <c r="H12" s="7" t="n">
        <v>148.6157325511095</v>
      </c>
      <c r="I12" s="7" t="n">
        <v>128.3566554692421</v>
      </c>
      <c r="J12" s="7" t="n">
        <v>143.9377995739393</v>
      </c>
      <c r="K12" s="7" t="n">
        <v>148.9727528262787</v>
      </c>
      <c r="L12" s="7" t="n">
        <v>135.8789760260057</v>
      </c>
      <c r="M12" s="7" t="n">
        <v>136.9709516207399</v>
      </c>
      <c r="N12" s="7" t="n">
        <v>147.2753026794575</v>
      </c>
      <c r="O12" s="8">
        <f>N12*$B$2/100</f>
        <v/>
      </c>
    </row>
    <row r="13">
      <c r="A13" s="6" t="n">
        <v>46238.49752157407</v>
      </c>
      <c r="B13" s="7" t="n">
        <v>135.8231348718896</v>
      </c>
      <c r="C13" s="7" t="n">
        <v>156.1172667190196</v>
      </c>
      <c r="D13" s="7" t="n">
        <v>152.5701315402135</v>
      </c>
      <c r="E13" s="7" t="n">
        <v>144.112040177069</v>
      </c>
      <c r="F13" s="7" t="n">
        <v>143.2944382428262</v>
      </c>
      <c r="G13" s="7" t="n">
        <v>138.5860362160666</v>
      </c>
      <c r="H13" s="7" t="n">
        <v>149.0914445161466</v>
      </c>
      <c r="I13" s="7" t="n">
        <v>140.2848557404525</v>
      </c>
      <c r="J13" s="7" t="n">
        <v>129.6942134855092</v>
      </c>
      <c r="K13" s="7" t="n">
        <v>127.8933732364258</v>
      </c>
      <c r="L13" s="7" t="n">
        <v>137.6345160840137</v>
      </c>
      <c r="M13" s="7" t="n">
        <v>115.3325673699603</v>
      </c>
      <c r="N13" s="7" t="n">
        <v>145.1783624612796</v>
      </c>
      <c r="O13" s="8">
        <f>N13*$B$2/100</f>
        <v/>
      </c>
    </row>
    <row r="14">
      <c r="A14" s="6" t="n">
        <v>46238.49753326389</v>
      </c>
      <c r="B14" s="7" t="n">
        <v>110.9047242285802</v>
      </c>
      <c r="C14" s="7" t="n">
        <v>161.0653001817889</v>
      </c>
      <c r="D14" s="7" t="n">
        <v>120.2263233190272</v>
      </c>
      <c r="E14" s="7" t="n">
        <v>117.6647788736876</v>
      </c>
      <c r="F14" s="7" t="n">
        <v>132.3328352390852</v>
      </c>
      <c r="G14" s="7" t="n">
        <v>116.0134351519111</v>
      </c>
      <c r="H14" s="7" t="n">
        <v>154.3201106274212</v>
      </c>
      <c r="I14" s="7" t="n">
        <v>132.4759089647516</v>
      </c>
      <c r="J14" s="7" t="n">
        <v>149.7929169405148</v>
      </c>
      <c r="K14" s="7" t="n">
        <v>129.799438727783</v>
      </c>
      <c r="L14" s="7" t="n">
        <v>128.55090765588</v>
      </c>
      <c r="M14" s="7" t="n">
        <v>117.6325671170381</v>
      </c>
      <c r="N14" s="7" t="n">
        <v>144.7054502569287</v>
      </c>
      <c r="O14" s="8">
        <f>N14*$B$2/100</f>
        <v/>
      </c>
    </row>
    <row r="15">
      <c r="A15" s="6" t="n">
        <v>46238.49754501157</v>
      </c>
      <c r="B15" s="7" t="n">
        <v>150.0327347310848</v>
      </c>
      <c r="C15" s="7" t="n">
        <v>151.6218140384336</v>
      </c>
      <c r="D15" s="7" t="n">
        <v>151.3414238577261</v>
      </c>
      <c r="E15" s="7" t="n">
        <v>151.5254904966278</v>
      </c>
      <c r="F15" s="7" t="n">
        <v>151.4381727074579</v>
      </c>
      <c r="G15" s="7" t="n">
        <v>151.1123663665776</v>
      </c>
      <c r="H15" s="7" t="n">
        <v>149.7938882933729</v>
      </c>
      <c r="I15" s="7" t="n">
        <v>151.0575526909689</v>
      </c>
      <c r="J15" s="7" t="n">
        <v>148.8073335793433</v>
      </c>
      <c r="K15" s="7" t="n">
        <v>149.969527396646</v>
      </c>
      <c r="L15" s="7" t="n">
        <v>151.8909006900382</v>
      </c>
      <c r="M15" s="7" t="n">
        <v>150.5149344628865</v>
      </c>
      <c r="N15" s="7" t="n">
        <v>150.7954281541953</v>
      </c>
      <c r="O15" s="8">
        <f>N15*$B$2/100</f>
        <v/>
      </c>
    </row>
    <row r="16">
      <c r="A16" s="6" t="n">
        <v>46238.49755674769</v>
      </c>
      <c r="B16" s="7" t="n">
        <v>153.5601919074105</v>
      </c>
      <c r="C16" s="7" t="n">
        <v>150.8049589969621</v>
      </c>
      <c r="D16" s="7" t="n">
        <v>153.6771181843738</v>
      </c>
      <c r="E16" s="7" t="n">
        <v>151.9624249075786</v>
      </c>
      <c r="F16" s="7" t="n">
        <v>150.5286894285273</v>
      </c>
      <c r="G16" s="7" t="n">
        <v>149.7733520018164</v>
      </c>
      <c r="H16" s="7" t="n">
        <v>153.3830551514687</v>
      </c>
      <c r="I16" s="7" t="n">
        <v>155.5217775061955</v>
      </c>
      <c r="J16" s="7" t="n">
        <v>151.5096039544518</v>
      </c>
      <c r="K16" s="7" t="n">
        <v>147.9941837382881</v>
      </c>
      <c r="L16" s="7" t="n">
        <v>152.375636102299</v>
      </c>
      <c r="M16" s="7" t="n">
        <v>156.6107850954604</v>
      </c>
      <c r="N16" s="7" t="n">
        <v>152.689786917477</v>
      </c>
      <c r="O16" s="8">
        <f>N16*$B$2/100</f>
        <v/>
      </c>
    </row>
    <row r="17">
      <c r="A17" s="6" t="n">
        <v>46238.49756847222</v>
      </c>
      <c r="B17" s="7" t="n">
        <v>151.7860905105007</v>
      </c>
      <c r="C17" s="7" t="n">
        <v>155.4809743968929</v>
      </c>
      <c r="D17" s="7" t="n">
        <v>155.3422384204381</v>
      </c>
      <c r="E17" s="7" t="n">
        <v>154.2902059207146</v>
      </c>
      <c r="F17" s="7" t="n">
        <v>155.1742948638188</v>
      </c>
      <c r="G17" s="7" t="n">
        <v>146.2065289178224</v>
      </c>
      <c r="H17" s="7" t="n">
        <v>149.0864524533218</v>
      </c>
      <c r="I17" s="7" t="n">
        <v>161.2286261718988</v>
      </c>
      <c r="J17" s="7" t="n">
        <v>149.7274714698199</v>
      </c>
      <c r="K17" s="7" t="n">
        <v>150.9253589291862</v>
      </c>
      <c r="L17" s="7" t="n">
        <v>158.2189852002342</v>
      </c>
      <c r="M17" s="7" t="n">
        <v>157.2193254893875</v>
      </c>
      <c r="N17" s="7" t="n">
        <v>155.1938407873835</v>
      </c>
      <c r="O17" s="8">
        <f>N17*$B$2/100</f>
        <v/>
      </c>
    </row>
    <row r="18">
      <c r="A18" s="6" t="n">
        <v>46238.49758020834</v>
      </c>
      <c r="B18" s="7" t="n">
        <v>157.0100685322673</v>
      </c>
      <c r="C18" s="7" t="n">
        <v>153.7323867795533</v>
      </c>
      <c r="D18" s="7" t="n">
        <v>144.4334761488529</v>
      </c>
      <c r="E18" s="7" t="n">
        <v>153.6113287406007</v>
      </c>
      <c r="F18" s="7" t="n">
        <v>148.8936363370135</v>
      </c>
      <c r="G18" s="7" t="n">
        <v>151.5990053185648</v>
      </c>
      <c r="H18" s="7" t="n">
        <v>133.9247028151091</v>
      </c>
      <c r="I18" s="7" t="n">
        <v>150.1010664199455</v>
      </c>
      <c r="J18" s="7" t="n">
        <v>145.2979950907495</v>
      </c>
      <c r="K18" s="7" t="n">
        <v>128.0396475770925</v>
      </c>
      <c r="L18" s="7" t="n">
        <v>159.8906837615909</v>
      </c>
      <c r="M18" s="7" t="n">
        <v>159.5095625802574</v>
      </c>
      <c r="N18" s="7" t="n">
        <v>154.1602364514237</v>
      </c>
      <c r="O18" s="8">
        <f>N18*$B$2/100</f>
        <v/>
      </c>
    </row>
    <row r="19">
      <c r="A19" s="6" t="n">
        <v>46238.49759197917</v>
      </c>
      <c r="B19" s="7" t="n">
        <v>157.3508960507052</v>
      </c>
      <c r="C19" s="7" t="n">
        <v>160.902807558036</v>
      </c>
      <c r="D19" s="7" t="n">
        <v>146.7472576037376</v>
      </c>
      <c r="E19" s="7" t="n">
        <v>155.48993166838</v>
      </c>
      <c r="F19" s="7" t="n">
        <v>154.0183822752162</v>
      </c>
      <c r="G19" s="7" t="n">
        <v>152.6112933632194</v>
      </c>
      <c r="H19" s="7" t="n">
        <v>141.8926808489313</v>
      </c>
      <c r="I19" s="7" t="n">
        <v>120.5521620318277</v>
      </c>
      <c r="J19" s="7" t="n">
        <v>142.9406847845521</v>
      </c>
      <c r="K19" s="7" t="n">
        <v>142.541214057508</v>
      </c>
      <c r="L19" s="7" t="n">
        <v>161.935340540724</v>
      </c>
      <c r="M19" s="7" t="n">
        <v>148.6649703033738</v>
      </c>
      <c r="N19" s="7" t="n">
        <v>155.2429942117579</v>
      </c>
      <c r="O19" s="8">
        <f>N19*$B$2/100</f>
        <v/>
      </c>
    </row>
    <row r="20">
      <c r="A20" s="6" t="n">
        <v>46238.49760369213</v>
      </c>
      <c r="B20" s="7" t="n">
        <v>158.0890005131953</v>
      </c>
      <c r="C20" s="7" t="n">
        <v>163.8248703782405</v>
      </c>
      <c r="D20" s="7" t="n">
        <v>151.0911773142646</v>
      </c>
      <c r="E20" s="7" t="n">
        <v>153.565068690004</v>
      </c>
      <c r="F20" s="7" t="n">
        <v>155.8895808383234</v>
      </c>
      <c r="G20" s="7" t="n">
        <v>149.7172466564642</v>
      </c>
      <c r="H20" s="7" t="n">
        <v>130.1373536447186</v>
      </c>
      <c r="I20" s="7" t="n">
        <v>123.7095011636143</v>
      </c>
      <c r="J20" s="7" t="n">
        <v>155.0791847010743</v>
      </c>
      <c r="K20" s="7" t="n">
        <v>143.8820788333973</v>
      </c>
      <c r="L20" s="7" t="n">
        <v>162.0268723303275</v>
      </c>
      <c r="M20" s="7" t="n">
        <v>161.0086569022576</v>
      </c>
      <c r="N20" s="7" t="n">
        <v>157.9055507229933</v>
      </c>
      <c r="O20" s="8">
        <f>N20*$B$2/100</f>
        <v/>
      </c>
    </row>
    <row r="21">
      <c r="A21" s="6" t="n">
        <v>46238.49761541667</v>
      </c>
      <c r="B21" s="7" t="n">
        <v>157.0015884709241</v>
      </c>
      <c r="C21" s="7" t="n">
        <v>160.4148711989369</v>
      </c>
      <c r="D21" s="7" t="n">
        <v>143.4763554216867</v>
      </c>
      <c r="E21" s="7" t="n">
        <v>143.0624945371908</v>
      </c>
      <c r="F21" s="7" t="n">
        <v>158.2410124057835</v>
      </c>
      <c r="G21" s="7" t="n">
        <v>157.5453480560197</v>
      </c>
      <c r="H21" s="7" t="n">
        <v>147.6822323923697</v>
      </c>
      <c r="I21" s="7" t="n">
        <v>125.9335910397463</v>
      </c>
      <c r="J21" s="7" t="n">
        <v>144.9921088514317</v>
      </c>
      <c r="K21" s="7" t="n">
        <v>125.7976262321465</v>
      </c>
      <c r="L21" s="7" t="n">
        <v>161.0533237939625</v>
      </c>
      <c r="M21" s="7" t="n">
        <v>159.1762273953046</v>
      </c>
      <c r="N21" s="7" t="n">
        <v>157.1660161837427</v>
      </c>
      <c r="O21" s="8">
        <f>N21*$B$2/100</f>
        <v/>
      </c>
    </row>
    <row r="22">
      <c r="A22" s="6" t="n">
        <v>46238.49762716435</v>
      </c>
      <c r="B22" s="7" t="n">
        <v>159.8821405139272</v>
      </c>
      <c r="C22" s="7" t="n">
        <v>162.0496720157514</v>
      </c>
      <c r="D22" s="7" t="n">
        <v>150.2249614060088</v>
      </c>
      <c r="E22" s="7" t="n">
        <v>157.9650494320781</v>
      </c>
      <c r="F22" s="7" t="n">
        <v>134.0178230068593</v>
      </c>
      <c r="G22" s="7" t="n">
        <v>140.516486825596</v>
      </c>
      <c r="H22" s="7" t="n">
        <v>152.0021946368562</v>
      </c>
      <c r="I22" s="7" t="n">
        <v>142.5585705984892</v>
      </c>
      <c r="J22" s="7" t="n">
        <v>147.6881605852029</v>
      </c>
      <c r="K22" s="7" t="n">
        <v>114.2379056950398</v>
      </c>
      <c r="L22" s="7" t="n">
        <v>160.8392433316391</v>
      </c>
      <c r="M22" s="7" t="n">
        <v>161.1955817899053</v>
      </c>
      <c r="N22" s="7" t="n">
        <v>157.5336389357419</v>
      </c>
      <c r="O22" s="8">
        <f>N22*$B$2/100</f>
        <v/>
      </c>
    </row>
    <row r="23">
      <c r="A23" s="6" t="n">
        <v>46238.49763892361</v>
      </c>
      <c r="B23" s="7" t="n">
        <v>149.1761046564816</v>
      </c>
      <c r="C23" s="7" t="n">
        <v>156.9493239931778</v>
      </c>
      <c r="D23" s="7" t="n">
        <v>154.9255001513215</v>
      </c>
      <c r="E23" s="7" t="n">
        <v>158.1207248096395</v>
      </c>
      <c r="F23" s="7" t="n">
        <v>155.8862510718354</v>
      </c>
      <c r="G23" s="7" t="n">
        <v>155.9361025749708</v>
      </c>
      <c r="H23" s="7" t="n">
        <v>149.8484304173641</v>
      </c>
      <c r="I23" s="7" t="n">
        <v>155.95964437674</v>
      </c>
      <c r="J23" s="7" t="n">
        <v>148.6314534358047</v>
      </c>
      <c r="K23" s="7" t="n">
        <v>146.108711701735</v>
      </c>
      <c r="L23" s="7" t="n">
        <v>157.0315168015625</v>
      </c>
      <c r="M23" s="7" t="n">
        <v>158.1679052696929</v>
      </c>
      <c r="N23" s="7" t="n">
        <v>155.0251413961416</v>
      </c>
      <c r="O23" s="8">
        <f>N23*$B$2/100</f>
        <v/>
      </c>
    </row>
    <row r="24">
      <c r="A24" s="6" t="n">
        <v>46238.4976506713</v>
      </c>
      <c r="B24" s="7" t="n">
        <v>158.5586699010775</v>
      </c>
      <c r="C24" s="7" t="n">
        <v>150.9644150564266</v>
      </c>
      <c r="D24" s="7" t="n">
        <v>150.2070720470826</v>
      </c>
      <c r="E24" s="7" t="n">
        <v>138.9612380815486</v>
      </c>
      <c r="F24" s="7" t="n">
        <v>150.4914494604272</v>
      </c>
      <c r="G24" s="7" t="n">
        <v>138.7103626943005</v>
      </c>
      <c r="H24" s="7" t="n">
        <v>152.1586594892136</v>
      </c>
      <c r="I24" s="7" t="n">
        <v>156.3124088173157</v>
      </c>
      <c r="J24" s="7" t="n">
        <v>148.2266974206465</v>
      </c>
      <c r="K24" s="7" t="n">
        <v>134.3060756354619</v>
      </c>
      <c r="L24" s="7" t="n">
        <v>157.1137040981026</v>
      </c>
      <c r="M24" s="7" t="n">
        <v>158.8740213107265</v>
      </c>
      <c r="N24" s="7" t="n">
        <v>154.8593307763523</v>
      </c>
      <c r="O24" s="8">
        <f>N24*$B$2/100</f>
        <v/>
      </c>
    </row>
    <row r="25">
      <c r="A25" s="6" t="n">
        <v>46238.49766241898</v>
      </c>
      <c r="B25" s="7" t="n">
        <v>154.2910850800646</v>
      </c>
      <c r="C25" s="7" t="n">
        <v>157.4997600340066</v>
      </c>
      <c r="D25" s="7" t="n">
        <v>148.1640745411237</v>
      </c>
      <c r="E25" s="7" t="n">
        <v>157.1640053645922</v>
      </c>
      <c r="F25" s="7" t="n">
        <v>158.0658919722497</v>
      </c>
      <c r="G25" s="7" t="n">
        <v>154.5697395211683</v>
      </c>
      <c r="H25" s="7" t="n">
        <v>149.2757662835249</v>
      </c>
      <c r="I25" s="7" t="n">
        <v>114.9979372197309</v>
      </c>
      <c r="J25" s="7" t="n">
        <v>140.2681380955932</v>
      </c>
      <c r="K25" s="7" t="n">
        <v>140.8944439724747</v>
      </c>
      <c r="L25" s="7" t="n">
        <v>157.5878159944883</v>
      </c>
      <c r="M25" s="7" t="n">
        <v>160.0313020066954</v>
      </c>
      <c r="N25" s="7" t="n">
        <v>155.4208922433649</v>
      </c>
      <c r="O25" s="8">
        <f>N25*$B$2/100</f>
        <v/>
      </c>
    </row>
    <row r="26">
      <c r="A26" s="6" t="n">
        <v>46238.49767414352</v>
      </c>
      <c r="B26" s="7" t="n">
        <v>152.6946007251424</v>
      </c>
      <c r="C26" s="7" t="n">
        <v>151.9574709043156</v>
      </c>
      <c r="D26" s="7" t="n">
        <v>155.2555148562547</v>
      </c>
      <c r="E26" s="7" t="n">
        <v>158.749857215971</v>
      </c>
      <c r="F26" s="7" t="n">
        <v>150.3263953384817</v>
      </c>
      <c r="G26" s="7" t="n">
        <v>153.1833555562783</v>
      </c>
      <c r="H26" s="7" t="n">
        <v>151.7571116712427</v>
      </c>
      <c r="I26" s="7" t="n">
        <v>142.973148961077</v>
      </c>
      <c r="J26" s="7" t="n">
        <v>156.8293058200927</v>
      </c>
      <c r="K26" s="7" t="n">
        <v>157.5353092031191</v>
      </c>
      <c r="L26" s="7" t="n">
        <v>157.7733605125666</v>
      </c>
      <c r="M26" s="7" t="n">
        <v>161.3712781677963</v>
      </c>
      <c r="N26" s="7" t="n">
        <v>156.2496922851806</v>
      </c>
      <c r="O26" s="8">
        <f>N26*$B$2/100</f>
        <v/>
      </c>
    </row>
    <row r="27">
      <c r="A27" s="6" t="n">
        <v>46238.49768584491</v>
      </c>
      <c r="B27" s="7" t="n">
        <v>159.4014744787599</v>
      </c>
      <c r="C27" s="7" t="n">
        <v>160.2698663234705</v>
      </c>
      <c r="D27" s="7" t="n">
        <v>151.2198190530815</v>
      </c>
      <c r="E27" s="7" t="n">
        <v>158.4787325047265</v>
      </c>
      <c r="F27" s="7" t="n">
        <v>141.1608827317345</v>
      </c>
      <c r="G27" s="7" t="n">
        <v>140.6064281919603</v>
      </c>
      <c r="H27" s="7" t="n">
        <v>152.7462538874753</v>
      </c>
      <c r="I27" s="7" t="n">
        <v>154.6718777351377</v>
      </c>
      <c r="J27" s="7" t="n">
        <v>157.1374353130196</v>
      </c>
      <c r="K27" s="7" t="n">
        <v>157.0945281081543</v>
      </c>
      <c r="L27" s="7" t="n">
        <v>156.6545627494365</v>
      </c>
      <c r="M27" s="7" t="n">
        <v>161.7458502436124</v>
      </c>
      <c r="N27" s="7" t="n">
        <v>157.6863689952654</v>
      </c>
      <c r="O27" s="8">
        <f>N27*$B$2/100</f>
        <v/>
      </c>
    </row>
    <row r="28">
      <c r="A28" s="6" t="n">
        <v>46238.49769760417</v>
      </c>
      <c r="B28" s="7" t="n">
        <v>158.4005945859985</v>
      </c>
      <c r="C28" s="7" t="n">
        <v>155.4636420847875</v>
      </c>
      <c r="D28" s="7" t="n">
        <v>145.4286728527557</v>
      </c>
      <c r="E28" s="7" t="n">
        <v>149.6470671981777</v>
      </c>
      <c r="F28" s="7" t="n">
        <v>157.3599920717507</v>
      </c>
      <c r="G28" s="7" t="n">
        <v>148.8977019271734</v>
      </c>
      <c r="H28" s="7" t="n">
        <v>144.0906958100493</v>
      </c>
      <c r="I28" s="7" t="n">
        <v>158.9341270904897</v>
      </c>
      <c r="J28" s="7" t="n">
        <v>153.6227085818319</v>
      </c>
      <c r="K28" s="7" t="n">
        <v>134.9544580807334</v>
      </c>
      <c r="L28" s="7" t="n">
        <v>158.1850685785536</v>
      </c>
      <c r="M28" s="7" t="n">
        <v>158.1879992965885</v>
      </c>
      <c r="N28" s="7" t="n">
        <v>155.4833535028753</v>
      </c>
      <c r="O28" s="8">
        <f>N28*$B$2/100</f>
        <v/>
      </c>
    </row>
    <row r="29">
      <c r="A29" s="6" t="n">
        <v>46238.49770935185</v>
      </c>
      <c r="B29" s="7" t="n">
        <v>159.092544870309</v>
      </c>
      <c r="C29" s="7" t="n">
        <v>154.3275574726729</v>
      </c>
      <c r="D29" s="7" t="n">
        <v>144.9210153447288</v>
      </c>
      <c r="E29" s="7" t="n">
        <v>158.2361014336691</v>
      </c>
      <c r="F29" s="7" t="n">
        <v>138.9708886407807</v>
      </c>
      <c r="G29" s="7" t="n">
        <v>139.4450087490931</v>
      </c>
      <c r="H29" s="7" t="n">
        <v>145.7833628092306</v>
      </c>
      <c r="I29" s="7" t="n">
        <v>159.9506104753588</v>
      </c>
      <c r="J29" s="7" t="n">
        <v>155.4427560583606</v>
      </c>
      <c r="K29" s="7" t="n">
        <v>154.884793202549</v>
      </c>
      <c r="L29" s="7" t="n">
        <v>158.3952347518442</v>
      </c>
      <c r="M29" s="7" t="n">
        <v>159.4113300106167</v>
      </c>
      <c r="N29" s="7" t="n">
        <v>156.3021901831168</v>
      </c>
      <c r="O29" s="8">
        <f>N29*$B$2/100</f>
        <v/>
      </c>
    </row>
    <row r="30">
      <c r="A30" s="6" t="n">
        <v>46238.49772108797</v>
      </c>
      <c r="B30" s="7" t="n">
        <v>158.3142048825666</v>
      </c>
      <c r="C30" s="7" t="n">
        <v>158.0509259259259</v>
      </c>
      <c r="D30" s="7" t="n">
        <v>160.3104588903041</v>
      </c>
      <c r="E30" s="7" t="n">
        <v>152.2194809039771</v>
      </c>
      <c r="F30" s="7" t="n">
        <v>160.9916541729135</v>
      </c>
      <c r="G30" s="7" t="n">
        <v>143.7391011991483</v>
      </c>
      <c r="H30" s="7" t="n">
        <v>141.1100317035572</v>
      </c>
      <c r="I30" s="7" t="n">
        <v>162.896776074372</v>
      </c>
      <c r="J30" s="7" t="n">
        <v>154.7163055423426</v>
      </c>
      <c r="K30" s="7" t="n">
        <v>156.4983625395001</v>
      </c>
      <c r="L30" s="7" t="n">
        <v>160.5788876970495</v>
      </c>
      <c r="M30" s="7" t="n">
        <v>156.7712527389756</v>
      </c>
      <c r="N30" s="7" t="n">
        <v>158.3362821454813</v>
      </c>
      <c r="O30" s="8">
        <f>N30*$B$2/100</f>
        <v/>
      </c>
    </row>
    <row r="31">
      <c r="A31" s="6" t="n">
        <v>46238.49773284722</v>
      </c>
      <c r="B31" s="7" t="n">
        <v>152.8018281591075</v>
      </c>
      <c r="C31" s="7" t="n">
        <v>158.7419301449943</v>
      </c>
      <c r="D31" s="7" t="n">
        <v>147.533196076617</v>
      </c>
      <c r="E31" s="7" t="n">
        <v>128.5177032499221</v>
      </c>
      <c r="F31" s="7" t="n">
        <v>158.0575722415603</v>
      </c>
      <c r="G31" s="7" t="n">
        <v>141.3126279041772</v>
      </c>
      <c r="H31" s="7" t="n">
        <v>139.0204173333626</v>
      </c>
      <c r="I31" s="7" t="n">
        <v>158.0443468943348</v>
      </c>
      <c r="J31" s="7" t="n">
        <v>143.8868116160096</v>
      </c>
      <c r="K31" s="7" t="n">
        <v>130.4341012084592</v>
      </c>
      <c r="L31" s="7" t="n">
        <v>159.84687276063</v>
      </c>
      <c r="M31" s="7" t="n">
        <v>159.1526275942659</v>
      </c>
      <c r="N31" s="7" t="n">
        <v>155.9154852407369</v>
      </c>
      <c r="O31" s="8">
        <f>N31*$B$2/100</f>
        <v/>
      </c>
    </row>
    <row r="32">
      <c r="A32" s="6" t="n">
        <v>46238.49774452546</v>
      </c>
      <c r="B32" s="7" t="n">
        <v>156.0016196500536</v>
      </c>
      <c r="C32" s="7" t="n">
        <v>162.0081089675641</v>
      </c>
      <c r="D32" s="7" t="n">
        <v>155.7321542927891</v>
      </c>
      <c r="E32" s="7" t="n">
        <v>141.6275945498536</v>
      </c>
      <c r="F32" s="7" t="n">
        <v>157.7842803064282</v>
      </c>
      <c r="G32" s="7" t="n">
        <v>155.7686116700201</v>
      </c>
      <c r="H32" s="7" t="n">
        <v>139.6568743286788</v>
      </c>
      <c r="I32" s="7" t="n">
        <v>160.9634160171164</v>
      </c>
      <c r="J32" s="7" t="n">
        <v>153.7140478030323</v>
      </c>
      <c r="K32" s="7" t="n">
        <v>144.8292406046484</v>
      </c>
      <c r="L32" s="7" t="n">
        <v>158.9971400394477</v>
      </c>
      <c r="M32" s="7" t="n">
        <v>158.9825877975037</v>
      </c>
      <c r="N32" s="7" t="n">
        <v>156.9941541272054</v>
      </c>
      <c r="O32" s="8">
        <f>N32*$B$2/100</f>
        <v/>
      </c>
    </row>
    <row r="33">
      <c r="A33" s="6" t="n">
        <v>46238.49775626157</v>
      </c>
      <c r="B33" s="7" t="n">
        <v>159.106397055783</v>
      </c>
      <c r="C33" s="7" t="n">
        <v>152.4454911411124</v>
      </c>
      <c r="D33" s="7" t="n">
        <v>153.5194657133206</v>
      </c>
      <c r="E33" s="7" t="n">
        <v>154.1825385759435</v>
      </c>
      <c r="F33" s="7" t="n">
        <v>142.5679575029861</v>
      </c>
      <c r="G33" s="7" t="n">
        <v>154.2793184238552</v>
      </c>
      <c r="H33" s="7" t="n">
        <v>152.9380053514249</v>
      </c>
      <c r="I33" s="7" t="n">
        <v>163.0917816309049</v>
      </c>
      <c r="J33" s="7" t="n">
        <v>159.3729883555192</v>
      </c>
      <c r="K33" s="7" t="n">
        <v>154.9100017516203</v>
      </c>
      <c r="L33" s="7" t="n">
        <v>157.9205642331854</v>
      </c>
      <c r="M33" s="7" t="n">
        <v>157.3710698427937</v>
      </c>
      <c r="N33" s="7" t="n">
        <v>157.3742623694961</v>
      </c>
      <c r="O33" s="8">
        <f>N33*$B$2/100</f>
        <v/>
      </c>
    </row>
    <row r="34">
      <c r="A34" s="6" t="n">
        <v>46238.49776797454</v>
      </c>
      <c r="B34" s="7" t="n">
        <v>159.9280792277751</v>
      </c>
      <c r="C34" s="7" t="n">
        <v>158.698474573541</v>
      </c>
      <c r="D34" s="7" t="n">
        <v>147.9714693295292</v>
      </c>
      <c r="E34" s="7" t="n">
        <v>159.4495173010025</v>
      </c>
      <c r="F34" s="7" t="n">
        <v>155.0054007762753</v>
      </c>
      <c r="G34" s="7" t="n">
        <v>154.8439533266363</v>
      </c>
      <c r="H34" s="7" t="n">
        <v>154.9463764767049</v>
      </c>
      <c r="I34" s="7" t="n">
        <v>143.0524810101608</v>
      </c>
      <c r="J34" s="7" t="n">
        <v>154.0375571665956</v>
      </c>
      <c r="K34" s="7" t="n">
        <v>121.9331239366575</v>
      </c>
      <c r="L34" s="7" t="n">
        <v>158.4059661525822</v>
      </c>
      <c r="M34" s="7" t="n">
        <v>160.7752172187183</v>
      </c>
      <c r="N34" s="7" t="n">
        <v>157.4637122302158</v>
      </c>
      <c r="O34" s="8">
        <f>N34*$B$2/100</f>
        <v/>
      </c>
    </row>
    <row r="35">
      <c r="A35" s="6" t="n">
        <v>46238.49777972222</v>
      </c>
      <c r="B35" s="7" t="n">
        <v>158.140498951633</v>
      </c>
      <c r="C35" s="7" t="n">
        <v>160.4059707250166</v>
      </c>
      <c r="D35" s="7" t="n">
        <v>143.4832866890978</v>
      </c>
      <c r="E35" s="7" t="n">
        <v>133.7204063242402</v>
      </c>
      <c r="F35" s="7" t="n">
        <v>161.8538585257791</v>
      </c>
      <c r="G35" s="7" t="n">
        <v>152.0791519434629</v>
      </c>
      <c r="H35" s="7" t="n">
        <v>161.2632707341627</v>
      </c>
      <c r="I35" s="7" t="n">
        <v>152.10552</v>
      </c>
      <c r="J35" s="7" t="n">
        <v>152.4748673387028</v>
      </c>
      <c r="K35" s="7" t="n">
        <v>151.4202042279977</v>
      </c>
      <c r="L35" s="7" t="n">
        <v>160.1207589667063</v>
      </c>
      <c r="M35" s="7" t="n">
        <v>158.566287299461</v>
      </c>
      <c r="N35" s="7" t="n">
        <v>157.9976818452896</v>
      </c>
      <c r="O35" s="8">
        <f>N35*$B$2/100</f>
        <v/>
      </c>
    </row>
    <row r="36">
      <c r="A36" s="6" t="n">
        <v>46238.49779148148</v>
      </c>
      <c r="B36" s="7" t="n">
        <v>152.0308823663836</v>
      </c>
      <c r="C36" s="7" t="n">
        <v>151.3357719076242</v>
      </c>
      <c r="D36" s="7" t="n">
        <v>153.8682625279495</v>
      </c>
      <c r="E36" s="7" t="n">
        <v>154.0725044088909</v>
      </c>
      <c r="F36" s="7" t="n">
        <v>150.2239967077929</v>
      </c>
      <c r="G36" s="7" t="n">
        <v>151.3568666381927</v>
      </c>
      <c r="H36" s="7" t="n">
        <v>153.4089976390314</v>
      </c>
      <c r="I36" s="7" t="n">
        <v>154.6778963246963</v>
      </c>
      <c r="J36" s="7" t="n">
        <v>156.2147233281183</v>
      </c>
      <c r="K36" s="7" t="n">
        <v>156.2996178181325</v>
      </c>
      <c r="L36" s="7" t="n">
        <v>153.2404371584699</v>
      </c>
      <c r="M36" s="7" t="n">
        <v>155.6143933193691</v>
      </c>
      <c r="N36" s="7" t="n">
        <v>154.0445406725636</v>
      </c>
      <c r="O36" s="8">
        <f>N36*$B$2/100</f>
        <v/>
      </c>
    </row>
    <row r="37">
      <c r="A37" s="6" t="n">
        <v>46238.49780309028</v>
      </c>
      <c r="B37" s="7" t="n">
        <v>155.5157010337095</v>
      </c>
      <c r="C37" s="7" t="n">
        <v>155.70267610904</v>
      </c>
      <c r="D37" s="7" t="n">
        <v>153.1647805910608</v>
      </c>
      <c r="E37" s="7" t="n">
        <v>159.1944655728205</v>
      </c>
      <c r="F37" s="7" t="n">
        <v>155.2655774767009</v>
      </c>
      <c r="G37" s="7" t="n">
        <v>155.0843300319932</v>
      </c>
      <c r="H37" s="7" t="n">
        <v>157.3928527869252</v>
      </c>
      <c r="I37" s="7" t="n">
        <v>154.6025430029824</v>
      </c>
      <c r="J37" s="7" t="n">
        <v>150.3659923292999</v>
      </c>
      <c r="K37" s="7" t="n">
        <v>156.8988579743375</v>
      </c>
      <c r="L37" s="7" t="n">
        <v>155.6821904006935</v>
      </c>
      <c r="M37" s="7" t="n">
        <v>154.2817918547632</v>
      </c>
      <c r="N37" s="7" t="n">
        <v>155.4780692280298</v>
      </c>
      <c r="O37" s="8">
        <f>N37*$B$2/100</f>
        <v/>
      </c>
    </row>
    <row r="38">
      <c r="A38" s="6" t="n">
        <v>46238.49781486111</v>
      </c>
      <c r="B38" s="7" t="n">
        <v>155.034440885048</v>
      </c>
      <c r="C38" s="7" t="n">
        <v>158.9585719008761</v>
      </c>
      <c r="D38" s="7" t="n">
        <v>154.768899448303</v>
      </c>
      <c r="E38" s="7" t="n">
        <v>156.0204209124288</v>
      </c>
      <c r="F38" s="7" t="n">
        <v>157.1193961789449</v>
      </c>
      <c r="G38" s="7" t="n">
        <v>154.4448120353119</v>
      </c>
      <c r="H38" s="7" t="n">
        <v>157.1024319971188</v>
      </c>
      <c r="I38" s="7" t="n">
        <v>156.0568683539581</v>
      </c>
      <c r="J38" s="7" t="n">
        <v>148.8234884811448</v>
      </c>
      <c r="K38" s="7" t="n">
        <v>149.0229628563202</v>
      </c>
      <c r="L38" s="7" t="n">
        <v>157.2983222511247</v>
      </c>
      <c r="M38" s="7" t="n">
        <v>156.9139505663957</v>
      </c>
      <c r="N38" s="7" t="n">
        <v>156.3532444790349</v>
      </c>
      <c r="O38" s="8">
        <f>N38*$B$2/100</f>
        <v/>
      </c>
    </row>
    <row r="39">
      <c r="A39" s="6" t="n">
        <v>46238.49782649305</v>
      </c>
      <c r="B39" s="7" t="n">
        <v>153.8675569651949</v>
      </c>
      <c r="C39" s="7" t="n">
        <v>155.8068592309516</v>
      </c>
      <c r="D39" s="7" t="n">
        <v>154.4438836789634</v>
      </c>
      <c r="E39" s="7" t="n">
        <v>155.0979208113485</v>
      </c>
      <c r="F39" s="7" t="n">
        <v>150.6405699436223</v>
      </c>
      <c r="G39" s="7" t="n">
        <v>154.32375808475</v>
      </c>
      <c r="H39" s="7" t="n">
        <v>155.7140502049634</v>
      </c>
      <c r="I39" s="7" t="n">
        <v>152.7188517549292</v>
      </c>
      <c r="J39" s="7" t="n">
        <v>150.3988577893915</v>
      </c>
      <c r="K39" s="7" t="n">
        <v>157.857759972438</v>
      </c>
      <c r="L39" s="7" t="n">
        <v>156.4636517148898</v>
      </c>
      <c r="M39" s="7" t="n">
        <v>156.171139817145</v>
      </c>
      <c r="N39" s="7" t="n">
        <v>154.918507495527</v>
      </c>
      <c r="O39" s="8">
        <f>N39*$B$2/100</f>
        <v/>
      </c>
    </row>
    <row r="40">
      <c r="A40" s="6" t="n">
        <v>46238.49783829861</v>
      </c>
      <c r="B40" s="7" t="n">
        <v>152.2500322253936</v>
      </c>
      <c r="C40" s="7" t="n">
        <v>151.8979096299446</v>
      </c>
      <c r="D40" s="7" t="n">
        <v>152.3995603021028</v>
      </c>
      <c r="E40" s="7" t="n">
        <v>152.561369506512</v>
      </c>
      <c r="F40" s="7" t="n">
        <v>151.0483028720627</v>
      </c>
      <c r="G40" s="7" t="n">
        <v>151.4474873780636</v>
      </c>
      <c r="H40" s="7" t="n">
        <v>152.2041269533724</v>
      </c>
      <c r="I40" s="7" t="n">
        <v>152.087368036581</v>
      </c>
      <c r="J40" s="7" t="n">
        <v>150.1195344359849</v>
      </c>
      <c r="K40" s="7" t="n">
        <v>151.7520593627594</v>
      </c>
      <c r="L40" s="7" t="n">
        <v>150.5571458811078</v>
      </c>
      <c r="M40" s="7" t="n">
        <v>151.4411298673753</v>
      </c>
      <c r="N40" s="7" t="n">
        <v>151.7964437237882</v>
      </c>
      <c r="O40" s="8">
        <f>N40*$B$2/100</f>
        <v/>
      </c>
    </row>
    <row r="41">
      <c r="A41" s="6" t="n">
        <v>46238.49785002314</v>
      </c>
      <c r="B41" s="7" t="n">
        <v>152.212742497636</v>
      </c>
      <c r="C41" s="7" t="n">
        <v>153.2033765705434</v>
      </c>
      <c r="D41" s="7" t="n">
        <v>154.8858476834016</v>
      </c>
      <c r="E41" s="7" t="n">
        <v>154.9265384996532</v>
      </c>
      <c r="F41" s="7" t="n">
        <v>152.4537772477761</v>
      </c>
      <c r="G41" s="7" t="n">
        <v>153.0627134893014</v>
      </c>
      <c r="H41" s="7" t="n">
        <v>153.0673424379204</v>
      </c>
      <c r="I41" s="7" t="n">
        <v>150.8698100662485</v>
      </c>
      <c r="J41" s="7" t="n">
        <v>152.1630637280748</v>
      </c>
      <c r="K41" s="7" t="n">
        <v>152.7633580398971</v>
      </c>
      <c r="L41" s="7" t="n">
        <v>153.0326467978858</v>
      </c>
      <c r="M41" s="7" t="n">
        <v>152.1545373851816</v>
      </c>
      <c r="N41" s="7" t="n">
        <v>153.2418505619515</v>
      </c>
      <c r="O41" s="8">
        <f>N41*$B$2/100</f>
        <v/>
      </c>
    </row>
    <row r="42">
      <c r="A42" s="6" t="n">
        <v>46238.49786179399</v>
      </c>
      <c r="B42" s="7" t="n">
        <v>151.9022670391829</v>
      </c>
      <c r="C42" s="7" t="n">
        <v>153.1005759017863</v>
      </c>
      <c r="D42" s="7" t="n">
        <v>155.4650168687392</v>
      </c>
      <c r="E42" s="7" t="n">
        <v>155.4956223592276</v>
      </c>
      <c r="F42" s="7" t="n">
        <v>152.0616235420732</v>
      </c>
      <c r="G42" s="7" t="n">
        <v>153.5327939530702</v>
      </c>
      <c r="H42" s="7" t="n">
        <v>154.0528198249984</v>
      </c>
      <c r="I42" s="7" t="n">
        <v>152.2549975313399</v>
      </c>
      <c r="J42" s="7" t="n">
        <v>152.5400852794023</v>
      </c>
      <c r="K42" s="7" t="n">
        <v>153.3520067849036</v>
      </c>
      <c r="L42" s="7" t="n">
        <v>152.2552695351826</v>
      </c>
      <c r="M42" s="7" t="n">
        <v>152.9727156014943</v>
      </c>
      <c r="N42" s="7" t="n">
        <v>153.6217404814448</v>
      </c>
      <c r="O42" s="8">
        <f>N42*$B$2/100</f>
        <v/>
      </c>
    </row>
    <row r="43">
      <c r="A43" s="6" t="n">
        <v>46238.49787339121</v>
      </c>
      <c r="B43" s="7" t="n">
        <v>152.8229363169193</v>
      </c>
      <c r="C43" s="7" t="n">
        <v>154.7834014945119</v>
      </c>
      <c r="D43" s="7" t="n">
        <v>156.3985884169936</v>
      </c>
      <c r="E43" s="7" t="n">
        <v>156.5585262227542</v>
      </c>
      <c r="F43" s="7" t="n">
        <v>153.3399216233198</v>
      </c>
      <c r="G43" s="7" t="n">
        <v>152.7554322407756</v>
      </c>
      <c r="H43" s="7" t="n">
        <v>154.7229144407003</v>
      </c>
      <c r="I43" s="7" t="n">
        <v>152.6713608441403</v>
      </c>
      <c r="J43" s="7" t="n">
        <v>152.1615326353735</v>
      </c>
      <c r="K43" s="7" t="n">
        <v>153.2854678303227</v>
      </c>
      <c r="L43" s="7" t="n">
        <v>154.3531849448085</v>
      </c>
      <c r="M43" s="7" t="n">
        <v>154.5168687847344</v>
      </c>
      <c r="N43" s="7" t="n">
        <v>154.4864557646649</v>
      </c>
      <c r="O43" s="8">
        <f>N43*$B$2/100</f>
        <v/>
      </c>
    </row>
    <row r="44">
      <c r="A44" s="6" t="n">
        <v>46238.49788504629</v>
      </c>
      <c r="B44" s="7" t="n">
        <v>149.0004602244271</v>
      </c>
      <c r="C44" s="7" t="n">
        <v>149.32100469413</v>
      </c>
      <c r="D44" s="7" t="n">
        <v>149.6733232149252</v>
      </c>
      <c r="E44" s="7" t="n">
        <v>149.2548681543997</v>
      </c>
      <c r="F44" s="7" t="n">
        <v>149.7644854633065</v>
      </c>
      <c r="G44" s="7" t="n">
        <v>149.4749221753641</v>
      </c>
      <c r="H44" s="7" t="n">
        <v>149.9443066741944</v>
      </c>
      <c r="I44" s="7" t="n">
        <v>149.283432534453</v>
      </c>
      <c r="J44" s="7" t="n">
        <v>149.993762727494</v>
      </c>
      <c r="K44" s="7" t="n">
        <v>149.3801842994797</v>
      </c>
      <c r="L44" s="7" t="n">
        <v>149.6544443683134</v>
      </c>
      <c r="M44" s="7" t="n">
        <v>149.549660691297</v>
      </c>
      <c r="N44" s="7" t="n">
        <v>149.5561222139875</v>
      </c>
      <c r="O44" s="8">
        <f>N44*$B$2/100</f>
        <v/>
      </c>
    </row>
    <row r="45">
      <c r="A45" s="6" t="n">
        <v>46238.49789679398</v>
      </c>
      <c r="B45" s="7" t="n">
        <v>151.7825254080261</v>
      </c>
      <c r="C45" s="7" t="n">
        <v>151.7477544779634</v>
      </c>
      <c r="D45" s="7" t="n">
        <v>151.602474127336</v>
      </c>
      <c r="E45" s="7" t="n">
        <v>151.76447658572</v>
      </c>
      <c r="F45" s="7" t="n">
        <v>151.5741318419845</v>
      </c>
      <c r="G45" s="7" t="n">
        <v>151.7337528561262</v>
      </c>
      <c r="H45" s="7" t="n">
        <v>151.8537303371846</v>
      </c>
      <c r="I45" s="7" t="n">
        <v>152.285392923448</v>
      </c>
      <c r="J45" s="7" t="n">
        <v>151.7822985969227</v>
      </c>
      <c r="K45" s="7" t="n">
        <v>152.0605333390155</v>
      </c>
      <c r="L45" s="7" t="n">
        <v>151.978995894683</v>
      </c>
      <c r="M45" s="7" t="n">
        <v>152.0702984847464</v>
      </c>
      <c r="N45" s="7" t="n">
        <v>151.8704149765991</v>
      </c>
      <c r="O45" s="8">
        <f>N45*$B$2/100</f>
        <v/>
      </c>
    </row>
    <row r="46">
      <c r="A46" s="6" t="n">
        <v>46238.49790841435</v>
      </c>
      <c r="B46" s="7" t="n">
        <v>152.5425924073233</v>
      </c>
      <c r="C46" s="7" t="n">
        <v>152.5440261237034</v>
      </c>
      <c r="D46" s="7" t="n">
        <v>152.6501051588554</v>
      </c>
      <c r="E46" s="7" t="n">
        <v>152.8339137624333</v>
      </c>
      <c r="F46" s="7" t="n">
        <v>151.7963013053898</v>
      </c>
      <c r="G46" s="7" t="n">
        <v>151.6514045542685</v>
      </c>
      <c r="H46" s="7" t="n">
        <v>152.4464595948945</v>
      </c>
      <c r="I46" s="7" t="n">
        <v>152.4303795502547</v>
      </c>
      <c r="J46" s="7" t="n">
        <v>151.932032651086</v>
      </c>
      <c r="K46" s="7" t="n">
        <v>152.9279498199724</v>
      </c>
      <c r="L46" s="7" t="n">
        <v>152.2095353861748</v>
      </c>
      <c r="M46" s="7" t="n">
        <v>152.2461652463876</v>
      </c>
      <c r="N46" s="7" t="n">
        <v>152.3572793160006</v>
      </c>
      <c r="O46" s="8">
        <f>N46*$B$2/100</f>
        <v/>
      </c>
    </row>
    <row r="47">
      <c r="A47" s="6" t="n">
        <v>46238.49792018518</v>
      </c>
      <c r="B47" s="7" t="n">
        <v>151.6316004138315</v>
      </c>
      <c r="C47" s="7" t="n">
        <v>151.168214411661</v>
      </c>
      <c r="D47" s="7" t="n">
        <v>152.0692531940287</v>
      </c>
      <c r="E47" s="7" t="n">
        <v>152.1773501749849</v>
      </c>
      <c r="F47" s="7" t="n">
        <v>151.2662874870734</v>
      </c>
      <c r="G47" s="7" t="n">
        <v>151.7665261323076</v>
      </c>
      <c r="H47" s="7" t="n">
        <v>152.4618284575767</v>
      </c>
      <c r="I47" s="7" t="n">
        <v>152.5001197864637</v>
      </c>
      <c r="J47" s="7" t="n">
        <v>152.335766577354</v>
      </c>
      <c r="K47" s="7" t="n">
        <v>152.6609802132161</v>
      </c>
      <c r="L47" s="7" t="n">
        <v>152.1866186327322</v>
      </c>
      <c r="M47" s="7" t="n">
        <v>152.9639101801378</v>
      </c>
      <c r="N47" s="7" t="n">
        <v>152.1286417148735</v>
      </c>
      <c r="O47" s="8">
        <f>N47*$B$2/100</f>
        <v/>
      </c>
    </row>
    <row r="48">
      <c r="A48" s="6" t="n">
        <v>46238.49793199074</v>
      </c>
      <c r="B48" s="7" t="n">
        <v>151.6825770200472</v>
      </c>
      <c r="C48" s="7" t="n">
        <v>151.1266741380265</v>
      </c>
      <c r="D48" s="7" t="n">
        <v>152.1204708042149</v>
      </c>
      <c r="E48" s="7" t="n">
        <v>151.9274043282708</v>
      </c>
      <c r="F48" s="7" t="n">
        <v>152.2393620644358</v>
      </c>
      <c r="G48" s="7" t="n">
        <v>152.1182231091526</v>
      </c>
      <c r="H48" s="7" t="n">
        <v>151.8880048500606</v>
      </c>
      <c r="I48" s="7" t="n">
        <v>152.4276448777332</v>
      </c>
      <c r="J48" s="7" t="n">
        <v>152.049044670059</v>
      </c>
      <c r="K48" s="7" t="n">
        <v>152.4360381180972</v>
      </c>
      <c r="L48" s="7" t="n">
        <v>151.8989750845469</v>
      </c>
      <c r="M48" s="7" t="n">
        <v>152.0693460922973</v>
      </c>
      <c r="N48" s="7" t="n">
        <v>151.9865476324871</v>
      </c>
      <c r="O48" s="8">
        <f>N48*$B$2/100</f>
        <v/>
      </c>
    </row>
    <row r="49">
      <c r="A49" s="6" t="n">
        <v>46238.49794368056</v>
      </c>
      <c r="B49" s="7" t="n">
        <v>150.7636318815456</v>
      </c>
      <c r="C49" s="7" t="n">
        <v>151.4689140745206</v>
      </c>
      <c r="D49" s="7" t="n">
        <v>151.0919348672885</v>
      </c>
      <c r="E49" s="7" t="n">
        <v>151.5674633715296</v>
      </c>
      <c r="F49" s="7" t="n">
        <v>150.935883908745</v>
      </c>
      <c r="G49" s="7" t="n">
        <v>150.9589183090323</v>
      </c>
      <c r="H49" s="7" t="n">
        <v>151.6213257310151</v>
      </c>
      <c r="I49" s="7" t="n">
        <v>151.4592576056426</v>
      </c>
      <c r="J49" s="7" t="n">
        <v>151.6027710956713</v>
      </c>
      <c r="K49" s="7" t="n">
        <v>151.6373591428454</v>
      </c>
      <c r="L49" s="7" t="n">
        <v>151.2295399637608</v>
      </c>
      <c r="M49" s="7" t="n">
        <v>151.7995435019692</v>
      </c>
      <c r="N49" s="7" t="n">
        <v>151.3806647159069</v>
      </c>
      <c r="O49" s="8">
        <f>N49*$B$2/100</f>
        <v/>
      </c>
    </row>
    <row r="50">
      <c r="A50" s="6" t="n">
        <v>46238.49795545139</v>
      </c>
      <c r="B50" s="7" t="n">
        <v>152.1314036712548</v>
      </c>
      <c r="C50" s="7" t="n">
        <v>152.0265709909942</v>
      </c>
      <c r="D50" s="7" t="n">
        <v>151.3832172004518</v>
      </c>
      <c r="E50" s="7" t="n">
        <v>151.9966686637954</v>
      </c>
      <c r="F50" s="7" t="n">
        <v>151.9968005781296</v>
      </c>
      <c r="G50" s="7" t="n">
        <v>151.9097198351279</v>
      </c>
      <c r="H50" s="7" t="n">
        <v>151.6466772433852</v>
      </c>
      <c r="I50" s="7" t="n">
        <v>152.5920717541773</v>
      </c>
      <c r="J50" s="7" t="n">
        <v>152.1251704144705</v>
      </c>
      <c r="K50" s="7" t="n">
        <v>152.3108851644311</v>
      </c>
      <c r="L50" s="7" t="n">
        <v>152.0937169286246</v>
      </c>
      <c r="M50" s="7" t="n">
        <v>152.6236089489347</v>
      </c>
      <c r="N50" s="7" t="n">
        <v>152.030058466124</v>
      </c>
      <c r="O50" s="8">
        <f>N50*$B$2/100</f>
        <v/>
      </c>
    </row>
    <row r="51">
      <c r="A51" s="6" t="n">
        <v>46238.49796722223</v>
      </c>
      <c r="B51" s="7" t="n">
        <v>151.4003789640393</v>
      </c>
      <c r="C51" s="7" t="n">
        <v>151.8559240540299</v>
      </c>
      <c r="D51" s="7" t="n">
        <v>151.7105711324245</v>
      </c>
      <c r="E51" s="7" t="n">
        <v>151.9018611852291</v>
      </c>
      <c r="F51" s="7" t="n">
        <v>151.7136122064118</v>
      </c>
      <c r="G51" s="7" t="n">
        <v>151.5108211947606</v>
      </c>
      <c r="H51" s="7" t="n">
        <v>151.4532009281692</v>
      </c>
      <c r="I51" s="7" t="n">
        <v>151.6065127433038</v>
      </c>
      <c r="J51" s="7" t="n">
        <v>151.4867270202245</v>
      </c>
      <c r="K51" s="7" t="n">
        <v>151.1544744888245</v>
      </c>
      <c r="L51" s="7" t="n">
        <v>151.2050614211337</v>
      </c>
      <c r="M51" s="7" t="n">
        <v>152.3143000364564</v>
      </c>
      <c r="N51" s="7" t="n">
        <v>151.6042135149056</v>
      </c>
      <c r="O51" s="8">
        <f>N51*$B$2/100</f>
        <v/>
      </c>
    </row>
    <row r="52">
      <c r="A52" s="6" t="n">
        <v>46238.49797896991</v>
      </c>
      <c r="B52" s="7" t="n">
        <v>151.1107063939987</v>
      </c>
      <c r="C52" s="7" t="n">
        <v>151.8950905710305</v>
      </c>
      <c r="D52" s="7" t="n">
        <v>152.1855123174497</v>
      </c>
      <c r="E52" s="7" t="n">
        <v>152.3017295948423</v>
      </c>
      <c r="F52" s="7" t="n">
        <v>151.9803671776579</v>
      </c>
      <c r="G52" s="7" t="n">
        <v>152.282278214275</v>
      </c>
      <c r="H52" s="7" t="n">
        <v>152.2804048126332</v>
      </c>
      <c r="I52" s="7" t="n">
        <v>152.5329196639394</v>
      </c>
      <c r="J52" s="7" t="n">
        <v>151.9544172898701</v>
      </c>
      <c r="K52" s="7" t="n">
        <v>151.6552649927993</v>
      </c>
      <c r="L52" s="7" t="n">
        <v>151.4923631146554</v>
      </c>
      <c r="M52" s="7" t="n">
        <v>152.0474122621434</v>
      </c>
      <c r="N52" s="7" t="n">
        <v>151.9677548508154</v>
      </c>
      <c r="O52" s="8">
        <f>N52*$B$2/100</f>
        <v/>
      </c>
    </row>
    <row r="53">
      <c r="A53" s="6" t="n">
        <v>46238.49799069444</v>
      </c>
      <c r="B53" s="7" t="n">
        <v>151.2082636258165</v>
      </c>
      <c r="C53" s="7" t="n">
        <v>151.4389203363023</v>
      </c>
      <c r="D53" s="7" t="n">
        <v>151.4778504587062</v>
      </c>
      <c r="E53" s="7" t="n">
        <v>151.4504237626683</v>
      </c>
      <c r="F53" s="7" t="n">
        <v>151.4549657128009</v>
      </c>
      <c r="G53" s="7" t="n">
        <v>151.5018165746373</v>
      </c>
      <c r="H53" s="7" t="n">
        <v>151.427599881188</v>
      </c>
      <c r="I53" s="7" t="n">
        <v>151.5016435357967</v>
      </c>
      <c r="J53" s="7" t="n">
        <v>151.4157335854726</v>
      </c>
      <c r="K53" s="7" t="n">
        <v>151.4034582841401</v>
      </c>
      <c r="L53" s="7" t="n">
        <v>151.3944709570287</v>
      </c>
      <c r="M53" s="7" t="n">
        <v>151.4976494786243</v>
      </c>
      <c r="N53" s="7" t="n">
        <v>151.4219359157068</v>
      </c>
      <c r="O53" s="8">
        <f>N53*$B$2/100</f>
        <v/>
      </c>
    </row>
    <row r="54">
      <c r="A54" s="6" t="n">
        <v>46238.49800240741</v>
      </c>
      <c r="B54" s="7" t="n">
        <v>151.3954924862241</v>
      </c>
      <c r="C54" s="7" t="n">
        <v>151.5384974167623</v>
      </c>
      <c r="D54" s="7" t="n">
        <v>151.575650026214</v>
      </c>
      <c r="E54" s="7" t="n">
        <v>151.572631654975</v>
      </c>
      <c r="F54" s="7" t="n">
        <v>151.5469445435788</v>
      </c>
      <c r="G54" s="7" t="n">
        <v>151.5928790299399</v>
      </c>
      <c r="H54" s="7" t="n">
        <v>151.5903357533512</v>
      </c>
      <c r="I54" s="7" t="n">
        <v>151.6387596035876</v>
      </c>
      <c r="J54" s="7" t="n">
        <v>151.4251514401097</v>
      </c>
      <c r="K54" s="7" t="n">
        <v>151.2975652321167</v>
      </c>
      <c r="L54" s="7" t="n">
        <v>151.2805121583912</v>
      </c>
      <c r="M54" s="7" t="n">
        <v>151.6107370075071</v>
      </c>
      <c r="N54" s="7" t="n">
        <v>151.5181199013952</v>
      </c>
      <c r="O54" s="8">
        <f>N54*$B$2/100</f>
        <v/>
      </c>
    </row>
    <row r="55">
      <c r="A55" s="6" t="n">
        <v>46238.49801402778</v>
      </c>
      <c r="B55" s="7" t="n">
        <v>151.3445433455994</v>
      </c>
      <c r="C55" s="7" t="n">
        <v>151.5748139232237</v>
      </c>
      <c r="D55" s="7" t="n">
        <v>151.4605127058232</v>
      </c>
      <c r="E55" s="7" t="n">
        <v>151.5768776820374</v>
      </c>
      <c r="F55" s="7" t="n">
        <v>151.4073180660696</v>
      </c>
      <c r="G55" s="7" t="n">
        <v>151.5091440200788</v>
      </c>
      <c r="H55" s="7" t="n">
        <v>151.5031196053336</v>
      </c>
      <c r="I55" s="7" t="n">
        <v>151.5979876742786</v>
      </c>
      <c r="J55" s="7" t="n">
        <v>151.4663760193863</v>
      </c>
      <c r="K55" s="7" t="n">
        <v>150.8379091091627</v>
      </c>
      <c r="L55" s="7" t="n">
        <v>151.4578827711163</v>
      </c>
      <c r="M55" s="7" t="n">
        <v>151.5790157578631</v>
      </c>
      <c r="N55" s="7" t="n">
        <v>151.4653039912842</v>
      </c>
      <c r="O55" s="8">
        <f>N55*$B$2/100</f>
        <v/>
      </c>
    </row>
    <row r="56">
      <c r="A56" s="6" t="n">
        <v>46238.49802575231</v>
      </c>
      <c r="B56" s="7" t="n">
        <v>150.1819879529537</v>
      </c>
      <c r="C56" s="7" t="n">
        <v>150.2767577735844</v>
      </c>
      <c r="D56" s="7" t="n">
        <v>150.5343609601007</v>
      </c>
      <c r="E56" s="7" t="n">
        <v>150.7314913099638</v>
      </c>
      <c r="F56" s="7" t="n">
        <v>150.5885340570464</v>
      </c>
      <c r="G56" s="7" t="n">
        <v>150.8582743540705</v>
      </c>
      <c r="H56" s="7" t="n">
        <v>150.5159377516462</v>
      </c>
      <c r="I56" s="7" t="n">
        <v>150.4915276816321</v>
      </c>
      <c r="J56" s="7" t="n">
        <v>150.3438602285488</v>
      </c>
      <c r="K56" s="7" t="n">
        <v>150.1758881254033</v>
      </c>
      <c r="L56" s="7" t="n">
        <v>150.596035384086</v>
      </c>
      <c r="M56" s="7" t="n">
        <v>150.4343002885653</v>
      </c>
      <c r="N56" s="7" t="n">
        <v>150.4846286248662</v>
      </c>
      <c r="O56" s="8">
        <f>N56*$B$2/100</f>
        <v/>
      </c>
    </row>
    <row r="57">
      <c r="A57" s="6" t="n">
        <v>46238.49803747685</v>
      </c>
      <c r="B57" s="7" t="n">
        <v>150.9411225947851</v>
      </c>
      <c r="C57" s="7" t="n">
        <v>150.3104697726025</v>
      </c>
      <c r="D57" s="7" t="n">
        <v>150.5565345499895</v>
      </c>
      <c r="E57" s="7" t="n">
        <v>150.9113448830805</v>
      </c>
      <c r="F57" s="7" t="n">
        <v>150.611024419046</v>
      </c>
      <c r="G57" s="7" t="n">
        <v>150.7731842506795</v>
      </c>
      <c r="H57" s="7" t="n">
        <v>150.5384662107168</v>
      </c>
      <c r="I57" s="7" t="n">
        <v>150.8460866756555</v>
      </c>
      <c r="J57" s="7" t="n">
        <v>150.3834447915138</v>
      </c>
      <c r="K57" s="7" t="n">
        <v>150.20052805926</v>
      </c>
      <c r="L57" s="7" t="n">
        <v>150.494074493178</v>
      </c>
      <c r="M57" s="7" t="n">
        <v>150.6368330991987</v>
      </c>
      <c r="N57" s="7" t="n">
        <v>150.6049352459754</v>
      </c>
      <c r="O57" s="8">
        <f>N57*$B$2/100</f>
        <v/>
      </c>
    </row>
    <row r="58">
      <c r="A58" s="6" t="n">
        <v>46238.49804920139</v>
      </c>
      <c r="B58" s="7" t="n">
        <v>149.7625480502647</v>
      </c>
      <c r="C58" s="7" t="n">
        <v>149.9960535104472</v>
      </c>
      <c r="D58" s="7" t="n">
        <v>150.1541262851059</v>
      </c>
      <c r="E58" s="7" t="n">
        <v>150.2432732593769</v>
      </c>
      <c r="F58" s="7" t="n">
        <v>150.0565509016494</v>
      </c>
      <c r="G58" s="7" t="n">
        <v>150.0416721818693</v>
      </c>
      <c r="H58" s="7" t="n">
        <v>150.0489840454189</v>
      </c>
      <c r="I58" s="7" t="n">
        <v>150.078876494765</v>
      </c>
      <c r="J58" s="7" t="n">
        <v>149.9137512337319</v>
      </c>
      <c r="K58" s="7" t="n">
        <v>150.1825262237091</v>
      </c>
      <c r="L58" s="7" t="n">
        <v>149.949776215208</v>
      </c>
      <c r="M58" s="7" t="n">
        <v>150.1925605324405</v>
      </c>
      <c r="N58" s="7" t="n">
        <v>150.0518730499157</v>
      </c>
      <c r="O58" s="8">
        <f>N58*$B$2/100</f>
        <v/>
      </c>
    </row>
    <row r="59">
      <c r="A59" s="6" t="n">
        <v>46238.49806097222</v>
      </c>
      <c r="B59" s="7" t="n">
        <v>150.1903116594008</v>
      </c>
      <c r="C59" s="7" t="n">
        <v>150.5517725498845</v>
      </c>
      <c r="D59" s="7" t="n">
        <v>150.4928544490979</v>
      </c>
      <c r="E59" s="7" t="n">
        <v>150.8397895410523</v>
      </c>
      <c r="F59" s="7" t="n">
        <v>150.4002299162257</v>
      </c>
      <c r="G59" s="7" t="n">
        <v>150.6580200454036</v>
      </c>
      <c r="H59" s="7" t="n">
        <v>150.6441988478929</v>
      </c>
      <c r="I59" s="7" t="n">
        <v>150.7929377958378</v>
      </c>
      <c r="J59" s="7" t="n">
        <v>150.2965842996782</v>
      </c>
      <c r="K59" s="7" t="n">
        <v>150.6173768788166</v>
      </c>
      <c r="L59" s="7" t="n">
        <v>150.5308706671494</v>
      </c>
      <c r="M59" s="7" t="n">
        <v>150.7307021490947</v>
      </c>
      <c r="N59" s="7" t="n">
        <v>150.5694235937456</v>
      </c>
      <c r="O59" s="8">
        <f>N59*$B$2/100</f>
        <v/>
      </c>
    </row>
    <row r="60">
      <c r="A60" s="6" t="n">
        <v>46238.49807266203</v>
      </c>
      <c r="B60" s="7" t="n">
        <v>150.4087237630095</v>
      </c>
      <c r="C60" s="7" t="n">
        <v>150.832963530526</v>
      </c>
      <c r="D60" s="7" t="n">
        <v>150.6190043850738</v>
      </c>
      <c r="E60" s="7" t="n">
        <v>150.8168812520129</v>
      </c>
      <c r="F60" s="7" t="n">
        <v>150.6621054154195</v>
      </c>
      <c r="G60" s="7" t="n">
        <v>150.9012115059785</v>
      </c>
      <c r="H60" s="7" t="n">
        <v>150.7545216484321</v>
      </c>
      <c r="I60" s="7" t="n">
        <v>150.810196160993</v>
      </c>
      <c r="J60" s="7" t="n">
        <v>150.6272520870735</v>
      </c>
      <c r="K60" s="7" t="n">
        <v>150.8530785438228</v>
      </c>
      <c r="L60" s="7" t="n">
        <v>150.6957719507483</v>
      </c>
      <c r="M60" s="7" t="n">
        <v>150.9318094813705</v>
      </c>
      <c r="N60" s="7" t="n">
        <v>150.7480724077188</v>
      </c>
      <c r="O60" s="8">
        <f>N60*$B$2/100</f>
        <v/>
      </c>
    </row>
    <row r="61">
      <c r="A61" s="6" t="n">
        <v>46238.49808440972</v>
      </c>
      <c r="B61" s="7" t="n">
        <v>148.4906895658115</v>
      </c>
      <c r="C61" s="7" t="n">
        <v>149.18643036249</v>
      </c>
      <c r="D61" s="7" t="n">
        <v>148.699594899972</v>
      </c>
      <c r="E61" s="7" t="n">
        <v>148.7781309927718</v>
      </c>
      <c r="F61" s="7" t="n">
        <v>148.699381575777</v>
      </c>
      <c r="G61" s="7" t="n">
        <v>148.716951335907</v>
      </c>
      <c r="H61" s="7" t="n">
        <v>148.6672149070685</v>
      </c>
      <c r="I61" s="7" t="n">
        <v>148.5739167559749</v>
      </c>
      <c r="J61" s="7" t="n">
        <v>148.7714667623419</v>
      </c>
      <c r="K61" s="7" t="n">
        <v>148.5378265136453</v>
      </c>
      <c r="L61" s="7" t="n">
        <v>148.5920040767164</v>
      </c>
      <c r="M61" s="7" t="n">
        <v>148.4212702855114</v>
      </c>
      <c r="N61" s="7" t="n">
        <v>148.6587974137931</v>
      </c>
      <c r="O61" s="8">
        <f>N61*$B$2/100</f>
        <v/>
      </c>
    </row>
    <row r="62">
      <c r="A62" s="6" t="n">
        <v>46238.49809603009</v>
      </c>
      <c r="B62" s="7" t="n">
        <v>147.2721124662378</v>
      </c>
      <c r="C62" s="7" t="n">
        <v>150.0028233663389</v>
      </c>
      <c r="D62" s="7" t="n">
        <v>148.9627691775491</v>
      </c>
      <c r="E62" s="7" t="n">
        <v>149.8049559680867</v>
      </c>
      <c r="F62" s="7" t="n">
        <v>152.9688716218519</v>
      </c>
      <c r="G62" s="7" t="n">
        <v>149.2177098452758</v>
      </c>
      <c r="H62" s="7" t="n">
        <v>148.9471075567474</v>
      </c>
      <c r="I62" s="7" t="n">
        <v>148.8103820790108</v>
      </c>
      <c r="J62" s="7" t="n">
        <v>148.5221566679797</v>
      </c>
      <c r="K62" s="7" t="n">
        <v>148.8283309524729</v>
      </c>
      <c r="L62" s="7" t="n">
        <v>148.6716685184973</v>
      </c>
      <c r="M62" s="7" t="n">
        <v>149.379426586372</v>
      </c>
      <c r="N62" s="7" t="n">
        <v>149.3248363507015</v>
      </c>
      <c r="O62" s="8">
        <f>N62*$B$2/100</f>
        <v/>
      </c>
    </row>
    <row r="63">
      <c r="A63" s="6" t="n">
        <v>46238.49810767361</v>
      </c>
      <c r="B63" s="7" t="n">
        <v>146.3569323201979</v>
      </c>
      <c r="C63" s="7" t="n">
        <v>147.8874075756429</v>
      </c>
      <c r="D63" s="7" t="n">
        <v>147.5858282271591</v>
      </c>
      <c r="E63" s="7" t="n">
        <v>147.664481671022</v>
      </c>
      <c r="F63" s="7" t="n">
        <v>147.9691807477263</v>
      </c>
      <c r="G63" s="7" t="n">
        <v>147.2784504769379</v>
      </c>
      <c r="H63" s="7" t="n">
        <v>148.0135931015631</v>
      </c>
      <c r="I63" s="7" t="n">
        <v>147.7402324781483</v>
      </c>
      <c r="J63" s="7" t="n">
        <v>147.3834777123216</v>
      </c>
      <c r="K63" s="7" t="n">
        <v>147.3471126670188</v>
      </c>
      <c r="L63" s="7" t="n">
        <v>147.5419223596337</v>
      </c>
      <c r="M63" s="7" t="n">
        <v>147.6867807413628</v>
      </c>
      <c r="N63" s="7" t="n">
        <v>147.5589562973089</v>
      </c>
      <c r="O63" s="8">
        <f>N63*$B$2/100</f>
        <v/>
      </c>
    </row>
    <row r="64">
      <c r="A64" s="6" t="n">
        <v>46238.49811934028</v>
      </c>
      <c r="B64" s="7" t="n">
        <v>155.4258066323101</v>
      </c>
      <c r="C64" s="7" t="n">
        <v>146.2948807924445</v>
      </c>
      <c r="D64" s="7" t="n">
        <v>148.366292704052</v>
      </c>
      <c r="E64" s="7" t="n">
        <v>144.8943756464373</v>
      </c>
      <c r="F64" s="7" t="n">
        <v>138.9040015427635</v>
      </c>
      <c r="G64" s="7" t="n">
        <v>132.8073229291717</v>
      </c>
      <c r="H64" s="7" t="n">
        <v>153.2249143021232</v>
      </c>
      <c r="I64" s="7" t="n">
        <v>121.8697744228138</v>
      </c>
      <c r="J64" s="7" t="n">
        <v>146.3272989015757</v>
      </c>
      <c r="K64" s="7" t="n">
        <v>133.3922632245803</v>
      </c>
      <c r="L64" s="7" t="n">
        <v>131.8222928893773</v>
      </c>
      <c r="M64" s="7" t="n">
        <v>111.8971698625672</v>
      </c>
      <c r="N64" s="7" t="n">
        <v>146.1330085232714</v>
      </c>
      <c r="O64" s="8">
        <f>N64*$B$2/100</f>
        <v/>
      </c>
    </row>
    <row r="65">
      <c r="A65" s="6" t="n">
        <v>46238.49813106481</v>
      </c>
      <c r="B65" s="7" t="n">
        <v>124.4801085132741</v>
      </c>
      <c r="C65" s="7" t="n">
        <v>139.7252093126756</v>
      </c>
      <c r="D65" s="7" t="n">
        <v>143.5603292284493</v>
      </c>
      <c r="E65" s="7" t="n">
        <v>155.289461447991</v>
      </c>
      <c r="F65" s="7" t="n">
        <v>157.8252254164758</v>
      </c>
      <c r="G65" s="7" t="n">
        <v>139.1703902871715</v>
      </c>
      <c r="H65" s="7" t="n">
        <v>147.8621122154129</v>
      </c>
      <c r="I65" s="7" t="n">
        <v>149.4701120978308</v>
      </c>
      <c r="J65" s="7" t="n">
        <v>147.3248314730909</v>
      </c>
      <c r="K65" s="7" t="n">
        <v>120.6635465418617</v>
      </c>
      <c r="L65" s="7" t="n">
        <v>128.3771725227598</v>
      </c>
      <c r="M65" s="7" t="n">
        <v>136.220477331204</v>
      </c>
      <c r="N65" s="7" t="n">
        <v>146.7567571854578</v>
      </c>
      <c r="O65" s="8">
        <f>N65*$B$2/100</f>
        <v/>
      </c>
    </row>
    <row r="66">
      <c r="A66" s="6" t="n">
        <v>46238.49814275463</v>
      </c>
      <c r="B66" s="7" t="n">
        <v>107.7621244233886</v>
      </c>
      <c r="C66" s="7" t="n">
        <v>153.8608128978792</v>
      </c>
      <c r="D66" s="7" t="n">
        <v>138.8943394863273</v>
      </c>
      <c r="E66" s="7" t="n">
        <v>148.8789308176101</v>
      </c>
      <c r="F66" s="7" t="n">
        <v>142.8834951456311</v>
      </c>
      <c r="G66" s="7" t="n">
        <v>102.0609240486985</v>
      </c>
      <c r="H66" s="7" t="n">
        <v>145.2283692347923</v>
      </c>
      <c r="I66" s="7" t="n">
        <v>114.250382779429</v>
      </c>
      <c r="J66" s="7" t="n">
        <v>160.634619995205</v>
      </c>
      <c r="K66" s="7" t="n">
        <v>123.7129588677576</v>
      </c>
      <c r="L66" s="7" t="n">
        <v>128.0672309319996</v>
      </c>
      <c r="M66" s="7" t="n">
        <v>119.8566770909575</v>
      </c>
      <c r="N66" s="7" t="n">
        <v>145.3397886318195</v>
      </c>
      <c r="O66" s="8">
        <f>N66*$B$2/100</f>
        <v/>
      </c>
    </row>
    <row r="67">
      <c r="A67" s="6" t="n">
        <v>46238.49815446759</v>
      </c>
      <c r="B67" s="7" t="n">
        <v>142.6031823985856</v>
      </c>
      <c r="C67" s="7" t="n">
        <v>157.8114278990847</v>
      </c>
      <c r="D67" s="7" t="n">
        <v>154.8511723312726</v>
      </c>
      <c r="E67" s="7" t="n">
        <v>114.8817710134901</v>
      </c>
      <c r="F67" s="7" t="n">
        <v>127.8935350013505</v>
      </c>
      <c r="G67" s="7" t="n">
        <v>128.9859824575785</v>
      </c>
      <c r="H67" s="7" t="n">
        <v>142.0167140401341</v>
      </c>
      <c r="I67" s="7" t="n">
        <v>117.5576878790205</v>
      </c>
      <c r="J67" s="7" t="n">
        <v>132.4068478367507</v>
      </c>
      <c r="K67" s="7" t="n">
        <v>125.3907925712791</v>
      </c>
      <c r="L67" s="7" t="n">
        <v>117.5174229943587</v>
      </c>
      <c r="M67" s="7" t="n">
        <v>130.9387693371359</v>
      </c>
      <c r="N67" s="7" t="n">
        <v>142.6045291828794</v>
      </c>
      <c r="O67" s="8">
        <f>N67*$B$2/100</f>
        <v/>
      </c>
    </row>
    <row r="68">
      <c r="A68" s="6" t="n">
        <v>46238.49816613426</v>
      </c>
      <c r="B68" s="7" t="n">
        <v>130.508697470207</v>
      </c>
      <c r="C68" s="7" t="n">
        <v>159.1668739492647</v>
      </c>
      <c r="D68" s="7" t="n">
        <v>134.7075572318489</v>
      </c>
      <c r="E68" s="7" t="n">
        <v>144.4031185548681</v>
      </c>
      <c r="F68" s="7" t="n">
        <v>124.1764783318414</v>
      </c>
      <c r="G68" s="7" t="n">
        <v>105.1666100110479</v>
      </c>
      <c r="H68" s="7" t="n">
        <v>138.9635507149539</v>
      </c>
      <c r="I68" s="7" t="n">
        <v>112.1497287522604</v>
      </c>
      <c r="J68" s="7" t="n">
        <v>127.0659288176419</v>
      </c>
      <c r="K68" s="7" t="n">
        <v>106.8573283433896</v>
      </c>
      <c r="L68" s="7" t="n">
        <v>156.4211457358578</v>
      </c>
      <c r="M68" s="7" t="n">
        <v>117.9580149665223</v>
      </c>
      <c r="N68" s="7" t="n">
        <v>141.4159382377337</v>
      </c>
      <c r="O68" s="8">
        <f>N68*$B$2/100</f>
        <v/>
      </c>
    </row>
    <row r="69">
      <c r="A69" s="6" t="n">
        <v>46238.49817782408</v>
      </c>
      <c r="B69" s="7" t="n">
        <v>119.0220714020082</v>
      </c>
      <c r="C69" s="7" t="n">
        <v>156.0791439641192</v>
      </c>
      <c r="D69" s="7" t="n">
        <v>148.6144599059396</v>
      </c>
      <c r="E69" s="7" t="n">
        <v>124.0681439048189</v>
      </c>
      <c r="F69" s="7" t="n">
        <v>139.8052543631638</v>
      </c>
      <c r="G69" s="7" t="n">
        <v>119.0158682716083</v>
      </c>
      <c r="H69" s="7" t="n">
        <v>149.8076285698503</v>
      </c>
      <c r="I69" s="7" t="n">
        <v>107.4539405281763</v>
      </c>
      <c r="J69" s="7" t="n">
        <v>155.950857526604</v>
      </c>
      <c r="K69" s="7" t="n">
        <v>134.1879110061036</v>
      </c>
      <c r="L69" s="7" t="n">
        <v>112.1675410327513</v>
      </c>
      <c r="M69" s="7" t="n">
        <v>95.72019525627385</v>
      </c>
      <c r="N69" s="7" t="n">
        <v>143.5266434892541</v>
      </c>
      <c r="O69" s="8">
        <f>N69*$B$2/100</f>
        <v/>
      </c>
    </row>
    <row r="70">
      <c r="A70" s="6" t="n">
        <v>46238.49818953704</v>
      </c>
      <c r="B70" s="7" t="n">
        <v>156.8885326565996</v>
      </c>
      <c r="C70" s="7" t="n">
        <v>157.7332431365917</v>
      </c>
      <c r="D70" s="7" t="n">
        <v>109.3129138416399</v>
      </c>
      <c r="E70" s="7" t="n">
        <v>122.2948159163163</v>
      </c>
      <c r="F70" s="7" t="n">
        <v>115.4655225252835</v>
      </c>
      <c r="G70" s="7" t="n">
        <v>105.2783110844458</v>
      </c>
      <c r="H70" s="7" t="n">
        <v>143.1756556683587</v>
      </c>
      <c r="I70" s="7" t="n">
        <v>97.6644509438979</v>
      </c>
      <c r="J70" s="7" t="n">
        <v>135.7217915590008</v>
      </c>
      <c r="K70" s="7" t="n">
        <v>120.5262602733705</v>
      </c>
      <c r="L70" s="7" t="n">
        <v>121.5941449650226</v>
      </c>
      <c r="M70" s="7" t="n">
        <v>88.03110742430526</v>
      </c>
      <c r="N70" s="7" t="n">
        <v>143.5905443160877</v>
      </c>
      <c r="O70" s="8">
        <f>N70*$B$2/100</f>
        <v/>
      </c>
    </row>
    <row r="71">
      <c r="A71" s="6" t="n">
        <v>46238.49820125</v>
      </c>
      <c r="B71" s="7" t="n">
        <v>126.0299022494406</v>
      </c>
      <c r="C71" s="7" t="n">
        <v>141.1279282996378</v>
      </c>
      <c r="D71" s="7" t="n">
        <v>134.9422319967011</v>
      </c>
      <c r="E71" s="7" t="n">
        <v>155.9768508261328</v>
      </c>
      <c r="F71" s="7" t="n">
        <v>152.8452802417444</v>
      </c>
      <c r="G71" s="7" t="n">
        <v>123.8621319796954</v>
      </c>
      <c r="H71" s="7" t="n">
        <v>139.6468530109241</v>
      </c>
      <c r="I71" s="7" t="n">
        <v>125.5427474062251</v>
      </c>
      <c r="J71" s="7" t="n">
        <v>135.3759195518661</v>
      </c>
      <c r="K71" s="7" t="n">
        <v>116.7017585410622</v>
      </c>
      <c r="L71" s="7" t="n">
        <v>130.7313096776884</v>
      </c>
      <c r="M71" s="7" t="n">
        <v>101.4547729379055</v>
      </c>
      <c r="N71" s="7" t="n">
        <v>140.9327772552768</v>
      </c>
      <c r="O71" s="8">
        <f>N71*$B$2/100</f>
        <v/>
      </c>
    </row>
    <row r="72">
      <c r="A72" s="6" t="n">
        <v>46238.49821302083</v>
      </c>
      <c r="B72" s="7" t="n">
        <v>146.616814389468</v>
      </c>
      <c r="C72" s="7" t="n">
        <v>159.1908616572517</v>
      </c>
      <c r="D72" s="7" t="n">
        <v>149.8096247389679</v>
      </c>
      <c r="E72" s="7" t="n">
        <v>140.8327236885336</v>
      </c>
      <c r="F72" s="7" t="n">
        <v>153.1674750656168</v>
      </c>
      <c r="G72" s="7" t="n">
        <v>136.3335780673797</v>
      </c>
      <c r="H72" s="7" t="n">
        <v>155.9173956456188</v>
      </c>
      <c r="I72" s="7" t="n">
        <v>145.6826269347606</v>
      </c>
      <c r="J72" s="7" t="n">
        <v>155.680814162473</v>
      </c>
      <c r="K72" s="7" t="n">
        <v>147.0099166514571</v>
      </c>
      <c r="L72" s="7" t="n">
        <v>140.2400160578081</v>
      </c>
      <c r="M72" s="7" t="n">
        <v>125.2463935022427</v>
      </c>
      <c r="N72" s="7" t="n">
        <v>151.5742064031155</v>
      </c>
      <c r="O72" s="8">
        <f>N72*$B$2/100</f>
        <v/>
      </c>
    </row>
    <row r="73">
      <c r="A73" s="6" t="n">
        <v>46238.4982246875</v>
      </c>
      <c r="B73" s="7" t="n">
        <v>136.5954545926903</v>
      </c>
      <c r="C73" s="7" t="n">
        <v>149.9607607728651</v>
      </c>
      <c r="D73" s="7" t="n">
        <v>155.5208899184087</v>
      </c>
      <c r="E73" s="7" t="n">
        <v>143.0257916674525</v>
      </c>
      <c r="F73" s="7" t="n">
        <v>144.8057041840767</v>
      </c>
      <c r="G73" s="7" t="n">
        <v>128.9787450641658</v>
      </c>
      <c r="H73" s="7" t="n">
        <v>147.3566683927647</v>
      </c>
      <c r="I73" s="7" t="n">
        <v>132.5939099449303</v>
      </c>
      <c r="J73" s="7" t="n">
        <v>143.6810043370052</v>
      </c>
      <c r="K73" s="7" t="n">
        <v>137.2281900596784</v>
      </c>
      <c r="L73" s="7" t="n">
        <v>140.318110284815</v>
      </c>
      <c r="M73" s="7" t="n">
        <v>144.3397181858212</v>
      </c>
      <c r="N73" s="7" t="n">
        <v>146.5822779843243</v>
      </c>
      <c r="O73" s="8">
        <f>N73*$B$2/100</f>
        <v/>
      </c>
    </row>
    <row r="74">
      <c r="A74" s="6" t="n">
        <v>46238.49823633102</v>
      </c>
      <c r="B74" s="7" t="n">
        <v>129.339511325533</v>
      </c>
      <c r="C74" s="7" t="n">
        <v>150.5303876315267</v>
      </c>
      <c r="D74" s="7" t="n">
        <v>152.2774525254825</v>
      </c>
      <c r="E74" s="7" t="n">
        <v>129.0158985028721</v>
      </c>
      <c r="F74" s="7" t="n">
        <v>158.8004725362449</v>
      </c>
      <c r="G74" s="7" t="n">
        <v>115.5562398004742</v>
      </c>
      <c r="H74" s="7" t="n">
        <v>152.4207565298743</v>
      </c>
      <c r="I74" s="7" t="n">
        <v>103.7242139288863</v>
      </c>
      <c r="J74" s="7" t="n">
        <v>115.3542746518454</v>
      </c>
      <c r="K74" s="7" t="n">
        <v>83.50922027007405</v>
      </c>
      <c r="L74" s="7" t="n">
        <v>108.7139735008879</v>
      </c>
      <c r="M74" s="7" t="n">
        <v>98.77008366092127</v>
      </c>
      <c r="N74" s="7" t="n">
        <v>142.3415674900824</v>
      </c>
      <c r="O74" s="8">
        <f>N74*$B$2/100</f>
        <v/>
      </c>
    </row>
    <row r="75">
      <c r="A75" s="6" t="n">
        <v>46238.49824799768</v>
      </c>
      <c r="B75" s="7" t="n">
        <v>133.785120320069</v>
      </c>
      <c r="C75" s="7" t="n">
        <v>158.9155292738128</v>
      </c>
      <c r="D75" s="7" t="n">
        <v>144.2227227158493</v>
      </c>
      <c r="E75" s="7" t="n">
        <v>151.3489590300332</v>
      </c>
      <c r="F75" s="7" t="n">
        <v>151.7083795878721</v>
      </c>
      <c r="G75" s="7" t="n">
        <v>137.6184279070648</v>
      </c>
      <c r="H75" s="7" t="n">
        <v>148.4868877898474</v>
      </c>
      <c r="I75" s="7" t="n">
        <v>149.2039518510107</v>
      </c>
      <c r="J75" s="7" t="n">
        <v>154.6568112447493</v>
      </c>
      <c r="K75" s="7" t="n">
        <v>143.6122003658184</v>
      </c>
      <c r="L75" s="7" t="n">
        <v>132.8941356146864</v>
      </c>
      <c r="M75" s="7" t="n">
        <v>146.6038685423235</v>
      </c>
      <c r="N75" s="7" t="n">
        <v>147.8018959779068</v>
      </c>
      <c r="O75" s="8">
        <f>N75*$B$2/100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46238.49755433949</v>
      </c>
      <c r="C6" s="10" t="n">
        <v>46238.4978348057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정리'!$A$6:$A$75,"&gt;="&amp;B6,'클럭 정리'!$A$6:$A$75,"&lt;="&amp;C6)</f>
        <v/>
      </c>
      <c r="G6" s="14">
        <f>AVERAGEIFS('클럭 정리'!$N$6:$N$75,'클럭 정리'!$A$6:$A$75,"&gt;="&amp;B6,'클럭 정리'!$A$6:$A$75,"&lt;="&amp;C6)</f>
        <v/>
      </c>
      <c r="H6" s="15">
        <f>G6*'클럭 정리'!$B$2/100</f>
        <v/>
      </c>
    </row>
    <row r="7">
      <c r="A7" s="9" t="inlineStr">
        <is>
          <t>병렬도 6 분할 8 전체</t>
        </is>
      </c>
      <c r="B7" s="10" t="n">
        <v>46238.4978348173</v>
      </c>
      <c r="C7" s="10" t="n">
        <v>46238.49797656207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정리'!$A$6:$A$75,"&gt;="&amp;B7,'클럭 정리'!$A$6:$A$75,"&lt;="&amp;C7)</f>
        <v/>
      </c>
      <c r="G7" s="14">
        <f>AVERAGEIFS('클럭 정리'!$N$6:$N$75,'클럭 정리'!$A$6:$A$75,"&gt;="&amp;B7,'클럭 정리'!$A$6:$A$75,"&lt;="&amp;C7)</f>
        <v/>
      </c>
      <c r="H7" s="15">
        <f>G7*'클럭 정리'!$B$2/100</f>
        <v/>
      </c>
    </row>
    <row r="8">
      <c r="A8" s="13" t="inlineStr">
        <is>
          <t>병렬도 6 분할 8 워밍업</t>
        </is>
      </c>
      <c r="B8" s="10" t="n">
        <v>46238.4978348173</v>
      </c>
      <c r="C8" s="10" t="n">
        <v>46238.49787072917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정리'!$A$6:$A$75,"&gt;="&amp;B8,'클럭 정리'!$A$6:$A$75,"&lt;="&amp;C8)</f>
        <v/>
      </c>
      <c r="G8" s="14">
        <f>AVERAGEIFS('클럭 정리'!$N$6:$N$75,'클럭 정리'!$A$6:$A$75,"&gt;="&amp;B8,'클럭 정리'!$A$6:$A$75,"&lt;="&amp;C8)</f>
        <v/>
      </c>
      <c r="H8" s="15">
        <f>G8*'클럭 정리'!$B$2/100</f>
        <v/>
      </c>
    </row>
    <row r="9">
      <c r="A9" s="13" t="inlineStr">
        <is>
          <t>병렬도 6 분할 8 측정 1회차</t>
        </is>
      </c>
      <c r="B9" s="10" t="n">
        <v>46238.49787072917</v>
      </c>
      <c r="C9" s="10" t="n">
        <v>46238.49789277234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정리'!$A$6:$A$75,"&gt;="&amp;B9,'클럭 정리'!$A$6:$A$75,"&lt;="&amp;C9)</f>
        <v/>
      </c>
      <c r="G9" s="14">
        <f>AVERAGEIFS('클럭 정리'!$N$6:$N$75,'클럭 정리'!$A$6:$A$75,"&gt;="&amp;B9,'클럭 정리'!$A$6:$A$75,"&lt;="&amp;C9)</f>
        <v/>
      </c>
      <c r="H9" s="15">
        <f>G9*'클럭 정리'!$B$2/100</f>
        <v/>
      </c>
    </row>
    <row r="10">
      <c r="A10" s="13" t="inlineStr">
        <is>
          <t>병렬도 6 분할 8 측정 2회차</t>
        </is>
      </c>
      <c r="B10" s="10" t="n">
        <v>46238.49789278935</v>
      </c>
      <c r="C10" s="10" t="n">
        <v>46238.49790935627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정리'!$A$6:$A$75,"&gt;="&amp;B10,'클럭 정리'!$A$6:$A$75,"&lt;="&amp;C10)</f>
        <v/>
      </c>
      <c r="G10" s="14">
        <f>AVERAGEIFS('클럭 정리'!$N$6:$N$75,'클럭 정리'!$A$6:$A$75,"&gt;="&amp;B10,'클럭 정리'!$A$6:$A$75,"&lt;="&amp;C10)</f>
        <v/>
      </c>
      <c r="H10" s="15">
        <f>G10*'클럭 정리'!$B$2/100</f>
        <v/>
      </c>
    </row>
    <row r="11">
      <c r="A11" s="13" t="inlineStr">
        <is>
          <t>병렬도 6 분할 8 측정 3회차</t>
        </is>
      </c>
      <c r="B11" s="10" t="n">
        <v>46238.497909375</v>
      </c>
      <c r="C11" s="10" t="n">
        <v>46238.49792595993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정리'!$A$6:$A$75,"&gt;="&amp;B11,'클럭 정리'!$A$6:$A$75,"&lt;="&amp;C11)</f>
        <v/>
      </c>
      <c r="G11" s="14">
        <f>AVERAGEIFS('클럭 정리'!$N$6:$N$75,'클럭 정리'!$A$6:$A$75,"&gt;="&amp;B11,'클럭 정리'!$A$6:$A$75,"&lt;="&amp;C11)</f>
        <v/>
      </c>
      <c r="H11" s="15">
        <f>G11*'클럭 정리'!$B$2/100</f>
        <v/>
      </c>
    </row>
    <row r="12">
      <c r="A12" s="13" t="inlineStr">
        <is>
          <t>병렬도 6 분할 8 측정 4회차</t>
        </is>
      </c>
      <c r="B12" s="10" t="n">
        <v>46238.49792597222</v>
      </c>
      <c r="C12" s="10" t="n">
        <v>46238.49794275939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정리'!$A$6:$A$75,"&gt;="&amp;B12,'클럭 정리'!$A$6:$A$75,"&lt;="&amp;C12)</f>
        <v/>
      </c>
      <c r="G12" s="14">
        <f>AVERAGEIFS('클럭 정리'!$N$6:$N$75,'클럭 정리'!$A$6:$A$75,"&gt;="&amp;B12,'클럭 정리'!$A$6:$A$75,"&lt;="&amp;C12)</f>
        <v/>
      </c>
      <c r="H12" s="15">
        <f>G12*'클럭 정리'!$B$2/100</f>
        <v/>
      </c>
    </row>
    <row r="13">
      <c r="A13" s="13" t="inlineStr">
        <is>
          <t>병렬도 6 분할 8 측정 5회차</t>
        </is>
      </c>
      <c r="B13" s="10" t="n">
        <v>46238.49794277778</v>
      </c>
      <c r="C13" s="10" t="n">
        <v>46238.49795938614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정리'!$A$6:$A$75,"&gt;="&amp;B13,'클럭 정리'!$A$6:$A$75,"&lt;="&amp;C13)</f>
        <v/>
      </c>
      <c r="G13" s="14">
        <f>AVERAGEIFS('클럭 정리'!$N$6:$N$75,'클럭 정리'!$A$6:$A$75,"&gt;="&amp;B13,'클럭 정리'!$A$6:$A$75,"&lt;="&amp;C13)</f>
        <v/>
      </c>
      <c r="H13" s="15">
        <f>G13*'클럭 정리'!$B$2/100</f>
        <v/>
      </c>
    </row>
    <row r="14">
      <c r="A14" s="13" t="inlineStr">
        <is>
          <t>병렬도 6 분할 8 워커별 CPU 읽기 실행</t>
        </is>
      </c>
      <c r="B14" s="10" t="n">
        <v>46238.49795938614</v>
      </c>
      <c r="C14" s="10" t="n">
        <v>46238.49797656207</v>
      </c>
      <c r="D14" s="11">
        <f>(C14-B14)*86400</f>
        <v/>
      </c>
      <c r="E14" s="12" t="inlineStr">
        <is>
          <t>ForkJoinPool-8-worker-1, ForkJoinPool-8-worker-2, ForkJoinPool-8-worker-4, ForkJoinPool-8-worker-5, ForkJoinPool-8-worker-6, ForkJoinPool-8-worker-3 + main</t>
        </is>
      </c>
      <c r="F14" s="13">
        <f>COUNTIFS('클럭 정리'!$A$6:$A$75,"&gt;="&amp;B14,'클럭 정리'!$A$6:$A$75,"&lt;="&amp;C14)</f>
        <v/>
      </c>
      <c r="G14" s="14">
        <f>AVERAGEIFS('클럭 정리'!$N$6:$N$75,'클럭 정리'!$A$6:$A$75,"&gt;="&amp;B14,'클럭 정리'!$A$6:$A$75,"&lt;="&amp;C14)</f>
        <v/>
      </c>
      <c r="H14" s="15">
        <f>G14*'클럭 정리'!$B$2/100</f>
        <v/>
      </c>
    </row>
    <row r="15">
      <c r="A15" s="9" t="inlineStr">
        <is>
          <t>병렬도 12 분할 8 전체</t>
        </is>
      </c>
      <c r="B15" s="10" t="n">
        <v>46238.49797656207</v>
      </c>
      <c r="C15" s="10" t="n">
        <v>46238.49808681279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정리'!$A$6:$A$75,"&gt;="&amp;B15,'클럭 정리'!$A$6:$A$75,"&lt;="&amp;C15)</f>
        <v/>
      </c>
      <c r="G15" s="14">
        <f>AVERAGEIFS('클럭 정리'!$N$6:$N$75,'클럭 정리'!$A$6:$A$75,"&gt;="&amp;B15,'클럭 정리'!$A$6:$A$75,"&lt;="&amp;C15)</f>
        <v/>
      </c>
      <c r="H15" s="15">
        <f>G15*'클럭 정리'!$B$2/100</f>
        <v/>
      </c>
    </row>
    <row r="16">
      <c r="A16" s="13" t="inlineStr">
        <is>
          <t>병렬도 12 분할 8 워밍업</t>
        </is>
      </c>
      <c r="B16" s="10" t="n">
        <v>46238.49797656207</v>
      </c>
      <c r="C16" s="10" t="n">
        <v>46238.49800376158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정리'!$A$6:$A$75,"&gt;="&amp;B16,'클럭 정리'!$A$6:$A$75,"&lt;="&amp;C16)</f>
        <v/>
      </c>
      <c r="G16" s="14">
        <f>AVERAGEIFS('클럭 정리'!$N$6:$N$75,'클럭 정리'!$A$6:$A$75,"&gt;="&amp;B16,'클럭 정리'!$A$6:$A$75,"&lt;="&amp;C16)</f>
        <v/>
      </c>
      <c r="H16" s="15">
        <f>G16*'클럭 정리'!$B$2/100</f>
        <v/>
      </c>
    </row>
    <row r="17">
      <c r="A17" s="13" t="inlineStr">
        <is>
          <t>병렬도 12 분할 8 측정 1회차</t>
        </is>
      </c>
      <c r="B17" s="10" t="n">
        <v>46238.49800376158</v>
      </c>
      <c r="C17" s="10" t="n">
        <v>46238.49801749028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정리'!$A$6:$A$75,"&gt;="&amp;B17,'클럭 정리'!$A$6:$A$75,"&lt;="&amp;C17)</f>
        <v/>
      </c>
      <c r="G17" s="14">
        <f>AVERAGEIFS('클럭 정리'!$N$6:$N$75,'클럭 정리'!$A$6:$A$75,"&gt;="&amp;B17,'클럭 정리'!$A$6:$A$75,"&lt;="&amp;C17)</f>
        <v/>
      </c>
      <c r="H17" s="15">
        <f>G17*'클럭 정리'!$B$2/100</f>
        <v/>
      </c>
    </row>
    <row r="18">
      <c r="A18" s="13" t="inlineStr">
        <is>
          <t>병렬도 12 분할 8 측정 2회차</t>
        </is>
      </c>
      <c r="B18" s="10" t="n">
        <v>46238.4980175</v>
      </c>
      <c r="C18" s="10" t="n">
        <v>46238.4980313173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정리'!$A$6:$A$75,"&gt;="&amp;B18,'클럭 정리'!$A$6:$A$75,"&lt;="&amp;C18)</f>
        <v/>
      </c>
      <c r="G18" s="14">
        <f>AVERAGEIFS('클럭 정리'!$N$6:$N$75,'클럭 정리'!$A$6:$A$75,"&gt;="&amp;B18,'클럭 정리'!$A$6:$A$75,"&lt;="&amp;C18)</f>
        <v/>
      </c>
      <c r="H18" s="15">
        <f>G18*'클럭 정리'!$B$2/100</f>
        <v/>
      </c>
    </row>
    <row r="19">
      <c r="A19" s="13" t="inlineStr">
        <is>
          <t>병렬도 12 분할 8 측정 3회차</t>
        </is>
      </c>
      <c r="B19" s="10" t="n">
        <v>46238.49803133102</v>
      </c>
      <c r="C19" s="10" t="n">
        <v>46238.49804502982</v>
      </c>
      <c r="D19" s="11">
        <f>(C19-B19)*86400</f>
        <v/>
      </c>
      <c r="E19" s="12" t="inlineStr">
        <is>
          <t>ForkJoinPool-13-worker-1, ForkJoinPool-13-worker-11, ForkJoinPool-13-worker-12, ForkJoinPool-13-worker-2, ForkJoinPool-13-worker-3, ForkJoinPool-13-worker-4, ForkJoinPool-13-worker-5, ForkJoinPool-13-worker-6, ForkJoinPool-13-worker-7, ForkJoinPool-13-worker-8 + main(스캔 사이 순차 구간)</t>
        </is>
      </c>
      <c r="F19" s="13">
        <f>COUNTIFS('클럭 정리'!$A$6:$A$75,"&gt;="&amp;B19,'클럭 정리'!$A$6:$A$75,"&lt;="&amp;C19)</f>
        <v/>
      </c>
      <c r="G19" s="14">
        <f>AVERAGEIFS('클럭 정리'!$N$6:$N$75,'클럭 정리'!$A$6:$A$75,"&gt;="&amp;B19,'클럭 정리'!$A$6:$A$75,"&lt;="&amp;C19)</f>
        <v/>
      </c>
      <c r="H19" s="15">
        <f>G19*'클럭 정리'!$B$2/100</f>
        <v/>
      </c>
    </row>
    <row r="20">
      <c r="A20" s="13" t="inlineStr">
        <is>
          <t>병렬도 12 분할 8 측정 4회차</t>
        </is>
      </c>
      <c r="B20" s="10" t="n">
        <v>46238.4980450463</v>
      </c>
      <c r="C20" s="10" t="n">
        <v>46238.49805882292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 + main(스캔 사이 순차 구간)</t>
        </is>
      </c>
      <c r="F20" s="13">
        <f>COUNTIFS('클럭 정리'!$A$6:$A$75,"&gt;="&amp;B20,'클럭 정리'!$A$6:$A$75,"&lt;="&amp;C20)</f>
        <v/>
      </c>
      <c r="G20" s="14">
        <f>AVERAGEIFS('클럭 정리'!$N$6:$N$75,'클럭 정리'!$A$6:$A$75,"&gt;="&amp;B20,'클럭 정리'!$A$6:$A$75,"&lt;="&amp;C20)</f>
        <v/>
      </c>
      <c r="H20" s="15">
        <f>G20*'클럭 정리'!$B$2/100</f>
        <v/>
      </c>
    </row>
    <row r="21">
      <c r="A21" s="13" t="inlineStr">
        <is>
          <t>병렬도 12 분할 8 측정 5회차</t>
        </is>
      </c>
      <c r="B21" s="10" t="n">
        <v>46238.49805884259</v>
      </c>
      <c r="C21" s="10" t="n">
        <v>46238.49807264211</v>
      </c>
      <c r="D21" s="11">
        <f>(C21-B21)*86400</f>
        <v/>
      </c>
      <c r="E21" s="12" t="inlineStr">
        <is>
          <t>ForkJoinPool-15-worker-1, ForkJoinPool-15-worker-10,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정리'!$A$6:$A$75,"&gt;="&amp;B21,'클럭 정리'!$A$6:$A$75,"&lt;="&amp;C21)</f>
        <v/>
      </c>
      <c r="G21" s="14">
        <f>AVERAGEIFS('클럭 정리'!$N$6:$N$75,'클럭 정리'!$A$6:$A$75,"&gt;="&amp;B21,'클럭 정리'!$A$6:$A$75,"&lt;="&amp;C21)</f>
        <v/>
      </c>
      <c r="H21" s="15">
        <f>G21*'클럭 정리'!$B$2/100</f>
        <v/>
      </c>
    </row>
    <row r="22">
      <c r="A22" s="13" t="inlineStr">
        <is>
          <t>병렬도 12 분할 8 워커별 CPU 읽기 실행</t>
        </is>
      </c>
      <c r="B22" s="10" t="n">
        <v>46238.49807264211</v>
      </c>
      <c r="C22" s="10" t="n">
        <v>46238.49808681279</v>
      </c>
      <c r="D22" s="11">
        <f>(C22-B22)*86400</f>
        <v/>
      </c>
      <c r="E22" s="12" t="inlineStr">
        <is>
          <t>ForkJoinPool-16-worker-1, ForkJoinPool-16-worker-5, ForkJoinPool-16-worker-7, ForkJoinPool-16-worker-2, ForkJoinPool-16-worker-3, ForkJoinPool-16-worker-10, ForkJoinPool-16-worker-12, ForkJoinPool-16-worker-11, ForkJoinPool-16-worker-4, ForkJoinPool-16-worker-6, ForkJoinPool-16-worker-8, ForkJoinPool-16-worker-9 + main</t>
        </is>
      </c>
      <c r="F22" s="13">
        <f>COUNTIFS('클럭 정리'!$A$6:$A$75,"&gt;="&amp;B22,'클럭 정리'!$A$6:$A$75,"&lt;="&amp;C22)</f>
        <v/>
      </c>
      <c r="G22" s="14">
        <f>AVERAGEIFS('클럭 정리'!$N$6:$N$75,'클럭 정리'!$A$6:$A$75,"&gt;="&amp;B22,'클럭 정리'!$A$6:$A$75,"&lt;="&amp;C22)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8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46238.49787074074</v>
      </c>
      <c r="F6" s="10" t="n">
        <v>46238.49789265139</v>
      </c>
      <c r="G6" s="13" t="n">
        <v>52</v>
      </c>
      <c r="H6" s="14" t="n">
        <v>1335.9634</v>
      </c>
      <c r="I6" s="13">
        <f>COUNTIFS('클럭 정리'!$A$6:$A$75,"&gt;="&amp;E6,'클럭 정리'!$A$6:$A$75,"&lt;="&amp;F6)</f>
        <v/>
      </c>
      <c r="J6" s="14">
        <f>AVERAGEIFS('클럭 정리'!$N$6:$N$75,'클럭 정리'!$A$6:$A$75,"&gt;="&amp;E6,'클럭 정리'!$A$6:$A$75,"&lt;="&amp;F6)</f>
        <v/>
      </c>
      <c r="K6" s="15">
        <f>J6*'클럭 정리'!$B$2/100</f>
        <v/>
      </c>
    </row>
    <row r="7">
      <c r="A7" s="13" t="inlineStr">
        <is>
          <t>병렬도 6 분할 8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46238.49787075231</v>
      </c>
      <c r="F7" s="10" t="n">
        <v>46238.49789265178</v>
      </c>
      <c r="G7" s="13" t="n">
        <v>59</v>
      </c>
      <c r="H7" s="14" t="n">
        <v>1403.1464</v>
      </c>
      <c r="I7" s="13">
        <f>COUNTIFS('클럭 정리'!$A$6:$A$75,"&gt;="&amp;E7,'클럭 정리'!$A$6:$A$75,"&lt;="&amp;F7)</f>
        <v/>
      </c>
      <c r="J7" s="14">
        <f>AVERAGEIFS('클럭 정리'!$N$6:$N$75,'클럭 정리'!$A$6:$A$75,"&gt;="&amp;E7,'클럭 정리'!$A$6:$A$75,"&lt;="&amp;F7)</f>
        <v/>
      </c>
      <c r="K7" s="15">
        <f>J7*'클럭 정리'!$B$2/100</f>
        <v/>
      </c>
    </row>
    <row r="8">
      <c r="A8" s="13" t="inlineStr">
        <is>
          <t>병렬도 6 분할 8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46238.49787075231</v>
      </c>
      <c r="F8" s="10" t="n">
        <v>46238.49789265734</v>
      </c>
      <c r="G8" s="13" t="n">
        <v>60</v>
      </c>
      <c r="H8" s="14" t="n">
        <v>1488.018</v>
      </c>
      <c r="I8" s="13">
        <f>COUNTIFS('클럭 정리'!$A$6:$A$75,"&gt;="&amp;E8,'클럭 정리'!$A$6:$A$75,"&lt;="&amp;F8)</f>
        <v/>
      </c>
      <c r="J8" s="14">
        <f>AVERAGEIFS('클럭 정리'!$N$6:$N$75,'클럭 정리'!$A$6:$A$75,"&gt;="&amp;E8,'클럭 정리'!$A$6:$A$75,"&lt;="&amp;F8)</f>
        <v/>
      </c>
      <c r="K8" s="15">
        <f>J8*'클럭 정리'!$B$2/100</f>
        <v/>
      </c>
    </row>
    <row r="9">
      <c r="A9" s="13" t="inlineStr">
        <is>
          <t>병렬도 6 분할 8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46238.49787075231</v>
      </c>
      <c r="F9" s="10" t="n">
        <v>46238.49789264445</v>
      </c>
      <c r="G9" s="13" t="n">
        <v>60</v>
      </c>
      <c r="H9" s="14" t="n">
        <v>1327.3624</v>
      </c>
      <c r="I9" s="13">
        <f>COUNTIFS('클럭 정리'!$A$6:$A$75,"&gt;="&amp;E9,'클럭 정리'!$A$6:$A$75,"&lt;="&amp;F9)</f>
        <v/>
      </c>
      <c r="J9" s="14">
        <f>AVERAGEIFS('클럭 정리'!$N$6:$N$75,'클럭 정리'!$A$6:$A$75,"&gt;="&amp;E9,'클럭 정리'!$A$6:$A$75,"&lt;="&amp;F9)</f>
        <v/>
      </c>
      <c r="K9" s="15">
        <f>J9*'클럭 정리'!$B$2/100</f>
        <v/>
      </c>
    </row>
    <row r="10">
      <c r="A10" s="13" t="inlineStr">
        <is>
          <t>병렬도 6 분할 8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46238.49787075231</v>
      </c>
      <c r="F10" s="10" t="n">
        <v>46238.49789277621</v>
      </c>
      <c r="G10" s="13" t="n">
        <v>71</v>
      </c>
      <c r="H10" s="14" t="n">
        <v>1534.9527</v>
      </c>
      <c r="I10" s="13">
        <f>COUNTIFS('클럭 정리'!$A$6:$A$75,"&gt;="&amp;E10,'클럭 정리'!$A$6:$A$75,"&lt;="&amp;F10)</f>
        <v/>
      </c>
      <c r="J10" s="14">
        <f>AVERAGEIFS('클럭 정리'!$N$6:$N$75,'클럭 정리'!$A$6:$A$75,"&gt;="&amp;E10,'클럭 정리'!$A$6:$A$75,"&lt;="&amp;F10)</f>
        <v/>
      </c>
      <c r="K10" s="15">
        <f>J10*'클럭 정리'!$B$2/100</f>
        <v/>
      </c>
    </row>
    <row r="11">
      <c r="A11" s="13" t="inlineStr">
        <is>
          <t>병렬도 6 분할 8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46238.49787075231</v>
      </c>
      <c r="F11" s="10" t="n">
        <v>46238.49789278046</v>
      </c>
      <c r="G11" s="13" t="n">
        <v>58</v>
      </c>
      <c r="H11" s="14" t="n">
        <v>1378.3718</v>
      </c>
      <c r="I11" s="13">
        <f>COUNTIFS('클럭 정리'!$A$6:$A$75,"&gt;="&amp;E11,'클럭 정리'!$A$6:$A$75,"&lt;="&amp;F11)</f>
        <v/>
      </c>
      <c r="J11" s="14">
        <f>AVERAGEIFS('클럭 정리'!$N$6:$N$75,'클럭 정리'!$A$6:$A$75,"&gt;="&amp;E11,'클럭 정리'!$A$6:$A$75,"&lt;="&amp;F11)</f>
        <v/>
      </c>
      <c r="K11" s="15">
        <f>J11*'클럭 정리'!$B$2/100</f>
        <v/>
      </c>
    </row>
    <row r="12">
      <c r="A12" s="13" t="inlineStr">
        <is>
          <t>병렬도 6 분할 8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46238.49787072917</v>
      </c>
      <c r="F12" s="10" t="n">
        <v>46238.49789277234</v>
      </c>
      <c r="G12" s="13" t="n">
        <v>45</v>
      </c>
      <c r="H12" s="14" t="n">
        <v>15.625</v>
      </c>
      <c r="I12" s="13">
        <f>COUNTIFS('클럭 정리'!$A$6:$A$75,"&gt;="&amp;E12,'클럭 정리'!$A$6:$A$75,"&lt;="&amp;F12)</f>
        <v/>
      </c>
      <c r="J12" s="14">
        <f>AVERAGEIFS('클럭 정리'!$N$6:$N$75,'클럭 정리'!$A$6:$A$75,"&gt;="&amp;E12,'클럭 정리'!$A$6:$A$75,"&lt;="&amp;F12)</f>
        <v/>
      </c>
      <c r="K12" s="15">
        <f>J12*'클럭 정리'!$B$2/100</f>
        <v/>
      </c>
    </row>
    <row r="13">
      <c r="A13" s="13" t="inlineStr">
        <is>
          <t>병렬도 6 분할 8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46238.49789278935</v>
      </c>
      <c r="F13" s="10" t="n">
        <v>46238.49790936428</v>
      </c>
      <c r="G13" s="13" t="n">
        <v>63</v>
      </c>
      <c r="H13" s="14" t="n">
        <v>1128.9962</v>
      </c>
      <c r="I13" s="13">
        <f>COUNTIFS('클럭 정리'!$A$6:$A$75,"&gt;="&amp;E13,'클럭 정리'!$A$6:$A$75,"&lt;="&amp;F13)</f>
        <v/>
      </c>
      <c r="J13" s="14">
        <f>AVERAGEIFS('클럭 정리'!$N$6:$N$75,'클럭 정리'!$A$6:$A$75,"&gt;="&amp;E13,'클럭 정리'!$A$6:$A$75,"&lt;="&amp;F13)</f>
        <v/>
      </c>
      <c r="K13" s="15">
        <f>J13*'클럭 정리'!$B$2/100</f>
        <v/>
      </c>
    </row>
    <row r="14">
      <c r="A14" s="13" t="inlineStr">
        <is>
          <t>병렬도 6 분할 8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46238.49789280093</v>
      </c>
      <c r="F14" s="10" t="n">
        <v>46238.49790923875</v>
      </c>
      <c r="G14" s="13" t="n">
        <v>62</v>
      </c>
      <c r="H14" s="14" t="n">
        <v>1113.9069</v>
      </c>
      <c r="I14" s="13">
        <f>COUNTIFS('클럭 정리'!$A$6:$A$75,"&gt;="&amp;E14,'클럭 정리'!$A$6:$A$75,"&lt;="&amp;F14)</f>
        <v/>
      </c>
      <c r="J14" s="14">
        <f>AVERAGEIFS('클럭 정리'!$N$6:$N$75,'클럭 정리'!$A$6:$A$75,"&gt;="&amp;E14,'클럭 정리'!$A$6:$A$75,"&lt;="&amp;F14)</f>
        <v/>
      </c>
      <c r="K14" s="15">
        <f>J14*'클럭 정리'!$B$2/100</f>
        <v/>
      </c>
    </row>
    <row r="15">
      <c r="A15" s="13" t="inlineStr">
        <is>
          <t>병렬도 6 분할 8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46238.49789280093</v>
      </c>
      <c r="F15" s="10" t="n">
        <v>46238.49790934841</v>
      </c>
      <c r="G15" s="13" t="n">
        <v>59</v>
      </c>
      <c r="H15" s="14" t="n">
        <v>1091.0649</v>
      </c>
      <c r="I15" s="13">
        <f>COUNTIFS('클럭 정리'!$A$6:$A$75,"&gt;="&amp;E15,'클럭 정리'!$A$6:$A$75,"&lt;="&amp;F15)</f>
        <v/>
      </c>
      <c r="J15" s="14">
        <f>AVERAGEIFS('클럭 정리'!$N$6:$N$75,'클럭 정리'!$A$6:$A$75,"&gt;="&amp;E15,'클럭 정리'!$A$6:$A$75,"&lt;="&amp;F15)</f>
        <v/>
      </c>
      <c r="K15" s="15">
        <f>J15*'클럭 정리'!$B$2/100</f>
        <v/>
      </c>
    </row>
    <row r="16">
      <c r="A16" s="13" t="inlineStr">
        <is>
          <t>병렬도 6 분할 8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46238.49789280093</v>
      </c>
      <c r="F16" s="10" t="n">
        <v>46238.49790923721</v>
      </c>
      <c r="G16" s="13" t="n">
        <v>61</v>
      </c>
      <c r="H16" s="14" t="n">
        <v>1103.5322</v>
      </c>
      <c r="I16" s="13">
        <f>COUNTIFS('클럭 정리'!$A$6:$A$75,"&gt;="&amp;E16,'클럭 정리'!$A$6:$A$75,"&lt;="&amp;F16)</f>
        <v/>
      </c>
      <c r="J16" s="14">
        <f>AVERAGEIFS('클럭 정리'!$N$6:$N$75,'클럭 정리'!$A$6:$A$75,"&gt;="&amp;E16,'클럭 정리'!$A$6:$A$75,"&lt;="&amp;F16)</f>
        <v/>
      </c>
      <c r="K16" s="15">
        <f>J16*'클럭 정리'!$B$2/100</f>
        <v/>
      </c>
    </row>
    <row r="17">
      <c r="A17" s="13" t="inlineStr">
        <is>
          <t>병렬도 6 분할 8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46238.49789280093</v>
      </c>
      <c r="F17" s="10" t="n">
        <v>46238.49790922961</v>
      </c>
      <c r="G17" s="13" t="n">
        <v>56</v>
      </c>
      <c r="H17" s="14" t="n">
        <v>1060.7543</v>
      </c>
      <c r="I17" s="13">
        <f>COUNTIFS('클럭 정리'!$A$6:$A$75,"&gt;="&amp;E17,'클럭 정리'!$A$6:$A$75,"&lt;="&amp;F17)</f>
        <v/>
      </c>
      <c r="J17" s="14">
        <f>AVERAGEIFS('클럭 정리'!$N$6:$N$75,'클럭 정리'!$A$6:$A$75,"&gt;="&amp;E17,'클럭 정리'!$A$6:$A$75,"&lt;="&amp;F17)</f>
        <v/>
      </c>
      <c r="K17" s="15">
        <f>J17*'클럭 정리'!$B$2/100</f>
        <v/>
      </c>
    </row>
    <row r="18">
      <c r="A18" s="13" t="inlineStr">
        <is>
          <t>병렬도 6 분할 8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46238.49789280093</v>
      </c>
      <c r="F18" s="10" t="n">
        <v>46238.49790921208</v>
      </c>
      <c r="G18" s="13" t="n">
        <v>59</v>
      </c>
      <c r="H18" s="14" t="n">
        <v>1093.3814</v>
      </c>
      <c r="I18" s="13">
        <f>COUNTIFS('클럭 정리'!$A$6:$A$75,"&gt;="&amp;E18,'클럭 정리'!$A$6:$A$75,"&lt;="&amp;F18)</f>
        <v/>
      </c>
      <c r="J18" s="14">
        <f>AVERAGEIFS('클럭 정리'!$N$6:$N$75,'클럭 정리'!$A$6:$A$75,"&gt;="&amp;E18,'클럭 정리'!$A$6:$A$75,"&lt;="&amp;F18)</f>
        <v/>
      </c>
      <c r="K18" s="15">
        <f>J18*'클럭 정리'!$B$2/100</f>
        <v/>
      </c>
    </row>
    <row r="19">
      <c r="A19" s="13" t="inlineStr">
        <is>
          <t>병렬도 6 분할 8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46238.49789278935</v>
      </c>
      <c r="F19" s="10" t="n">
        <v>46238.49790935627</v>
      </c>
      <c r="G19" s="13" t="n">
        <v>45</v>
      </c>
      <c r="H19" s="14" t="n">
        <v>0</v>
      </c>
      <c r="I19" s="13">
        <f>COUNTIFS('클럭 정리'!$A$6:$A$75,"&gt;="&amp;E19,'클럭 정리'!$A$6:$A$75,"&lt;="&amp;F19)</f>
        <v/>
      </c>
      <c r="J19" s="14">
        <f>AVERAGEIFS('클럭 정리'!$N$6:$N$75,'클럭 정리'!$A$6:$A$75,"&gt;="&amp;E19,'클럭 정리'!$A$6:$A$75,"&lt;="&amp;F19)</f>
        <v/>
      </c>
      <c r="K19" s="15">
        <f>J19*'클럭 정리'!$B$2/100</f>
        <v/>
      </c>
    </row>
    <row r="20">
      <c r="A20" s="13" t="inlineStr">
        <is>
          <t>병렬도 6 분할 8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46238.497909375</v>
      </c>
      <c r="F20" s="10" t="n">
        <v>46238.49792580875</v>
      </c>
      <c r="G20" s="13" t="n">
        <v>68</v>
      </c>
      <c r="H20" s="14" t="n">
        <v>1183.5963</v>
      </c>
      <c r="I20" s="13">
        <f>COUNTIFS('클럭 정리'!$A$6:$A$75,"&gt;="&amp;E20,'클럭 정리'!$A$6:$A$75,"&lt;="&amp;F20)</f>
        <v/>
      </c>
      <c r="J20" s="14">
        <f>AVERAGEIFS('클럭 정리'!$N$6:$N$75,'클럭 정리'!$A$6:$A$75,"&gt;="&amp;E20,'클럭 정리'!$A$6:$A$75,"&lt;="&amp;F20)</f>
        <v/>
      </c>
      <c r="K20" s="15">
        <f>J20*'클럭 정리'!$B$2/100</f>
        <v/>
      </c>
    </row>
    <row r="21">
      <c r="A21" s="13" t="inlineStr">
        <is>
          <t>병렬도 6 분할 8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46238.49790938658</v>
      </c>
      <c r="F21" s="10" t="n">
        <v>46238.49792595816</v>
      </c>
      <c r="G21" s="13" t="n">
        <v>67</v>
      </c>
      <c r="H21" s="14" t="n">
        <v>1176.0758</v>
      </c>
      <c r="I21" s="13">
        <f>COUNTIFS('클럭 정리'!$A$6:$A$75,"&gt;="&amp;E21,'클럭 정리'!$A$6:$A$75,"&lt;="&amp;F21)</f>
        <v/>
      </c>
      <c r="J21" s="14">
        <f>AVERAGEIFS('클럭 정리'!$N$6:$N$75,'클럭 정리'!$A$6:$A$75,"&gt;="&amp;E21,'클럭 정리'!$A$6:$A$75,"&lt;="&amp;F21)</f>
        <v/>
      </c>
      <c r="K21" s="15">
        <f>J21*'클럭 정리'!$B$2/100</f>
        <v/>
      </c>
    </row>
    <row r="22">
      <c r="A22" s="13" t="inlineStr">
        <is>
          <t>병렬도 6 분할 8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46238.49790938658</v>
      </c>
      <c r="F22" s="10" t="n">
        <v>46238.49792594868</v>
      </c>
      <c r="G22" s="13" t="n">
        <v>49</v>
      </c>
      <c r="H22" s="14" t="n">
        <v>982.1042</v>
      </c>
      <c r="I22" s="13">
        <f>COUNTIFS('클럭 정리'!$A$6:$A$75,"&gt;="&amp;E22,'클럭 정리'!$A$6:$A$75,"&lt;="&amp;F22)</f>
        <v/>
      </c>
      <c r="J22" s="14">
        <f>AVERAGEIFS('클럭 정리'!$N$6:$N$75,'클럭 정리'!$A$6:$A$75,"&gt;="&amp;E22,'클럭 정리'!$A$6:$A$75,"&lt;="&amp;F22)</f>
        <v/>
      </c>
      <c r="K22" s="15">
        <f>J22*'클럭 정리'!$B$2/100</f>
        <v/>
      </c>
    </row>
    <row r="23">
      <c r="A23" s="13" t="inlineStr">
        <is>
          <t>병렬도 6 분할 8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46238.49790938658</v>
      </c>
      <c r="F23" s="10" t="n">
        <v>46238.49792584384</v>
      </c>
      <c r="G23" s="13" t="n">
        <v>56</v>
      </c>
      <c r="H23" s="14" t="n">
        <v>1044.171</v>
      </c>
      <c r="I23" s="13">
        <f>COUNTIFS('클럭 정리'!$A$6:$A$75,"&gt;="&amp;E23,'클럭 정리'!$A$6:$A$75,"&lt;="&amp;F23)</f>
        <v/>
      </c>
      <c r="J23" s="14">
        <f>AVERAGEIFS('클럭 정리'!$N$6:$N$75,'클럭 정리'!$A$6:$A$75,"&gt;="&amp;E23,'클럭 정리'!$A$6:$A$75,"&lt;="&amp;F23)</f>
        <v/>
      </c>
      <c r="K23" s="15">
        <f>J23*'클럭 정리'!$B$2/100</f>
        <v/>
      </c>
    </row>
    <row r="24">
      <c r="A24" s="13" t="inlineStr">
        <is>
          <t>병렬도 6 분할 8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46238.49790938658</v>
      </c>
      <c r="F24" s="10" t="n">
        <v>46238.49792584759</v>
      </c>
      <c r="G24" s="13" t="n">
        <v>57</v>
      </c>
      <c r="H24" s="14" t="n">
        <v>1075.4496</v>
      </c>
      <c r="I24" s="13">
        <f>COUNTIFS('클럭 정리'!$A$6:$A$75,"&gt;="&amp;E24,'클럭 정리'!$A$6:$A$75,"&lt;="&amp;F24)</f>
        <v/>
      </c>
      <c r="J24" s="14">
        <f>AVERAGEIFS('클럭 정리'!$N$6:$N$75,'클럭 정리'!$A$6:$A$75,"&gt;="&amp;E24,'클럭 정리'!$A$6:$A$75,"&lt;="&amp;F24)</f>
        <v/>
      </c>
      <c r="K24" s="15">
        <f>J24*'클럭 정리'!$B$2/100</f>
        <v/>
      </c>
    </row>
    <row r="25">
      <c r="A25" s="13" t="inlineStr">
        <is>
          <t>병렬도 6 분할 8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46238.49790938658</v>
      </c>
      <c r="F25" s="10" t="n">
        <v>46238.49792581553</v>
      </c>
      <c r="G25" s="13" t="n">
        <v>63</v>
      </c>
      <c r="H25" s="14" t="n">
        <v>1126.9571</v>
      </c>
      <c r="I25" s="13">
        <f>COUNTIFS('클럭 정리'!$A$6:$A$75,"&gt;="&amp;E25,'클럭 정리'!$A$6:$A$75,"&lt;="&amp;F25)</f>
        <v/>
      </c>
      <c r="J25" s="14">
        <f>AVERAGEIFS('클럭 정리'!$N$6:$N$75,'클럭 정리'!$A$6:$A$75,"&gt;="&amp;E25,'클럭 정리'!$A$6:$A$75,"&lt;="&amp;F25)</f>
        <v/>
      </c>
      <c r="K25" s="15">
        <f>J25*'클럭 정리'!$B$2/100</f>
        <v/>
      </c>
    </row>
    <row r="26">
      <c r="A26" s="13" t="inlineStr">
        <is>
          <t>병렬도 6 분할 8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46238.497909375</v>
      </c>
      <c r="F26" s="10" t="n">
        <v>46238.49792595993</v>
      </c>
      <c r="G26" s="13" t="n">
        <v>45</v>
      </c>
      <c r="H26" s="14" t="n">
        <v>15.625</v>
      </c>
      <c r="I26" s="13">
        <f>COUNTIFS('클럭 정리'!$A$6:$A$75,"&gt;="&amp;E26,'클럭 정리'!$A$6:$A$75,"&lt;="&amp;F26)</f>
        <v/>
      </c>
      <c r="J26" s="14">
        <f>AVERAGEIFS('클럭 정리'!$N$6:$N$75,'클럭 정리'!$A$6:$A$75,"&gt;="&amp;E26,'클럭 정리'!$A$6:$A$75,"&lt;="&amp;F26)</f>
        <v/>
      </c>
      <c r="K26" s="15">
        <f>J26*'클럭 정리'!$B$2/100</f>
        <v/>
      </c>
    </row>
    <row r="27">
      <c r="A27" s="13" t="inlineStr">
        <is>
          <t>병렬도 6 분할 8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46238.49792597222</v>
      </c>
      <c r="F27" s="10" t="n">
        <v>46238.49794263786</v>
      </c>
      <c r="G27" s="13" t="n">
        <v>65</v>
      </c>
      <c r="H27" s="14" t="n">
        <v>1182.8473</v>
      </c>
      <c r="I27" s="13">
        <f>COUNTIFS('클럭 정리'!$A$6:$A$75,"&gt;="&amp;E27,'클럭 정리'!$A$6:$A$75,"&lt;="&amp;F27)</f>
        <v/>
      </c>
      <c r="J27" s="14">
        <f>AVERAGEIFS('클럭 정리'!$N$6:$N$75,'클럭 정리'!$A$6:$A$75,"&gt;="&amp;E27,'클럭 정리'!$A$6:$A$75,"&lt;="&amp;F27)</f>
        <v/>
      </c>
      <c r="K27" s="15">
        <f>J27*'클럭 정리'!$B$2/100</f>
        <v/>
      </c>
    </row>
    <row r="28">
      <c r="A28" s="13" t="inlineStr">
        <is>
          <t>병렬도 6 분할 8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46238.49792598379</v>
      </c>
      <c r="F28" s="10" t="n">
        <v>46238.49794263177</v>
      </c>
      <c r="G28" s="13" t="n">
        <v>58</v>
      </c>
      <c r="H28" s="14" t="n">
        <v>1107.1229</v>
      </c>
      <c r="I28" s="13">
        <f>COUNTIFS('클럭 정리'!$A$6:$A$75,"&gt;="&amp;E28,'클럭 정리'!$A$6:$A$75,"&lt;="&amp;F28)</f>
        <v/>
      </c>
      <c r="J28" s="14">
        <f>AVERAGEIFS('클럭 정리'!$N$6:$N$75,'클럭 정리'!$A$6:$A$75,"&gt;="&amp;E28,'클럭 정리'!$A$6:$A$75,"&lt;="&amp;F28)</f>
        <v/>
      </c>
      <c r="K28" s="15">
        <f>J28*'클럭 정리'!$B$2/100</f>
        <v/>
      </c>
    </row>
    <row r="29">
      <c r="A29" s="13" t="inlineStr">
        <is>
          <t>병렬도 6 분할 8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46238.49792598379</v>
      </c>
      <c r="F29" s="10" t="n">
        <v>46238.4979426175</v>
      </c>
      <c r="G29" s="13" t="n">
        <v>58</v>
      </c>
      <c r="H29" s="14" t="n">
        <v>1110.1166</v>
      </c>
      <c r="I29" s="13">
        <f>COUNTIFS('클럭 정리'!$A$6:$A$75,"&gt;="&amp;E29,'클럭 정리'!$A$6:$A$75,"&lt;="&amp;F29)</f>
        <v/>
      </c>
      <c r="J29" s="14">
        <f>AVERAGEIFS('클럭 정리'!$N$6:$N$75,'클럭 정리'!$A$6:$A$75,"&gt;="&amp;E29,'클럭 정리'!$A$6:$A$75,"&lt;="&amp;F29)</f>
        <v/>
      </c>
      <c r="K29" s="15">
        <f>J29*'클럭 정리'!$B$2/100</f>
        <v/>
      </c>
    </row>
    <row r="30">
      <c r="A30" s="13" t="inlineStr">
        <is>
          <t>병렬도 6 분할 8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46238.49792598379</v>
      </c>
      <c r="F30" s="10" t="n">
        <v>46238.49794264661</v>
      </c>
      <c r="G30" s="13" t="n">
        <v>59</v>
      </c>
      <c r="H30" s="14" t="n">
        <v>1092.9925</v>
      </c>
      <c r="I30" s="13">
        <f>COUNTIFS('클럭 정리'!$A$6:$A$75,"&gt;="&amp;E30,'클럭 정리'!$A$6:$A$75,"&lt;="&amp;F30)</f>
        <v/>
      </c>
      <c r="J30" s="14">
        <f>AVERAGEIFS('클럭 정리'!$N$6:$N$75,'클럭 정리'!$A$6:$A$75,"&gt;="&amp;E30,'클럭 정리'!$A$6:$A$75,"&lt;="&amp;F30)</f>
        <v/>
      </c>
      <c r="K30" s="15">
        <f>J30*'클럭 정리'!$B$2/100</f>
        <v/>
      </c>
    </row>
    <row r="31">
      <c r="A31" s="13" t="inlineStr">
        <is>
          <t>병렬도 6 분할 8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46238.49792598379</v>
      </c>
      <c r="F31" s="10" t="n">
        <v>46238.49794276096</v>
      </c>
      <c r="G31" s="13" t="n">
        <v>60</v>
      </c>
      <c r="H31" s="14" t="n">
        <v>1117.1817</v>
      </c>
      <c r="I31" s="13">
        <f>COUNTIFS('클럭 정리'!$A$6:$A$75,"&gt;="&amp;E31,'클럭 정리'!$A$6:$A$75,"&lt;="&amp;F31)</f>
        <v/>
      </c>
      <c r="J31" s="14">
        <f>AVERAGEIFS('클럭 정리'!$N$6:$N$75,'클럭 정리'!$A$6:$A$75,"&gt;="&amp;E31,'클럭 정리'!$A$6:$A$75,"&lt;="&amp;F31)</f>
        <v/>
      </c>
      <c r="K31" s="15">
        <f>J31*'클럭 정리'!$B$2/100</f>
        <v/>
      </c>
    </row>
    <row r="32">
      <c r="A32" s="13" t="inlineStr">
        <is>
          <t>병렬도 6 분할 8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46238.49792598379</v>
      </c>
      <c r="F32" s="10" t="n">
        <v>46238.49794276313</v>
      </c>
      <c r="G32" s="13" t="n">
        <v>60</v>
      </c>
      <c r="H32" s="14" t="n">
        <v>1118.409</v>
      </c>
      <c r="I32" s="13">
        <f>COUNTIFS('클럭 정리'!$A$6:$A$75,"&gt;="&amp;E32,'클럭 정리'!$A$6:$A$75,"&lt;="&amp;F32)</f>
        <v/>
      </c>
      <c r="J32" s="14">
        <f>AVERAGEIFS('클럭 정리'!$N$6:$N$75,'클럭 정리'!$A$6:$A$75,"&gt;="&amp;E32,'클럭 정리'!$A$6:$A$75,"&lt;="&amp;F32)</f>
        <v/>
      </c>
      <c r="K32" s="15">
        <f>J32*'클럭 정리'!$B$2/100</f>
        <v/>
      </c>
    </row>
    <row r="33">
      <c r="A33" s="13" t="inlineStr">
        <is>
          <t>병렬도 6 분할 8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46238.49792597222</v>
      </c>
      <c r="F33" s="10" t="n">
        <v>46238.49794275939</v>
      </c>
      <c r="G33" s="13" t="n">
        <v>45</v>
      </c>
      <c r="H33" s="14" t="n">
        <v>15.625</v>
      </c>
      <c r="I33" s="13">
        <f>COUNTIFS('클럭 정리'!$A$6:$A$75,"&gt;="&amp;E33,'클럭 정리'!$A$6:$A$75,"&lt;="&amp;F33)</f>
        <v/>
      </c>
      <c r="J33" s="14">
        <f>AVERAGEIFS('클럭 정리'!$N$6:$N$75,'클럭 정리'!$A$6:$A$75,"&gt;="&amp;E33,'클럭 정리'!$A$6:$A$75,"&lt;="&amp;F33)</f>
        <v/>
      </c>
      <c r="K33" s="15">
        <f>J33*'클럭 정리'!$B$2/100</f>
        <v/>
      </c>
    </row>
    <row r="34">
      <c r="A34" s="13" t="inlineStr">
        <is>
          <t>병렬도 6 분할 8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46238.49794277778</v>
      </c>
      <c r="F34" s="10" t="n">
        <v>46238.4979592417</v>
      </c>
      <c r="G34" s="13" t="n">
        <v>59</v>
      </c>
      <c r="H34" s="14" t="n">
        <v>1104.584</v>
      </c>
      <c r="I34" s="13">
        <f>COUNTIFS('클럭 정리'!$A$6:$A$75,"&gt;="&amp;E34,'클럭 정리'!$A$6:$A$75,"&lt;="&amp;F34)</f>
        <v/>
      </c>
      <c r="J34" s="14">
        <f>AVERAGEIFS('클럭 정리'!$N$6:$N$75,'클럭 정리'!$A$6:$A$75,"&gt;="&amp;E34,'클럭 정리'!$A$6:$A$75,"&lt;="&amp;F34)</f>
        <v/>
      </c>
      <c r="K34" s="15">
        <f>J34*'클럭 정리'!$B$2/100</f>
        <v/>
      </c>
    </row>
    <row r="35">
      <c r="A35" s="13" t="inlineStr">
        <is>
          <t>병렬도 6 분할 8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46238.49794278935</v>
      </c>
      <c r="F35" s="10" t="n">
        <v>46238.49795928816</v>
      </c>
      <c r="G35" s="13" t="n">
        <v>64</v>
      </c>
      <c r="H35" s="14" t="n">
        <v>1129.3342</v>
      </c>
      <c r="I35" s="13">
        <f>COUNTIFS('클럭 정리'!$A$6:$A$75,"&gt;="&amp;E35,'클럭 정리'!$A$6:$A$75,"&lt;="&amp;F35)</f>
        <v/>
      </c>
      <c r="J35" s="14">
        <f>AVERAGEIFS('클럭 정리'!$N$6:$N$75,'클럭 정리'!$A$6:$A$75,"&gt;="&amp;E35,'클럭 정리'!$A$6:$A$75,"&lt;="&amp;F35)</f>
        <v/>
      </c>
      <c r="K35" s="15">
        <f>J35*'클럭 정리'!$B$2/100</f>
        <v/>
      </c>
    </row>
    <row r="36">
      <c r="A36" s="13" t="inlineStr">
        <is>
          <t>병렬도 6 분할 8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46238.49794278935</v>
      </c>
      <c r="F36" s="10" t="n">
        <v>46238.49795938008</v>
      </c>
      <c r="G36" s="13" t="n">
        <v>57</v>
      </c>
      <c r="H36" s="14" t="n">
        <v>1060.5565</v>
      </c>
      <c r="I36" s="13">
        <f>COUNTIFS('클럭 정리'!$A$6:$A$75,"&gt;="&amp;E36,'클럭 정리'!$A$6:$A$75,"&lt;="&amp;F36)</f>
        <v/>
      </c>
      <c r="J36" s="14">
        <f>AVERAGEIFS('클럭 정리'!$N$6:$N$75,'클럭 정리'!$A$6:$A$75,"&gt;="&amp;E36,'클럭 정리'!$A$6:$A$75,"&lt;="&amp;F36)</f>
        <v/>
      </c>
      <c r="K36" s="15">
        <f>J36*'클럭 정리'!$B$2/100</f>
        <v/>
      </c>
    </row>
    <row r="37">
      <c r="A37" s="13" t="inlineStr">
        <is>
          <t>병렬도 6 분할 8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46238.49794278935</v>
      </c>
      <c r="F37" s="10" t="n">
        <v>46238.49795937673</v>
      </c>
      <c r="G37" s="13" t="n">
        <v>67</v>
      </c>
      <c r="H37" s="14" t="n">
        <v>1150.0725</v>
      </c>
      <c r="I37" s="13">
        <f>COUNTIFS('클럭 정리'!$A$6:$A$75,"&gt;="&amp;E37,'클럭 정리'!$A$6:$A$75,"&lt;="&amp;F37)</f>
        <v/>
      </c>
      <c r="J37" s="14">
        <f>AVERAGEIFS('클럭 정리'!$N$6:$N$75,'클럭 정리'!$A$6:$A$75,"&gt;="&amp;E37,'클럭 정리'!$A$6:$A$75,"&lt;="&amp;F37)</f>
        <v/>
      </c>
      <c r="K37" s="15">
        <f>J37*'클럭 정리'!$B$2/100</f>
        <v/>
      </c>
    </row>
    <row r="38">
      <c r="A38" s="13" t="inlineStr">
        <is>
          <t>병렬도 6 분할 8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46238.49794278935</v>
      </c>
      <c r="F38" s="10" t="n">
        <v>46238.49795931714</v>
      </c>
      <c r="G38" s="13" t="n">
        <v>54</v>
      </c>
      <c r="H38" s="14" t="n">
        <v>1070.3073</v>
      </c>
      <c r="I38" s="13">
        <f>COUNTIFS('클럭 정리'!$A$6:$A$75,"&gt;="&amp;E38,'클럭 정리'!$A$6:$A$75,"&lt;="&amp;F38)</f>
        <v/>
      </c>
      <c r="J38" s="14">
        <f>AVERAGEIFS('클럭 정리'!$N$6:$N$75,'클럭 정리'!$A$6:$A$75,"&gt;="&amp;E38,'클럭 정리'!$A$6:$A$75,"&lt;="&amp;F38)</f>
        <v/>
      </c>
      <c r="K38" s="15">
        <f>J38*'클럭 정리'!$B$2/100</f>
        <v/>
      </c>
    </row>
    <row r="39">
      <c r="A39" s="13" t="inlineStr">
        <is>
          <t>병렬도 6 분할 8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46238.49794278935</v>
      </c>
      <c r="F39" s="10" t="n">
        <v>46238.49795927732</v>
      </c>
      <c r="G39" s="13" t="n">
        <v>59</v>
      </c>
      <c r="H39" s="14" t="n">
        <v>1120.3158</v>
      </c>
      <c r="I39" s="13">
        <f>COUNTIFS('클럭 정리'!$A$6:$A$75,"&gt;="&amp;E39,'클럭 정리'!$A$6:$A$75,"&lt;="&amp;F39)</f>
        <v/>
      </c>
      <c r="J39" s="14">
        <f>AVERAGEIFS('클럭 정리'!$N$6:$N$75,'클럭 정리'!$A$6:$A$75,"&gt;="&amp;E39,'클럭 정리'!$A$6:$A$75,"&lt;="&amp;F39)</f>
        <v/>
      </c>
      <c r="K39" s="15">
        <f>J39*'클럭 정리'!$B$2/100</f>
        <v/>
      </c>
    </row>
    <row r="40">
      <c r="A40" s="13" t="inlineStr">
        <is>
          <t>병렬도 6 분할 8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46238.49794277778</v>
      </c>
      <c r="F40" s="10" t="n">
        <v>46238.49795938614</v>
      </c>
      <c r="G40" s="13" t="n">
        <v>45</v>
      </c>
      <c r="H40" s="14" t="n">
        <v>0</v>
      </c>
      <c r="I40" s="13">
        <f>COUNTIFS('클럭 정리'!$A$6:$A$75,"&gt;="&amp;E40,'클럭 정리'!$A$6:$A$75,"&lt;="&amp;F40)</f>
        <v/>
      </c>
      <c r="J40" s="14">
        <f>AVERAGEIFS('클럭 정리'!$N$6:$N$75,'클럭 정리'!$A$6:$A$75,"&gt;="&amp;E40,'클럭 정리'!$A$6:$A$75,"&lt;="&amp;F40)</f>
        <v/>
      </c>
      <c r="K40" s="15">
        <f>J40*'클럭 정리'!$B$2/100</f>
        <v/>
      </c>
    </row>
    <row r="41">
      <c r="A41" s="13" t="inlineStr">
        <is>
          <t>병렬도 12 분할 8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46238.49800377315</v>
      </c>
      <c r="F41" s="10" t="n">
        <v>46238.49801747441</v>
      </c>
      <c r="G41" s="13" t="n">
        <v>45</v>
      </c>
      <c r="H41" s="14" t="n">
        <v>1040.6231</v>
      </c>
      <c r="I41" s="13">
        <f>COUNTIFS('클럭 정리'!$A$6:$A$75,"&gt;="&amp;E41,'클럭 정리'!$A$6:$A$75,"&lt;="&amp;F41)</f>
        <v/>
      </c>
      <c r="J41" s="14">
        <f>AVERAGEIFS('클럭 정리'!$N$6:$N$75,'클럭 정리'!$A$6:$A$75,"&gt;="&amp;E41,'클럭 정리'!$A$6:$A$75,"&lt;="&amp;F41)</f>
        <v/>
      </c>
      <c r="K41" s="15">
        <f>J41*'클럭 정리'!$B$2/100</f>
        <v/>
      </c>
    </row>
    <row r="42">
      <c r="A42" s="13" t="inlineStr">
        <is>
          <t>병렬도 12 분할 8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46238.49800438657</v>
      </c>
      <c r="F42" s="10" t="n">
        <v>46238.49801748835</v>
      </c>
      <c r="G42" s="13" t="n">
        <v>43</v>
      </c>
      <c r="H42" s="14" t="n">
        <v>1026.6466</v>
      </c>
      <c r="I42" s="13">
        <f>COUNTIFS('클럭 정리'!$A$6:$A$75,"&gt;="&amp;E42,'클럭 정리'!$A$6:$A$75,"&lt;="&amp;F42)</f>
        <v/>
      </c>
      <c r="J42" s="14">
        <f>AVERAGEIFS('클럭 정리'!$N$6:$N$75,'클럭 정리'!$A$6:$A$75,"&gt;="&amp;E42,'클럭 정리'!$A$6:$A$75,"&lt;="&amp;F42)</f>
        <v/>
      </c>
      <c r="K42" s="15">
        <f>J42*'클럭 정리'!$B$2/100</f>
        <v/>
      </c>
    </row>
    <row r="43">
      <c r="A43" s="13" t="inlineStr">
        <is>
          <t>병렬도 12 분할 8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46238.49800438657</v>
      </c>
      <c r="F43" s="10" t="n">
        <v>46238.49801746846</v>
      </c>
      <c r="G43" s="13" t="n">
        <v>43</v>
      </c>
      <c r="H43" s="14" t="n">
        <v>1066.1295</v>
      </c>
      <c r="I43" s="13">
        <f>COUNTIFS('클럭 정리'!$A$6:$A$75,"&gt;="&amp;E43,'클럭 정리'!$A$6:$A$75,"&lt;="&amp;F43)</f>
        <v/>
      </c>
      <c r="J43" s="14">
        <f>AVERAGEIFS('클럭 정리'!$N$6:$N$75,'클럭 정리'!$A$6:$A$75,"&gt;="&amp;E43,'클럭 정리'!$A$6:$A$75,"&lt;="&amp;F43)</f>
        <v/>
      </c>
      <c r="K43" s="15">
        <f>J43*'클럭 정리'!$B$2/100</f>
        <v/>
      </c>
    </row>
    <row r="44">
      <c r="A44" s="13" t="inlineStr">
        <is>
          <t>병렬도 12 분할 8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46238.49800471065</v>
      </c>
      <c r="F44" s="10" t="n">
        <v>46238.49801746907</v>
      </c>
      <c r="G44" s="13" t="n">
        <v>42</v>
      </c>
      <c r="H44" s="14" t="n">
        <v>1010.9572</v>
      </c>
      <c r="I44" s="13">
        <f>COUNTIFS('클럭 정리'!$A$6:$A$75,"&gt;="&amp;E44,'클럭 정리'!$A$6:$A$75,"&lt;="&amp;F44)</f>
        <v/>
      </c>
      <c r="J44" s="14">
        <f>AVERAGEIFS('클럭 정리'!$N$6:$N$75,'클럭 정리'!$A$6:$A$75,"&gt;="&amp;E44,'클럭 정리'!$A$6:$A$75,"&lt;="&amp;F44)</f>
        <v/>
      </c>
      <c r="K44" s="15">
        <f>J44*'클럭 정리'!$B$2/100</f>
        <v/>
      </c>
    </row>
    <row r="45">
      <c r="A45" s="13" t="inlineStr">
        <is>
          <t>병렬도 12 분할 8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46238.49800377315</v>
      </c>
      <c r="F45" s="10" t="n">
        <v>46238.49801746595</v>
      </c>
      <c r="G45" s="13" t="n">
        <v>45</v>
      </c>
      <c r="H45" s="14" t="n">
        <v>1100.0187</v>
      </c>
      <c r="I45" s="13">
        <f>COUNTIFS('클럭 정리'!$A$6:$A$75,"&gt;="&amp;E45,'클럭 정리'!$A$6:$A$75,"&lt;="&amp;F45)</f>
        <v/>
      </c>
      <c r="J45" s="14">
        <f>AVERAGEIFS('클럭 정리'!$N$6:$N$75,'클럭 정리'!$A$6:$A$75,"&gt;="&amp;E45,'클럭 정리'!$A$6:$A$75,"&lt;="&amp;F45)</f>
        <v/>
      </c>
      <c r="K45" s="15">
        <f>J45*'클럭 정리'!$B$2/100</f>
        <v/>
      </c>
    </row>
    <row r="46">
      <c r="A46" s="13" t="inlineStr">
        <is>
          <t>병렬도 12 분할 8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46238.49800377315</v>
      </c>
      <c r="F46" s="10" t="n">
        <v>46238.49800737001</v>
      </c>
      <c r="G46" s="13" t="n">
        <v>12</v>
      </c>
      <c r="H46" s="14" t="n">
        <v>283.8412</v>
      </c>
      <c r="I46" s="13">
        <f>COUNTIFS('클럭 정리'!$A$6:$A$75,"&gt;="&amp;E46,'클럭 정리'!$A$6:$A$75,"&lt;="&amp;F46)</f>
        <v/>
      </c>
      <c r="J46" s="14">
        <f>AVERAGEIFS('클럭 정리'!$N$6:$N$75,'클럭 정리'!$A$6:$A$75,"&gt;="&amp;E46,'클럭 정리'!$A$6:$A$75,"&lt;="&amp;F46)</f>
        <v/>
      </c>
      <c r="K46" s="15">
        <f>J46*'클럭 정리'!$B$2/100</f>
        <v/>
      </c>
    </row>
    <row r="47">
      <c r="A47" s="13" t="inlineStr">
        <is>
          <t>병렬도 12 분할 8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46238.49800377315</v>
      </c>
      <c r="F47" s="10" t="n">
        <v>46238.49800403649</v>
      </c>
      <c r="G47" s="13" t="n">
        <v>1</v>
      </c>
      <c r="H47" s="14" t="n">
        <v>22.7526</v>
      </c>
      <c r="I47" s="13">
        <f>COUNTIFS('클럭 정리'!$A$6:$A$75,"&gt;="&amp;E47,'클럭 정리'!$A$6:$A$75,"&lt;="&amp;F47)</f>
        <v/>
      </c>
      <c r="J47" s="14">
        <f>AVERAGEIFS('클럭 정리'!$N$6:$N$75,'클럭 정리'!$A$6:$A$75,"&gt;="&amp;E47,'클럭 정리'!$A$6:$A$75,"&lt;="&amp;F47)</f>
        <v/>
      </c>
      <c r="K47" s="15">
        <f>J47*'클럭 정리'!$B$2/100</f>
        <v/>
      </c>
    </row>
    <row r="48">
      <c r="A48" s="13" t="inlineStr">
        <is>
          <t>병렬도 12 분할 8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46238.49800377315</v>
      </c>
      <c r="F48" s="10" t="n">
        <v>46238.498017474</v>
      </c>
      <c r="G48" s="13" t="n">
        <v>45</v>
      </c>
      <c r="H48" s="14" t="n">
        <v>1091.9912</v>
      </c>
      <c r="I48" s="13">
        <f>COUNTIFS('클럭 정리'!$A$6:$A$75,"&gt;="&amp;E48,'클럭 정리'!$A$6:$A$75,"&lt;="&amp;F48)</f>
        <v/>
      </c>
      <c r="J48" s="14">
        <f>AVERAGEIFS('클럭 정리'!$N$6:$N$75,'클럭 정리'!$A$6:$A$75,"&gt;="&amp;E48,'클럭 정리'!$A$6:$A$75,"&lt;="&amp;F48)</f>
        <v/>
      </c>
      <c r="K48" s="15">
        <f>J48*'클럭 정리'!$B$2/100</f>
        <v/>
      </c>
    </row>
    <row r="49">
      <c r="A49" s="13" t="inlineStr">
        <is>
          <t>병렬도 12 분할 8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46238.49800378472</v>
      </c>
      <c r="F49" s="10" t="n">
        <v>46238.49800435702</v>
      </c>
      <c r="G49" s="13" t="n">
        <v>2</v>
      </c>
      <c r="H49" s="14" t="n">
        <v>49.0693</v>
      </c>
      <c r="I49" s="13">
        <f>COUNTIFS('클럭 정리'!$A$6:$A$75,"&gt;="&amp;E49,'클럭 정리'!$A$6:$A$75,"&lt;="&amp;F49)</f>
        <v/>
      </c>
      <c r="J49" s="14">
        <f>AVERAGEIFS('클럭 정리'!$N$6:$N$75,'클럭 정리'!$A$6:$A$75,"&gt;="&amp;E49,'클럭 정리'!$A$6:$A$75,"&lt;="&amp;F49)</f>
        <v/>
      </c>
      <c r="K49" s="15">
        <f>J49*'클럭 정리'!$B$2/100</f>
        <v/>
      </c>
    </row>
    <row r="50">
      <c r="A50" s="13" t="inlineStr">
        <is>
          <t>병렬도 12 분할 8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46238.49800378472</v>
      </c>
      <c r="F50" s="10" t="n">
        <v>46238.49800435943</v>
      </c>
      <c r="G50" s="13" t="n">
        <v>2</v>
      </c>
      <c r="H50" s="14" t="n">
        <v>47.0879</v>
      </c>
      <c r="I50" s="13">
        <f>COUNTIFS('클럭 정리'!$A$6:$A$75,"&gt;="&amp;E50,'클럭 정리'!$A$6:$A$75,"&lt;="&amp;F50)</f>
        <v/>
      </c>
      <c r="J50" s="14">
        <f>AVERAGEIFS('클럭 정리'!$N$6:$N$75,'클럭 정리'!$A$6:$A$75,"&gt;="&amp;E50,'클럭 정리'!$A$6:$A$75,"&lt;="&amp;F50)</f>
        <v/>
      </c>
      <c r="K50" s="15">
        <f>J50*'클럭 정리'!$B$2/100</f>
        <v/>
      </c>
    </row>
    <row r="51">
      <c r="A51" s="13" t="inlineStr">
        <is>
          <t>병렬도 12 분할 8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46238.49800378472</v>
      </c>
      <c r="F51" s="10" t="n">
        <v>46238.4980174714</v>
      </c>
      <c r="G51" s="13" t="n">
        <v>45</v>
      </c>
      <c r="H51" s="14" t="n">
        <v>1096.0479</v>
      </c>
      <c r="I51" s="13">
        <f>COUNTIFS('클럭 정리'!$A$6:$A$75,"&gt;="&amp;E51,'클럭 정리'!$A$6:$A$75,"&lt;="&amp;F51)</f>
        <v/>
      </c>
      <c r="J51" s="14">
        <f>AVERAGEIFS('클럭 정리'!$N$6:$N$75,'클럭 정리'!$A$6:$A$75,"&gt;="&amp;E51,'클럭 정리'!$A$6:$A$75,"&lt;="&amp;F51)</f>
        <v/>
      </c>
      <c r="K51" s="15">
        <f>J51*'클럭 정리'!$B$2/100</f>
        <v/>
      </c>
    </row>
    <row r="52">
      <c r="A52" s="13" t="inlineStr">
        <is>
          <t>병렬도 12 분할 8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46238.49800408565</v>
      </c>
      <c r="F52" s="10" t="n">
        <v>46238.49801748108</v>
      </c>
      <c r="G52" s="13" t="n">
        <v>35</v>
      </c>
      <c r="H52" s="14" t="n">
        <v>808.5557</v>
      </c>
      <c r="I52" s="13">
        <f>COUNTIFS('클럭 정리'!$A$6:$A$75,"&gt;="&amp;E52,'클럭 정리'!$A$6:$A$75,"&lt;="&amp;F52)</f>
        <v/>
      </c>
      <c r="J52" s="14">
        <f>AVERAGEIFS('클럭 정리'!$N$6:$N$75,'클럭 정리'!$A$6:$A$75,"&gt;="&amp;E52,'클럭 정리'!$A$6:$A$75,"&lt;="&amp;F52)</f>
        <v/>
      </c>
      <c r="K52" s="15">
        <f>J52*'클럭 정리'!$B$2/100</f>
        <v/>
      </c>
    </row>
    <row r="53">
      <c r="A53" s="13" t="inlineStr">
        <is>
          <t>병렬도 12 분할 8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46238.49800376158</v>
      </c>
      <c r="F53" s="10" t="n">
        <v>46238.49801749028</v>
      </c>
      <c r="G53" s="13" t="n">
        <v>45</v>
      </c>
      <c r="H53" s="14" t="n">
        <v>0</v>
      </c>
      <c r="I53" s="13">
        <f>COUNTIFS('클럭 정리'!$A$6:$A$75,"&gt;="&amp;E53,'클럭 정리'!$A$6:$A$75,"&lt;="&amp;F53)</f>
        <v/>
      </c>
      <c r="J53" s="14">
        <f>AVERAGEIFS('클럭 정리'!$N$6:$N$75,'클럭 정리'!$A$6:$A$75,"&gt;="&amp;E53,'클럭 정리'!$A$6:$A$75,"&lt;="&amp;F53)</f>
        <v/>
      </c>
      <c r="K53" s="15">
        <f>J53*'클럭 정리'!$B$2/100</f>
        <v/>
      </c>
    </row>
    <row r="54">
      <c r="A54" s="13" t="inlineStr">
        <is>
          <t>병렬도 12 분할 8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46238.4980175</v>
      </c>
      <c r="F54" s="10" t="n">
        <v>46238.4980312824</v>
      </c>
      <c r="G54" s="13" t="n">
        <v>45</v>
      </c>
      <c r="H54" s="14" t="n">
        <v>1070.3871</v>
      </c>
      <c r="I54" s="13">
        <f>COUNTIFS('클럭 정리'!$A$6:$A$75,"&gt;="&amp;E54,'클럭 정리'!$A$6:$A$75,"&lt;="&amp;F54)</f>
        <v/>
      </c>
      <c r="J54" s="14">
        <f>AVERAGEIFS('클럭 정리'!$N$6:$N$75,'클럭 정리'!$A$6:$A$75,"&gt;="&amp;E54,'클럭 정리'!$A$6:$A$75,"&lt;="&amp;F54)</f>
        <v/>
      </c>
      <c r="K54" s="15">
        <f>J54*'클럭 정리'!$B$2/100</f>
        <v/>
      </c>
    </row>
    <row r="55">
      <c r="A55" s="13" t="inlineStr">
        <is>
          <t>병렬도 12 분할 8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46238.49801783565</v>
      </c>
      <c r="F55" s="10" t="n">
        <v>46238.49803131283</v>
      </c>
      <c r="G55" s="13" t="n">
        <v>44</v>
      </c>
      <c r="H55" s="14" t="n">
        <v>1085.4242</v>
      </c>
      <c r="I55" s="13">
        <f>COUNTIFS('클럭 정리'!$A$6:$A$75,"&gt;="&amp;E55,'클럭 정리'!$A$6:$A$75,"&lt;="&amp;F55)</f>
        <v/>
      </c>
      <c r="J55" s="14">
        <f>AVERAGEIFS('클럭 정리'!$N$6:$N$75,'클럭 정리'!$A$6:$A$75,"&gt;="&amp;E55,'클럭 정리'!$A$6:$A$75,"&lt;="&amp;F55)</f>
        <v/>
      </c>
      <c r="K55" s="15">
        <f>J55*'클럭 정리'!$B$2/100</f>
        <v/>
      </c>
    </row>
    <row r="56">
      <c r="A56" s="13" t="inlineStr">
        <is>
          <t>병렬도 12 분할 8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46238.49801782407</v>
      </c>
      <c r="F56" s="10" t="n">
        <v>46238.49803129086</v>
      </c>
      <c r="G56" s="13" t="n">
        <v>44</v>
      </c>
      <c r="H56" s="14" t="n">
        <v>1051.0682</v>
      </c>
      <c r="I56" s="13">
        <f>COUNTIFS('클럭 정리'!$A$6:$A$75,"&gt;="&amp;E56,'클럭 정리'!$A$6:$A$75,"&lt;="&amp;F56)</f>
        <v/>
      </c>
      <c r="J56" s="14">
        <f>AVERAGEIFS('클럭 정리'!$N$6:$N$75,'클럭 정리'!$A$6:$A$75,"&gt;="&amp;E56,'클럭 정리'!$A$6:$A$75,"&lt;="&amp;F56)</f>
        <v/>
      </c>
      <c r="K56" s="15">
        <f>J56*'클럭 정리'!$B$2/100</f>
        <v/>
      </c>
    </row>
    <row r="57">
      <c r="A57" s="13" t="inlineStr">
        <is>
          <t>병렬도 12 분할 8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46238.49801782407</v>
      </c>
      <c r="F57" s="10" t="n">
        <v>46238.49803129751</v>
      </c>
      <c r="G57" s="13" t="n">
        <v>44</v>
      </c>
      <c r="H57" s="14" t="n">
        <v>1068.6668</v>
      </c>
      <c r="I57" s="13">
        <f>COUNTIFS('클럭 정리'!$A$6:$A$75,"&gt;="&amp;E57,'클럭 정리'!$A$6:$A$75,"&lt;="&amp;F57)</f>
        <v/>
      </c>
      <c r="J57" s="14">
        <f>AVERAGEIFS('클럭 정리'!$N$6:$N$75,'클럭 정리'!$A$6:$A$75,"&gt;="&amp;E57,'클럭 정리'!$A$6:$A$75,"&lt;="&amp;F57)</f>
        <v/>
      </c>
      <c r="K57" s="15">
        <f>J57*'클럭 정리'!$B$2/100</f>
        <v/>
      </c>
    </row>
    <row r="58">
      <c r="A58" s="13" t="inlineStr">
        <is>
          <t>병렬도 12 분할 8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46238.49801751157</v>
      </c>
      <c r="F58" s="10" t="n">
        <v>46238.49803130951</v>
      </c>
      <c r="G58" s="13" t="n">
        <v>45</v>
      </c>
      <c r="H58" s="14" t="n">
        <v>1081.4717</v>
      </c>
      <c r="I58" s="13">
        <f>COUNTIFS('클럭 정리'!$A$6:$A$75,"&gt;="&amp;E58,'클럭 정리'!$A$6:$A$75,"&lt;="&amp;F58)</f>
        <v/>
      </c>
      <c r="J58" s="14">
        <f>AVERAGEIFS('클럭 정리'!$N$6:$N$75,'클럭 정리'!$A$6:$A$75,"&gt;="&amp;E58,'클럭 정리'!$A$6:$A$75,"&lt;="&amp;F58)</f>
        <v/>
      </c>
      <c r="K58" s="15">
        <f>J58*'클럭 정리'!$B$2/100</f>
        <v/>
      </c>
    </row>
    <row r="59">
      <c r="A59" s="13" t="inlineStr">
        <is>
          <t>병렬도 12 분할 8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46238.49801751157</v>
      </c>
      <c r="F59" s="10" t="n">
        <v>46238.49802022976</v>
      </c>
      <c r="G59" s="13" t="n">
        <v>9</v>
      </c>
      <c r="H59" s="14" t="n">
        <v>212.6721</v>
      </c>
      <c r="I59" s="13">
        <f>COUNTIFS('클럭 정리'!$A$6:$A$75,"&gt;="&amp;E59,'클럭 정리'!$A$6:$A$75,"&lt;="&amp;F59)</f>
        <v/>
      </c>
      <c r="J59" s="14">
        <f>AVERAGEIFS('클럭 정리'!$N$6:$N$75,'클럭 정리'!$A$6:$A$75,"&gt;="&amp;E59,'클럭 정리'!$A$6:$A$75,"&lt;="&amp;F59)</f>
        <v/>
      </c>
      <c r="K59" s="15">
        <f>J59*'클럭 정리'!$B$2/100</f>
        <v/>
      </c>
    </row>
    <row r="60">
      <c r="A60" s="13" t="inlineStr">
        <is>
          <t>병렬도 12 분할 8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46238.49801751157</v>
      </c>
      <c r="F60" s="10" t="n">
        <v>46238.49803129251</v>
      </c>
      <c r="G60" s="13" t="n">
        <v>45</v>
      </c>
      <c r="H60" s="14" t="n">
        <v>1125.3822</v>
      </c>
      <c r="I60" s="13">
        <f>COUNTIFS('클럭 정리'!$A$6:$A$75,"&gt;="&amp;E60,'클럭 정리'!$A$6:$A$75,"&lt;="&amp;F60)</f>
        <v/>
      </c>
      <c r="J60" s="14">
        <f>AVERAGEIFS('클럭 정리'!$N$6:$N$75,'클럭 정리'!$A$6:$A$75,"&gt;="&amp;E60,'클럭 정리'!$A$6:$A$75,"&lt;="&amp;F60)</f>
        <v/>
      </c>
      <c r="K60" s="15">
        <f>J60*'클럭 정리'!$B$2/100</f>
        <v/>
      </c>
    </row>
    <row r="61">
      <c r="A61" s="13" t="inlineStr">
        <is>
          <t>병렬도 12 분할 8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46238.49801751157</v>
      </c>
      <c r="F61" s="10" t="n">
        <v>46238.49801781595</v>
      </c>
      <c r="G61" s="13" t="n">
        <v>1</v>
      </c>
      <c r="H61" s="14" t="n">
        <v>26.2976</v>
      </c>
      <c r="I61" s="13">
        <f>COUNTIFS('클럭 정리'!$A$6:$A$75,"&gt;="&amp;E61,'클럭 정리'!$A$6:$A$75,"&lt;="&amp;F61)</f>
        <v/>
      </c>
      <c r="J61" s="14">
        <f>AVERAGEIFS('클럭 정리'!$N$6:$N$75,'클럭 정리'!$A$6:$A$75,"&gt;="&amp;E61,'클럭 정리'!$A$6:$A$75,"&lt;="&amp;F61)</f>
        <v/>
      </c>
      <c r="K61" s="15">
        <f>J61*'클럭 정리'!$B$2/100</f>
        <v/>
      </c>
    </row>
    <row r="62">
      <c r="A62" s="13" t="inlineStr">
        <is>
          <t>병렬도 12 분할 8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46238.49801751157</v>
      </c>
      <c r="F62" s="10" t="n">
        <v>46238.4980177997</v>
      </c>
      <c r="G62" s="13" t="n">
        <v>1</v>
      </c>
      <c r="H62" s="14" t="n">
        <v>24.8942</v>
      </c>
      <c r="I62" s="13">
        <f>COUNTIFS('클럭 정리'!$A$6:$A$75,"&gt;="&amp;E62,'클럭 정리'!$A$6:$A$75,"&lt;="&amp;F62)</f>
        <v/>
      </c>
      <c r="J62" s="14">
        <f>AVERAGEIFS('클럭 정리'!$N$6:$N$75,'클럭 정리'!$A$6:$A$75,"&gt;="&amp;E62,'클럭 정리'!$A$6:$A$75,"&lt;="&amp;F62)</f>
        <v/>
      </c>
      <c r="K62" s="15">
        <f>J62*'클럭 정리'!$B$2/100</f>
        <v/>
      </c>
    </row>
    <row r="63">
      <c r="A63" s="13" t="inlineStr">
        <is>
          <t>병렬도 12 분할 8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46238.49801751157</v>
      </c>
      <c r="F63" s="10" t="n">
        <v>46238.49803128079</v>
      </c>
      <c r="G63" s="13" t="n">
        <v>45</v>
      </c>
      <c r="H63" s="14" t="n">
        <v>1102.5789</v>
      </c>
      <c r="I63" s="13">
        <f>COUNTIFS('클럭 정리'!$A$6:$A$75,"&gt;="&amp;E63,'클럭 정리'!$A$6:$A$75,"&lt;="&amp;F63)</f>
        <v/>
      </c>
      <c r="J63" s="14">
        <f>AVERAGEIFS('클럭 정리'!$N$6:$N$75,'클럭 정리'!$A$6:$A$75,"&gt;="&amp;E63,'클럭 정리'!$A$6:$A$75,"&lt;="&amp;F63)</f>
        <v/>
      </c>
      <c r="K63" s="15">
        <f>J63*'클럭 정리'!$B$2/100</f>
        <v/>
      </c>
    </row>
    <row r="64">
      <c r="A64" s="13" t="inlineStr">
        <is>
          <t>병렬도 12 분할 8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46238.49801751157</v>
      </c>
      <c r="F64" s="10" t="n">
        <v>46238.49801781455</v>
      </c>
      <c r="G64" s="13" t="n">
        <v>1</v>
      </c>
      <c r="H64" s="14" t="n">
        <v>26.1773</v>
      </c>
      <c r="I64" s="13">
        <f>COUNTIFS('클럭 정리'!$A$6:$A$75,"&gt;="&amp;E64,'클럭 정리'!$A$6:$A$75,"&lt;="&amp;F64)</f>
        <v/>
      </c>
      <c r="J64" s="14">
        <f>AVERAGEIFS('클럭 정리'!$N$6:$N$75,'클럭 정리'!$A$6:$A$75,"&gt;="&amp;E64,'클럭 정리'!$A$6:$A$75,"&lt;="&amp;F64)</f>
        <v/>
      </c>
      <c r="K64" s="15">
        <f>J64*'클럭 정리'!$B$2/100</f>
        <v/>
      </c>
    </row>
    <row r="65">
      <c r="A65" s="13" t="inlineStr">
        <is>
          <t>병렬도 12 분할 8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46238.49802027778</v>
      </c>
      <c r="F65" s="10" t="n">
        <v>46238.49803131499</v>
      </c>
      <c r="G65" s="13" t="n">
        <v>36</v>
      </c>
      <c r="H65" s="14" t="n">
        <v>824.3482</v>
      </c>
      <c r="I65" s="13">
        <f>COUNTIFS('클럭 정리'!$A$6:$A$75,"&gt;="&amp;E65,'클럭 정리'!$A$6:$A$75,"&lt;="&amp;F65)</f>
        <v/>
      </c>
      <c r="J65" s="14">
        <f>AVERAGEIFS('클럭 정리'!$N$6:$N$75,'클럭 정리'!$A$6:$A$75,"&gt;="&amp;E65,'클럭 정리'!$A$6:$A$75,"&lt;="&amp;F65)</f>
        <v/>
      </c>
      <c r="K65" s="15">
        <f>J65*'클럭 정리'!$B$2/100</f>
        <v/>
      </c>
    </row>
    <row r="66">
      <c r="A66" s="13" t="inlineStr">
        <is>
          <t>병렬도 12 분할 8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46238.4980175</v>
      </c>
      <c r="F66" s="10" t="n">
        <v>46238.4980313173</v>
      </c>
      <c r="G66" s="13" t="n">
        <v>45</v>
      </c>
      <c r="H66" s="14" t="n">
        <v>0</v>
      </c>
      <c r="I66" s="13">
        <f>COUNTIFS('클럭 정리'!$A$6:$A$75,"&gt;="&amp;E66,'클럭 정리'!$A$6:$A$75,"&lt;="&amp;F66)</f>
        <v/>
      </c>
      <c r="J66" s="14">
        <f>AVERAGEIFS('클럭 정리'!$N$6:$N$75,'클럭 정리'!$A$6:$A$75,"&gt;="&amp;E66,'클럭 정리'!$A$6:$A$75,"&lt;="&amp;F66)</f>
        <v/>
      </c>
      <c r="K66" s="15">
        <f>J66*'클럭 정리'!$B$2/100</f>
        <v/>
      </c>
    </row>
    <row r="67">
      <c r="A67" s="13" t="inlineStr">
        <is>
          <t>병렬도 12 분할 8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46238.49803133102</v>
      </c>
      <c r="F67" s="10" t="n">
        <v>46238.49804500942</v>
      </c>
      <c r="G67" s="13" t="n">
        <v>45</v>
      </c>
      <c r="H67" s="14" t="n">
        <v>1059.6708</v>
      </c>
      <c r="I67" s="13">
        <f>COUNTIFS('클럭 정리'!$A$6:$A$75,"&gt;="&amp;E67,'클럭 정리'!$A$6:$A$75,"&lt;="&amp;F67)</f>
        <v/>
      </c>
      <c r="J67" s="14">
        <f>AVERAGEIFS('클럭 정리'!$N$6:$N$75,'클럭 정리'!$A$6:$A$75,"&gt;="&amp;E67,'클럭 정리'!$A$6:$A$75,"&lt;="&amp;F67)</f>
        <v/>
      </c>
      <c r="K67" s="15">
        <f>J67*'클럭 정리'!$B$2/100</f>
        <v/>
      </c>
    </row>
    <row r="68">
      <c r="A68" s="13" t="inlineStr">
        <is>
          <t>병렬도 12 분할 8</t>
        </is>
      </c>
      <c r="B68" s="13" t="n">
        <v>3</v>
      </c>
      <c r="C68" s="13" t="inlineStr">
        <is>
          <t>ForkJoinPool-13-worker-11</t>
        </is>
      </c>
      <c r="D68" s="12" t="inlineStr">
        <is>
          <t>워커</t>
        </is>
      </c>
      <c r="E68" s="10" t="n">
        <v>46238.49803165509</v>
      </c>
      <c r="F68" s="10" t="n">
        <v>46238.49804503905</v>
      </c>
      <c r="G68" s="13" t="n">
        <v>44</v>
      </c>
      <c r="H68" s="14" t="n">
        <v>1079.843</v>
      </c>
      <c r="I68" s="13">
        <f>COUNTIFS('클럭 정리'!$A$6:$A$75,"&gt;="&amp;E68,'클럭 정리'!$A$6:$A$75,"&lt;="&amp;F68)</f>
        <v/>
      </c>
      <c r="J68" s="14">
        <f>AVERAGEIFS('클럭 정리'!$N$6:$N$75,'클럭 정리'!$A$6:$A$75,"&gt;="&amp;E68,'클럭 정리'!$A$6:$A$75,"&lt;="&amp;F68)</f>
        <v/>
      </c>
      <c r="K68" s="15">
        <f>J68*'클럭 정리'!$B$2/100</f>
        <v/>
      </c>
    </row>
    <row r="69">
      <c r="A69" s="13" t="inlineStr">
        <is>
          <t>병렬도 12 분할 8</t>
        </is>
      </c>
      <c r="B69" s="13" t="n">
        <v>3</v>
      </c>
      <c r="C69" s="13" t="inlineStr">
        <is>
          <t>ForkJoinPool-13-worker-12</t>
        </is>
      </c>
      <c r="D69" s="12" t="inlineStr">
        <is>
          <t>워커</t>
        </is>
      </c>
      <c r="E69" s="10" t="n">
        <v>46238.49803165509</v>
      </c>
      <c r="F69" s="10" t="n">
        <v>46238.49804503322</v>
      </c>
      <c r="G69" s="13" t="n">
        <v>44</v>
      </c>
      <c r="H69" s="14" t="n">
        <v>1058.6322</v>
      </c>
      <c r="I69" s="13">
        <f>COUNTIFS('클럭 정리'!$A$6:$A$75,"&gt;="&amp;E69,'클럭 정리'!$A$6:$A$75,"&lt;="&amp;F69)</f>
        <v/>
      </c>
      <c r="J69" s="14">
        <f>AVERAGEIFS('클럭 정리'!$N$6:$N$75,'클럭 정리'!$A$6:$A$75,"&gt;="&amp;E69,'클럭 정리'!$A$6:$A$75,"&lt;="&amp;F69)</f>
        <v/>
      </c>
      <c r="K69" s="15">
        <f>J69*'클럭 정리'!$B$2/100</f>
        <v/>
      </c>
    </row>
    <row r="70">
      <c r="A70" s="13" t="inlineStr">
        <is>
          <t>병렬도 12 분할 8</t>
        </is>
      </c>
      <c r="B70" s="13" t="n">
        <v>3</v>
      </c>
      <c r="C70" s="13" t="inlineStr">
        <is>
          <t>ForkJoinPool-13-worker-2</t>
        </is>
      </c>
      <c r="D70" s="12" t="inlineStr">
        <is>
          <t>워커</t>
        </is>
      </c>
      <c r="E70" s="10" t="n">
        <v>46238.49803133102</v>
      </c>
      <c r="F70" s="10" t="n">
        <v>46238.49804499221</v>
      </c>
      <c r="G70" s="13" t="n">
        <v>45</v>
      </c>
      <c r="H70" s="14" t="n">
        <v>1077.4265</v>
      </c>
      <c r="I70" s="13">
        <f>COUNTIFS('클럭 정리'!$A$6:$A$75,"&gt;="&amp;E70,'클럭 정리'!$A$6:$A$75,"&lt;="&amp;F70)</f>
        <v/>
      </c>
      <c r="J70" s="14">
        <f>AVERAGEIFS('클럭 정리'!$N$6:$N$75,'클럭 정리'!$A$6:$A$75,"&gt;="&amp;E70,'클럭 정리'!$A$6:$A$75,"&lt;="&amp;F70)</f>
        <v/>
      </c>
      <c r="K70" s="15">
        <f>J70*'클럭 정리'!$B$2/100</f>
        <v/>
      </c>
    </row>
    <row r="71">
      <c r="A71" s="13" t="inlineStr">
        <is>
          <t>병렬도 12 분할 8</t>
        </is>
      </c>
      <c r="B71" s="13" t="n">
        <v>3</v>
      </c>
      <c r="C71" s="13" t="inlineStr">
        <is>
          <t>ForkJoinPool-13-worker-3</t>
        </is>
      </c>
      <c r="D71" s="12" t="inlineStr">
        <is>
          <t>워커</t>
        </is>
      </c>
      <c r="E71" s="10" t="n">
        <v>46238.49803134259</v>
      </c>
      <c r="F71" s="10" t="n">
        <v>46238.49804498687</v>
      </c>
      <c r="G71" s="13" t="n">
        <v>45</v>
      </c>
      <c r="H71" s="14" t="n">
        <v>1049.9133</v>
      </c>
      <c r="I71" s="13">
        <f>COUNTIFS('클럭 정리'!$A$6:$A$75,"&gt;="&amp;E71,'클럭 정리'!$A$6:$A$75,"&lt;="&amp;F71)</f>
        <v/>
      </c>
      <c r="J71" s="14">
        <f>AVERAGEIFS('클럭 정리'!$N$6:$N$75,'클럭 정리'!$A$6:$A$75,"&gt;="&amp;E71,'클럭 정리'!$A$6:$A$75,"&lt;="&amp;F71)</f>
        <v/>
      </c>
      <c r="K71" s="15">
        <f>J71*'클럭 정리'!$B$2/100</f>
        <v/>
      </c>
    </row>
    <row r="72">
      <c r="A72" s="13" t="inlineStr">
        <is>
          <t>병렬도 12 분할 8</t>
        </is>
      </c>
      <c r="B72" s="13" t="n">
        <v>3</v>
      </c>
      <c r="C72" s="13" t="inlineStr">
        <is>
          <t>ForkJoinPool-13-worker-4</t>
        </is>
      </c>
      <c r="D72" s="12" t="inlineStr">
        <is>
          <t>워커</t>
        </is>
      </c>
      <c r="E72" s="10" t="n">
        <v>46238.49803134259</v>
      </c>
      <c r="F72" s="10" t="n">
        <v>46238.49803163566</v>
      </c>
      <c r="G72" s="13" t="n">
        <v>1</v>
      </c>
      <c r="H72" s="14" t="n">
        <v>25.3214</v>
      </c>
      <c r="I72" s="13">
        <f>COUNTIFS('클럭 정리'!$A$6:$A$75,"&gt;="&amp;E72,'클럭 정리'!$A$6:$A$75,"&lt;="&amp;F72)</f>
        <v/>
      </c>
      <c r="J72" s="14">
        <f>AVERAGEIFS('클럭 정리'!$N$6:$N$75,'클럭 정리'!$A$6:$A$75,"&gt;="&amp;E72,'클럭 정리'!$A$6:$A$75,"&lt;="&amp;F72)</f>
        <v/>
      </c>
      <c r="K72" s="15">
        <f>J72*'클럭 정리'!$B$2/100</f>
        <v/>
      </c>
    </row>
    <row r="73">
      <c r="A73" s="13" t="inlineStr">
        <is>
          <t>병렬도 12 분할 8</t>
        </is>
      </c>
      <c r="B73" s="13" t="n">
        <v>3</v>
      </c>
      <c r="C73" s="13" t="inlineStr">
        <is>
          <t>ForkJoinPool-13-worker-5</t>
        </is>
      </c>
      <c r="D73" s="12" t="inlineStr">
        <is>
          <t>워커</t>
        </is>
      </c>
      <c r="E73" s="10" t="n">
        <v>46238.49803134259</v>
      </c>
      <c r="F73" s="10" t="n">
        <v>46238.49804502731</v>
      </c>
      <c r="G73" s="13" t="n">
        <v>45</v>
      </c>
      <c r="H73" s="14" t="n">
        <v>1092.0798</v>
      </c>
      <c r="I73" s="13">
        <f>COUNTIFS('클럭 정리'!$A$6:$A$75,"&gt;="&amp;E73,'클럭 정리'!$A$6:$A$75,"&lt;="&amp;F73)</f>
        <v/>
      </c>
      <c r="J73" s="14">
        <f>AVERAGEIFS('클럭 정리'!$N$6:$N$75,'클럭 정리'!$A$6:$A$75,"&gt;="&amp;E73,'클럭 정리'!$A$6:$A$75,"&lt;="&amp;F73)</f>
        <v/>
      </c>
      <c r="K73" s="15">
        <f>J73*'클럭 정리'!$B$2/100</f>
        <v/>
      </c>
    </row>
    <row r="74">
      <c r="A74" s="13" t="inlineStr">
        <is>
          <t>병렬도 12 분할 8</t>
        </is>
      </c>
      <c r="B74" s="13" t="n">
        <v>3</v>
      </c>
      <c r="C74" s="13" t="inlineStr">
        <is>
          <t>ForkJoinPool-13-worker-6</t>
        </is>
      </c>
      <c r="D74" s="12" t="inlineStr">
        <is>
          <t>워커</t>
        </is>
      </c>
      <c r="E74" s="10" t="n">
        <v>46238.49803134259</v>
      </c>
      <c r="F74" s="10" t="n">
        <v>46238.49804499201</v>
      </c>
      <c r="G74" s="13" t="n">
        <v>45</v>
      </c>
      <c r="H74" s="14" t="n">
        <v>1095.196</v>
      </c>
      <c r="I74" s="13">
        <f>COUNTIFS('클럭 정리'!$A$6:$A$75,"&gt;="&amp;E74,'클럭 정리'!$A$6:$A$75,"&lt;="&amp;F74)</f>
        <v/>
      </c>
      <c r="J74" s="14">
        <f>AVERAGEIFS('클럭 정리'!$N$6:$N$75,'클럭 정리'!$A$6:$A$75,"&gt;="&amp;E74,'클럭 정리'!$A$6:$A$75,"&lt;="&amp;F74)</f>
        <v/>
      </c>
      <c r="K74" s="15">
        <f>J74*'클럭 정리'!$B$2/100</f>
        <v/>
      </c>
    </row>
    <row r="75">
      <c r="A75" s="13" t="inlineStr">
        <is>
          <t>병렬도 12 분할 8</t>
        </is>
      </c>
      <c r="B75" s="13" t="n">
        <v>3</v>
      </c>
      <c r="C75" s="13" t="inlineStr">
        <is>
          <t>ForkJoinPool-13-worker-7</t>
        </is>
      </c>
      <c r="D75" s="12" t="inlineStr">
        <is>
          <t>워커</t>
        </is>
      </c>
      <c r="E75" s="10" t="n">
        <v>46238.49803134259</v>
      </c>
      <c r="F75" s="10" t="n">
        <v>46238.49803161649</v>
      </c>
      <c r="G75" s="13" t="n">
        <v>1</v>
      </c>
      <c r="H75" s="14" t="n">
        <v>23.6647</v>
      </c>
      <c r="I75" s="13">
        <f>COUNTIFS('클럭 정리'!$A$6:$A$75,"&gt;="&amp;E75,'클럭 정리'!$A$6:$A$75,"&lt;="&amp;F75)</f>
        <v/>
      </c>
      <c r="J75" s="14">
        <f>AVERAGEIFS('클럭 정리'!$N$6:$N$75,'클럭 정리'!$A$6:$A$75,"&gt;="&amp;E75,'클럭 정리'!$A$6:$A$75,"&lt;="&amp;F75)</f>
        <v/>
      </c>
      <c r="K75" s="15">
        <f>J75*'클럭 정리'!$B$2/100</f>
        <v/>
      </c>
    </row>
    <row r="76">
      <c r="A76" s="13" t="inlineStr">
        <is>
          <t>병렬도 12 분할 8</t>
        </is>
      </c>
      <c r="B76" s="13" t="n">
        <v>3</v>
      </c>
      <c r="C76" s="13" t="inlineStr">
        <is>
          <t>ForkJoinPool-13-worker-8</t>
        </is>
      </c>
      <c r="D76" s="12" t="inlineStr">
        <is>
          <t>워커</t>
        </is>
      </c>
      <c r="E76" s="10" t="n">
        <v>46238.49803134259</v>
      </c>
      <c r="F76" s="10" t="n">
        <v>46238.49804503601</v>
      </c>
      <c r="G76" s="13" t="n">
        <v>45</v>
      </c>
      <c r="H76" s="14" t="n">
        <v>1091.1048</v>
      </c>
      <c r="I76" s="13">
        <f>COUNTIFS('클럭 정리'!$A$6:$A$75,"&gt;="&amp;E76,'클럭 정리'!$A$6:$A$75,"&lt;="&amp;F76)</f>
        <v/>
      </c>
      <c r="J76" s="14">
        <f>AVERAGEIFS('클럭 정리'!$N$6:$N$75,'클럭 정리'!$A$6:$A$75,"&gt;="&amp;E76,'클럭 정리'!$A$6:$A$75,"&lt;="&amp;F76)</f>
        <v/>
      </c>
      <c r="K76" s="15">
        <f>J76*'클럭 정리'!$B$2/100</f>
        <v/>
      </c>
    </row>
    <row r="77">
      <c r="A77" s="13" t="inlineStr">
        <is>
          <t>병렬도 12 분할 8</t>
        </is>
      </c>
      <c r="B77" s="13" t="n">
        <v>3</v>
      </c>
      <c r="C77" s="13" t="inlineStr">
        <is>
          <t>main</t>
        </is>
      </c>
      <c r="D77" s="12" t="inlineStr">
        <is>
          <t>main (활동 시간 합 = 그 회차 mainCPU, 창은 워커와 겹침)</t>
        </is>
      </c>
      <c r="E77" s="10" t="n">
        <v>46238.49803133102</v>
      </c>
      <c r="F77" s="10" t="n">
        <v>46238.49804502982</v>
      </c>
      <c r="G77" s="13" t="n">
        <v>45</v>
      </c>
      <c r="H77" s="14" t="n">
        <v>0</v>
      </c>
      <c r="I77" s="13">
        <f>COUNTIFS('클럭 정리'!$A$6:$A$75,"&gt;="&amp;E77,'클럭 정리'!$A$6:$A$75,"&lt;="&amp;F77)</f>
        <v/>
      </c>
      <c r="J77" s="14">
        <f>AVERAGEIFS('클럭 정리'!$N$6:$N$75,'클럭 정리'!$A$6:$A$75,"&gt;="&amp;E77,'클럭 정리'!$A$6:$A$75,"&lt;="&amp;F77)</f>
        <v/>
      </c>
      <c r="K77" s="15">
        <f>J77*'클럭 정리'!$B$2/100</f>
        <v/>
      </c>
    </row>
    <row r="78">
      <c r="A78" s="13" t="inlineStr">
        <is>
          <t>병렬도 12 분할 8</t>
        </is>
      </c>
      <c r="B78" s="13" t="n">
        <v>4</v>
      </c>
      <c r="C78" s="13" t="inlineStr">
        <is>
          <t>ForkJoinPool-14-worker-1</t>
        </is>
      </c>
      <c r="D78" s="12" t="inlineStr">
        <is>
          <t>워커</t>
        </is>
      </c>
      <c r="E78" s="10" t="n">
        <v>46238.49804505787</v>
      </c>
      <c r="F78" s="10" t="n">
        <v>46238.49805881686</v>
      </c>
      <c r="G78" s="13" t="n">
        <v>45</v>
      </c>
      <c r="H78" s="14" t="n">
        <v>1116.0708</v>
      </c>
      <c r="I78" s="13">
        <f>COUNTIFS('클럭 정리'!$A$6:$A$75,"&gt;="&amp;E78,'클럭 정리'!$A$6:$A$75,"&lt;="&amp;F78)</f>
        <v/>
      </c>
      <c r="J78" s="14">
        <f>AVERAGEIFS('클럭 정리'!$N$6:$N$75,'클럭 정리'!$A$6:$A$75,"&gt;="&amp;E78,'클럭 정리'!$A$6:$A$75,"&lt;="&amp;F78)</f>
        <v/>
      </c>
      <c r="K78" s="15">
        <f>J78*'클럭 정리'!$B$2/100</f>
        <v/>
      </c>
    </row>
    <row r="79">
      <c r="A79" s="13" t="inlineStr">
        <is>
          <t>병렬도 12 분할 8</t>
        </is>
      </c>
      <c r="B79" s="13" t="n">
        <v>4</v>
      </c>
      <c r="C79" s="13" t="inlineStr">
        <is>
          <t>ForkJoinPool-14-worker-10</t>
        </is>
      </c>
      <c r="D79" s="12" t="inlineStr">
        <is>
          <t>워커</t>
        </is>
      </c>
      <c r="E79" s="10" t="n">
        <v>46238.49804538194</v>
      </c>
      <c r="F79" s="10" t="n">
        <v>46238.49805880052</v>
      </c>
      <c r="G79" s="13" t="n">
        <v>44</v>
      </c>
      <c r="H79" s="14" t="n">
        <v>1074.354</v>
      </c>
      <c r="I79" s="13">
        <f>COUNTIFS('클럭 정리'!$A$6:$A$75,"&gt;="&amp;E79,'클럭 정리'!$A$6:$A$75,"&lt;="&amp;F79)</f>
        <v/>
      </c>
      <c r="J79" s="14">
        <f>AVERAGEIFS('클럭 정리'!$N$6:$N$75,'클럭 정리'!$A$6:$A$75,"&gt;="&amp;E79,'클럭 정리'!$A$6:$A$75,"&lt;="&amp;F79)</f>
        <v/>
      </c>
      <c r="K79" s="15">
        <f>J79*'클럭 정리'!$B$2/100</f>
        <v/>
      </c>
    </row>
    <row r="80">
      <c r="A80" s="13" t="inlineStr">
        <is>
          <t>병렬도 12 분할 8</t>
        </is>
      </c>
      <c r="B80" s="13" t="n">
        <v>4</v>
      </c>
      <c r="C80" s="13" t="inlineStr">
        <is>
          <t>ForkJoinPool-14-worker-11</t>
        </is>
      </c>
      <c r="D80" s="12" t="inlineStr">
        <is>
          <t>워커</t>
        </is>
      </c>
      <c r="E80" s="10" t="n">
        <v>46238.49805393518</v>
      </c>
      <c r="F80" s="10" t="n">
        <v>46238.49805879666</v>
      </c>
      <c r="G80" s="13" t="n">
        <v>16</v>
      </c>
      <c r="H80" s="14" t="n">
        <v>383.4112</v>
      </c>
      <c r="I80" s="13">
        <f>COUNTIFS('클럭 정리'!$A$6:$A$75,"&gt;="&amp;E80,'클럭 정리'!$A$6:$A$75,"&lt;="&amp;F80)</f>
        <v/>
      </c>
      <c r="J80" s="14">
        <f>AVERAGEIFS('클럭 정리'!$N$6:$N$75,'클럭 정리'!$A$6:$A$75,"&gt;="&amp;E80,'클럭 정리'!$A$6:$A$75,"&lt;="&amp;F80)</f>
        <v/>
      </c>
      <c r="K80" s="15">
        <f>J80*'클럭 정리'!$B$2/100</f>
        <v/>
      </c>
    </row>
    <row r="81">
      <c r="A81" s="13" t="inlineStr">
        <is>
          <t>병렬도 12 분할 8</t>
        </is>
      </c>
      <c r="B81" s="13" t="n">
        <v>4</v>
      </c>
      <c r="C81" s="13" t="inlineStr">
        <is>
          <t>ForkJoinPool-14-worker-12</t>
        </is>
      </c>
      <c r="D81" s="12" t="inlineStr">
        <is>
          <t>워커</t>
        </is>
      </c>
      <c r="E81" s="10" t="n">
        <v>46238.49804538194</v>
      </c>
      <c r="F81" s="10" t="n">
        <v>46238.49805874231</v>
      </c>
      <c r="G81" s="13" t="n">
        <v>44</v>
      </c>
      <c r="H81" s="14" t="n">
        <v>1058.1248</v>
      </c>
      <c r="I81" s="13">
        <f>COUNTIFS('클럭 정리'!$A$6:$A$75,"&gt;="&amp;E81,'클럭 정리'!$A$6:$A$75,"&lt;="&amp;F81)</f>
        <v/>
      </c>
      <c r="J81" s="14">
        <f>AVERAGEIFS('클럭 정리'!$N$6:$N$75,'클럭 정리'!$A$6:$A$75,"&gt;="&amp;E81,'클럭 정리'!$A$6:$A$75,"&lt;="&amp;F81)</f>
        <v/>
      </c>
      <c r="K81" s="15">
        <f>J81*'클럭 정리'!$B$2/100</f>
        <v/>
      </c>
    </row>
    <row r="82">
      <c r="A82" s="13" t="inlineStr">
        <is>
          <t>병렬도 12 분할 8</t>
        </is>
      </c>
      <c r="B82" s="13" t="n">
        <v>4</v>
      </c>
      <c r="C82" s="13" t="inlineStr">
        <is>
          <t>ForkJoinPool-14-worker-2</t>
        </is>
      </c>
      <c r="D82" s="12" t="inlineStr">
        <is>
          <t>워커</t>
        </is>
      </c>
      <c r="E82" s="10" t="n">
        <v>46238.49804505787</v>
      </c>
      <c r="F82" s="10" t="n">
        <v>46238.49805881643</v>
      </c>
      <c r="G82" s="13" t="n">
        <v>45</v>
      </c>
      <c r="H82" s="14" t="n">
        <v>1090.0465</v>
      </c>
      <c r="I82" s="13">
        <f>COUNTIFS('클럭 정리'!$A$6:$A$75,"&gt;="&amp;E82,'클럭 정리'!$A$6:$A$75,"&lt;="&amp;F82)</f>
        <v/>
      </c>
      <c r="J82" s="14">
        <f>AVERAGEIFS('클럭 정리'!$N$6:$N$75,'클럭 정리'!$A$6:$A$75,"&gt;="&amp;E82,'클럭 정리'!$A$6:$A$75,"&lt;="&amp;F82)</f>
        <v/>
      </c>
      <c r="K82" s="15">
        <f>J82*'클럭 정리'!$B$2/100</f>
        <v/>
      </c>
    </row>
    <row r="83">
      <c r="A83" s="13" t="inlineStr">
        <is>
          <t>병렬도 12 분할 8</t>
        </is>
      </c>
      <c r="B83" s="13" t="n">
        <v>4</v>
      </c>
      <c r="C83" s="13" t="inlineStr">
        <is>
          <t>ForkJoinPool-14-worker-3</t>
        </is>
      </c>
      <c r="D83" s="12" t="inlineStr">
        <is>
          <t>워커</t>
        </is>
      </c>
      <c r="E83" s="10" t="n">
        <v>46238.49804505787</v>
      </c>
      <c r="F83" s="10" t="n">
        <v>46238.49805882168</v>
      </c>
      <c r="G83" s="13" t="n">
        <v>45</v>
      </c>
      <c r="H83" s="14" t="n">
        <v>1091.7708</v>
      </c>
      <c r="I83" s="13">
        <f>COUNTIFS('클럭 정리'!$A$6:$A$75,"&gt;="&amp;E83,'클럭 정리'!$A$6:$A$75,"&lt;="&amp;F83)</f>
        <v/>
      </c>
      <c r="J83" s="14">
        <f>AVERAGEIFS('클럭 정리'!$N$6:$N$75,'클럭 정리'!$A$6:$A$75,"&gt;="&amp;E83,'클럭 정리'!$A$6:$A$75,"&lt;="&amp;F83)</f>
        <v/>
      </c>
      <c r="K83" s="15">
        <f>J83*'클럭 정리'!$B$2/100</f>
        <v/>
      </c>
    </row>
    <row r="84">
      <c r="A84" s="13" t="inlineStr">
        <is>
          <t>병렬도 12 분할 8</t>
        </is>
      </c>
      <c r="B84" s="13" t="n">
        <v>4</v>
      </c>
      <c r="C84" s="13" t="inlineStr">
        <is>
          <t>ForkJoinPool-14-worker-4</t>
        </is>
      </c>
      <c r="D84" s="12" t="inlineStr">
        <is>
          <t>워커</t>
        </is>
      </c>
      <c r="E84" s="10" t="n">
        <v>46238.49804505787</v>
      </c>
      <c r="F84" s="10" t="n">
        <v>46238.49805388096</v>
      </c>
      <c r="G84" s="13" t="n">
        <v>29</v>
      </c>
      <c r="H84" s="14" t="n">
        <v>715.4959</v>
      </c>
      <c r="I84" s="13">
        <f>COUNTIFS('클럭 정리'!$A$6:$A$75,"&gt;="&amp;E84,'클럭 정리'!$A$6:$A$75,"&lt;="&amp;F84)</f>
        <v/>
      </c>
      <c r="J84" s="14">
        <f>AVERAGEIFS('클럭 정리'!$N$6:$N$75,'클럭 정리'!$A$6:$A$75,"&gt;="&amp;E84,'클럭 정리'!$A$6:$A$75,"&lt;="&amp;F84)</f>
        <v/>
      </c>
      <c r="K84" s="15">
        <f>J84*'클럭 정리'!$B$2/100</f>
        <v/>
      </c>
    </row>
    <row r="85">
      <c r="A85" s="13" t="inlineStr">
        <is>
          <t>병렬도 12 분할 8</t>
        </is>
      </c>
      <c r="B85" s="13" t="n">
        <v>4</v>
      </c>
      <c r="C85" s="13" t="inlineStr">
        <is>
          <t>ForkJoinPool-14-worker-5</t>
        </is>
      </c>
      <c r="D85" s="12" t="inlineStr">
        <is>
          <t>워커</t>
        </is>
      </c>
      <c r="E85" s="10" t="n">
        <v>46238.49804506944</v>
      </c>
      <c r="F85" s="10" t="n">
        <v>46238.49804536017</v>
      </c>
      <c r="G85" s="13" t="n">
        <v>1</v>
      </c>
      <c r="H85" s="14" t="n">
        <v>25.1187</v>
      </c>
      <c r="I85" s="13">
        <f>COUNTIFS('클럭 정리'!$A$6:$A$75,"&gt;="&amp;E85,'클럭 정리'!$A$6:$A$75,"&lt;="&amp;F85)</f>
        <v/>
      </c>
      <c r="J85" s="14">
        <f>AVERAGEIFS('클럭 정리'!$N$6:$N$75,'클럭 정리'!$A$6:$A$75,"&gt;="&amp;E85,'클럭 정리'!$A$6:$A$75,"&lt;="&amp;F85)</f>
        <v/>
      </c>
      <c r="K85" s="15">
        <f>J85*'클럭 정리'!$B$2/100</f>
        <v/>
      </c>
    </row>
    <row r="86">
      <c r="A86" s="13" t="inlineStr">
        <is>
          <t>병렬도 12 분할 8</t>
        </is>
      </c>
      <c r="B86" s="13" t="n">
        <v>4</v>
      </c>
      <c r="C86" s="13" t="inlineStr">
        <is>
          <t>ForkJoinPool-14-worker-6</t>
        </is>
      </c>
      <c r="D86" s="12" t="inlineStr">
        <is>
          <t>워커</t>
        </is>
      </c>
      <c r="E86" s="10" t="n">
        <v>46238.49804505787</v>
      </c>
      <c r="F86" s="10" t="n">
        <v>46238.49805880199</v>
      </c>
      <c r="G86" s="13" t="n">
        <v>45</v>
      </c>
      <c r="H86" s="14" t="n">
        <v>1092.4597</v>
      </c>
      <c r="I86" s="13">
        <f>COUNTIFS('클럭 정리'!$A$6:$A$75,"&gt;="&amp;E86,'클럭 정리'!$A$6:$A$75,"&lt;="&amp;F86)</f>
        <v/>
      </c>
      <c r="J86" s="14">
        <f>AVERAGEIFS('클럭 정리'!$N$6:$N$75,'클럭 정리'!$A$6:$A$75,"&gt;="&amp;E86,'클럭 정리'!$A$6:$A$75,"&lt;="&amp;F86)</f>
        <v/>
      </c>
      <c r="K86" s="15">
        <f>J86*'클럭 정리'!$B$2/100</f>
        <v/>
      </c>
    </row>
    <row r="87">
      <c r="A87" s="13" t="inlineStr">
        <is>
          <t>병렬도 12 분할 8</t>
        </is>
      </c>
      <c r="B87" s="13" t="n">
        <v>4</v>
      </c>
      <c r="C87" s="13" t="inlineStr">
        <is>
          <t>ForkJoinPool-14-worker-7</t>
        </is>
      </c>
      <c r="D87" s="12" t="inlineStr">
        <is>
          <t>워커</t>
        </is>
      </c>
      <c r="E87" s="10" t="n">
        <v>46238.49804506944</v>
      </c>
      <c r="F87" s="10" t="n">
        <v>46238.49805879954</v>
      </c>
      <c r="G87" s="13" t="n">
        <v>45</v>
      </c>
      <c r="H87" s="14" t="n">
        <v>1095.864</v>
      </c>
      <c r="I87" s="13">
        <f>COUNTIFS('클럭 정리'!$A$6:$A$75,"&gt;="&amp;E87,'클럭 정리'!$A$6:$A$75,"&lt;="&amp;F87)</f>
        <v/>
      </c>
      <c r="J87" s="14">
        <f>AVERAGEIFS('클럭 정리'!$N$6:$N$75,'클럭 정리'!$A$6:$A$75,"&gt;="&amp;E87,'클럭 정리'!$A$6:$A$75,"&lt;="&amp;F87)</f>
        <v/>
      </c>
      <c r="K87" s="15">
        <f>J87*'클럭 정리'!$B$2/100</f>
        <v/>
      </c>
    </row>
    <row r="88">
      <c r="A88" s="13" t="inlineStr">
        <is>
          <t>병렬도 12 분할 8</t>
        </is>
      </c>
      <c r="B88" s="13" t="n">
        <v>4</v>
      </c>
      <c r="C88" s="13" t="inlineStr">
        <is>
          <t>ForkJoinPool-14-worker-8</t>
        </is>
      </c>
      <c r="D88" s="12" t="inlineStr">
        <is>
          <t>워커</t>
        </is>
      </c>
      <c r="E88" s="10" t="n">
        <v>46238.49804506944</v>
      </c>
      <c r="F88" s="10" t="n">
        <v>46238.49804535149</v>
      </c>
      <c r="G88" s="13" t="n">
        <v>1</v>
      </c>
      <c r="H88" s="14" t="n">
        <v>24.3687</v>
      </c>
      <c r="I88" s="13">
        <f>COUNTIFS('클럭 정리'!$A$6:$A$75,"&gt;="&amp;E88,'클럭 정리'!$A$6:$A$75,"&lt;="&amp;F88)</f>
        <v/>
      </c>
      <c r="J88" s="14">
        <f>AVERAGEIFS('클럭 정리'!$N$6:$N$75,'클럭 정리'!$A$6:$A$75,"&gt;="&amp;E88,'클럭 정리'!$A$6:$A$75,"&lt;="&amp;F88)</f>
        <v/>
      </c>
      <c r="K88" s="15">
        <f>J88*'클럭 정리'!$B$2/100</f>
        <v/>
      </c>
    </row>
    <row r="89">
      <c r="A89" s="13" t="inlineStr">
        <is>
          <t>병렬도 12 분할 8</t>
        </is>
      </c>
      <c r="B89" s="13" t="n">
        <v>4</v>
      </c>
      <c r="C89" s="13" t="inlineStr">
        <is>
          <t>main</t>
        </is>
      </c>
      <c r="D89" s="12" t="inlineStr">
        <is>
          <t>main (활동 시간 합 = 그 회차 mainCPU, 창은 워커와 겹침)</t>
        </is>
      </c>
      <c r="E89" s="10" t="n">
        <v>46238.4980450463</v>
      </c>
      <c r="F89" s="10" t="n">
        <v>46238.49805882292</v>
      </c>
      <c r="G89" s="13" t="n">
        <v>45</v>
      </c>
      <c r="H89" s="14" t="n">
        <v>0</v>
      </c>
      <c r="I89" s="13">
        <f>COUNTIFS('클럭 정리'!$A$6:$A$75,"&gt;="&amp;E89,'클럭 정리'!$A$6:$A$75,"&lt;="&amp;F89)</f>
        <v/>
      </c>
      <c r="J89" s="14">
        <f>AVERAGEIFS('클럭 정리'!$N$6:$N$75,'클럭 정리'!$A$6:$A$75,"&gt;="&amp;E89,'클럭 정리'!$A$6:$A$75,"&lt;="&amp;F89)</f>
        <v/>
      </c>
      <c r="K89" s="15">
        <f>J89*'클럭 정리'!$B$2/100</f>
        <v/>
      </c>
    </row>
    <row r="90">
      <c r="A90" s="13" t="inlineStr">
        <is>
          <t>병렬도 12 분할 8</t>
        </is>
      </c>
      <c r="B90" s="13" t="n">
        <v>5</v>
      </c>
      <c r="C90" s="13" t="inlineStr">
        <is>
          <t>ForkJoinPool-15-worker-1</t>
        </is>
      </c>
      <c r="D90" s="12" t="inlineStr">
        <is>
          <t>워커</t>
        </is>
      </c>
      <c r="E90" s="10" t="n">
        <v>46238.49805885417</v>
      </c>
      <c r="F90" s="10" t="n">
        <v>46238.49807262044</v>
      </c>
      <c r="G90" s="13" t="n">
        <v>45</v>
      </c>
      <c r="H90" s="14" t="n">
        <v>1078.3183</v>
      </c>
      <c r="I90" s="13">
        <f>COUNTIFS('클럭 정리'!$A$6:$A$75,"&gt;="&amp;E90,'클럭 정리'!$A$6:$A$75,"&lt;="&amp;F90)</f>
        <v/>
      </c>
      <c r="J90" s="14">
        <f>AVERAGEIFS('클럭 정리'!$N$6:$N$75,'클럭 정리'!$A$6:$A$75,"&gt;="&amp;E90,'클럭 정리'!$A$6:$A$75,"&lt;="&amp;F90)</f>
        <v/>
      </c>
      <c r="K90" s="15">
        <f>J90*'클럭 정리'!$B$2/100</f>
        <v/>
      </c>
    </row>
    <row r="91">
      <c r="A91" s="13" t="inlineStr">
        <is>
          <t>병렬도 12 분할 8</t>
        </is>
      </c>
      <c r="B91" s="13" t="n">
        <v>5</v>
      </c>
      <c r="C91" s="13" t="inlineStr">
        <is>
          <t>ForkJoinPool-15-worker-10</t>
        </is>
      </c>
      <c r="D91" s="12" t="inlineStr">
        <is>
          <t>워커</t>
        </is>
      </c>
      <c r="E91" s="10" t="n">
        <v>46238.49805916667</v>
      </c>
      <c r="F91" s="10" t="n">
        <v>46238.49807265236</v>
      </c>
      <c r="G91" s="13" t="n">
        <v>44</v>
      </c>
      <c r="H91" s="14" t="n">
        <v>1075.799</v>
      </c>
      <c r="I91" s="13">
        <f>COUNTIFS('클럭 정리'!$A$6:$A$75,"&gt;="&amp;E91,'클럭 정리'!$A$6:$A$75,"&lt;="&amp;F91)</f>
        <v/>
      </c>
      <c r="J91" s="14">
        <f>AVERAGEIFS('클럭 정리'!$N$6:$N$75,'클럭 정리'!$A$6:$A$75,"&gt;="&amp;E91,'클럭 정리'!$A$6:$A$75,"&lt;="&amp;F91)</f>
        <v/>
      </c>
      <c r="K91" s="15">
        <f>J91*'클럭 정리'!$B$2/100</f>
        <v/>
      </c>
    </row>
    <row r="92">
      <c r="A92" s="13" t="inlineStr">
        <is>
          <t>병렬도 12 분할 8</t>
        </is>
      </c>
      <c r="B92" s="13" t="n">
        <v>5</v>
      </c>
      <c r="C92" s="13" t="inlineStr">
        <is>
          <t>ForkJoinPool-15-worker-12</t>
        </is>
      </c>
      <c r="D92" s="12" t="inlineStr">
        <is>
          <t>워커</t>
        </is>
      </c>
      <c r="E92" s="10" t="n">
        <v>46238.49805949074</v>
      </c>
      <c r="F92" s="10" t="n">
        <v>46238.49807260672</v>
      </c>
      <c r="G92" s="13" t="n">
        <v>43</v>
      </c>
      <c r="H92" s="14" t="n">
        <v>1047.9827</v>
      </c>
      <c r="I92" s="13">
        <f>COUNTIFS('클럭 정리'!$A$6:$A$75,"&gt;="&amp;E92,'클럭 정리'!$A$6:$A$75,"&lt;="&amp;F92)</f>
        <v/>
      </c>
      <c r="J92" s="14">
        <f>AVERAGEIFS('클럭 정리'!$N$6:$N$75,'클럭 정리'!$A$6:$A$75,"&gt;="&amp;E92,'클럭 정리'!$A$6:$A$75,"&lt;="&amp;F92)</f>
        <v/>
      </c>
      <c r="K92" s="15">
        <f>J92*'클럭 정리'!$B$2/100</f>
        <v/>
      </c>
    </row>
    <row r="93">
      <c r="A93" s="13" t="inlineStr">
        <is>
          <t>병렬도 12 분할 8</t>
        </is>
      </c>
      <c r="B93" s="13" t="n">
        <v>5</v>
      </c>
      <c r="C93" s="13" t="inlineStr">
        <is>
          <t>ForkJoinPool-15-worker-2</t>
        </is>
      </c>
      <c r="D93" s="12" t="inlineStr">
        <is>
          <t>워커</t>
        </is>
      </c>
      <c r="E93" s="10" t="n">
        <v>46238.49805885417</v>
      </c>
      <c r="F93" s="10" t="n">
        <v>46238.49807264435</v>
      </c>
      <c r="G93" s="13" t="n">
        <v>45</v>
      </c>
      <c r="H93" s="14" t="n">
        <v>1107.2847</v>
      </c>
      <c r="I93" s="13">
        <f>COUNTIFS('클럭 정리'!$A$6:$A$75,"&gt;="&amp;E93,'클럭 정리'!$A$6:$A$75,"&lt;="&amp;F93)</f>
        <v/>
      </c>
      <c r="J93" s="14">
        <f>AVERAGEIFS('클럭 정리'!$N$6:$N$75,'클럭 정리'!$A$6:$A$75,"&gt;="&amp;E93,'클럭 정리'!$A$6:$A$75,"&lt;="&amp;F93)</f>
        <v/>
      </c>
      <c r="K93" s="15">
        <f>J93*'클럭 정리'!$B$2/100</f>
        <v/>
      </c>
    </row>
    <row r="94">
      <c r="A94" s="13" t="inlineStr">
        <is>
          <t>병렬도 12 분할 8</t>
        </is>
      </c>
      <c r="B94" s="13" t="n">
        <v>5</v>
      </c>
      <c r="C94" s="13" t="inlineStr">
        <is>
          <t>ForkJoinPool-15-worker-3</t>
        </is>
      </c>
      <c r="D94" s="12" t="inlineStr">
        <is>
          <t>워커</t>
        </is>
      </c>
      <c r="E94" s="10" t="n">
        <v>46238.49805885417</v>
      </c>
      <c r="F94" s="10" t="n">
        <v>46238.49807265174</v>
      </c>
      <c r="G94" s="13" t="n">
        <v>45</v>
      </c>
      <c r="H94" s="14" t="n">
        <v>1103.0828</v>
      </c>
      <c r="I94" s="13">
        <f>COUNTIFS('클럭 정리'!$A$6:$A$75,"&gt;="&amp;E94,'클럭 정리'!$A$6:$A$75,"&lt;="&amp;F94)</f>
        <v/>
      </c>
      <c r="J94" s="14">
        <f>AVERAGEIFS('클럭 정리'!$N$6:$N$75,'클럭 정리'!$A$6:$A$75,"&gt;="&amp;E94,'클럭 정리'!$A$6:$A$75,"&lt;="&amp;F94)</f>
        <v/>
      </c>
      <c r="K94" s="15">
        <f>J94*'클럭 정리'!$B$2/100</f>
        <v/>
      </c>
    </row>
    <row r="95">
      <c r="A95" s="13" t="inlineStr">
        <is>
          <t>병렬도 12 분할 8</t>
        </is>
      </c>
      <c r="B95" s="13" t="n">
        <v>5</v>
      </c>
      <c r="C95" s="13" t="inlineStr">
        <is>
          <t>ForkJoinPool-15-worker-4</t>
        </is>
      </c>
      <c r="D95" s="12" t="inlineStr">
        <is>
          <t>워커</t>
        </is>
      </c>
      <c r="E95" s="10" t="n">
        <v>46238.49805885417</v>
      </c>
      <c r="F95" s="10" t="n">
        <v>46238.49805944489</v>
      </c>
      <c r="G95" s="13" t="n">
        <v>2</v>
      </c>
      <c r="H95" s="14" t="n">
        <v>50.2485</v>
      </c>
      <c r="I95" s="13">
        <f>COUNTIFS('클럭 정리'!$A$6:$A$75,"&gt;="&amp;E95,'클럭 정리'!$A$6:$A$75,"&lt;="&amp;F95)</f>
        <v/>
      </c>
      <c r="J95" s="14">
        <f>AVERAGEIFS('클럭 정리'!$N$6:$N$75,'클럭 정리'!$A$6:$A$75,"&gt;="&amp;E95,'클럭 정리'!$A$6:$A$75,"&lt;="&amp;F95)</f>
        <v/>
      </c>
      <c r="K95" s="15">
        <f>J95*'클럭 정리'!$B$2/100</f>
        <v/>
      </c>
    </row>
    <row r="96">
      <c r="A96" s="13" t="inlineStr">
        <is>
          <t>병렬도 12 분할 8</t>
        </is>
      </c>
      <c r="B96" s="13" t="n">
        <v>5</v>
      </c>
      <c r="C96" s="13" t="inlineStr">
        <is>
          <t>ForkJoinPool-15-worker-5</t>
        </is>
      </c>
      <c r="D96" s="12" t="inlineStr">
        <is>
          <t>워커</t>
        </is>
      </c>
      <c r="E96" s="10" t="n">
        <v>46238.49805885417</v>
      </c>
      <c r="F96" s="10" t="n">
        <v>46238.49807263225</v>
      </c>
      <c r="G96" s="13" t="n">
        <v>45</v>
      </c>
      <c r="H96" s="14" t="n">
        <v>1076.8607</v>
      </c>
      <c r="I96" s="13">
        <f>COUNTIFS('클럭 정리'!$A$6:$A$75,"&gt;="&amp;E96,'클럭 정리'!$A$6:$A$75,"&lt;="&amp;F96)</f>
        <v/>
      </c>
      <c r="J96" s="14">
        <f>AVERAGEIFS('클럭 정리'!$N$6:$N$75,'클럭 정리'!$A$6:$A$75,"&gt;="&amp;E96,'클럭 정리'!$A$6:$A$75,"&lt;="&amp;F96)</f>
        <v/>
      </c>
      <c r="K96" s="15">
        <f>J96*'클럭 정리'!$B$2/100</f>
        <v/>
      </c>
    </row>
    <row r="97">
      <c r="A97" s="13" t="inlineStr">
        <is>
          <t>병렬도 12 분할 8</t>
        </is>
      </c>
      <c r="B97" s="13" t="n">
        <v>5</v>
      </c>
      <c r="C97" s="13" t="inlineStr">
        <is>
          <t>ForkJoinPool-15-worker-6</t>
        </is>
      </c>
      <c r="D97" s="12" t="inlineStr">
        <is>
          <t>워커</t>
        </is>
      </c>
      <c r="E97" s="10" t="n">
        <v>46238.49805885417</v>
      </c>
      <c r="F97" s="10" t="n">
        <v>46238.4980591238</v>
      </c>
      <c r="G97" s="13" t="n">
        <v>1</v>
      </c>
      <c r="H97" s="14" t="n">
        <v>23.2961</v>
      </c>
      <c r="I97" s="13">
        <f>COUNTIFS('클럭 정리'!$A$6:$A$75,"&gt;="&amp;E97,'클럭 정리'!$A$6:$A$75,"&lt;="&amp;F97)</f>
        <v/>
      </c>
      <c r="J97" s="14">
        <f>AVERAGEIFS('클럭 정리'!$N$6:$N$75,'클럭 정리'!$A$6:$A$75,"&gt;="&amp;E97,'클럭 정리'!$A$6:$A$75,"&lt;="&amp;F97)</f>
        <v/>
      </c>
      <c r="K97" s="15">
        <f>J97*'클럭 정리'!$B$2/100</f>
        <v/>
      </c>
    </row>
    <row r="98">
      <c r="A98" s="13" t="inlineStr">
        <is>
          <t>병렬도 12 분할 8</t>
        </is>
      </c>
      <c r="B98" s="13" t="n">
        <v>5</v>
      </c>
      <c r="C98" s="13" t="inlineStr">
        <is>
          <t>ForkJoinPool-15-worker-7</t>
        </is>
      </c>
      <c r="D98" s="12" t="inlineStr">
        <is>
          <t>워커</t>
        </is>
      </c>
      <c r="E98" s="10" t="n">
        <v>46238.49805886574</v>
      </c>
      <c r="F98" s="10" t="n">
        <v>46238.49805911795</v>
      </c>
      <c r="G98" s="13" t="n">
        <v>1</v>
      </c>
      <c r="H98" s="14" t="n">
        <v>21.7911</v>
      </c>
      <c r="I98" s="13">
        <f>COUNTIFS('클럭 정리'!$A$6:$A$75,"&gt;="&amp;E98,'클럭 정리'!$A$6:$A$75,"&lt;="&amp;F98)</f>
        <v/>
      </c>
      <c r="J98" s="14">
        <f>AVERAGEIFS('클럭 정리'!$N$6:$N$75,'클럭 정리'!$A$6:$A$75,"&gt;="&amp;E98,'클럭 정리'!$A$6:$A$75,"&lt;="&amp;F98)</f>
        <v/>
      </c>
      <c r="K98" s="15">
        <f>J98*'클럭 정리'!$B$2/100</f>
        <v/>
      </c>
    </row>
    <row r="99">
      <c r="A99" s="13" t="inlineStr">
        <is>
          <t>병렬도 12 분할 8</t>
        </is>
      </c>
      <c r="B99" s="13" t="n">
        <v>5</v>
      </c>
      <c r="C99" s="13" t="inlineStr">
        <is>
          <t>ForkJoinPool-15-worker-8</t>
        </is>
      </c>
      <c r="D99" s="12" t="inlineStr">
        <is>
          <t>워커</t>
        </is>
      </c>
      <c r="E99" s="10" t="n">
        <v>46238.49805886574</v>
      </c>
      <c r="F99" s="10" t="n">
        <v>46238.49807257519</v>
      </c>
      <c r="G99" s="13" t="n">
        <v>45</v>
      </c>
      <c r="H99" s="14" t="n">
        <v>1101.4417</v>
      </c>
      <c r="I99" s="13">
        <f>COUNTIFS('클럭 정리'!$A$6:$A$75,"&gt;="&amp;E99,'클럭 정리'!$A$6:$A$75,"&lt;="&amp;F99)</f>
        <v/>
      </c>
      <c r="J99" s="14">
        <f>AVERAGEIFS('클럭 정리'!$N$6:$N$75,'클럭 정리'!$A$6:$A$75,"&gt;="&amp;E99,'클럭 정리'!$A$6:$A$75,"&lt;="&amp;F99)</f>
        <v/>
      </c>
      <c r="K99" s="15">
        <f>J99*'클럭 정리'!$B$2/100</f>
        <v/>
      </c>
    </row>
    <row r="100">
      <c r="A100" s="13" t="inlineStr">
        <is>
          <t>병렬도 12 분할 8</t>
        </is>
      </c>
      <c r="B100" s="13" t="n">
        <v>5</v>
      </c>
      <c r="C100" s="13" t="inlineStr">
        <is>
          <t>ForkJoinPool-15-worker-9</t>
        </is>
      </c>
      <c r="D100" s="12" t="inlineStr">
        <is>
          <t>워커</t>
        </is>
      </c>
      <c r="E100" s="10" t="n">
        <v>46238.49805916667</v>
      </c>
      <c r="F100" s="10" t="n">
        <v>46238.49807265255</v>
      </c>
      <c r="G100" s="13" t="n">
        <v>44</v>
      </c>
      <c r="H100" s="14" t="n">
        <v>1061.5319</v>
      </c>
      <c r="I100" s="13">
        <f>COUNTIFS('클럭 정리'!$A$6:$A$75,"&gt;="&amp;E100,'클럭 정리'!$A$6:$A$75,"&lt;="&amp;F100)</f>
        <v/>
      </c>
      <c r="J100" s="14">
        <f>AVERAGEIFS('클럭 정리'!$N$6:$N$75,'클럭 정리'!$A$6:$A$75,"&gt;="&amp;E100,'클럭 정리'!$A$6:$A$75,"&lt;="&amp;F100)</f>
        <v/>
      </c>
      <c r="K100" s="15">
        <f>J100*'클럭 정리'!$B$2/100</f>
        <v/>
      </c>
    </row>
    <row r="101">
      <c r="A101" s="13" t="inlineStr">
        <is>
          <t>병렬도 12 분할 8</t>
        </is>
      </c>
      <c r="B101" s="13" t="n">
        <v>5</v>
      </c>
      <c r="C101" s="13" t="inlineStr">
        <is>
          <t>main</t>
        </is>
      </c>
      <c r="D101" s="12" t="inlineStr">
        <is>
          <t>main (활동 시간 합 = 그 회차 mainCPU, 창은 워커와 겹침)</t>
        </is>
      </c>
      <c r="E101" s="10" t="n">
        <v>46238.49805884259</v>
      </c>
      <c r="F101" s="10" t="n">
        <v>46238.49807264211</v>
      </c>
      <c r="G101" s="13" t="n">
        <v>45</v>
      </c>
      <c r="H101" s="14" t="n">
        <v>0</v>
      </c>
      <c r="I101" s="13">
        <f>COUNTIFS('클럭 정리'!$A$6:$A$75,"&gt;="&amp;E101,'클럭 정리'!$A$6:$A$75,"&lt;="&amp;F101)</f>
        <v/>
      </c>
      <c r="J101" s="14">
        <f>AVERAGEIFS('클럭 정리'!$N$6:$N$75,'클럭 정리'!$A$6:$A$75,"&gt;="&amp;E101,'클럭 정리'!$A$6:$A$75,"&lt;="&amp;F101)</f>
        <v/>
      </c>
      <c r="K101" s="15">
        <f>J101*'클럭 정리'!$B$2/100</f>
        <v/>
      </c>
    </row>
    <row r="104">
      <c r="A104" s="1" t="inlineStr">
        <is>
          <t>풀·main별 클럭 표본 매핑</t>
        </is>
      </c>
    </row>
    <row r="105">
      <c r="A105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06">
      <c r="A106" s="5" t="inlineStr">
        <is>
          <t>구간</t>
        </is>
      </c>
      <c r="B106" s="5" t="inlineStr">
        <is>
          <t>회차</t>
        </is>
      </c>
      <c r="C106" s="5" t="inlineStr">
        <is>
          <t>풀/스레드</t>
        </is>
      </c>
      <c r="D106" s="5" t="inlineStr">
        <is>
          <t>활동 시작</t>
        </is>
      </c>
      <c r="E106" s="5" t="inlineStr">
        <is>
          <t>활동 끝</t>
        </is>
      </c>
      <c r="F106" s="5" t="inlineStr">
        <is>
          <t>표본 시각</t>
        </is>
      </c>
      <c r="G106" s="5" t="inlineStr">
        <is>
          <t>표본 클럭(%)</t>
        </is>
      </c>
      <c r="H106" s="5" t="inlineStr">
        <is>
          <t>표본 클럭(GHz)</t>
        </is>
      </c>
    </row>
    <row r="107">
      <c r="A107" s="13" t="inlineStr">
        <is>
          <t>병렬도 6 분할 8</t>
        </is>
      </c>
      <c r="B107" s="13" t="n">
        <v>1</v>
      </c>
      <c r="C107" s="13" t="inlineStr">
        <is>
          <t>ForkJoinPool-3</t>
        </is>
      </c>
      <c r="D107" s="10" t="n">
        <v>46238.49787074074</v>
      </c>
      <c r="E107" s="10" t="n">
        <v>46238.49789278046</v>
      </c>
      <c r="F107" s="16">
        <f>'클럭 정리'!A43</f>
        <v/>
      </c>
      <c r="G107" s="17">
        <f>'클럭 정리'!N43</f>
        <v/>
      </c>
      <c r="H107" s="15">
        <f>'클럭 정리'!O43</f>
        <v/>
      </c>
    </row>
    <row r="108">
      <c r="A108" s="13" t="inlineStr">
        <is>
          <t>병렬도 6 분할 8</t>
        </is>
      </c>
      <c r="B108" s="13" t="n">
        <v>1</v>
      </c>
      <c r="C108" s="13" t="inlineStr">
        <is>
          <t>ForkJoinPool-3</t>
        </is>
      </c>
      <c r="D108" s="10" t="n">
        <v>46238.49787074074</v>
      </c>
      <c r="E108" s="10" t="n">
        <v>46238.49789278046</v>
      </c>
      <c r="F108" s="16">
        <f>'클럭 정리'!A44</f>
        <v/>
      </c>
      <c r="G108" s="17">
        <f>'클럭 정리'!N44</f>
        <v/>
      </c>
      <c r="H108" s="15">
        <f>'클럭 정리'!O44</f>
        <v/>
      </c>
    </row>
    <row r="109">
      <c r="A109" s="13" t="inlineStr">
        <is>
          <t>병렬도 6 분할 8</t>
        </is>
      </c>
      <c r="B109" s="13" t="n">
        <v>1</v>
      </c>
      <c r="C109" s="13" t="inlineStr">
        <is>
          <t>main</t>
        </is>
      </c>
      <c r="D109" s="10" t="n">
        <v>46238.49787072917</v>
      </c>
      <c r="E109" s="10" t="n">
        <v>46238.49789277234</v>
      </c>
      <c r="F109" s="16">
        <f>'클럭 정리'!A43</f>
        <v/>
      </c>
      <c r="G109" s="17">
        <f>'클럭 정리'!N43</f>
        <v/>
      </c>
      <c r="H109" s="15">
        <f>'클럭 정리'!O43</f>
        <v/>
      </c>
    </row>
    <row r="110">
      <c r="A110" s="13" t="inlineStr">
        <is>
          <t>병렬도 6 분할 8</t>
        </is>
      </c>
      <c r="B110" s="13" t="n">
        <v>1</v>
      </c>
      <c r="C110" s="13" t="inlineStr">
        <is>
          <t>main</t>
        </is>
      </c>
      <c r="D110" s="10" t="n">
        <v>46238.49787072917</v>
      </c>
      <c r="E110" s="10" t="n">
        <v>46238.49789277234</v>
      </c>
      <c r="F110" s="16">
        <f>'클럭 정리'!A44</f>
        <v/>
      </c>
      <c r="G110" s="17">
        <f>'클럭 정리'!N44</f>
        <v/>
      </c>
      <c r="H110" s="15">
        <f>'클럭 정리'!O44</f>
        <v/>
      </c>
    </row>
    <row r="111">
      <c r="A111" s="13" t="inlineStr">
        <is>
          <t>병렬도 6 분할 8</t>
        </is>
      </c>
      <c r="B111" s="13" t="n">
        <v>2</v>
      </c>
      <c r="C111" s="13" t="inlineStr">
        <is>
          <t>ForkJoinPool-4</t>
        </is>
      </c>
      <c r="D111" s="10" t="n">
        <v>46238.49789278935</v>
      </c>
      <c r="E111" s="10" t="n">
        <v>46238.49790936428</v>
      </c>
      <c r="F111" s="16">
        <f>'클럭 정리'!A45</f>
        <v/>
      </c>
      <c r="G111" s="17">
        <f>'클럭 정리'!N45</f>
        <v/>
      </c>
      <c r="H111" s="15">
        <f>'클럭 정리'!O45</f>
        <v/>
      </c>
    </row>
    <row r="112">
      <c r="A112" s="13" t="inlineStr">
        <is>
          <t>병렬도 6 분할 8</t>
        </is>
      </c>
      <c r="B112" s="13" t="n">
        <v>2</v>
      </c>
      <c r="C112" s="13" t="inlineStr">
        <is>
          <t>ForkJoinPool-4</t>
        </is>
      </c>
      <c r="D112" s="10" t="n">
        <v>46238.49789278935</v>
      </c>
      <c r="E112" s="10" t="n">
        <v>46238.49790936428</v>
      </c>
      <c r="F112" s="16">
        <f>'클럭 정리'!A46</f>
        <v/>
      </c>
      <c r="G112" s="17">
        <f>'클럭 정리'!N46</f>
        <v/>
      </c>
      <c r="H112" s="15">
        <f>'클럭 정리'!O46</f>
        <v/>
      </c>
    </row>
    <row r="113">
      <c r="A113" s="13" t="inlineStr">
        <is>
          <t>병렬도 6 분할 8</t>
        </is>
      </c>
      <c r="B113" s="13" t="n">
        <v>2</v>
      </c>
      <c r="C113" s="13" t="inlineStr">
        <is>
          <t>main</t>
        </is>
      </c>
      <c r="D113" s="10" t="n">
        <v>46238.49789278935</v>
      </c>
      <c r="E113" s="10" t="n">
        <v>46238.49790935627</v>
      </c>
      <c r="F113" s="16">
        <f>'클럭 정리'!A45</f>
        <v/>
      </c>
      <c r="G113" s="17">
        <f>'클럭 정리'!N45</f>
        <v/>
      </c>
      <c r="H113" s="15">
        <f>'클럭 정리'!O45</f>
        <v/>
      </c>
    </row>
    <row r="114">
      <c r="A114" s="13" t="inlineStr">
        <is>
          <t>병렬도 6 분할 8</t>
        </is>
      </c>
      <c r="B114" s="13" t="n">
        <v>2</v>
      </c>
      <c r="C114" s="13" t="inlineStr">
        <is>
          <t>main</t>
        </is>
      </c>
      <c r="D114" s="10" t="n">
        <v>46238.49789278935</v>
      </c>
      <c r="E114" s="10" t="n">
        <v>46238.49790935627</v>
      </c>
      <c r="F114" s="16">
        <f>'클럭 정리'!A46</f>
        <v/>
      </c>
      <c r="G114" s="17">
        <f>'클럭 정리'!N46</f>
        <v/>
      </c>
      <c r="H114" s="15">
        <f>'클럭 정리'!O46</f>
        <v/>
      </c>
    </row>
    <row r="115">
      <c r="A115" s="13" t="inlineStr">
        <is>
          <t>병렬도 6 분할 8</t>
        </is>
      </c>
      <c r="B115" s="13" t="n">
        <v>3</v>
      </c>
      <c r="C115" s="13" t="inlineStr">
        <is>
          <t>ForkJoinPool-5</t>
        </is>
      </c>
      <c r="D115" s="10" t="n">
        <v>46238.497909375</v>
      </c>
      <c r="E115" s="10" t="n">
        <v>46238.49792595816</v>
      </c>
      <c r="F115" s="16">
        <f>'클럭 정리'!A47</f>
        <v/>
      </c>
      <c r="G115" s="17">
        <f>'클럭 정리'!N47</f>
        <v/>
      </c>
      <c r="H115" s="15">
        <f>'클럭 정리'!O47</f>
        <v/>
      </c>
    </row>
    <row r="116">
      <c r="A116" s="13" t="inlineStr">
        <is>
          <t>병렬도 6 분할 8</t>
        </is>
      </c>
      <c r="B116" s="13" t="n">
        <v>3</v>
      </c>
      <c r="C116" s="13" t="inlineStr">
        <is>
          <t>main</t>
        </is>
      </c>
      <c r="D116" s="10" t="n">
        <v>46238.497909375</v>
      </c>
      <c r="E116" s="10" t="n">
        <v>46238.49792595993</v>
      </c>
      <c r="F116" s="16">
        <f>'클럭 정리'!A47</f>
        <v/>
      </c>
      <c r="G116" s="17">
        <f>'클럭 정리'!N47</f>
        <v/>
      </c>
      <c r="H116" s="15">
        <f>'클럭 정리'!O47</f>
        <v/>
      </c>
    </row>
    <row r="117">
      <c r="A117" s="13" t="inlineStr">
        <is>
          <t>병렬도 6 분할 8</t>
        </is>
      </c>
      <c r="B117" s="13" t="n">
        <v>4</v>
      </c>
      <c r="C117" s="13" t="inlineStr">
        <is>
          <t>ForkJoinPool-6</t>
        </is>
      </c>
      <c r="D117" s="10" t="n">
        <v>46238.49792597222</v>
      </c>
      <c r="E117" s="10" t="n">
        <v>46238.49794276313</v>
      </c>
      <c r="F117" s="16">
        <f>'클럭 정리'!A48</f>
        <v/>
      </c>
      <c r="G117" s="17">
        <f>'클럭 정리'!N48</f>
        <v/>
      </c>
      <c r="H117" s="15">
        <f>'클럭 정리'!O48</f>
        <v/>
      </c>
    </row>
    <row r="118">
      <c r="A118" s="13" t="inlineStr">
        <is>
          <t>병렬도 6 분할 8</t>
        </is>
      </c>
      <c r="B118" s="13" t="n">
        <v>4</v>
      </c>
      <c r="C118" s="13" t="inlineStr">
        <is>
          <t>main</t>
        </is>
      </c>
      <c r="D118" s="10" t="n">
        <v>46238.49792597222</v>
      </c>
      <c r="E118" s="10" t="n">
        <v>46238.49794275939</v>
      </c>
      <c r="F118" s="16">
        <f>'클럭 정리'!A48</f>
        <v/>
      </c>
      <c r="G118" s="17">
        <f>'클럭 정리'!N48</f>
        <v/>
      </c>
      <c r="H118" s="15">
        <f>'클럭 정리'!O48</f>
        <v/>
      </c>
    </row>
    <row r="119">
      <c r="A119" s="13" t="inlineStr">
        <is>
          <t>병렬도 6 분할 8</t>
        </is>
      </c>
      <c r="B119" s="13" t="n">
        <v>5</v>
      </c>
      <c r="C119" s="13" t="inlineStr">
        <is>
          <t>ForkJoinPool-7</t>
        </is>
      </c>
      <c r="D119" s="10" t="n">
        <v>46238.49794277778</v>
      </c>
      <c r="E119" s="10" t="n">
        <v>46238.49795938008</v>
      </c>
      <c r="F119" s="16">
        <f>'클럭 정리'!A49</f>
        <v/>
      </c>
      <c r="G119" s="17">
        <f>'클럭 정리'!N49</f>
        <v/>
      </c>
      <c r="H119" s="15">
        <f>'클럭 정리'!O49</f>
        <v/>
      </c>
    </row>
    <row r="120">
      <c r="A120" s="13" t="inlineStr">
        <is>
          <t>병렬도 6 분할 8</t>
        </is>
      </c>
      <c r="B120" s="13" t="n">
        <v>5</v>
      </c>
      <c r="C120" s="13" t="inlineStr">
        <is>
          <t>ForkJoinPool-7</t>
        </is>
      </c>
      <c r="D120" s="10" t="n">
        <v>46238.49794277778</v>
      </c>
      <c r="E120" s="10" t="n">
        <v>46238.49795938008</v>
      </c>
      <c r="F120" s="16">
        <f>'클럭 정리'!A50</f>
        <v/>
      </c>
      <c r="G120" s="17">
        <f>'클럭 정리'!N50</f>
        <v/>
      </c>
      <c r="H120" s="15">
        <f>'클럭 정리'!O50</f>
        <v/>
      </c>
    </row>
    <row r="121">
      <c r="A121" s="13" t="inlineStr">
        <is>
          <t>병렬도 6 분할 8</t>
        </is>
      </c>
      <c r="B121" s="13" t="n">
        <v>5</v>
      </c>
      <c r="C121" s="13" t="inlineStr">
        <is>
          <t>main</t>
        </is>
      </c>
      <c r="D121" s="10" t="n">
        <v>46238.49794277778</v>
      </c>
      <c r="E121" s="10" t="n">
        <v>46238.49795938614</v>
      </c>
      <c r="F121" s="16">
        <f>'클럭 정리'!A49</f>
        <v/>
      </c>
      <c r="G121" s="17">
        <f>'클럭 정리'!N49</f>
        <v/>
      </c>
      <c r="H121" s="15">
        <f>'클럭 정리'!O49</f>
        <v/>
      </c>
    </row>
    <row r="122">
      <c r="A122" s="13" t="inlineStr">
        <is>
          <t>병렬도 6 분할 8</t>
        </is>
      </c>
      <c r="B122" s="13" t="n">
        <v>5</v>
      </c>
      <c r="C122" s="13" t="inlineStr">
        <is>
          <t>main</t>
        </is>
      </c>
      <c r="D122" s="10" t="n">
        <v>46238.49794277778</v>
      </c>
      <c r="E122" s="10" t="n">
        <v>46238.49795938614</v>
      </c>
      <c r="F122" s="16">
        <f>'클럭 정리'!A50</f>
        <v/>
      </c>
      <c r="G122" s="17">
        <f>'클럭 정리'!N50</f>
        <v/>
      </c>
      <c r="H122" s="15">
        <f>'클럭 정리'!O50</f>
        <v/>
      </c>
    </row>
    <row r="123">
      <c r="A123" s="13" t="inlineStr">
        <is>
          <t>병렬도 12 분할 8</t>
        </is>
      </c>
      <c r="B123" s="13" t="n">
        <v>1</v>
      </c>
      <c r="C123" s="13" t="inlineStr">
        <is>
          <t>ForkJoinPool-11</t>
        </is>
      </c>
      <c r="D123" s="10" t="n">
        <v>46238.49800377315</v>
      </c>
      <c r="E123" s="10" t="n">
        <v>46238.49801748835</v>
      </c>
      <c r="F123" s="16">
        <f>'클럭 정리'!A55</f>
        <v/>
      </c>
      <c r="G123" s="17">
        <f>'클럭 정리'!N55</f>
        <v/>
      </c>
      <c r="H123" s="15">
        <f>'클럭 정리'!O55</f>
        <v/>
      </c>
    </row>
    <row r="124">
      <c r="A124" s="13" t="inlineStr">
        <is>
          <t>병렬도 12 분할 8</t>
        </is>
      </c>
      <c r="B124" s="13" t="n">
        <v>1</v>
      </c>
      <c r="C124" s="13" t="inlineStr">
        <is>
          <t>main</t>
        </is>
      </c>
      <c r="D124" s="10" t="n">
        <v>46238.49800376158</v>
      </c>
      <c r="E124" s="10" t="n">
        <v>46238.49801749028</v>
      </c>
      <c r="F124" s="16">
        <f>'클럭 정리'!A55</f>
        <v/>
      </c>
      <c r="G124" s="17">
        <f>'클럭 정리'!N55</f>
        <v/>
      </c>
      <c r="H124" s="15">
        <f>'클럭 정리'!O55</f>
        <v/>
      </c>
    </row>
    <row r="125">
      <c r="A125" s="13" t="inlineStr">
        <is>
          <t>병렬도 12 분할 8</t>
        </is>
      </c>
      <c r="B125" s="13" t="n">
        <v>2</v>
      </c>
      <c r="C125" s="13" t="inlineStr">
        <is>
          <t>ForkJoinPool-12</t>
        </is>
      </c>
      <c r="D125" s="10" t="n">
        <v>46238.4980175</v>
      </c>
      <c r="E125" s="10" t="n">
        <v>46238.49803131499</v>
      </c>
      <c r="F125" s="16">
        <f>'클럭 정리'!A56</f>
        <v/>
      </c>
      <c r="G125" s="17">
        <f>'클럭 정리'!N56</f>
        <v/>
      </c>
      <c r="H125" s="15">
        <f>'클럭 정리'!O56</f>
        <v/>
      </c>
    </row>
    <row r="126">
      <c r="A126" s="13" t="inlineStr">
        <is>
          <t>병렬도 12 분할 8</t>
        </is>
      </c>
      <c r="B126" s="13" t="n">
        <v>2</v>
      </c>
      <c r="C126" s="13" t="inlineStr">
        <is>
          <t>main</t>
        </is>
      </c>
      <c r="D126" s="10" t="n">
        <v>46238.4980175</v>
      </c>
      <c r="E126" s="10" t="n">
        <v>46238.4980313173</v>
      </c>
      <c r="F126" s="16">
        <f>'클럭 정리'!A56</f>
        <v/>
      </c>
      <c r="G126" s="17">
        <f>'클럭 정리'!N56</f>
        <v/>
      </c>
      <c r="H126" s="15">
        <f>'클럭 정리'!O56</f>
        <v/>
      </c>
    </row>
    <row r="127">
      <c r="A127" s="13" t="inlineStr">
        <is>
          <t>병렬도 12 분할 8</t>
        </is>
      </c>
      <c r="B127" s="13" t="n">
        <v>3</v>
      </c>
      <c r="C127" s="13" t="inlineStr">
        <is>
          <t>ForkJoinPool-13</t>
        </is>
      </c>
      <c r="D127" s="10" t="n">
        <v>46238.49803133102</v>
      </c>
      <c r="E127" s="10" t="n">
        <v>46238.49804503905</v>
      </c>
      <c r="F127" s="16">
        <f>'클럭 정리'!A57</f>
        <v/>
      </c>
      <c r="G127" s="17">
        <f>'클럭 정리'!N57</f>
        <v/>
      </c>
      <c r="H127" s="15">
        <f>'클럭 정리'!O57</f>
        <v/>
      </c>
    </row>
    <row r="128">
      <c r="A128" s="13" t="inlineStr">
        <is>
          <t>병렬도 12 분할 8</t>
        </is>
      </c>
      <c r="B128" s="13" t="n">
        <v>3</v>
      </c>
      <c r="C128" s="13" t="inlineStr">
        <is>
          <t>main</t>
        </is>
      </c>
      <c r="D128" s="10" t="n">
        <v>46238.49803133102</v>
      </c>
      <c r="E128" s="10" t="n">
        <v>46238.49804502982</v>
      </c>
      <c r="F128" s="16">
        <f>'클럭 정리'!A57</f>
        <v/>
      </c>
      <c r="G128" s="17">
        <f>'클럭 정리'!N57</f>
        <v/>
      </c>
      <c r="H128" s="15">
        <f>'클럭 정리'!O57</f>
        <v/>
      </c>
    </row>
    <row r="129">
      <c r="A129" s="13" t="inlineStr">
        <is>
          <t>병렬도 12 분할 8</t>
        </is>
      </c>
      <c r="B129" s="13" t="n">
        <v>4</v>
      </c>
      <c r="C129" s="13" t="inlineStr">
        <is>
          <t>ForkJoinPool-14</t>
        </is>
      </c>
      <c r="D129" s="10" t="n">
        <v>46238.49804505787</v>
      </c>
      <c r="E129" s="10" t="n">
        <v>46238.49805882168</v>
      </c>
      <c r="F129" s="16">
        <f>'클럭 정리'!A58</f>
        <v/>
      </c>
      <c r="G129" s="17">
        <f>'클럭 정리'!N58</f>
        <v/>
      </c>
      <c r="H129" s="15">
        <f>'클럭 정리'!O58</f>
        <v/>
      </c>
    </row>
    <row r="130">
      <c r="A130" s="13" t="inlineStr">
        <is>
          <t>병렬도 12 분할 8</t>
        </is>
      </c>
      <c r="B130" s="13" t="n">
        <v>4</v>
      </c>
      <c r="C130" s="13" t="inlineStr">
        <is>
          <t>main</t>
        </is>
      </c>
      <c r="D130" s="10" t="n">
        <v>46238.4980450463</v>
      </c>
      <c r="E130" s="10" t="n">
        <v>46238.49805882292</v>
      </c>
      <c r="F130" s="16">
        <f>'클럭 정리'!A58</f>
        <v/>
      </c>
      <c r="G130" s="17">
        <f>'클럭 정리'!N58</f>
        <v/>
      </c>
      <c r="H130" s="15">
        <f>'클럭 정리'!O58</f>
        <v/>
      </c>
    </row>
    <row r="131">
      <c r="A131" s="13" t="inlineStr">
        <is>
          <t>병렬도 12 분할 8</t>
        </is>
      </c>
      <c r="B131" s="13" t="n">
        <v>5</v>
      </c>
      <c r="C131" s="13" t="inlineStr">
        <is>
          <t>ForkJoinPool-15</t>
        </is>
      </c>
      <c r="D131" s="10" t="n">
        <v>46238.49805885417</v>
      </c>
      <c r="E131" s="10" t="n">
        <v>46238.49807265255</v>
      </c>
      <c r="F131" s="16">
        <f>'클럭 정리'!A59</f>
        <v/>
      </c>
      <c r="G131" s="17">
        <f>'클럭 정리'!N59</f>
        <v/>
      </c>
      <c r="H131" s="15">
        <f>'클럭 정리'!O59</f>
        <v/>
      </c>
    </row>
    <row r="132">
      <c r="A132" s="13" t="inlineStr">
        <is>
          <t>병렬도 12 분할 8</t>
        </is>
      </c>
      <c r="B132" s="13" t="n">
        <v>5</v>
      </c>
      <c r="C132" s="13" t="inlineStr">
        <is>
          <t>main</t>
        </is>
      </c>
      <c r="D132" s="10" t="n">
        <v>46238.49805884259</v>
      </c>
      <c r="E132" s="10" t="n">
        <v>46238.49807264211</v>
      </c>
      <c r="F132" s="16">
        <f>'클럭 정리'!A59</f>
        <v/>
      </c>
      <c r="G132" s="17">
        <f>'클럭 정리'!N59</f>
        <v/>
      </c>
      <c r="H132" s="15">
        <f>'클럭 정리'!O59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3325.8377</v>
      </c>
      <c r="F5" s="14" t="n">
        <v>3296.875</v>
      </c>
      <c r="G5" s="11">
        <f>F5/E5</f>
        <v/>
      </c>
      <c r="H5" s="14" t="n">
        <v>3281.25</v>
      </c>
      <c r="I5" s="14" t="n">
        <v>0</v>
      </c>
      <c r="J5" s="14" t="n">
        <v>0</v>
      </c>
      <c r="K5" s="14" t="n">
        <v>0</v>
      </c>
      <c r="L5" s="13" t="n">
        <v>14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3471.452</v>
      </c>
      <c r="F6" s="14" t="n">
        <v>3546.875</v>
      </c>
      <c r="G6" s="11">
        <f>F6/E6</f>
        <v/>
      </c>
      <c r="H6" s="14" t="n">
        <v>3437.5</v>
      </c>
      <c r="I6" s="14" t="n">
        <v>0</v>
      </c>
      <c r="J6" s="14" t="n">
        <v>0</v>
      </c>
      <c r="K6" s="14" t="n">
        <v>109.375</v>
      </c>
      <c r="L6" s="13" t="n">
        <v>12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3442.2627</v>
      </c>
      <c r="F7" s="14" t="n">
        <v>3484.375</v>
      </c>
      <c r="G7" s="11">
        <f>F7/E7</f>
        <v/>
      </c>
      <c r="H7" s="14" t="n">
        <v>3421.875</v>
      </c>
      <c r="I7" s="14" t="n">
        <v>0</v>
      </c>
      <c r="J7" s="14" t="n">
        <v>0</v>
      </c>
      <c r="K7" s="14" t="n">
        <v>62.5</v>
      </c>
      <c r="L7" s="13" t="n">
        <v>14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3506.9497</v>
      </c>
      <c r="F8" s="14" t="n">
        <v>3531.25</v>
      </c>
      <c r="G8" s="11">
        <f>F8/E8</f>
        <v/>
      </c>
      <c r="H8" s="14" t="n">
        <v>3484.375</v>
      </c>
      <c r="I8" s="14" t="n">
        <v>0</v>
      </c>
      <c r="J8" s="14" t="n">
        <v>0</v>
      </c>
      <c r="K8" s="14" t="n">
        <v>46.875</v>
      </c>
      <c r="L8" s="13" t="n">
        <v>12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3783.4001</v>
      </c>
      <c r="F9" s="14" t="n">
        <v>3859.375</v>
      </c>
      <c r="G9" s="11">
        <f>F9/E9</f>
        <v/>
      </c>
      <c r="H9" s="14" t="n">
        <v>3718.75</v>
      </c>
      <c r="I9" s="14" t="n">
        <v>0</v>
      </c>
      <c r="J9" s="14" t="n">
        <v>0</v>
      </c>
      <c r="K9" s="14" t="n">
        <v>140.625</v>
      </c>
      <c r="L9" s="13" t="n">
        <v>13</v>
      </c>
      <c r="M9" s="13" t="n"/>
    </row>
    <row r="10">
      <c r="A10" s="13" t="inlineStr">
        <is>
          <t>병렬</t>
        </is>
      </c>
      <c r="B10" s="13" t="n">
        <v>6</v>
      </c>
      <c r="C10" s="13" t="n">
        <v>8</v>
      </c>
      <c r="D10" s="13" t="n">
        <v>1</v>
      </c>
      <c r="E10" s="14" t="n">
        <v>1904.8913</v>
      </c>
      <c r="F10" s="14" t="n">
        <v>7062.5</v>
      </c>
      <c r="G10" s="11">
        <f>F10/E10</f>
        <v/>
      </c>
      <c r="H10" s="14" t="n">
        <v>15.625</v>
      </c>
      <c r="I10" s="14" t="n">
        <v>6421.875</v>
      </c>
      <c r="J10" s="14" t="n">
        <v>0</v>
      </c>
      <c r="K10" s="14" t="n">
        <v>625</v>
      </c>
      <c r="L10" s="13" t="n">
        <v>25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8</v>
      </c>
      <c r="D11" s="13" t="n">
        <v>2</v>
      </c>
      <c r="E11" s="14" t="n">
        <v>1431.3096</v>
      </c>
      <c r="F11" s="14" t="n">
        <v>6687.5</v>
      </c>
      <c r="G11" s="11">
        <f>F11/E11</f>
        <v/>
      </c>
      <c r="H11" s="14" t="n">
        <v>0</v>
      </c>
      <c r="I11" s="14" t="n">
        <v>6609.375</v>
      </c>
      <c r="J11" s="14" t="n">
        <v>0</v>
      </c>
      <c r="K11" s="14" t="n">
        <v>78.125</v>
      </c>
      <c r="L11" s="13" t="n">
        <v>14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8</v>
      </c>
      <c r="D12" s="13" t="n">
        <v>3</v>
      </c>
      <c r="E12" s="14" t="n">
        <v>1433.4486</v>
      </c>
      <c r="F12" s="14" t="n">
        <v>6687.5</v>
      </c>
      <c r="G12" s="11">
        <f>F12/E12</f>
        <v/>
      </c>
      <c r="H12" s="14" t="n">
        <v>15.625</v>
      </c>
      <c r="I12" s="14" t="n">
        <v>6359.375</v>
      </c>
      <c r="J12" s="14" t="n">
        <v>0</v>
      </c>
      <c r="K12" s="14" t="n">
        <v>312.5</v>
      </c>
      <c r="L12" s="13" t="n">
        <v>13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8</v>
      </c>
      <c r="D13" s="13" t="n">
        <v>4</v>
      </c>
      <c r="E13" s="14" t="n">
        <v>1451.2429</v>
      </c>
      <c r="F13" s="14" t="n">
        <v>6312.5</v>
      </c>
      <c r="G13" s="11">
        <f>F13/E13</f>
        <v/>
      </c>
      <c r="H13" s="14" t="n">
        <v>15.625</v>
      </c>
      <c r="I13" s="14" t="n">
        <v>6281.25</v>
      </c>
      <c r="J13" s="14" t="n">
        <v>0</v>
      </c>
      <c r="K13" s="14" t="n">
        <v>15.625</v>
      </c>
      <c r="L13" s="13" t="n">
        <v>13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8</v>
      </c>
      <c r="D14" s="13" t="n">
        <v>5</v>
      </c>
      <c r="E14" s="14" t="n">
        <v>1434.8732</v>
      </c>
      <c r="F14" s="14" t="n">
        <v>6109.375</v>
      </c>
      <c r="G14" s="11">
        <f>F14/E14</f>
        <v/>
      </c>
      <c r="H14" s="14" t="n">
        <v>0</v>
      </c>
      <c r="I14" s="14" t="n">
        <v>5984.375</v>
      </c>
      <c r="J14" s="14" t="n">
        <v>0</v>
      </c>
      <c r="K14" s="14" t="n">
        <v>125</v>
      </c>
      <c r="L14" s="13" t="n">
        <v>13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8</v>
      </c>
      <c r="D15" s="13" t="n">
        <v>1</v>
      </c>
      <c r="E15" s="14" t="n">
        <v>1185.5408</v>
      </c>
      <c r="F15" s="14" t="n">
        <v>8750</v>
      </c>
      <c r="G15" s="11">
        <f>F15/E15</f>
        <v/>
      </c>
      <c r="H15" s="14" t="n">
        <v>0</v>
      </c>
      <c r="I15" s="14" t="n">
        <v>8562.5</v>
      </c>
      <c r="J15" s="14" t="n">
        <v>0</v>
      </c>
      <c r="K15" s="14" t="n">
        <v>187.5</v>
      </c>
      <c r="L15" s="13" t="n">
        <v>11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8</v>
      </c>
      <c r="D16" s="13" t="n">
        <v>2</v>
      </c>
      <c r="E16" s="14" t="n">
        <v>1193.5059</v>
      </c>
      <c r="F16" s="14" t="n">
        <v>8593.75</v>
      </c>
      <c r="G16" s="11">
        <f>F16/E16</f>
        <v/>
      </c>
      <c r="H16" s="14" t="n">
        <v>0</v>
      </c>
      <c r="I16" s="14" t="n">
        <v>8562.5</v>
      </c>
      <c r="J16" s="14" t="n">
        <v>0</v>
      </c>
      <c r="K16" s="14" t="n">
        <v>31.25</v>
      </c>
      <c r="L16" s="13" t="n">
        <v>12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8</v>
      </c>
      <c r="D17" s="13" t="n">
        <v>3</v>
      </c>
      <c r="E17" s="14" t="n">
        <v>1184.1879</v>
      </c>
      <c r="F17" s="14" t="n">
        <v>8828.125</v>
      </c>
      <c r="G17" s="11">
        <f>F17/E17</f>
        <v/>
      </c>
      <c r="H17" s="14" t="n">
        <v>0</v>
      </c>
      <c r="I17" s="14" t="n">
        <v>8828.125</v>
      </c>
      <c r="J17" s="14" t="n">
        <v>0</v>
      </c>
      <c r="K17" s="14" t="n">
        <v>0</v>
      </c>
      <c r="L17" s="13" t="n">
        <v>11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8</v>
      </c>
      <c r="D18" s="13" t="n">
        <v>4</v>
      </c>
      <c r="E18" s="14" t="n">
        <v>1190.9848</v>
      </c>
      <c r="F18" s="14" t="n">
        <v>8593.75</v>
      </c>
      <c r="G18" s="11">
        <f>F18/E18</f>
        <v/>
      </c>
      <c r="H18" s="14" t="n">
        <v>0</v>
      </c>
      <c r="I18" s="14" t="n">
        <v>8578.125</v>
      </c>
      <c r="J18" s="14" t="n">
        <v>0</v>
      </c>
      <c r="K18" s="14" t="n">
        <v>15.625</v>
      </c>
      <c r="L18" s="13" t="n">
        <v>12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8</v>
      </c>
      <c r="D19" s="13" t="n">
        <v>5</v>
      </c>
      <c r="E19" s="14" t="n">
        <v>1193.254</v>
      </c>
      <c r="F19" s="14" t="n">
        <v>8546.875</v>
      </c>
      <c r="G19" s="11">
        <f>F19/E19</f>
        <v/>
      </c>
      <c r="H19" s="14" t="n">
        <v>0</v>
      </c>
      <c r="I19" s="14" t="n">
        <v>8484.375</v>
      </c>
      <c r="J19" s="14" t="n">
        <v>0</v>
      </c>
      <c r="K19" s="14" t="n">
        <v>62.5</v>
      </c>
      <c r="L19" s="13" t="n">
        <v>13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8</t>
        </is>
      </c>
      <c r="D3" s="19" t="inlineStr">
        <is>
          <t>병렬도 12 분할 8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7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8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ForkJoinPool-11-worker-12</t>
        </is>
      </c>
      <c r="BA4" s="21" t="inlineStr">
        <is>
          <t>ForkJoinPool-11-worker-2</t>
        </is>
      </c>
      <c r="BB4" s="21" t="inlineStr">
        <is>
          <t>ForkJoinPool-11-worker-3</t>
        </is>
      </c>
      <c r="BC4" s="21" t="inlineStr">
        <is>
          <t>ForkJoinPool-11-worker-4</t>
        </is>
      </c>
      <c r="BD4" s="21" t="inlineStr">
        <is>
          <t>ForkJoinPool-11-worker-5</t>
        </is>
      </c>
      <c r="BE4" s="21" t="inlineStr">
        <is>
          <t>ForkJoinPool-11-worker-6</t>
        </is>
      </c>
      <c r="BF4" s="21" t="inlineStr">
        <is>
          <t>ForkJoinPool-11-worker-7</t>
        </is>
      </c>
      <c r="BG4" s="21" t="inlineStr">
        <is>
          <t>ForkJoinPool-11-worker-8</t>
        </is>
      </c>
      <c r="BH4" s="21" t="inlineStr">
        <is>
          <t>ForkJoinPool-11-worker-9</t>
        </is>
      </c>
      <c r="BI4" s="21" t="inlineStr">
        <is>
          <t>ForkJoinPool-12-worker-1</t>
        </is>
      </c>
      <c r="BJ4" s="21" t="inlineStr">
        <is>
          <t>ForkJoinPool-12-worker-10</t>
        </is>
      </c>
      <c r="BK4" s="21" t="inlineStr">
        <is>
          <t>ForkJoinPool-12-worker-11</t>
        </is>
      </c>
      <c r="BL4" s="21" t="inlineStr">
        <is>
          <t>ForkJoinPool-12-worker-12</t>
        </is>
      </c>
      <c r="BM4" s="21" t="inlineStr">
        <is>
          <t>ForkJoinPool-12-worker-2</t>
        </is>
      </c>
      <c r="BN4" s="21" t="inlineStr">
        <is>
          <t>ForkJoinPool-12-worker-3</t>
        </is>
      </c>
      <c r="BO4" s="21" t="inlineStr">
        <is>
          <t>ForkJoinPool-12-worker-4</t>
        </is>
      </c>
      <c r="BP4" s="21" t="inlineStr">
        <is>
          <t>ForkJoinPool-12-worker-5</t>
        </is>
      </c>
      <c r="BQ4" s="21" t="inlineStr">
        <is>
          <t>ForkJoinPool-12-worker-6</t>
        </is>
      </c>
      <c r="BR4" s="21" t="inlineStr">
        <is>
          <t>ForkJoinPool-12-worker-7</t>
        </is>
      </c>
      <c r="BS4" s="21" t="inlineStr">
        <is>
          <t>ForkJoinPool-12-worker-8</t>
        </is>
      </c>
      <c r="BT4" s="21" t="inlineStr">
        <is>
          <t>ForkJoinPool-12-worker-9</t>
        </is>
      </c>
      <c r="BU4" s="21" t="inlineStr">
        <is>
          <t>ForkJoinPool-13-worker-1</t>
        </is>
      </c>
      <c r="BV4" s="21" t="inlineStr">
        <is>
          <t>ForkJoinPool-13-worker-11</t>
        </is>
      </c>
      <c r="BW4" s="21" t="inlineStr">
        <is>
          <t>ForkJoinPool-13-worker-12</t>
        </is>
      </c>
      <c r="BX4" s="21" t="inlineStr">
        <is>
          <t>ForkJoinPool-13-worker-2</t>
        </is>
      </c>
      <c r="BY4" s="21" t="inlineStr">
        <is>
          <t>ForkJoinPool-13-worker-3</t>
        </is>
      </c>
      <c r="BZ4" s="21" t="inlineStr">
        <is>
          <t>ForkJoinPool-13-worker-4</t>
        </is>
      </c>
      <c r="CA4" s="21" t="inlineStr">
        <is>
          <t>ForkJoinPool-13-worker-5</t>
        </is>
      </c>
      <c r="CB4" s="21" t="inlineStr">
        <is>
          <t>ForkJoinPool-13-worker-6</t>
        </is>
      </c>
      <c r="CC4" s="21" t="inlineStr">
        <is>
          <t>ForkJoinPool-13-worker-7</t>
        </is>
      </c>
      <c r="CD4" s="21" t="inlineStr">
        <is>
          <t>ForkJoinPool-13-worker-8</t>
        </is>
      </c>
      <c r="CE4" s="21" t="inlineStr">
        <is>
          <t>ForkJoinPool-14-worker-1</t>
        </is>
      </c>
      <c r="CF4" s="21" t="inlineStr">
        <is>
          <t>ForkJoinPool-14-worker-10</t>
        </is>
      </c>
      <c r="CG4" s="21" t="inlineStr">
        <is>
          <t>ForkJoinPool-14-worker-11</t>
        </is>
      </c>
      <c r="CH4" s="21" t="inlineStr">
        <is>
          <t>ForkJoinPool-14-worker-12</t>
        </is>
      </c>
      <c r="CI4" s="21" t="inlineStr">
        <is>
          <t>ForkJoinPool-14-worker-2</t>
        </is>
      </c>
      <c r="CJ4" s="21" t="inlineStr">
        <is>
          <t>ForkJoinPool-14-worker-3</t>
        </is>
      </c>
      <c r="CK4" s="21" t="inlineStr">
        <is>
          <t>ForkJoinPool-14-worker-4</t>
        </is>
      </c>
      <c r="CL4" s="21" t="inlineStr">
        <is>
          <t>ForkJoinPool-14-worker-5</t>
        </is>
      </c>
      <c r="CM4" s="21" t="inlineStr">
        <is>
          <t>ForkJoinPool-14-worker-6</t>
        </is>
      </c>
      <c r="CN4" s="21" t="inlineStr">
        <is>
          <t>ForkJoinPool-14-worker-7</t>
        </is>
      </c>
      <c r="CO4" s="21" t="inlineStr">
        <is>
          <t>ForkJoinPool-14-worker-8</t>
        </is>
      </c>
      <c r="CP4" s="21" t="inlineStr">
        <is>
          <t>ForkJoinPool-15-worker-1</t>
        </is>
      </c>
      <c r="CQ4" s="21" t="inlineStr">
        <is>
          <t>ForkJoinPool-15-worker-10</t>
        </is>
      </c>
      <c r="CR4" s="21" t="inlineStr">
        <is>
          <t>ForkJoinPool-15-worker-12</t>
        </is>
      </c>
      <c r="CS4" s="21" t="inlineStr">
        <is>
          <t>ForkJoinPool-15-worker-2</t>
        </is>
      </c>
      <c r="CT4" s="21" t="inlineStr">
        <is>
          <t>ForkJoinPool-15-worker-3</t>
        </is>
      </c>
      <c r="CU4" s="21" t="inlineStr">
        <is>
          <t>ForkJoinPool-15-worker-4</t>
        </is>
      </c>
      <c r="CV4" s="21" t="inlineStr">
        <is>
          <t>ForkJoinPool-15-worker-5</t>
        </is>
      </c>
      <c r="CW4" s="21" t="inlineStr">
        <is>
          <t>ForkJoinPool-15-worker-6</t>
        </is>
      </c>
      <c r="CX4" s="21" t="inlineStr">
        <is>
          <t>ForkJoinPool-15-worker-7</t>
        </is>
      </c>
      <c r="CY4" s="21" t="inlineStr">
        <is>
          <t>ForkJoinPool-15-worker-8</t>
        </is>
      </c>
      <c r="CZ4" s="21" t="inlineStr">
        <is>
          <t>ForkJoinPool-15-worker-9</t>
        </is>
      </c>
    </row>
    <row r="5">
      <c r="A5" s="22">
        <f>'클럭 정리'!A43</f>
        <v/>
      </c>
      <c r="B5" s="23">
        <f>'클럭 정리'!O43</f>
        <v/>
      </c>
      <c r="C5" s="23">
        <f>'클럭 정리'!O43</f>
        <v/>
      </c>
      <c r="D5" s="23">
        <f>'클럭 정리'!O43</f>
        <v/>
      </c>
      <c r="E5" s="23">
        <f>'클럭 정리'!O43</f>
        <v/>
      </c>
      <c r="F5" s="23">
        <f>'클럭 정리'!O43</f>
        <v/>
      </c>
      <c r="G5" s="23">
        <f>'클럭 정리'!O43</f>
        <v/>
      </c>
      <c r="H5" s="23">
        <f>'클럭 정리'!O43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</row>
    <row r="6">
      <c r="A6" s="22">
        <f>'클럭 정리'!A44</f>
        <v/>
      </c>
      <c r="B6" s="23">
        <f>'클럭 정리'!O44</f>
        <v/>
      </c>
      <c r="C6" s="23">
        <f>'클럭 정리'!O44</f>
        <v/>
      </c>
      <c r="D6" s="23">
        <f>'클럭 정리'!O44</f>
        <v/>
      </c>
      <c r="E6" s="23">
        <f>'클럭 정리'!O44</f>
        <v/>
      </c>
      <c r="F6" s="23">
        <f>'클럭 정리'!O44</f>
        <v/>
      </c>
      <c r="G6" s="23">
        <f>'클럭 정리'!O44</f>
        <v/>
      </c>
      <c r="H6" s="23">
        <f>'클럭 정리'!O44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</row>
    <row r="8">
      <c r="A8" s="2" t="inlineStr">
        <is>
          <t>병렬도 6 분할 8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</row>
    <row r="10">
      <c r="A10" s="22">
        <f>'클럭 정리'!A45</f>
        <v/>
      </c>
      <c r="B10" s="23">
        <f>'클럭 정리'!O45</f>
        <v/>
      </c>
      <c r="C10" s="23">
        <f>'클럭 정리'!O45</f>
        <v/>
      </c>
      <c r="D10" s="23">
        <f>'클럭 정리'!O45</f>
        <v/>
      </c>
      <c r="E10" s="23">
        <f>'클럭 정리'!O45</f>
        <v/>
      </c>
      <c r="F10" s="23">
        <f>'클럭 정리'!O45</f>
        <v/>
      </c>
      <c r="G10" s="23">
        <f>'클럭 정리'!O45</f>
        <v/>
      </c>
      <c r="H10" s="23">
        <f>'클럭 정리'!O45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</row>
    <row r="11">
      <c r="A11" s="22">
        <f>'클럭 정리'!A46</f>
        <v/>
      </c>
      <c r="B11" s="23">
        <f>'클럭 정리'!O46</f>
        <v/>
      </c>
      <c r="C11" s="23">
        <f>'클럭 정리'!O46</f>
        <v/>
      </c>
      <c r="D11" s="23">
        <f>'클럭 정리'!O46</f>
        <v/>
      </c>
      <c r="E11" s="23">
        <f>'클럭 정리'!O46</f>
        <v/>
      </c>
      <c r="F11" s="23">
        <f>'클럭 정리'!O46</f>
        <v/>
      </c>
      <c r="G11" s="23">
        <f>'클럭 정리'!O46</f>
        <v/>
      </c>
      <c r="H11" s="23">
        <f>'클럭 정리'!O46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</row>
    <row r="13">
      <c r="A13" s="2" t="inlineStr">
        <is>
          <t>병렬도 6 분할 8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</row>
    <row r="15">
      <c r="A15" s="22">
        <f>'클럭 정리'!A47</f>
        <v/>
      </c>
      <c r="B15" s="23">
        <f>'클럭 정리'!O47</f>
        <v/>
      </c>
      <c r="C15" s="23">
        <f>'클럭 정리'!O47</f>
        <v/>
      </c>
      <c r="D15" s="23">
        <f>'클럭 정리'!O47</f>
        <v/>
      </c>
      <c r="E15" s="23">
        <f>'클럭 정리'!O47</f>
        <v/>
      </c>
      <c r="F15" s="23">
        <f>'클럭 정리'!O47</f>
        <v/>
      </c>
      <c r="G15" s="23">
        <f>'클럭 정리'!O47</f>
        <v/>
      </c>
      <c r="H15" s="23">
        <f>'클럭 정리'!O47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</row>
    <row r="16"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</row>
    <row r="17">
      <c r="A17" s="2" t="inlineStr">
        <is>
          <t>병렬도 6 분할 8 측정 4회차 (스레드별 클럭, GHz)</t>
        </is>
      </c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</row>
    <row r="18">
      <c r="A18" s="21" t="inlineStr">
        <is>
          <t>시각</t>
        </is>
      </c>
      <c r="B18" s="21" t="inlineStr">
        <is>
          <t>ForkJoinPool-6-worker-1</t>
        </is>
      </c>
      <c r="C18" s="21" t="inlineStr">
        <is>
          <t>ForkJoinPool-6-worker-2</t>
        </is>
      </c>
      <c r="D18" s="21" t="inlineStr">
        <is>
          <t>ForkJoinPool-6-worker-3</t>
        </is>
      </c>
      <c r="E18" s="21" t="inlineStr">
        <is>
          <t>ForkJoinPool-6-worker-4</t>
        </is>
      </c>
      <c r="F18" s="21" t="inlineStr">
        <is>
          <t>ForkJoinPool-6-worker-5</t>
        </is>
      </c>
      <c r="G18" s="21" t="inlineStr">
        <is>
          <t>ForkJoinPool-6-worker-6</t>
        </is>
      </c>
      <c r="H18" s="21" t="inlineStr">
        <is>
          <t>main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</row>
    <row r="19">
      <c r="A19" s="22">
        <f>'클럭 정리'!A48</f>
        <v/>
      </c>
      <c r="B19" s="23">
        <f>'클럭 정리'!O48</f>
        <v/>
      </c>
      <c r="C19" s="23">
        <f>'클럭 정리'!O48</f>
        <v/>
      </c>
      <c r="D19" s="23">
        <f>'클럭 정리'!O48</f>
        <v/>
      </c>
      <c r="E19" s="23">
        <f>'클럭 정리'!O48</f>
        <v/>
      </c>
      <c r="F19" s="23">
        <f>'클럭 정리'!O48</f>
        <v/>
      </c>
      <c r="G19" s="23">
        <f>'클럭 정리'!O48</f>
        <v/>
      </c>
      <c r="H19" s="23">
        <f>'클럭 정리'!O48</f>
        <v/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</row>
    <row r="20"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</row>
    <row r="21">
      <c r="A21" s="2" t="inlineStr">
        <is>
          <t>병렬도 6 분할 8 측정 5회차 (스레드별 클럭, GHz)</t>
        </is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</row>
    <row r="22">
      <c r="A22" s="21" t="inlineStr">
        <is>
          <t>시각</t>
        </is>
      </c>
      <c r="B22" s="21" t="inlineStr">
        <is>
          <t>ForkJoinPool-7-worker-1</t>
        </is>
      </c>
      <c r="C22" s="21" t="inlineStr">
        <is>
          <t>ForkJoinPool-7-worker-2</t>
        </is>
      </c>
      <c r="D22" s="21" t="inlineStr">
        <is>
          <t>ForkJoinPool-7-worker-3</t>
        </is>
      </c>
      <c r="E22" s="21" t="inlineStr">
        <is>
          <t>ForkJoinPool-7-worker-4</t>
        </is>
      </c>
      <c r="F22" s="21" t="inlineStr">
        <is>
          <t>ForkJoinPool-7-worker-5</t>
        </is>
      </c>
      <c r="G22" s="21" t="inlineStr">
        <is>
          <t>ForkJoinPool-7-worker-6</t>
        </is>
      </c>
      <c r="H22" s="21" t="inlineStr">
        <is>
          <t>main</t>
        </is>
      </c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</row>
    <row r="23">
      <c r="A23" s="22">
        <f>'클럭 정리'!A49</f>
        <v/>
      </c>
      <c r="B23" s="23">
        <f>'클럭 정리'!O49</f>
        <v/>
      </c>
      <c r="C23" s="23">
        <f>'클럭 정리'!O49</f>
        <v/>
      </c>
      <c r="D23" s="23">
        <f>'클럭 정리'!O49</f>
        <v/>
      </c>
      <c r="E23" s="23">
        <f>'클럭 정리'!O49</f>
        <v/>
      </c>
      <c r="F23" s="23">
        <f>'클럭 정리'!O49</f>
        <v/>
      </c>
      <c r="G23" s="23">
        <f>'클럭 정리'!O49</f>
        <v/>
      </c>
      <c r="H23" s="23">
        <f>'클럭 정리'!O49</f>
        <v/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</row>
    <row r="24">
      <c r="A24" s="22">
        <f>'클럭 정리'!A50</f>
        <v/>
      </c>
      <c r="B24" s="23">
        <f>'클럭 정리'!O50</f>
        <v/>
      </c>
      <c r="C24" s="23">
        <f>'클럭 정리'!O50</f>
        <v/>
      </c>
      <c r="D24" s="23">
        <f>'클럭 정리'!O50</f>
        <v/>
      </c>
      <c r="E24" s="23">
        <f>'클럭 정리'!O50</f>
        <v/>
      </c>
      <c r="F24" s="23">
        <f>'클럭 정리'!O50</f>
        <v/>
      </c>
      <c r="G24" s="23">
        <f>'클럭 정리'!O50</f>
        <v/>
      </c>
      <c r="H24" s="23">
        <f>'클럭 정리'!O50</f>
        <v/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</row>
    <row r="25"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</row>
    <row r="26">
      <c r="A26" s="2" t="inlineStr">
        <is>
          <t>병렬도 12 분할 8 측정 1회차 (스레드별 클럭, GHz)</t>
        </is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</row>
    <row r="27">
      <c r="A27" s="21" t="inlineStr">
        <is>
          <t>시각</t>
        </is>
      </c>
      <c r="B27" s="21" t="inlineStr">
        <is>
          <t>ForkJoinPool-11-worker-1</t>
        </is>
      </c>
      <c r="C27" s="21" t="inlineStr">
        <is>
          <t>ForkJoinPool-11-worker-10</t>
        </is>
      </c>
      <c r="D27" s="21" t="inlineStr">
        <is>
          <t>ForkJoinPool-11-worker-11</t>
        </is>
      </c>
      <c r="E27" s="21" t="inlineStr">
        <is>
          <t>ForkJoinPool-11-worker-12</t>
        </is>
      </c>
      <c r="F27" s="21" t="inlineStr">
        <is>
          <t>ForkJoinPool-11-worker-2</t>
        </is>
      </c>
      <c r="G27" s="21" t="inlineStr">
        <is>
          <t>ForkJoinPool-11-worker-3</t>
        </is>
      </c>
      <c r="H27" s="21" t="inlineStr">
        <is>
          <t>ForkJoinPool-11-worker-4</t>
        </is>
      </c>
      <c r="I27" s="21" t="inlineStr">
        <is>
          <t>ForkJoinPool-11-worker-5</t>
        </is>
      </c>
      <c r="J27" s="21" t="inlineStr">
        <is>
          <t>ForkJoinPool-11-worker-6</t>
        </is>
      </c>
      <c r="K27" s="21" t="inlineStr">
        <is>
          <t>ForkJoinPool-11-worker-7</t>
        </is>
      </c>
      <c r="L27" s="21" t="inlineStr">
        <is>
          <t>ForkJoinPool-11-worker-8</t>
        </is>
      </c>
      <c r="M27" s="21" t="inlineStr">
        <is>
          <t>ForkJoinPool-11-worker-9</t>
        </is>
      </c>
      <c r="N27" s="21" t="inlineStr">
        <is>
          <t>main</t>
        </is>
      </c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</row>
    <row r="28">
      <c r="A28" s="22">
        <f>'클럭 정리'!A55</f>
        <v/>
      </c>
      <c r="B28" s="23">
        <f>'클럭 정리'!O55</f>
        <v/>
      </c>
      <c r="C28" s="23">
        <f>'클럭 정리'!O55</f>
        <v/>
      </c>
      <c r="D28" s="23">
        <f>'클럭 정리'!O55</f>
        <v/>
      </c>
      <c r="E28" s="23">
        <f>'클럭 정리'!O55</f>
        <v/>
      </c>
      <c r="F28" s="23">
        <f>'클럭 정리'!O55</f>
        <v/>
      </c>
      <c r="G28" s="25" t="n"/>
      <c r="H28" s="25" t="n"/>
      <c r="I28" s="23">
        <f>'클럭 정리'!O55</f>
        <v/>
      </c>
      <c r="J28" s="25" t="n"/>
      <c r="K28" s="25" t="n"/>
      <c r="L28" s="23">
        <f>'클럭 정리'!O55</f>
        <v/>
      </c>
      <c r="M28" s="23">
        <f>'클럭 정리'!O55</f>
        <v/>
      </c>
      <c r="N28" s="23">
        <f>'클럭 정리'!O55</f>
        <v/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</row>
    <row r="29"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</row>
    <row r="30">
      <c r="A30" s="2" t="inlineStr">
        <is>
          <t>병렬도 12 분할 8 측정 2회차 (스레드별 클럭, GHz)</t>
        </is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</row>
    <row r="31">
      <c r="A31" s="21" t="inlineStr">
        <is>
          <t>시각</t>
        </is>
      </c>
      <c r="B31" s="21" t="inlineStr">
        <is>
          <t>ForkJoinPool-12-worker-1</t>
        </is>
      </c>
      <c r="C31" s="21" t="inlineStr">
        <is>
          <t>ForkJoinPool-12-worker-10</t>
        </is>
      </c>
      <c r="D31" s="21" t="inlineStr">
        <is>
          <t>ForkJoinPool-12-worker-11</t>
        </is>
      </c>
      <c r="E31" s="21" t="inlineStr">
        <is>
          <t>ForkJoinPool-12-worker-12</t>
        </is>
      </c>
      <c r="F31" s="21" t="inlineStr">
        <is>
          <t>ForkJoinPool-12-worker-2</t>
        </is>
      </c>
      <c r="G31" s="21" t="inlineStr">
        <is>
          <t>ForkJoinPool-12-worker-3</t>
        </is>
      </c>
      <c r="H31" s="21" t="inlineStr">
        <is>
          <t>ForkJoinPool-12-worker-4</t>
        </is>
      </c>
      <c r="I31" s="21" t="inlineStr">
        <is>
          <t>ForkJoinPool-12-worker-5</t>
        </is>
      </c>
      <c r="J31" s="21" t="inlineStr">
        <is>
          <t>ForkJoinPool-12-worker-6</t>
        </is>
      </c>
      <c r="K31" s="21" t="inlineStr">
        <is>
          <t>ForkJoinPool-12-worker-7</t>
        </is>
      </c>
      <c r="L31" s="21" t="inlineStr">
        <is>
          <t>ForkJoinPool-12-worker-8</t>
        </is>
      </c>
      <c r="M31" s="21" t="inlineStr">
        <is>
          <t>ForkJoinPool-12-worker-9</t>
        </is>
      </c>
      <c r="N31" s="21" t="inlineStr">
        <is>
          <t>main</t>
        </is>
      </c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</row>
    <row r="32">
      <c r="A32" s="22">
        <f>'클럭 정리'!A56</f>
        <v/>
      </c>
      <c r="B32" s="23">
        <f>'클럭 정리'!O56</f>
        <v/>
      </c>
      <c r="C32" s="23">
        <f>'클럭 정리'!O56</f>
        <v/>
      </c>
      <c r="D32" s="23">
        <f>'클럭 정리'!O56</f>
        <v/>
      </c>
      <c r="E32" s="23">
        <f>'클럭 정리'!O56</f>
        <v/>
      </c>
      <c r="F32" s="23">
        <f>'클럭 정리'!O56</f>
        <v/>
      </c>
      <c r="G32" s="25" t="n"/>
      <c r="H32" s="23">
        <f>'클럭 정리'!O56</f>
        <v/>
      </c>
      <c r="I32" s="25" t="n"/>
      <c r="J32" s="25" t="n"/>
      <c r="K32" s="23">
        <f>'클럭 정리'!O56</f>
        <v/>
      </c>
      <c r="L32" s="25" t="n"/>
      <c r="M32" s="23">
        <f>'클럭 정리'!O56</f>
        <v/>
      </c>
      <c r="N32" s="23">
        <f>'클럭 정리'!O56</f>
        <v/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</row>
    <row r="33"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</row>
    <row r="34">
      <c r="A34" s="2" t="inlineStr">
        <is>
          <t>병렬도 12 분할 8 측정 3회차 (스레드별 클럭, GHz)</t>
        </is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</row>
    <row r="35">
      <c r="A35" s="21" t="inlineStr">
        <is>
          <t>시각</t>
        </is>
      </c>
      <c r="B35" s="21" t="inlineStr">
        <is>
          <t>ForkJoinPool-13-worker-1</t>
        </is>
      </c>
      <c r="C35" s="21" t="inlineStr">
        <is>
          <t>ForkJoinPool-13-worker-11</t>
        </is>
      </c>
      <c r="D35" s="21" t="inlineStr">
        <is>
          <t>ForkJoinPool-13-worker-12</t>
        </is>
      </c>
      <c r="E35" s="21" t="inlineStr">
        <is>
          <t>ForkJoinPool-13-worker-2</t>
        </is>
      </c>
      <c r="F35" s="21" t="inlineStr">
        <is>
          <t>ForkJoinPool-13-worker-3</t>
        </is>
      </c>
      <c r="G35" s="21" t="inlineStr">
        <is>
          <t>ForkJoinPool-13-worker-4</t>
        </is>
      </c>
      <c r="H35" s="21" t="inlineStr">
        <is>
          <t>ForkJoinPool-13-worker-5</t>
        </is>
      </c>
      <c r="I35" s="21" t="inlineStr">
        <is>
          <t>ForkJoinPool-13-worker-6</t>
        </is>
      </c>
      <c r="J35" s="21" t="inlineStr">
        <is>
          <t>ForkJoinPool-13-worker-7</t>
        </is>
      </c>
      <c r="K35" s="21" t="inlineStr">
        <is>
          <t>ForkJoinPool-13-worker-8</t>
        </is>
      </c>
      <c r="L35" s="21" t="inlineStr">
        <is>
          <t>main</t>
        </is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</row>
    <row r="36">
      <c r="A36" s="22">
        <f>'클럭 정리'!A57</f>
        <v/>
      </c>
      <c r="B36" s="23">
        <f>'클럭 정리'!O57</f>
        <v/>
      </c>
      <c r="C36" s="23">
        <f>'클럭 정리'!O57</f>
        <v/>
      </c>
      <c r="D36" s="23">
        <f>'클럭 정리'!O57</f>
        <v/>
      </c>
      <c r="E36" s="23">
        <f>'클럭 정리'!O57</f>
        <v/>
      </c>
      <c r="F36" s="23">
        <f>'클럭 정리'!O57</f>
        <v/>
      </c>
      <c r="G36" s="25" t="n"/>
      <c r="H36" s="23">
        <f>'클럭 정리'!O57</f>
        <v/>
      </c>
      <c r="I36" s="23">
        <f>'클럭 정리'!O57</f>
        <v/>
      </c>
      <c r="J36" s="25" t="n"/>
      <c r="K36" s="23">
        <f>'클럭 정리'!O57</f>
        <v/>
      </c>
      <c r="L36" s="23">
        <f>'클럭 정리'!O57</f>
        <v/>
      </c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</row>
    <row r="37"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</row>
    <row r="38">
      <c r="A38" s="2" t="inlineStr">
        <is>
          <t>병렬도 12 분할 8 측정 4회차 (스레드별 클럭, GHz)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</row>
    <row r="39">
      <c r="A39" s="21" t="inlineStr">
        <is>
          <t>시각</t>
        </is>
      </c>
      <c r="B39" s="21" t="inlineStr">
        <is>
          <t>ForkJoinPool-14-worker-1</t>
        </is>
      </c>
      <c r="C39" s="21" t="inlineStr">
        <is>
          <t>ForkJoinPool-14-worker-10</t>
        </is>
      </c>
      <c r="D39" s="21" t="inlineStr">
        <is>
          <t>ForkJoinPool-14-worker-11</t>
        </is>
      </c>
      <c r="E39" s="21" t="inlineStr">
        <is>
          <t>ForkJoinPool-14-worker-12</t>
        </is>
      </c>
      <c r="F39" s="21" t="inlineStr">
        <is>
          <t>ForkJoinPool-14-worker-2</t>
        </is>
      </c>
      <c r="G39" s="21" t="inlineStr">
        <is>
          <t>ForkJoinPool-14-worker-3</t>
        </is>
      </c>
      <c r="H39" s="21" t="inlineStr">
        <is>
          <t>ForkJoinPool-14-worker-4</t>
        </is>
      </c>
      <c r="I39" s="21" t="inlineStr">
        <is>
          <t>ForkJoinPool-14-worker-5</t>
        </is>
      </c>
      <c r="J39" s="21" t="inlineStr">
        <is>
          <t>ForkJoinPool-14-worker-6</t>
        </is>
      </c>
      <c r="K39" s="21" t="inlineStr">
        <is>
          <t>ForkJoinPool-14-worker-7</t>
        </is>
      </c>
      <c r="L39" s="21" t="inlineStr">
        <is>
          <t>ForkJoinPool-14-worker-8</t>
        </is>
      </c>
      <c r="M39" s="21" t="inlineStr">
        <is>
          <t>main</t>
        </is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</row>
    <row r="40">
      <c r="A40" s="22">
        <f>'클럭 정리'!A58</f>
        <v/>
      </c>
      <c r="B40" s="23">
        <f>'클럭 정리'!O58</f>
        <v/>
      </c>
      <c r="C40" s="23">
        <f>'클럭 정리'!O58</f>
        <v/>
      </c>
      <c r="D40" s="25" t="n"/>
      <c r="E40" s="23">
        <f>'클럭 정리'!O58</f>
        <v/>
      </c>
      <c r="F40" s="23">
        <f>'클럭 정리'!O58</f>
        <v/>
      </c>
      <c r="G40" s="23">
        <f>'클럭 정리'!O58</f>
        <v/>
      </c>
      <c r="H40" s="23">
        <f>'클럭 정리'!O58</f>
        <v/>
      </c>
      <c r="I40" s="25" t="n"/>
      <c r="J40" s="23">
        <f>'클럭 정리'!O58</f>
        <v/>
      </c>
      <c r="K40" s="23">
        <f>'클럭 정리'!O58</f>
        <v/>
      </c>
      <c r="L40" s="25" t="n"/>
      <c r="M40" s="23">
        <f>'클럭 정리'!O58</f>
        <v/>
      </c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</row>
    <row r="41">
      <c r="P41" s="24">
        <f>'클럭 정리'!A42</f>
        <v/>
      </c>
      <c r="Q41" s="23">
        <f>'클럭 정리'!O42</f>
        <v/>
      </c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</row>
    <row r="42">
      <c r="A42" s="2" t="inlineStr">
        <is>
          <t>병렬도 12 분할 8 측정 5회차 (스레드별 클럭, GHz)</t>
        </is>
      </c>
      <c r="P42" s="24">
        <f>'클럭 정리'!A43</f>
        <v/>
      </c>
      <c r="Q42" s="23">
        <f>'클럭 정리'!O43</f>
        <v/>
      </c>
      <c r="R42" s="23">
        <f>'클럭 정리'!O43</f>
        <v/>
      </c>
      <c r="S42" s="23">
        <f>'클럭 정리'!O43</f>
        <v/>
      </c>
      <c r="T42" s="23">
        <f>'클럭 정리'!O43</f>
        <v/>
      </c>
      <c r="U42" s="23">
        <f>'클럭 정리'!O43</f>
        <v/>
      </c>
      <c r="V42" s="23">
        <f>'클럭 정리'!O43</f>
        <v/>
      </c>
      <c r="W42" s="23">
        <f>'클럭 정리'!O43</f>
        <v/>
      </c>
      <c r="X42" s="23">
        <f>'클럭 정리'!O43</f>
        <v/>
      </c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</row>
    <row r="43">
      <c r="A43" s="21" t="inlineStr">
        <is>
          <t>시각</t>
        </is>
      </c>
      <c r="B43" s="21" t="inlineStr">
        <is>
          <t>ForkJoinPool-15-worker-1</t>
        </is>
      </c>
      <c r="C43" s="21" t="inlineStr">
        <is>
          <t>ForkJoinPool-15-worker-10</t>
        </is>
      </c>
      <c r="D43" s="21" t="inlineStr">
        <is>
          <t>ForkJoinPool-15-worker-12</t>
        </is>
      </c>
      <c r="E43" s="21" t="inlineStr">
        <is>
          <t>ForkJoinPool-15-worker-2</t>
        </is>
      </c>
      <c r="F43" s="21" t="inlineStr">
        <is>
          <t>ForkJoinPool-15-worker-3</t>
        </is>
      </c>
      <c r="G43" s="21" t="inlineStr">
        <is>
          <t>ForkJoinPool-15-worker-4</t>
        </is>
      </c>
      <c r="H43" s="21" t="inlineStr">
        <is>
          <t>ForkJoinPool-15-worker-5</t>
        </is>
      </c>
      <c r="I43" s="21" t="inlineStr">
        <is>
          <t>ForkJoinPool-15-worker-6</t>
        </is>
      </c>
      <c r="J43" s="21" t="inlineStr">
        <is>
          <t>ForkJoinPool-15-worker-7</t>
        </is>
      </c>
      <c r="K43" s="21" t="inlineStr">
        <is>
          <t>ForkJoinPool-15-worker-8</t>
        </is>
      </c>
      <c r="L43" s="21" t="inlineStr">
        <is>
          <t>ForkJoinPool-15-worker-9</t>
        </is>
      </c>
      <c r="M43" s="21" t="inlineStr">
        <is>
          <t>main</t>
        </is>
      </c>
      <c r="P43" s="24">
        <f>'클럭 정리'!A44</f>
        <v/>
      </c>
      <c r="Q43" s="23">
        <f>'클럭 정리'!O44</f>
        <v/>
      </c>
      <c r="R43" s="23">
        <f>'클럭 정리'!O44</f>
        <v/>
      </c>
      <c r="S43" s="23">
        <f>'클럭 정리'!O44</f>
        <v/>
      </c>
      <c r="T43" s="23">
        <f>'클럭 정리'!O44</f>
        <v/>
      </c>
      <c r="U43" s="23">
        <f>'클럭 정리'!O44</f>
        <v/>
      </c>
      <c r="V43" s="23">
        <f>'클럭 정리'!O44</f>
        <v/>
      </c>
      <c r="W43" s="23">
        <f>'클럭 정리'!O44</f>
        <v/>
      </c>
      <c r="X43" s="23">
        <f>'클럭 정리'!O44</f>
        <v/>
      </c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</row>
    <row r="44">
      <c r="A44" s="22">
        <f>'클럭 정리'!A59</f>
        <v/>
      </c>
      <c r="B44" s="23">
        <f>'클럭 정리'!O59</f>
        <v/>
      </c>
      <c r="C44" s="23">
        <f>'클럭 정리'!O59</f>
        <v/>
      </c>
      <c r="D44" s="23">
        <f>'클럭 정리'!O59</f>
        <v/>
      </c>
      <c r="E44" s="23">
        <f>'클럭 정리'!O59</f>
        <v/>
      </c>
      <c r="F44" s="23">
        <f>'클럭 정리'!O59</f>
        <v/>
      </c>
      <c r="G44" s="25" t="n"/>
      <c r="H44" s="23">
        <f>'클럭 정리'!O59</f>
        <v/>
      </c>
      <c r="I44" s="25" t="n"/>
      <c r="J44" s="25" t="n"/>
      <c r="K44" s="23">
        <f>'클럭 정리'!O59</f>
        <v/>
      </c>
      <c r="L44" s="23">
        <f>'클럭 정리'!O59</f>
        <v/>
      </c>
      <c r="M44" s="23">
        <f>'클럭 정리'!O59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3">
        <f>'클럭 정리'!O45</f>
        <v/>
      </c>
      <c r="Z44" s="23">
        <f>'클럭 정리'!O45</f>
        <v/>
      </c>
      <c r="AA44" s="23">
        <f>'클럭 정리'!O45</f>
        <v/>
      </c>
      <c r="AB44" s="23">
        <f>'클럭 정리'!O45</f>
        <v/>
      </c>
      <c r="AC44" s="23">
        <f>'클럭 정리'!O45</f>
        <v/>
      </c>
      <c r="AD44" s="23">
        <f>'클럭 정리'!O45</f>
        <v/>
      </c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</row>
    <row r="45"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3">
        <f>'클럭 정리'!O46</f>
        <v/>
      </c>
      <c r="Z45" s="23">
        <f>'클럭 정리'!O46</f>
        <v/>
      </c>
      <c r="AA45" s="23">
        <f>'클럭 정리'!O46</f>
        <v/>
      </c>
      <c r="AB45" s="23">
        <f>'클럭 정리'!O46</f>
        <v/>
      </c>
      <c r="AC45" s="23">
        <f>'클럭 정리'!O46</f>
        <v/>
      </c>
      <c r="AD45" s="23">
        <f>'클럭 정리'!O46</f>
        <v/>
      </c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</row>
    <row r="46"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3">
        <f>'클럭 정리'!O47</f>
        <v/>
      </c>
      <c r="AF46" s="23">
        <f>'클럭 정리'!O47</f>
        <v/>
      </c>
      <c r="AG46" s="23">
        <f>'클럭 정리'!O47</f>
        <v/>
      </c>
      <c r="AH46" s="23">
        <f>'클럭 정리'!O47</f>
        <v/>
      </c>
      <c r="AI46" s="23">
        <f>'클럭 정리'!O47</f>
        <v/>
      </c>
      <c r="AJ46" s="23">
        <f>'클럭 정리'!O47</f>
        <v/>
      </c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</row>
    <row r="47"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3">
        <f>'클럭 정리'!O48</f>
        <v/>
      </c>
      <c r="AL47" s="23">
        <f>'클럭 정리'!O48</f>
        <v/>
      </c>
      <c r="AM47" s="23">
        <f>'클럭 정리'!O48</f>
        <v/>
      </c>
      <c r="AN47" s="23">
        <f>'클럭 정리'!O48</f>
        <v/>
      </c>
      <c r="AO47" s="23">
        <f>'클럭 정리'!O48</f>
        <v/>
      </c>
      <c r="AP47" s="23">
        <f>'클럭 정리'!O48</f>
        <v/>
      </c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</row>
    <row r="48"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3">
        <f>'클럭 정리'!O49</f>
        <v/>
      </c>
      <c r="AR48" s="23">
        <f>'클럭 정리'!O49</f>
        <v/>
      </c>
      <c r="AS48" s="23">
        <f>'클럭 정리'!O49</f>
        <v/>
      </c>
      <c r="AT48" s="23">
        <f>'클럭 정리'!O49</f>
        <v/>
      </c>
      <c r="AU48" s="23">
        <f>'클럭 정리'!O49</f>
        <v/>
      </c>
      <c r="AV48" s="23">
        <f>'클럭 정리'!O49</f>
        <v/>
      </c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</row>
    <row r="49"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3">
        <f>'클럭 정리'!O50</f>
        <v/>
      </c>
      <c r="AR49" s="23">
        <f>'클럭 정리'!O50</f>
        <v/>
      </c>
      <c r="AS49" s="23">
        <f>'클럭 정리'!O50</f>
        <v/>
      </c>
      <c r="AT49" s="23">
        <f>'클럭 정리'!O50</f>
        <v/>
      </c>
      <c r="AU49" s="23">
        <f>'클럭 정리'!O50</f>
        <v/>
      </c>
      <c r="AV49" s="23">
        <f>'클럭 정리'!O50</f>
        <v/>
      </c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3">
        <f>'클럭 정리'!O55</f>
        <v/>
      </c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3">
        <f>'클럭 정리'!O55</f>
        <v/>
      </c>
      <c r="AX54" s="23">
        <f>'클럭 정리'!O55</f>
        <v/>
      </c>
      <c r="AY54" s="23">
        <f>'클럭 정리'!O55</f>
        <v/>
      </c>
      <c r="AZ54" s="23">
        <f>'클럭 정리'!O55</f>
        <v/>
      </c>
      <c r="BA54" s="23">
        <f>'클럭 정리'!O55</f>
        <v/>
      </c>
      <c r="BB54" s="25" t="n"/>
      <c r="BC54" s="25" t="n"/>
      <c r="BD54" s="23">
        <f>'클럭 정리'!O55</f>
        <v/>
      </c>
      <c r="BE54" s="25" t="n"/>
      <c r="BF54" s="25" t="n"/>
      <c r="BG54" s="23">
        <f>'클럭 정리'!O55</f>
        <v/>
      </c>
      <c r="BH54" s="23">
        <f>'클럭 정리'!O55</f>
        <v/>
      </c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3">
        <f>'클럭 정리'!O56</f>
        <v/>
      </c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3">
        <f>'클럭 정리'!O56</f>
        <v/>
      </c>
      <c r="BJ55" s="23">
        <f>'클럭 정리'!O56</f>
        <v/>
      </c>
      <c r="BK55" s="23">
        <f>'클럭 정리'!O56</f>
        <v/>
      </c>
      <c r="BL55" s="23">
        <f>'클럭 정리'!O56</f>
        <v/>
      </c>
      <c r="BM55" s="23">
        <f>'클럭 정리'!O56</f>
        <v/>
      </c>
      <c r="BN55" s="25" t="n"/>
      <c r="BO55" s="23">
        <f>'클럭 정리'!O56</f>
        <v/>
      </c>
      <c r="BP55" s="25" t="n"/>
      <c r="BQ55" s="25" t="n"/>
      <c r="BR55" s="23">
        <f>'클럭 정리'!O56</f>
        <v/>
      </c>
      <c r="BS55" s="25" t="n"/>
      <c r="BT55" s="23">
        <f>'클럭 정리'!O56</f>
        <v/>
      </c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3">
        <f>'클럭 정리'!O57</f>
        <v/>
      </c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3">
        <f>'클럭 정리'!O57</f>
        <v/>
      </c>
      <c r="BV56" s="23">
        <f>'클럭 정리'!O57</f>
        <v/>
      </c>
      <c r="BW56" s="23">
        <f>'클럭 정리'!O57</f>
        <v/>
      </c>
      <c r="BX56" s="23">
        <f>'클럭 정리'!O57</f>
        <v/>
      </c>
      <c r="BY56" s="23">
        <f>'클럭 정리'!O57</f>
        <v/>
      </c>
      <c r="BZ56" s="25" t="n"/>
      <c r="CA56" s="23">
        <f>'클럭 정리'!O57</f>
        <v/>
      </c>
      <c r="CB56" s="23">
        <f>'클럭 정리'!O57</f>
        <v/>
      </c>
      <c r="CC56" s="25" t="n"/>
      <c r="CD56" s="23">
        <f>'클럭 정리'!O57</f>
        <v/>
      </c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3">
        <f>'클럭 정리'!O58</f>
        <v/>
      </c>
      <c r="CF57" s="23">
        <f>'클럭 정리'!O58</f>
        <v/>
      </c>
      <c r="CG57" s="25" t="n"/>
      <c r="CH57" s="23">
        <f>'클럭 정리'!O58</f>
        <v/>
      </c>
      <c r="CI57" s="23">
        <f>'클럭 정리'!O58</f>
        <v/>
      </c>
      <c r="CJ57" s="23">
        <f>'클럭 정리'!O58</f>
        <v/>
      </c>
      <c r="CK57" s="23">
        <f>'클럭 정리'!O58</f>
        <v/>
      </c>
      <c r="CL57" s="25" t="n"/>
      <c r="CM57" s="23">
        <f>'클럭 정리'!O58</f>
        <v/>
      </c>
      <c r="CN57" s="23">
        <f>'클럭 정리'!O58</f>
        <v/>
      </c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3">
        <f>'클럭 정리'!O59</f>
        <v/>
      </c>
      <c r="CQ58" s="23">
        <f>'클럭 정리'!O59</f>
        <v/>
      </c>
      <c r="CR58" s="23">
        <f>'클럭 정리'!O59</f>
        <v/>
      </c>
      <c r="CS58" s="23">
        <f>'클럭 정리'!O59</f>
        <v/>
      </c>
      <c r="CT58" s="23">
        <f>'클럭 정리'!O59</f>
        <v/>
      </c>
      <c r="CU58" s="25" t="n"/>
      <c r="CV58" s="23">
        <f>'클럭 정리'!O59</f>
        <v/>
      </c>
      <c r="CW58" s="25" t="n"/>
      <c r="CX58" s="25" t="n"/>
      <c r="CY58" s="23">
        <f>'클럭 정리'!O59</f>
        <v/>
      </c>
      <c r="CZ58" s="23">
        <f>'클럭 정리'!O59</f>
        <v/>
      </c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  <c r="CZ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  <c r="CW63" s="25" t="n"/>
      <c r="CX63" s="25" t="n"/>
      <c r="CY63" s="25" t="n"/>
      <c r="CZ63" s="25" t="n"/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2026-08-04T02:59:26Z</dcterms:created>
  <dcterms:modified xmlns:dcterms="http://purl.org/dc/terms/" xmlns:xsi="http://www.w3.org/2001/XMLSchema-instance" xsi:type="dcterms:W3CDTF">2026-08-04T02:59:26Z</dcterms:modified>
</cp:coreProperties>
</file>