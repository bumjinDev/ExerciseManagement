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럭 정리" sheetId="1" state="visible" r:id="rId1"/>
    <sheet xmlns:r="http://schemas.openxmlformats.org/officeDocument/2006/relationships" name="구간과 스레드 매핑" sheetId="2" state="visible" r:id="rId2"/>
    <sheet xmlns:r="http://schemas.openxmlformats.org/officeDocument/2006/relationships" name="스레드별 클럭" sheetId="3" state="visible" r:id="rId3"/>
    <sheet xmlns:r="http://schemas.openxmlformats.org/officeDocument/2006/relationships" name="회차별 측정값" sheetId="4" state="visible" r:id="rId4"/>
    <sheet xmlns:r="http://schemas.openxmlformats.org/officeDocument/2006/relationships" name="차트" sheetId="5" state="visible" r:id="rId5"/>
    <sheet xmlns:r="http://schemas.openxmlformats.org/officeDocument/2006/relationships" name="차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hh:mm:ss.000"/>
    <numFmt numFmtId="166" formatCode="0.0"/>
    <numFmt numFmtId="167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9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5" fillId="0" borderId="0" pivotButton="0" quotePrefix="0" xfId="0"/>
    <xf numFmtId="0" fontId="2" fillId="3" borderId="0" pivotButton="0" quotePrefix="0" xfId="0"/>
    <xf numFmtId="2" fontId="6" fillId="0" borderId="0" pivotButton="0" quotePrefix="0" xfId="0"/>
    <xf numFmtId="0" fontId="7" fillId="3" borderId="1" pivotButton="0" quotePrefix="0" xfId="0"/>
    <xf numFmtId="165" fontId="8" fillId="0" borderId="1" pivotButton="0" quotePrefix="0" xfId="0"/>
    <xf numFmtId="2" fontId="8" fillId="0" borderId="1" pivotButton="0" quotePrefix="0" xfId="0"/>
    <xf numFmtId="167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평균 클럭 추이 (전체 평균 + 스레드별)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데이터'!$Q$5:$Q$70</f>
            </numRef>
          </val>
        </ser>
        <ser>
          <idx val="1"/>
          <order val="1"/>
          <tx>
            <strRef>
              <f>'차트 데이터'!R4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데이터'!$R$5:$R$70</f>
            </numRef>
          </val>
        </ser>
        <ser>
          <idx val="2"/>
          <order val="2"/>
          <tx>
            <strRef>
              <f>'차트 데이터'!S4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데이터'!$S$5:$S$70</f>
            </numRef>
          </val>
        </ser>
        <ser>
          <idx val="3"/>
          <order val="3"/>
          <tx>
            <strRef>
              <f>'차트 데이터'!T4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데이터'!$T$5:$T$70</f>
            </numRef>
          </val>
        </ser>
        <ser>
          <idx val="4"/>
          <order val="4"/>
          <tx>
            <strRef>
              <f>'차트 데이터'!U4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데이터'!$U$5:$U$70</f>
            </numRef>
          </val>
        </ser>
        <ser>
          <idx val="5"/>
          <order val="5"/>
          <tx>
            <strRef>
              <f>'차트 데이터'!V4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데이터'!$V$5:$V$70</f>
            </numRef>
          </val>
        </ser>
        <ser>
          <idx val="6"/>
          <order val="6"/>
          <tx>
            <strRef>
              <f>'차트 데이터'!W4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데이터'!$W$5:$W$70</f>
            </numRef>
          </val>
        </ser>
        <ser>
          <idx val="7"/>
          <order val="7"/>
          <tx>
            <strRef>
              <f>'차트 데이터'!X4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데이터'!$X$5:$X$70</f>
            </numRef>
          </val>
        </ser>
        <ser>
          <idx val="8"/>
          <order val="8"/>
          <tx>
            <strRef>
              <f>'차트 데이터'!Y4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데이터'!$Y$5:$Y$70</f>
            </numRef>
          </val>
        </ser>
        <ser>
          <idx val="9"/>
          <order val="9"/>
          <tx>
            <strRef>
              <f>'차트 데이터'!Z4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데이터'!$Z$5:$Z$70</f>
            </numRef>
          </val>
        </ser>
        <ser>
          <idx val="10"/>
          <order val="10"/>
          <tx>
            <strRef>
              <f>'차트 데이터'!AA4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데이터'!$AA$5:$AA$70</f>
            </numRef>
          </val>
        </ser>
        <ser>
          <idx val="11"/>
          <order val="11"/>
          <tx>
            <strRef>
              <f>'차트 데이터'!AB4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데이터'!$AB$5:$AB$70</f>
            </numRef>
          </val>
        </ser>
        <ser>
          <idx val="12"/>
          <order val="12"/>
          <tx>
            <strRef>
              <f>'차트 데이터'!AC4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데이터'!$AC$5:$AC$70</f>
            </numRef>
          </val>
        </ser>
        <ser>
          <idx val="13"/>
          <order val="13"/>
          <tx>
            <strRef>
              <f>'차트 데이터'!AD4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데이터'!$AD$5:$AD$70</f>
            </numRef>
          </val>
        </ser>
        <ser>
          <idx val="14"/>
          <order val="14"/>
          <tx>
            <strRef>
              <f>'차트 데이터'!AE4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데이터'!$AE$5:$AE$70</f>
            </numRef>
          </val>
        </ser>
        <ser>
          <idx val="15"/>
          <order val="15"/>
          <tx>
            <strRef>
              <f>'차트 데이터'!AF4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데이터'!$AF$5:$AF$70</f>
            </numRef>
          </val>
        </ser>
        <ser>
          <idx val="16"/>
          <order val="16"/>
          <tx>
            <strRef>
              <f>'차트 데이터'!AG4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데이터'!$AG$5:$AG$70</f>
            </numRef>
          </val>
        </ser>
        <ser>
          <idx val="17"/>
          <order val="17"/>
          <tx>
            <strRef>
              <f>'차트 데이터'!AH4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데이터'!$AH$5:$AH$70</f>
            </numRef>
          </val>
        </ser>
        <ser>
          <idx val="18"/>
          <order val="18"/>
          <tx>
            <strRef>
              <f>'차트 데이터'!AI4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데이터'!$AI$5:$AI$70</f>
            </numRef>
          </val>
        </ser>
        <ser>
          <idx val="19"/>
          <order val="19"/>
          <tx>
            <strRef>
              <f>'차트 데이터'!AJ4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데이터'!$AJ$5:$AJ$70</f>
            </numRef>
          </val>
        </ser>
        <ser>
          <idx val="20"/>
          <order val="20"/>
          <tx>
            <strRef>
              <f>'차트 데이터'!AK4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데이터'!$AK$5:$AK$70</f>
            </numRef>
          </val>
        </ser>
        <ser>
          <idx val="21"/>
          <order val="21"/>
          <tx>
            <strRef>
              <f>'차트 데이터'!AL4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데이터'!$AL$5:$AL$70</f>
            </numRef>
          </val>
        </ser>
        <ser>
          <idx val="22"/>
          <order val="22"/>
          <tx>
            <strRef>
              <f>'차트 데이터'!AM4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데이터'!$AM$5:$AM$70</f>
            </numRef>
          </val>
        </ser>
        <ser>
          <idx val="23"/>
          <order val="23"/>
          <tx>
            <strRef>
              <f>'차트 데이터'!AN4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데이터'!$AN$5:$AN$70</f>
            </numRef>
          </val>
        </ser>
        <ser>
          <idx val="24"/>
          <order val="24"/>
          <tx>
            <strRef>
              <f>'차트 데이터'!AO4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데이터'!$AO$5:$AO$70</f>
            </numRef>
          </val>
        </ser>
        <ser>
          <idx val="25"/>
          <order val="25"/>
          <tx>
            <strRef>
              <f>'차트 데이터'!AP4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데이터'!$AP$5:$AP$70</f>
            </numRef>
          </val>
        </ser>
        <ser>
          <idx val="26"/>
          <order val="26"/>
          <tx>
            <strRef>
              <f>'차트 데이터'!AQ4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데이터'!$AQ$5:$AQ$70</f>
            </numRef>
          </val>
        </ser>
        <ser>
          <idx val="27"/>
          <order val="27"/>
          <tx>
            <strRef>
              <f>'차트 데이터'!AR4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데이터'!$AR$5:$AR$70</f>
            </numRef>
          </val>
        </ser>
        <ser>
          <idx val="28"/>
          <order val="28"/>
          <tx>
            <strRef>
              <f>'차트 데이터'!AS4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데이터'!$AS$5:$AS$70</f>
            </numRef>
          </val>
        </ser>
        <ser>
          <idx val="29"/>
          <order val="29"/>
          <tx>
            <strRef>
              <f>'차트 데이터'!AT4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데이터'!$AT$5:$AT$70</f>
            </numRef>
          </val>
        </ser>
        <ser>
          <idx val="30"/>
          <order val="30"/>
          <tx>
            <strRef>
              <f>'차트 데이터'!AU4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데이터'!$AU$5:$AU$70</f>
            </numRef>
          </val>
        </ser>
        <ser>
          <idx val="31"/>
          <order val="31"/>
          <tx>
            <strRef>
              <f>'차트 데이터'!AV4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데이터'!$AV$5:$AV$70</f>
            </numRef>
          </val>
        </ser>
        <ser>
          <idx val="32"/>
          <order val="32"/>
          <tx>
            <strRef>
              <f>'차트 데이터'!AW4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데이터'!$AW$5:$AW$70</f>
            </numRef>
          </val>
        </ser>
        <ser>
          <idx val="33"/>
          <order val="33"/>
          <tx>
            <strRef>
              <f>'차트 데이터'!AX4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데이터'!$AX$5:$AX$70</f>
            </numRef>
          </val>
        </ser>
        <ser>
          <idx val="34"/>
          <order val="34"/>
          <tx>
            <strRef>
              <f>'차트 데이터'!AY4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데이터'!$AY$5:$AY$70</f>
            </numRef>
          </val>
        </ser>
        <ser>
          <idx val="35"/>
          <order val="35"/>
          <tx>
            <strRef>
              <f>'차트 데이터'!AZ4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데이터'!$AZ$5:$AZ$70</f>
            </numRef>
          </val>
        </ser>
        <ser>
          <idx val="36"/>
          <order val="36"/>
          <tx>
            <strRef>
              <f>'차트 데이터'!BA4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데이터'!$BA$5:$BA$70</f>
            </numRef>
          </val>
        </ser>
        <ser>
          <idx val="37"/>
          <order val="37"/>
          <tx>
            <strRef>
              <f>'차트 데이터'!BB4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데이터'!$BB$5:$BB$70</f>
            </numRef>
          </val>
        </ser>
        <ser>
          <idx val="38"/>
          <order val="38"/>
          <tx>
            <strRef>
              <f>'차트 데이터'!BC4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데이터'!$BC$5:$BC$70</f>
            </numRef>
          </val>
        </ser>
        <ser>
          <idx val="39"/>
          <order val="39"/>
          <tx>
            <strRef>
              <f>'차트 데이터'!BD4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데이터'!$BD$5:$BD$70</f>
            </numRef>
          </val>
        </ser>
        <ser>
          <idx val="40"/>
          <order val="40"/>
          <tx>
            <strRef>
              <f>'차트 데이터'!BE4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데이터'!$BE$5:$BE$70</f>
            </numRef>
          </val>
        </ser>
        <ser>
          <idx val="41"/>
          <order val="41"/>
          <tx>
            <strRef>
              <f>'차트 데이터'!BF4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데이터'!$BF$5:$BF$70</f>
            </numRef>
          </val>
        </ser>
        <ser>
          <idx val="42"/>
          <order val="42"/>
          <tx>
            <strRef>
              <f>'차트 데이터'!BG4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데이터'!$BG$5:$BG$70</f>
            </numRef>
          </val>
        </ser>
        <ser>
          <idx val="43"/>
          <order val="43"/>
          <tx>
            <strRef>
              <f>'차트 데이터'!BH4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데이터'!$BH$5:$BH$70</f>
            </numRef>
          </val>
        </ser>
        <ser>
          <idx val="44"/>
          <order val="44"/>
          <tx>
            <strRef>
              <f>'차트 데이터'!BI4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데이터'!$BI$5:$BI$70</f>
            </numRef>
          </val>
        </ser>
        <ser>
          <idx val="45"/>
          <order val="45"/>
          <tx>
            <strRef>
              <f>'차트 데이터'!BJ4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데이터'!$BJ$5:$BJ$70</f>
            </numRef>
          </val>
        </ser>
        <ser>
          <idx val="46"/>
          <order val="46"/>
          <tx>
            <strRef>
              <f>'차트 데이터'!BK4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데이터'!$BK$5:$BK$70</f>
            </numRef>
          </val>
        </ser>
        <ser>
          <idx val="47"/>
          <order val="47"/>
          <tx>
            <strRef>
              <f>'차트 데이터'!BL4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데이터'!$BL$5:$BL$70</f>
            </numRef>
          </val>
        </ser>
        <ser>
          <idx val="48"/>
          <order val="48"/>
          <tx>
            <strRef>
              <f>'차트 데이터'!BM4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데이터'!$BM$5:$BM$70</f>
            </numRef>
          </val>
        </ser>
        <ser>
          <idx val="49"/>
          <order val="49"/>
          <tx>
            <strRef>
              <f>'차트 데이터'!BN4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데이터'!$BN$5:$BN$70</f>
            </numRef>
          </val>
        </ser>
        <ser>
          <idx val="50"/>
          <order val="50"/>
          <tx>
            <strRef>
              <f>'차트 데이터'!BO4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데이터'!$BO$5:$BO$70</f>
            </numRef>
          </val>
        </ser>
        <ser>
          <idx val="51"/>
          <order val="51"/>
          <tx>
            <strRef>
              <f>'차트 데이터'!BP4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데이터'!$BP$5:$BP$70</f>
            </numRef>
          </val>
        </ser>
        <ser>
          <idx val="52"/>
          <order val="52"/>
          <tx>
            <strRef>
              <f>'차트 데이터'!BQ4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데이터'!$BQ$5:$BQ$70</f>
            </numRef>
          </val>
        </ser>
        <ser>
          <idx val="53"/>
          <order val="53"/>
          <tx>
            <strRef>
              <f>'차트 데이터'!BR4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데이터'!$BR$5:$BR$70</f>
            </numRef>
          </val>
        </ser>
        <ser>
          <idx val="54"/>
          <order val="54"/>
          <tx>
            <strRef>
              <f>'차트 데이터'!BS4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데이터'!$BS$5:$BS$70</f>
            </numRef>
          </val>
        </ser>
        <ser>
          <idx val="55"/>
          <order val="55"/>
          <tx>
            <strRef>
              <f>'차트 데이터'!BT4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데이터'!$BT$5:$BT$70</f>
            </numRef>
          </val>
        </ser>
        <ser>
          <idx val="56"/>
          <order val="56"/>
          <tx>
            <strRef>
              <f>'차트 데이터'!BU4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데이터'!$BU$5:$BU$70</f>
            </numRef>
          </val>
        </ser>
        <ser>
          <idx val="57"/>
          <order val="57"/>
          <tx>
            <strRef>
              <f>'차트 데이터'!BV4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데이터'!$BV$5:$BV$70</f>
            </numRef>
          </val>
        </ser>
        <ser>
          <idx val="58"/>
          <order val="58"/>
          <tx>
            <strRef>
              <f>'차트 데이터'!BW4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데이터'!$BW$5:$BW$70</f>
            </numRef>
          </val>
        </ser>
        <ser>
          <idx val="59"/>
          <order val="59"/>
          <tx>
            <strRef>
              <f>'차트 데이터'!BX4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데이터'!$BX$5:$BX$70</f>
            </numRef>
          </val>
        </ser>
        <ser>
          <idx val="60"/>
          <order val="60"/>
          <tx>
            <strRef>
              <f>'차트 데이터'!BY4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데이터'!$BY$5:$BY$70</f>
            </numRef>
          </val>
        </ser>
        <ser>
          <idx val="61"/>
          <order val="61"/>
          <tx>
            <strRef>
              <f>'차트 데이터'!BZ4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데이터'!$BZ$5:$BZ$70</f>
            </numRef>
          </val>
        </ser>
        <ser>
          <idx val="62"/>
          <order val="62"/>
          <tx>
            <strRef>
              <f>'차트 데이터'!CA4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데이터'!$CA$5:$CA$70</f>
            </numRef>
          </val>
        </ser>
        <ser>
          <idx val="63"/>
          <order val="63"/>
          <tx>
            <strRef>
              <f>'차트 데이터'!CB4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데이터'!$CB$5:$CB$70</f>
            </numRef>
          </val>
        </ser>
        <ser>
          <idx val="64"/>
          <order val="64"/>
          <tx>
            <strRef>
              <f>'차트 데이터'!CC4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데이터'!$CC$5:$CC$70</f>
            </numRef>
          </val>
        </ser>
        <ser>
          <idx val="65"/>
          <order val="65"/>
          <tx>
            <strRef>
              <f>'차트 데이터'!CD4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데이터'!$CD$5:$CD$70</f>
            </numRef>
          </val>
        </ser>
        <ser>
          <idx val="66"/>
          <order val="66"/>
          <tx>
            <strRef>
              <f>'차트 데이터'!CE4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데이터'!$CE$5:$CE$70</f>
            </numRef>
          </val>
        </ser>
        <ser>
          <idx val="67"/>
          <order val="67"/>
          <tx>
            <strRef>
              <f>'차트 데이터'!CF4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데이터'!$CF$5:$CF$70</f>
            </numRef>
          </val>
        </ser>
        <ser>
          <idx val="68"/>
          <order val="68"/>
          <tx>
            <strRef>
              <f>'차트 데이터'!CG4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데이터'!$CG$5:$CG$70</f>
            </numRef>
          </val>
        </ser>
        <ser>
          <idx val="69"/>
          <order val="69"/>
          <tx>
            <strRef>
              <f>'차트 데이터'!CH4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데이터'!$CH$5:$CH$70</f>
            </numRef>
          </val>
        </ser>
        <ser>
          <idx val="70"/>
          <order val="70"/>
          <tx>
            <strRef>
              <f>'차트 데이터'!CI4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데이터'!$CI$5:$CI$70</f>
            </numRef>
          </val>
        </ser>
        <ser>
          <idx val="71"/>
          <order val="71"/>
          <tx>
            <strRef>
              <f>'차트 데이터'!CJ4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데이터'!$CJ$5:$CJ$70</f>
            </numRef>
          </val>
        </ser>
        <ser>
          <idx val="72"/>
          <order val="72"/>
          <tx>
            <strRef>
              <f>'차트 데이터'!CK4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데이터'!$CK$5:$CK$70</f>
            </numRef>
          </val>
        </ser>
        <ser>
          <idx val="73"/>
          <order val="73"/>
          <tx>
            <strRef>
              <f>'차트 데이터'!CL4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데이터'!$CL$5:$CL$70</f>
            </numRef>
          </val>
        </ser>
        <ser>
          <idx val="74"/>
          <order val="74"/>
          <tx>
            <strRef>
              <f>'차트 데이터'!CM4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데이터'!$CM$5:$CM$70</f>
            </numRef>
          </val>
        </ser>
        <ser>
          <idx val="75"/>
          <order val="75"/>
          <tx>
            <strRef>
              <f>'차트 데이터'!CN4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데이터'!$CN$5:$CN$70</f>
            </numRef>
          </val>
        </ser>
        <ser>
          <idx val="76"/>
          <order val="76"/>
          <tx>
            <strRef>
              <f>'차트 데이터'!CO4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데이터'!$CO$5:$CO$70</f>
            </numRef>
          </val>
        </ser>
        <ser>
          <idx val="77"/>
          <order val="77"/>
          <tx>
            <strRef>
              <f>'차트 데이터'!CP4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데이터'!$CP$5:$CP$70</f>
            </numRef>
          </val>
        </ser>
        <ser>
          <idx val="78"/>
          <order val="78"/>
          <tx>
            <strRef>
              <f>'차트 데이터'!CQ4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데이터'!$CQ$5:$CQ$70</f>
            </numRef>
          </val>
        </ser>
        <ser>
          <idx val="79"/>
          <order val="79"/>
          <tx>
            <strRef>
              <f>'차트 데이터'!CR4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데이터'!$CR$5:$CR$70</f>
            </numRef>
          </val>
        </ser>
        <ser>
          <idx val="80"/>
          <order val="80"/>
          <tx>
            <strRef>
              <f>'차트 데이터'!CS4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데이터'!$CS$5:$CS$70</f>
            </numRef>
          </val>
        </ser>
        <ser>
          <idx val="81"/>
          <order val="81"/>
          <tx>
            <strRef>
              <f>'차트 데이터'!CT4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데이터'!$CT$5:$CT$70</f>
            </numRef>
          </val>
        </ser>
        <ser>
          <idx val="82"/>
          <order val="82"/>
          <tx>
            <strRef>
              <f>'차트 데이터'!CU4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데이터'!$CU$5:$CU$70</f>
            </numRef>
          </val>
        </ser>
        <ser>
          <idx val="83"/>
          <order val="83"/>
          <tx>
            <strRef>
              <f>'차트 데이터'!CV4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데이터'!$CV$5:$CV$70</f>
            </numRef>
          </val>
        </ser>
        <ser>
          <idx val="84"/>
          <order val="84"/>
          <tx>
            <strRef>
              <f>'차트 데이터'!CW4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데이터'!$CW$5:$CW$70</f>
            </numRef>
          </val>
        </ser>
        <ser>
          <idx val="85"/>
          <order val="85"/>
          <tx>
            <strRef>
              <f>'차트 데이터'!CX4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데이터'!$CX$5:$CX$70</f>
            </numRef>
          </val>
        </ser>
        <ser>
          <idx val="86"/>
          <order val="86"/>
          <tx>
            <strRef>
              <f>'차트 데이터'!CY4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데이터'!$CY$5:$CY$70</f>
            </numRef>
          </val>
        </ser>
        <ser>
          <idx val="87"/>
          <order val="87"/>
          <tx>
            <strRef>
              <f>'차트 데이터'!CZ4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데이터'!$CZ$5:$CZ$70</f>
            </numRef>
          </val>
        </ser>
        <ser>
          <idx val="88"/>
          <order val="88"/>
          <tx>
            <strRef>
              <f>'차트 데이터'!DA4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데이터'!$DA$5:$DA$70</f>
            </numRef>
          </val>
        </ser>
        <ser>
          <idx val="89"/>
          <order val="89"/>
          <tx>
            <strRef>
              <f>'차트 데이터'!DB4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데이터'!$DB$5:$DB$70</f>
            </numRef>
          </val>
        </ser>
        <ser>
          <idx val="90"/>
          <order val="90"/>
          <tx>
            <strRef>
              <f>'차트 데이터'!DC4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데이터'!$DC$5:$DC$70</f>
            </numRef>
          </val>
        </ser>
        <ser>
          <idx val="91"/>
          <order val="91"/>
          <tx>
            <strRef>
              <f>'차트 데이터'!DD4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데이터'!$P$5:$P$70</f>
            </numRef>
          </cat>
          <val>
            <numRef>
              <f>'차트 데이터'!$DD$5:$DD$70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  <tickLblSkip val="10"/>
        <tickMarkSkip val="1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클럭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'차트'!$B$4:$B$11</f>
            </numRef>
          </val>
        </ser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'차트'!$C$4:$C$11</f>
            </numRef>
          </val>
        </ser>
        <ser>
          <idx val="2"/>
          <order val="2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구간 종류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11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데이터'!$B$5:$B$6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데이터'!$C$5:$C$6</f>
            </numRef>
          </val>
        </ser>
        <ser>
          <idx val="2"/>
          <order val="2"/>
          <tx>
            <strRef>
              <f>'차트 데이터'!D4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데이터'!$D$5:$D$6</f>
            </numRef>
          </val>
        </ser>
        <ser>
          <idx val="3"/>
          <order val="3"/>
          <tx>
            <strRef>
              <f>'차트 데이터'!E4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데이터'!$E$5:$E$6</f>
            </numRef>
          </val>
        </ser>
        <ser>
          <idx val="4"/>
          <order val="4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데이터'!$F$5:$F$6</f>
            </numRef>
          </val>
        </ser>
        <ser>
          <idx val="5"/>
          <order val="5"/>
          <tx>
            <strRef>
              <f>'차트 데이터'!G4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데이터'!$G$5:$G$6</f>
            </numRef>
          </val>
        </ser>
        <ser>
          <idx val="6"/>
          <order val="6"/>
          <tx>
            <strRef>
              <f>'차트 데이터'!H4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데이터'!$H$5:$H$6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11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데이터'!$B$10:$B$11</f>
            </numRef>
          </val>
        </ser>
        <ser>
          <idx val="1"/>
          <order val="1"/>
          <tx>
            <strRef>
              <f>'차트 데이터'!C9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데이터'!$C$10:$C$11</f>
            </numRef>
          </val>
        </ser>
        <ser>
          <idx val="2"/>
          <order val="2"/>
          <tx>
            <strRef>
              <f>'차트 데이터'!D9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데이터'!$D$10:$D$11</f>
            </numRef>
          </val>
        </ser>
        <ser>
          <idx val="3"/>
          <order val="3"/>
          <tx>
            <strRef>
              <f>'차트 데이터'!E9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데이터'!$E$10:$E$11</f>
            </numRef>
          </val>
        </ser>
        <ser>
          <idx val="4"/>
          <order val="4"/>
          <tx>
            <strRef>
              <f>'차트 데이터'!F9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데이터'!$F$10:$F$11</f>
            </numRef>
          </val>
        </ser>
        <ser>
          <idx val="5"/>
          <order val="5"/>
          <tx>
            <strRef>
              <f>'차트 데이터'!G9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데이터'!$G$10:$G$11</f>
            </numRef>
          </val>
        </ser>
        <ser>
          <idx val="6"/>
          <order val="6"/>
          <tx>
            <strRef>
              <f>'차트 데이터'!H9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데이터'!$H$10:$H$11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11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</f>
            </numRef>
          </cat>
          <val>
            <numRef>
              <f>'차트 데이터'!$B$15</f>
            </numRef>
          </val>
        </ser>
        <ser>
          <idx val="1"/>
          <order val="1"/>
          <tx>
            <strRef>
              <f>'차트 데이터'!C14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</f>
            </numRef>
          </cat>
          <val>
            <numRef>
              <f>'차트 데이터'!$C$15</f>
            </numRef>
          </val>
        </ser>
        <ser>
          <idx val="2"/>
          <order val="2"/>
          <tx>
            <strRef>
              <f>'차트 데이터'!D14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</f>
            </numRef>
          </cat>
          <val>
            <numRef>
              <f>'차트 데이터'!$D$15</f>
            </numRef>
          </val>
        </ser>
        <ser>
          <idx val="3"/>
          <order val="3"/>
          <tx>
            <strRef>
              <f>'차트 데이터'!E14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</f>
            </numRef>
          </cat>
          <val>
            <numRef>
              <f>'차트 데이터'!$E$15</f>
            </numRef>
          </val>
        </ser>
        <ser>
          <idx val="4"/>
          <order val="4"/>
          <tx>
            <strRef>
              <f>'차트 데이터'!F14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</f>
            </numRef>
          </cat>
          <val>
            <numRef>
              <f>'차트 데이터'!$F$15</f>
            </numRef>
          </val>
        </ser>
        <ser>
          <idx val="5"/>
          <order val="5"/>
          <tx>
            <strRef>
              <f>'차트 데이터'!G14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</f>
            </numRef>
          </cat>
          <val>
            <numRef>
              <f>'차트 데이터'!$G$15</f>
            </numRef>
          </val>
        </ser>
        <ser>
          <idx val="6"/>
          <order val="6"/>
          <tx>
            <strRef>
              <f>'차트 데이터'!H14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</f>
            </numRef>
          </cat>
          <val>
            <numRef>
              <f>'차트 데이터'!$H$15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11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데이터'!$A$19:$A$20</f>
            </numRef>
          </cat>
          <val>
            <numRef>
              <f>'차트 데이터'!$B$19:$B$20</f>
            </numRef>
          </val>
        </ser>
        <ser>
          <idx val="1"/>
          <order val="1"/>
          <tx>
            <strRef>
              <f>'차트 데이터'!C18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데이터'!$A$19:$A$20</f>
            </numRef>
          </cat>
          <val>
            <numRef>
              <f>'차트 데이터'!$C$19:$C$20</f>
            </numRef>
          </val>
        </ser>
        <ser>
          <idx val="2"/>
          <order val="2"/>
          <tx>
            <strRef>
              <f>'차트 데이터'!D18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데이터'!$A$19:$A$20</f>
            </numRef>
          </cat>
          <val>
            <numRef>
              <f>'차트 데이터'!$D$19:$D$20</f>
            </numRef>
          </val>
        </ser>
        <ser>
          <idx val="3"/>
          <order val="3"/>
          <tx>
            <strRef>
              <f>'차트 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데이터'!$A$19:$A$20</f>
            </numRef>
          </cat>
          <val>
            <numRef>
              <f>'차트 데이터'!$E$19:$E$20</f>
            </numRef>
          </val>
        </ser>
        <ser>
          <idx val="4"/>
          <order val="4"/>
          <tx>
            <strRef>
              <f>'차트 데이터'!F18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데이터'!$A$19:$A$20</f>
            </numRef>
          </cat>
          <val>
            <numRef>
              <f>'차트 데이터'!$F$19:$F$20</f>
            </numRef>
          </val>
        </ser>
        <ser>
          <idx val="5"/>
          <order val="5"/>
          <tx>
            <strRef>
              <f>'차트 데이터'!G18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데이터'!$A$19:$A$20</f>
            </numRef>
          </cat>
          <val>
            <numRef>
              <f>'차트 데이터'!$G$19:$G$20</f>
            </numRef>
          </val>
        </ser>
        <ser>
          <idx val="6"/>
          <order val="6"/>
          <tx>
            <strRef>
              <f>'차트 데이터'!H18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데이터'!$A$19:$A$20</f>
            </numRef>
          </cat>
          <val>
            <numRef>
              <f>'차트 데이터'!$H$19:$H$20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11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데이터'!$A$24:$A$25</f>
            </numRef>
          </cat>
          <val>
            <numRef>
              <f>'차트 데이터'!$B$24:$B$25</f>
            </numRef>
          </val>
        </ser>
        <ser>
          <idx val="1"/>
          <order val="1"/>
          <tx>
            <strRef>
              <f>'차트 데이터'!C23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데이터'!$A$24:$A$25</f>
            </numRef>
          </cat>
          <val>
            <numRef>
              <f>'차트 데이터'!$C$24:$C$25</f>
            </numRef>
          </val>
        </ser>
        <ser>
          <idx val="2"/>
          <order val="2"/>
          <tx>
            <strRef>
              <f>'차트 데이터'!D23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데이터'!$A$24:$A$25</f>
            </numRef>
          </cat>
          <val>
            <numRef>
              <f>'차트 데이터'!$D$24:$D$25</f>
            </numRef>
          </val>
        </ser>
        <ser>
          <idx val="3"/>
          <order val="3"/>
          <tx>
            <strRef>
              <f>'차트 데이터'!E23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데이터'!$A$24:$A$25</f>
            </numRef>
          </cat>
          <val>
            <numRef>
              <f>'차트 데이터'!$E$24:$E$25</f>
            </numRef>
          </val>
        </ser>
        <ser>
          <idx val="4"/>
          <order val="4"/>
          <tx>
            <strRef>
              <f>'차트 데이터'!F23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데이터'!$A$24:$A$25</f>
            </numRef>
          </cat>
          <val>
            <numRef>
              <f>'차트 데이터'!$F$24:$F$25</f>
            </numRef>
          </val>
        </ser>
        <ser>
          <idx val="5"/>
          <order val="5"/>
          <tx>
            <strRef>
              <f>'차트 데이터'!G23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데이터'!$A$24:$A$25</f>
            </numRef>
          </cat>
          <val>
            <numRef>
              <f>'차트 데이터'!$G$24:$G$25</f>
            </numRef>
          </val>
        </ser>
        <ser>
          <idx val="6"/>
          <order val="6"/>
          <tx>
            <strRef>
              <f>'차트 데이터'!H23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데이터'!$A$24:$A$25</f>
            </numRef>
          </cat>
          <val>
            <numRef>
              <f>'차트 데이터'!$H$24:$H$25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11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</f>
            </numRef>
          </cat>
          <val>
            <numRef>
              <f>'차트 데이터'!$B$29</f>
            </numRef>
          </val>
        </ser>
        <ser>
          <idx val="1"/>
          <order val="1"/>
          <tx>
            <strRef>
              <f>'차트 데이터'!C28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</f>
            </numRef>
          </cat>
          <val>
            <numRef>
              <f>'차트 데이터'!$C$29</f>
            </numRef>
          </val>
        </ser>
        <ser>
          <idx val="2"/>
          <order val="2"/>
          <tx>
            <strRef>
              <f>'차트 데이터'!D28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</f>
            </numRef>
          </cat>
          <val>
            <numRef>
              <f>'차트 데이터'!$D$29</f>
            </numRef>
          </val>
        </ser>
        <ser>
          <idx val="3"/>
          <order val="3"/>
          <tx>
            <strRef>
              <f>'차트 데이터'!E28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</f>
            </numRef>
          </cat>
          <val>
            <numRef>
              <f>'차트 데이터'!$E$29</f>
            </numRef>
          </val>
        </ser>
        <ser>
          <idx val="4"/>
          <order val="4"/>
          <tx>
            <strRef>
              <f>'차트 데이터'!F28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</f>
            </numRef>
          </cat>
          <val>
            <numRef>
              <f>'차트 데이터'!$F$29</f>
            </numRef>
          </val>
        </ser>
        <ser>
          <idx val="5"/>
          <order val="5"/>
          <tx>
            <strRef>
              <f>'차트 데이터'!G28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</f>
            </numRef>
          </cat>
          <val>
            <numRef>
              <f>'차트 데이터'!$G$29</f>
            </numRef>
          </val>
        </ser>
        <ser>
          <idx val="6"/>
          <order val="6"/>
          <tx>
            <strRef>
              <f>'차트 데이터'!H28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</f>
            </numRef>
          </cat>
          <val>
            <numRef>
              <f>'차트 데이터'!$H$29</f>
            </numRef>
          </val>
        </ser>
        <ser>
          <idx val="7"/>
          <order val="7"/>
          <tx>
            <strRef>
              <f>'차트 데이터'!I28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</f>
            </numRef>
          </cat>
          <val>
            <numRef>
              <f>'차트 데이터'!$I$29</f>
            </numRef>
          </val>
        </ser>
        <ser>
          <idx val="8"/>
          <order val="8"/>
          <tx>
            <strRef>
              <f>'차트 데이터'!J28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</f>
            </numRef>
          </cat>
          <val>
            <numRef>
              <f>'차트 데이터'!$J$29</f>
            </numRef>
          </val>
        </ser>
        <ser>
          <idx val="9"/>
          <order val="9"/>
          <tx>
            <strRef>
              <f>'차트 데이터'!K28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</f>
            </numRef>
          </cat>
          <val>
            <numRef>
              <f>'차트 데이터'!$K$29</f>
            </numRef>
          </val>
        </ser>
        <ser>
          <idx val="10"/>
          <order val="10"/>
          <tx>
            <strRef>
              <f>'차트 데이터'!L28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</f>
            </numRef>
          </cat>
          <val>
            <numRef>
              <f>'차트 데이터'!$L$29</f>
            </numRef>
          </val>
        </ser>
        <ser>
          <idx val="11"/>
          <order val="11"/>
          <tx>
            <strRef>
              <f>'차트 데이터'!M28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</f>
            </numRef>
          </cat>
          <val>
            <numRef>
              <f>'차트 데이터'!$M$29</f>
            </numRef>
          </val>
        </ser>
        <ser>
          <idx val="12"/>
          <order val="12"/>
          <tx>
            <strRef>
              <f>'차트 데이터'!N28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</f>
            </numRef>
          </cat>
          <val>
            <numRef>
              <f>'차트 데이터'!$N$29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11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데이터'!$A$33:$A$34</f>
            </numRef>
          </cat>
          <val>
            <numRef>
              <f>'차트 데이터'!$B$33:$B$34</f>
            </numRef>
          </val>
        </ser>
        <ser>
          <idx val="1"/>
          <order val="1"/>
          <tx>
            <strRef>
              <f>'차트 데이터'!C32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데이터'!$A$33:$A$34</f>
            </numRef>
          </cat>
          <val>
            <numRef>
              <f>'차트 데이터'!$C$33:$C$34</f>
            </numRef>
          </val>
        </ser>
        <ser>
          <idx val="2"/>
          <order val="2"/>
          <tx>
            <strRef>
              <f>'차트 데이터'!D32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데이터'!$A$33:$A$34</f>
            </numRef>
          </cat>
          <val>
            <numRef>
              <f>'차트 데이터'!$D$33:$D$34</f>
            </numRef>
          </val>
        </ser>
        <ser>
          <idx val="3"/>
          <order val="3"/>
          <tx>
            <strRef>
              <f>'차트 데이터'!E32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데이터'!$A$33:$A$34</f>
            </numRef>
          </cat>
          <val>
            <numRef>
              <f>'차트 데이터'!$E$33:$E$34</f>
            </numRef>
          </val>
        </ser>
        <ser>
          <idx val="4"/>
          <order val="4"/>
          <tx>
            <strRef>
              <f>'차트 데이터'!F32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데이터'!$A$33:$A$34</f>
            </numRef>
          </cat>
          <val>
            <numRef>
              <f>'차트 데이터'!$F$33:$F$34</f>
            </numRef>
          </val>
        </ser>
        <ser>
          <idx val="5"/>
          <order val="5"/>
          <tx>
            <strRef>
              <f>'차트 데이터'!G32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데이터'!$A$33:$A$34</f>
            </numRef>
          </cat>
          <val>
            <numRef>
              <f>'차트 데이터'!$G$33:$G$34</f>
            </numRef>
          </val>
        </ser>
        <ser>
          <idx val="6"/>
          <order val="6"/>
          <tx>
            <strRef>
              <f>'차트 데이터'!H32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데이터'!$A$33:$A$34</f>
            </numRef>
          </cat>
          <val>
            <numRef>
              <f>'차트 데이터'!$H$33:$H$34</f>
            </numRef>
          </val>
        </ser>
        <ser>
          <idx val="7"/>
          <order val="7"/>
          <tx>
            <strRef>
              <f>'차트 데이터'!I32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데이터'!$A$33:$A$34</f>
            </numRef>
          </cat>
          <val>
            <numRef>
              <f>'차트 데이터'!$I$33:$I$34</f>
            </numRef>
          </val>
        </ser>
        <ser>
          <idx val="8"/>
          <order val="8"/>
          <tx>
            <strRef>
              <f>'차트 데이터'!J32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데이터'!$A$33:$A$34</f>
            </numRef>
          </cat>
          <val>
            <numRef>
              <f>'차트 데이터'!$J$33:$J$34</f>
            </numRef>
          </val>
        </ser>
        <ser>
          <idx val="9"/>
          <order val="9"/>
          <tx>
            <strRef>
              <f>'차트 데이터'!K32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데이터'!$A$33:$A$34</f>
            </numRef>
          </cat>
          <val>
            <numRef>
              <f>'차트 데이터'!$K$33:$K$34</f>
            </numRef>
          </val>
        </ser>
        <ser>
          <idx val="10"/>
          <order val="10"/>
          <tx>
            <strRef>
              <f>'차트 데이터'!L32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데이터'!$A$33:$A$34</f>
            </numRef>
          </cat>
          <val>
            <numRef>
              <f>'차트 데이터'!$L$33:$L$34</f>
            </numRef>
          </val>
        </ser>
        <ser>
          <idx val="11"/>
          <order val="11"/>
          <tx>
            <strRef>
              <f>'차트 데이터'!M32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데이터'!$A$33:$A$34</f>
            </numRef>
          </cat>
          <val>
            <numRef>
              <f>'차트 데이터'!$M$33:$M$34</f>
            </numRef>
          </val>
        </ser>
        <ser>
          <idx val="12"/>
          <order val="12"/>
          <tx>
            <strRef>
              <f>'차트 데이터'!N32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데이터'!$A$33:$A$34</f>
            </numRef>
          </cat>
          <val>
            <numRef>
              <f>'차트 데이터'!$N$33:$N$34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11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</f>
            </numRef>
          </cat>
          <val>
            <numRef>
              <f>'차트 데이터'!$B$38</f>
            </numRef>
          </val>
        </ser>
        <ser>
          <idx val="1"/>
          <order val="1"/>
          <tx>
            <strRef>
              <f>'차트 데이터'!C37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</f>
            </numRef>
          </cat>
          <val>
            <numRef>
              <f>'차트 데이터'!$C$38</f>
            </numRef>
          </val>
        </ser>
        <ser>
          <idx val="2"/>
          <order val="2"/>
          <tx>
            <strRef>
              <f>'차트 데이터'!D37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</f>
            </numRef>
          </cat>
          <val>
            <numRef>
              <f>'차트 데이터'!$D$38</f>
            </numRef>
          </val>
        </ser>
        <ser>
          <idx val="3"/>
          <order val="3"/>
          <tx>
            <strRef>
              <f>'차트 데이터'!E37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</f>
            </numRef>
          </cat>
          <val>
            <numRef>
              <f>'차트 데이터'!$E$38</f>
            </numRef>
          </val>
        </ser>
        <ser>
          <idx val="4"/>
          <order val="4"/>
          <tx>
            <strRef>
              <f>'차트 데이터'!F37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</f>
            </numRef>
          </cat>
          <val>
            <numRef>
              <f>'차트 데이터'!$F$38</f>
            </numRef>
          </val>
        </ser>
        <ser>
          <idx val="5"/>
          <order val="5"/>
          <tx>
            <strRef>
              <f>'차트 데이터'!G37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</f>
            </numRef>
          </cat>
          <val>
            <numRef>
              <f>'차트 데이터'!$G$38</f>
            </numRef>
          </val>
        </ser>
        <ser>
          <idx val="6"/>
          <order val="6"/>
          <tx>
            <strRef>
              <f>'차트 데이터'!H37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</f>
            </numRef>
          </cat>
          <val>
            <numRef>
              <f>'차트 데이터'!$H$38</f>
            </numRef>
          </val>
        </ser>
        <ser>
          <idx val="7"/>
          <order val="7"/>
          <tx>
            <strRef>
              <f>'차트 데이터'!I37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</f>
            </numRef>
          </cat>
          <val>
            <numRef>
              <f>'차트 데이터'!$I$38</f>
            </numRef>
          </val>
        </ser>
        <ser>
          <idx val="8"/>
          <order val="8"/>
          <tx>
            <strRef>
              <f>'차트 데이터'!J37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</f>
            </numRef>
          </cat>
          <val>
            <numRef>
              <f>'차트 데이터'!$J$38</f>
            </numRef>
          </val>
        </ser>
        <ser>
          <idx val="9"/>
          <order val="9"/>
          <tx>
            <strRef>
              <f>'차트 데이터'!K37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</f>
            </numRef>
          </cat>
          <val>
            <numRef>
              <f>'차트 데이터'!$K$38</f>
            </numRef>
          </val>
        </ser>
        <ser>
          <idx val="10"/>
          <order val="10"/>
          <tx>
            <strRef>
              <f>'차트 데이터'!L37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</f>
            </numRef>
          </cat>
          <val>
            <numRef>
              <f>'차트 데이터'!$L$38</f>
            </numRef>
          </val>
        </ser>
        <ser>
          <idx val="11"/>
          <order val="11"/>
          <tx>
            <strRef>
              <f>'차트 데이터'!M37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</f>
            </numRef>
          </cat>
          <val>
            <numRef>
              <f>'차트 데이터'!$M$38</f>
            </numRef>
          </val>
        </ser>
        <ser>
          <idx val="12"/>
          <order val="12"/>
          <tx>
            <strRef>
              <f>'차트 데이터'!N37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</f>
            </numRef>
          </cat>
          <val>
            <numRef>
              <f>'차트 데이터'!$N$38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11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데이터'!$A$42</f>
            </numRef>
          </cat>
          <val>
            <numRef>
              <f>'차트 데이터'!$B$42</f>
            </numRef>
          </val>
        </ser>
        <ser>
          <idx val="1"/>
          <order val="1"/>
          <tx>
            <strRef>
              <f>'차트 데이터'!C41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데이터'!$A$42</f>
            </numRef>
          </cat>
          <val>
            <numRef>
              <f>'차트 데이터'!$C$42</f>
            </numRef>
          </val>
        </ser>
        <ser>
          <idx val="2"/>
          <order val="2"/>
          <tx>
            <strRef>
              <f>'차트 데이터'!D41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데이터'!$A$42</f>
            </numRef>
          </cat>
          <val>
            <numRef>
              <f>'차트 데이터'!$D$42</f>
            </numRef>
          </val>
        </ser>
        <ser>
          <idx val="3"/>
          <order val="3"/>
          <tx>
            <strRef>
              <f>'차트 데이터'!E41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데이터'!$A$42</f>
            </numRef>
          </cat>
          <val>
            <numRef>
              <f>'차트 데이터'!$E$42</f>
            </numRef>
          </val>
        </ser>
        <ser>
          <idx val="4"/>
          <order val="4"/>
          <tx>
            <strRef>
              <f>'차트 데이터'!F41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데이터'!$A$42</f>
            </numRef>
          </cat>
          <val>
            <numRef>
              <f>'차트 데이터'!$F$42</f>
            </numRef>
          </val>
        </ser>
        <ser>
          <idx val="5"/>
          <order val="5"/>
          <tx>
            <strRef>
              <f>'차트 데이터'!G41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데이터'!$A$42</f>
            </numRef>
          </cat>
          <val>
            <numRef>
              <f>'차트 데이터'!$G$42</f>
            </numRef>
          </val>
        </ser>
        <ser>
          <idx val="6"/>
          <order val="6"/>
          <tx>
            <strRef>
              <f>'차트 데이터'!H41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데이터'!$A$42</f>
            </numRef>
          </cat>
          <val>
            <numRef>
              <f>'차트 데이터'!$H$42</f>
            </numRef>
          </val>
        </ser>
        <ser>
          <idx val="7"/>
          <order val="7"/>
          <tx>
            <strRef>
              <f>'차트 데이터'!I41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데이터'!$A$42</f>
            </numRef>
          </cat>
          <val>
            <numRef>
              <f>'차트 데이터'!$I$42</f>
            </numRef>
          </val>
        </ser>
        <ser>
          <idx val="8"/>
          <order val="8"/>
          <tx>
            <strRef>
              <f>'차트 데이터'!J41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데이터'!$A$42</f>
            </numRef>
          </cat>
          <val>
            <numRef>
              <f>'차트 데이터'!$J$42</f>
            </numRef>
          </val>
        </ser>
        <ser>
          <idx val="9"/>
          <order val="9"/>
          <tx>
            <strRef>
              <f>'차트 데이터'!K41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데이터'!$A$42</f>
            </numRef>
          </cat>
          <val>
            <numRef>
              <f>'차트 데이터'!$K$42</f>
            </numRef>
          </val>
        </ser>
        <ser>
          <idx val="10"/>
          <order val="10"/>
          <tx>
            <strRef>
              <f>'차트 데이터'!L41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데이터'!$A$42</f>
            </numRef>
          </cat>
          <val>
            <numRef>
              <f>'차트 데이터'!$L$42</f>
            </numRef>
          </val>
        </ser>
        <ser>
          <idx val="11"/>
          <order val="11"/>
          <tx>
            <strRef>
              <f>'차트 데이터'!M41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데이터'!$A$42</f>
            </numRef>
          </cat>
          <val>
            <numRef>
              <f>'차트 데이터'!$M$42</f>
            </numRef>
          </val>
        </ser>
        <ser>
          <idx val="12"/>
          <order val="12"/>
          <tx>
            <strRef>
              <f>'차트 데이터'!N41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데이터'!$A$42</f>
            </numRef>
          </cat>
          <val>
            <numRef>
              <f>'차트 데이터'!$N$42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11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데이터'!$B$46:$B$47</f>
            </numRef>
          </val>
        </ser>
        <ser>
          <idx val="1"/>
          <order val="1"/>
          <tx>
            <strRef>
              <f>'차트 데이터'!C45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데이터'!$C$46:$C$47</f>
            </numRef>
          </val>
        </ser>
        <ser>
          <idx val="2"/>
          <order val="2"/>
          <tx>
            <strRef>
              <f>'차트 데이터'!D45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데이터'!$D$46:$D$47</f>
            </numRef>
          </val>
        </ser>
        <ser>
          <idx val="3"/>
          <order val="3"/>
          <tx>
            <strRef>
              <f>'차트 데이터'!E45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데이터'!$E$46:$E$47</f>
            </numRef>
          </val>
        </ser>
        <ser>
          <idx val="4"/>
          <order val="4"/>
          <tx>
            <strRef>
              <f>'차트 데이터'!F45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데이터'!$F$46:$F$47</f>
            </numRef>
          </val>
        </ser>
        <ser>
          <idx val="5"/>
          <order val="5"/>
          <tx>
            <strRef>
              <f>'차트 데이터'!G45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데이터'!$G$46:$G$47</f>
            </numRef>
          </val>
        </ser>
        <ser>
          <idx val="6"/>
          <order val="6"/>
          <tx>
            <strRef>
              <f>'차트 데이터'!H45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데이터'!$H$46:$H$47</f>
            </numRef>
          </val>
        </ser>
        <ser>
          <idx val="7"/>
          <order val="7"/>
          <tx>
            <strRef>
              <f>'차트 데이터'!I45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데이터'!$I$46:$I$47</f>
            </numRef>
          </val>
        </ser>
        <ser>
          <idx val="8"/>
          <order val="8"/>
          <tx>
            <strRef>
              <f>'차트 데이터'!J45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데이터'!$J$46:$J$47</f>
            </numRef>
          </val>
        </ser>
        <ser>
          <idx val="9"/>
          <order val="9"/>
          <tx>
            <strRef>
              <f>'차트 데이터'!K45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데이터'!$K$46:$K$47</f>
            </numRef>
          </val>
        </ser>
        <ser>
          <idx val="10"/>
          <order val="10"/>
          <tx>
            <strRef>
              <f>'차트 데이터'!L45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데이터'!$L$46:$L$47</f>
            </numRef>
          </val>
        </ser>
        <ser>
          <idx val="11"/>
          <order val="11"/>
          <tx>
            <strRef>
              <f>'차트 데이터'!M45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데이터'!$M$46:$M$47</f>
            </numRef>
          </val>
        </ser>
        <ser>
          <idx val="12"/>
          <order val="12"/>
          <tx>
            <strRef>
              <f>'차트 데이터'!N45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데이터'!$A$46:$A$47</f>
            </numRef>
          </cat>
          <val>
            <numRef>
              <f>'차트 데이터'!$N$46:$N$47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77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107</row>
      <rowOff>0</rowOff>
    </from>
    <ext cx="57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122</row>
      <rowOff>0</rowOff>
    </from>
    <ext cx="57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137</row>
      <rowOff>0</rowOff>
    </from>
    <ext cx="57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152</row>
      <rowOff>0</rowOff>
    </from>
    <ext cx="57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167</row>
      <rowOff>0</rowOff>
    </from>
    <ext cx="576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182</row>
      <rowOff>0</rowOff>
    </from>
    <ext cx="576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논리 프로세서별 CPU 클럭, 표본 간격은 기록 도구 설정 (typeperf % Processor Performance)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출처: 작업 관리자 성능 탭의 기본 속도. GHz = 백분율 × 기본 클럭 ÷ 100</t>
        </is>
      </c>
    </row>
    <row r="3">
      <c r="A3" s="4" t="inlineStr">
        <is>
          <t>각 표본은 그 시각까지의 직전 표본 간격 구간의 평균이다. 백분율은 기본 클럭 대비 값이라 터보 구간에서 100을 넘는다.</t>
        </is>
      </c>
    </row>
    <row r="5">
      <c r="A5" s="5" t="inlineStr">
        <is>
          <t>시각</t>
        </is>
      </c>
      <c r="B5" s="5" t="inlineStr">
        <is>
          <t>논리 0(%)</t>
        </is>
      </c>
      <c r="C5" s="5" t="inlineStr">
        <is>
          <t>논리 1(%)</t>
        </is>
      </c>
      <c r="D5" s="5" t="inlineStr">
        <is>
          <t>논리 2(%)</t>
        </is>
      </c>
      <c r="E5" s="5" t="inlineStr">
        <is>
          <t>논리 3(%)</t>
        </is>
      </c>
      <c r="F5" s="5" t="inlineStr">
        <is>
          <t>논리 4(%)</t>
        </is>
      </c>
      <c r="G5" s="5" t="inlineStr">
        <is>
          <t>논리 5(%)</t>
        </is>
      </c>
      <c r="H5" s="5" t="inlineStr">
        <is>
          <t>논리 6(%)</t>
        </is>
      </c>
      <c r="I5" s="5" t="inlineStr">
        <is>
          <t>논리 7(%)</t>
        </is>
      </c>
      <c r="J5" s="5" t="inlineStr">
        <is>
          <t>논리 8(%)</t>
        </is>
      </c>
      <c r="K5" s="5" t="inlineStr">
        <is>
          <t>논리 9(%)</t>
        </is>
      </c>
      <c r="L5" s="5" t="inlineStr">
        <is>
          <t>논리 10(%)</t>
        </is>
      </c>
      <c r="M5" s="5" t="inlineStr">
        <is>
          <t>논리 11(%)</t>
        </is>
      </c>
      <c r="N5" s="5" t="inlineStr">
        <is>
          <t>전체 평균(%)</t>
        </is>
      </c>
      <c r="O5" s="5" t="inlineStr">
        <is>
          <t>전체 평균(GHz)</t>
        </is>
      </c>
    </row>
    <row r="6">
      <c r="A6" s="6" t="n">
        <v>46238.50787802084</v>
      </c>
      <c r="B6" s="7" t="n">
        <v>158.1591111439155</v>
      </c>
      <c r="C6" s="7" t="n">
        <v>162.4100195548934</v>
      </c>
      <c r="D6" s="7" t="n">
        <v>136.0164813549496</v>
      </c>
      <c r="E6" s="7" t="n">
        <v>123.3487672018349</v>
      </c>
      <c r="F6" s="7" t="n">
        <v>146.8965765068484</v>
      </c>
      <c r="G6" s="7" t="n">
        <v>147.811530963969</v>
      </c>
      <c r="H6" s="7" t="n">
        <v>147.2804144661444</v>
      </c>
      <c r="I6" s="7" t="n">
        <v>144.2407159115712</v>
      </c>
      <c r="J6" s="7" t="n">
        <v>144.7793896647765</v>
      </c>
      <c r="K6" s="7" t="n">
        <v>143.5606916871951</v>
      </c>
      <c r="L6" s="7" t="n">
        <v>140.4259638130554</v>
      </c>
      <c r="M6" s="7" t="n">
        <v>154.5906276740323</v>
      </c>
      <c r="N6" s="7" t="n">
        <v>151.4647115384615</v>
      </c>
      <c r="O6" s="8">
        <f>N6*$B$2/100</f>
        <v/>
      </c>
    </row>
    <row r="7">
      <c r="A7" s="6" t="n">
        <v>46238.50788972222</v>
      </c>
      <c r="B7" s="7" t="n">
        <v>142.690721012433</v>
      </c>
      <c r="C7" s="7" t="n">
        <v>161.2470174520831</v>
      </c>
      <c r="D7" s="7" t="n">
        <v>158.1803865016644</v>
      </c>
      <c r="E7" s="7" t="n">
        <v>146.1772572472797</v>
      </c>
      <c r="F7" s="7" t="n">
        <v>160.7465574694338</v>
      </c>
      <c r="G7" s="7" t="n">
        <v>145.5415984855777</v>
      </c>
      <c r="H7" s="7" t="n">
        <v>149.7184989099969</v>
      </c>
      <c r="I7" s="7" t="n">
        <v>149.5664039601381</v>
      </c>
      <c r="J7" s="7" t="n">
        <v>145.1075991930061</v>
      </c>
      <c r="K7" s="7" t="n">
        <v>147.3711445122906</v>
      </c>
      <c r="L7" s="7" t="n">
        <v>143.5249932632714</v>
      </c>
      <c r="M7" s="7" t="n">
        <v>119.1652390852391</v>
      </c>
      <c r="N7" s="7" t="n">
        <v>152.9032150868157</v>
      </c>
      <c r="O7" s="8">
        <f>N7*$B$2/100</f>
        <v/>
      </c>
    </row>
    <row r="8">
      <c r="A8" s="6" t="n">
        <v>46238.5079016088</v>
      </c>
      <c r="B8" s="7" t="n">
        <v>149.1822459270753</v>
      </c>
      <c r="C8" s="7" t="n">
        <v>153.6352023954576</v>
      </c>
      <c r="D8" s="7" t="n">
        <v>152.454368349631</v>
      </c>
      <c r="E8" s="7" t="n">
        <v>151.7276062747941</v>
      </c>
      <c r="F8" s="7" t="n">
        <v>151.0176009395632</v>
      </c>
      <c r="G8" s="7" t="n">
        <v>151.3841262071483</v>
      </c>
      <c r="H8" s="7" t="n">
        <v>152.6676818536119</v>
      </c>
      <c r="I8" s="7" t="n">
        <v>151.0228131271396</v>
      </c>
      <c r="J8" s="7" t="n">
        <v>150.9055657913385</v>
      </c>
      <c r="K8" s="7" t="n">
        <v>150.7885731638109</v>
      </c>
      <c r="L8" s="7" t="n">
        <v>149.4670917407576</v>
      </c>
      <c r="M8" s="7" t="n">
        <v>151.2567232366127</v>
      </c>
      <c r="N8" s="7" t="n">
        <v>151.3467791350018</v>
      </c>
      <c r="O8" s="8">
        <f>N8*$B$2/100</f>
        <v/>
      </c>
    </row>
    <row r="9">
      <c r="A9" s="6" t="n">
        <v>46238.50791328704</v>
      </c>
      <c r="B9" s="7" t="n">
        <v>155.2598571186449</v>
      </c>
      <c r="C9" s="7" t="n">
        <v>151.344353690849</v>
      </c>
      <c r="D9" s="7" t="n">
        <v>150.0544735798447</v>
      </c>
      <c r="E9" s="7" t="n">
        <v>152.4771794527204</v>
      </c>
      <c r="F9" s="7" t="n">
        <v>150.4180921022876</v>
      </c>
      <c r="G9" s="7" t="n">
        <v>153.0639265587607</v>
      </c>
      <c r="H9" s="7" t="n">
        <v>149.575017802471</v>
      </c>
      <c r="I9" s="7" t="n">
        <v>150.8744174759959</v>
      </c>
      <c r="J9" s="7" t="n">
        <v>150.5719371655127</v>
      </c>
      <c r="K9" s="7" t="n">
        <v>151.0615937969209</v>
      </c>
      <c r="L9" s="7" t="n">
        <v>150.6178789459153</v>
      </c>
      <c r="M9" s="7" t="n">
        <v>151.6216619048229</v>
      </c>
      <c r="N9" s="7" t="n">
        <v>151.7023074885653</v>
      </c>
      <c r="O9" s="8">
        <f>N9*$B$2/100</f>
        <v/>
      </c>
    </row>
    <row r="10">
      <c r="A10" s="6" t="n">
        <v>46238.5079249537</v>
      </c>
      <c r="B10" s="7" t="n">
        <v>147.3599584956195</v>
      </c>
      <c r="C10" s="7" t="n">
        <v>146.6458650880862</v>
      </c>
      <c r="D10" s="7" t="n">
        <v>136.0771467429536</v>
      </c>
      <c r="E10" s="7" t="n">
        <v>140.0504241621178</v>
      </c>
      <c r="F10" s="7" t="n">
        <v>152.5553869889432</v>
      </c>
      <c r="G10" s="7" t="n">
        <v>129.1153693722258</v>
      </c>
      <c r="H10" s="7" t="n">
        <v>144.6365327918299</v>
      </c>
      <c r="I10" s="7" t="n">
        <v>126.7814779270633</v>
      </c>
      <c r="J10" s="7" t="n">
        <v>138.1844935647778</v>
      </c>
      <c r="K10" s="7" t="n">
        <v>113.4756930809707</v>
      </c>
      <c r="L10" s="7" t="n">
        <v>141.7400345146079</v>
      </c>
      <c r="M10" s="7" t="n">
        <v>147.2933030604395</v>
      </c>
      <c r="N10" s="7" t="n">
        <v>143.4285090926245</v>
      </c>
      <c r="O10" s="8">
        <f>N10*$B$2/100</f>
        <v/>
      </c>
    </row>
    <row r="11">
      <c r="A11" s="6" t="n">
        <v>46238.50793672453</v>
      </c>
      <c r="B11" s="7" t="n">
        <v>153.3706514546949</v>
      </c>
      <c r="C11" s="7" t="n">
        <v>154.9183681372823</v>
      </c>
      <c r="D11" s="7" t="n">
        <v>150.5332593277296</v>
      </c>
      <c r="E11" s="7" t="n">
        <v>153.6603188873678</v>
      </c>
      <c r="F11" s="7" t="n">
        <v>152.0430757404897</v>
      </c>
      <c r="G11" s="7" t="n">
        <v>149.0753733979211</v>
      </c>
      <c r="H11" s="7" t="n">
        <v>149.91937023463</v>
      </c>
      <c r="I11" s="7" t="n">
        <v>152.0818187575201</v>
      </c>
      <c r="J11" s="7" t="n">
        <v>150.8234347492029</v>
      </c>
      <c r="K11" s="7" t="n">
        <v>157.3367572875351</v>
      </c>
      <c r="L11" s="7" t="n">
        <v>156.3907426871976</v>
      </c>
      <c r="M11" s="7" t="n">
        <v>155.2447464673316</v>
      </c>
      <c r="N11" s="7" t="n">
        <v>153.1385488493516</v>
      </c>
      <c r="O11" s="8">
        <f>N11*$B$2/100</f>
        <v/>
      </c>
    </row>
    <row r="12">
      <c r="A12" s="6" t="n">
        <v>46238.50794832176</v>
      </c>
      <c r="B12" s="7" t="n">
        <v>154.6386190640304</v>
      </c>
      <c r="C12" s="7" t="n">
        <v>155.5860576766819</v>
      </c>
      <c r="D12" s="7" t="n">
        <v>155.5990891079063</v>
      </c>
      <c r="E12" s="7" t="n">
        <v>152.3186435631091</v>
      </c>
      <c r="F12" s="7" t="n">
        <v>151.7539266012872</v>
      </c>
      <c r="G12" s="7" t="n">
        <v>149.6149547765677</v>
      </c>
      <c r="H12" s="7" t="n">
        <v>151.4174393316351</v>
      </c>
      <c r="I12" s="7" t="n">
        <v>156.7583569151537</v>
      </c>
      <c r="J12" s="7" t="n">
        <v>151.0259304503624</v>
      </c>
      <c r="K12" s="7" t="n">
        <v>152.4879479838084</v>
      </c>
      <c r="L12" s="7" t="n">
        <v>154.5831884540455</v>
      </c>
      <c r="M12" s="7" t="n">
        <v>156.8243310454591</v>
      </c>
      <c r="N12" s="7" t="n">
        <v>153.9374462652737</v>
      </c>
      <c r="O12" s="8">
        <f>N12*$B$2/100</f>
        <v/>
      </c>
    </row>
    <row r="13">
      <c r="A13" s="6" t="n">
        <v>46238.50796008102</v>
      </c>
      <c r="B13" s="7" t="n">
        <v>158.6500514305307</v>
      </c>
      <c r="C13" s="7" t="n">
        <v>161.0336071350938</v>
      </c>
      <c r="D13" s="7" t="n">
        <v>150.9313054907325</v>
      </c>
      <c r="E13" s="7" t="n">
        <v>155.2159229175573</v>
      </c>
      <c r="F13" s="7" t="n">
        <v>160.5195373587796</v>
      </c>
      <c r="G13" s="7" t="n">
        <v>156.1485408311289</v>
      </c>
      <c r="H13" s="7" t="n">
        <v>153.5739080934469</v>
      </c>
      <c r="I13" s="7" t="n">
        <v>156.581574098447</v>
      </c>
      <c r="J13" s="7" t="n">
        <v>142.168842234416</v>
      </c>
      <c r="K13" s="7" t="n">
        <v>121.3713066999584</v>
      </c>
      <c r="L13" s="7" t="n">
        <v>160.6808689558514</v>
      </c>
      <c r="M13" s="7" t="n">
        <v>156.1725517677909</v>
      </c>
      <c r="N13" s="7" t="n">
        <v>157.9710475522022</v>
      </c>
      <c r="O13" s="8">
        <f>N13*$B$2/100</f>
        <v/>
      </c>
    </row>
    <row r="14">
      <c r="A14" s="6" t="n">
        <v>46238.50797184028</v>
      </c>
      <c r="B14" s="7" t="n">
        <v>156.5712129860584</v>
      </c>
      <c r="C14" s="7" t="n">
        <v>157.7719989077792</v>
      </c>
      <c r="D14" s="7" t="n">
        <v>150.0003780944042</v>
      </c>
      <c r="E14" s="7" t="n">
        <v>143.4899116224779</v>
      </c>
      <c r="F14" s="7" t="n">
        <v>156.2142376077586</v>
      </c>
      <c r="G14" s="7" t="n">
        <v>144.1981455064194</v>
      </c>
      <c r="H14" s="7" t="n">
        <v>150.1226559073766</v>
      </c>
      <c r="I14" s="7" t="n">
        <v>149.8155594129714</v>
      </c>
      <c r="J14" s="7" t="n">
        <v>158.5024965310161</v>
      </c>
      <c r="K14" s="7" t="n">
        <v>129.1673994284458</v>
      </c>
      <c r="L14" s="7" t="n">
        <v>160.8228577942722</v>
      </c>
      <c r="M14" s="7" t="n">
        <v>159.4887812167455</v>
      </c>
      <c r="N14" s="7" t="n">
        <v>157.2820948297464</v>
      </c>
      <c r="O14" s="8">
        <f>N14*$B$2/100</f>
        <v/>
      </c>
    </row>
    <row r="15">
      <c r="A15" s="6" t="n">
        <v>46238.50798357639</v>
      </c>
      <c r="B15" s="7" t="n">
        <v>160.0708171379073</v>
      </c>
      <c r="C15" s="7" t="n">
        <v>158.5122980571654</v>
      </c>
      <c r="D15" s="7" t="n">
        <v>139.900401150776</v>
      </c>
      <c r="E15" s="7" t="n">
        <v>156.6815168661311</v>
      </c>
      <c r="F15" s="7" t="n">
        <v>130.3329086147094</v>
      </c>
      <c r="G15" s="7" t="n">
        <v>156.8634226532961</v>
      </c>
      <c r="H15" s="7" t="n">
        <v>149.5015486129814</v>
      </c>
      <c r="I15" s="7" t="n">
        <v>127.7410284141186</v>
      </c>
      <c r="J15" s="7" t="n">
        <v>156.0928121611958</v>
      </c>
      <c r="K15" s="7" t="n">
        <v>139.9684294755219</v>
      </c>
      <c r="L15" s="7" t="n">
        <v>160.3892707083178</v>
      </c>
      <c r="M15" s="7" t="n">
        <v>160.7997500697943</v>
      </c>
      <c r="N15" s="7" t="n">
        <v>157.858426900356</v>
      </c>
      <c r="O15" s="8">
        <f>N15*$B$2/100</f>
        <v/>
      </c>
    </row>
    <row r="16">
      <c r="A16" s="6" t="n">
        <v>46238.50799532407</v>
      </c>
      <c r="B16" s="7" t="n">
        <v>157.9880329053104</v>
      </c>
      <c r="C16" s="7" t="n">
        <v>161.4841389990951</v>
      </c>
      <c r="D16" s="7" t="n">
        <v>154.8913996411177</v>
      </c>
      <c r="E16" s="7" t="n">
        <v>156.1305407335826</v>
      </c>
      <c r="F16" s="7" t="n">
        <v>159.401564657156</v>
      </c>
      <c r="G16" s="7" t="n">
        <v>146.8022060982259</v>
      </c>
      <c r="H16" s="7" t="n">
        <v>151.1615051816078</v>
      </c>
      <c r="I16" s="7" t="n">
        <v>155.658871400465</v>
      </c>
      <c r="J16" s="7" t="n">
        <v>145.7984242209632</v>
      </c>
      <c r="K16" s="7" t="n">
        <v>113.0790824510748</v>
      </c>
      <c r="L16" s="7" t="n">
        <v>160.976799408887</v>
      </c>
      <c r="M16" s="7" t="n">
        <v>158.168761375761</v>
      </c>
      <c r="N16" s="7" t="n">
        <v>157.946325043863</v>
      </c>
      <c r="O16" s="8">
        <f>N16*$B$2/100</f>
        <v/>
      </c>
    </row>
    <row r="17">
      <c r="A17" s="6" t="n">
        <v>46238.50800704861</v>
      </c>
      <c r="B17" s="7" t="n">
        <v>159.3119592198582</v>
      </c>
      <c r="C17" s="7" t="n">
        <v>163.3930943584209</v>
      </c>
      <c r="D17" s="7" t="n">
        <v>159.9715484060714</v>
      </c>
      <c r="E17" s="7" t="n">
        <v>157.5007040634519</v>
      </c>
      <c r="F17" s="7" t="n">
        <v>137.8067719881744</v>
      </c>
      <c r="G17" s="7" t="n">
        <v>155.8739169335091</v>
      </c>
      <c r="H17" s="7" t="n">
        <v>154.2862266550448</v>
      </c>
      <c r="I17" s="7" t="n">
        <v>125.6326337009368</v>
      </c>
      <c r="J17" s="7" t="n">
        <v>145.985189858706</v>
      </c>
      <c r="K17" s="7" t="n">
        <v>150.7968772659158</v>
      </c>
      <c r="L17" s="7" t="n">
        <v>160.5059128362299</v>
      </c>
      <c r="M17" s="7" t="n">
        <v>159.3302471209535</v>
      </c>
      <c r="N17" s="7" t="n">
        <v>158.3711229419304</v>
      </c>
      <c r="O17" s="8">
        <f>N17*$B$2/100</f>
        <v/>
      </c>
    </row>
    <row r="18">
      <c r="A18" s="6" t="n">
        <v>46238.5080187963</v>
      </c>
      <c r="B18" s="7" t="n">
        <v>153.4117850141178</v>
      </c>
      <c r="C18" s="7" t="n">
        <v>160.7397537249321</v>
      </c>
      <c r="D18" s="7" t="n">
        <v>158.4080368882725</v>
      </c>
      <c r="E18" s="7" t="n">
        <v>142.25380781919</v>
      </c>
      <c r="F18" s="7" t="n">
        <v>141.2860212165973</v>
      </c>
      <c r="G18" s="7" t="n">
        <v>143.9720343990022</v>
      </c>
      <c r="H18" s="7" t="n">
        <v>149.8572407715656</v>
      </c>
      <c r="I18" s="7" t="n">
        <v>142.3755392235181</v>
      </c>
      <c r="J18" s="7" t="n">
        <v>145.6620468374738</v>
      </c>
      <c r="K18" s="7" t="n">
        <v>158.0281517747858</v>
      </c>
      <c r="L18" s="7" t="n">
        <v>160.0183072067966</v>
      </c>
      <c r="M18" s="7" t="n">
        <v>157.5937873357228</v>
      </c>
      <c r="N18" s="7" t="n">
        <v>156.220541475297</v>
      </c>
      <c r="O18" s="8">
        <f>N18*$B$2/100</f>
        <v/>
      </c>
    </row>
    <row r="19">
      <c r="A19" s="6" t="n">
        <v>46238.50803040509</v>
      </c>
      <c r="B19" s="7" t="n">
        <v>158.3400415305413</v>
      </c>
      <c r="C19" s="7" t="n">
        <v>158.9991926073479</v>
      </c>
      <c r="D19" s="7" t="n">
        <v>150.8795696857039</v>
      </c>
      <c r="E19" s="7" t="n">
        <v>141.6509346156829</v>
      </c>
      <c r="F19" s="7" t="n">
        <v>155.6142312654792</v>
      </c>
      <c r="G19" s="7" t="n">
        <v>154.6844243580887</v>
      </c>
      <c r="H19" s="7" t="n">
        <v>150.2599004573581</v>
      </c>
      <c r="I19" s="7" t="n">
        <v>155.2576878285229</v>
      </c>
      <c r="J19" s="7" t="n">
        <v>132.5456241787122</v>
      </c>
      <c r="K19" s="7" t="n">
        <v>153.0042786132259</v>
      </c>
      <c r="L19" s="7" t="n">
        <v>157.1624406754887</v>
      </c>
      <c r="M19" s="7" t="n">
        <v>155.6448347658961</v>
      </c>
      <c r="N19" s="7" t="n">
        <v>155.0009872458509</v>
      </c>
      <c r="O19" s="8">
        <f>N19*$B$2/100</f>
        <v/>
      </c>
    </row>
    <row r="20">
      <c r="A20" s="6" t="n">
        <v>46238.50804216435</v>
      </c>
      <c r="B20" s="7" t="n">
        <v>152.5184002977255</v>
      </c>
      <c r="C20" s="7" t="n">
        <v>159.9162067470501</v>
      </c>
      <c r="D20" s="7" t="n">
        <v>155.1581293153199</v>
      </c>
      <c r="E20" s="7" t="n">
        <v>154.64387136865</v>
      </c>
      <c r="F20" s="7" t="n">
        <v>147.0765736534718</v>
      </c>
      <c r="G20" s="7" t="n">
        <v>138.866393596398</v>
      </c>
      <c r="H20" s="7" t="n">
        <v>145.7118230071868</v>
      </c>
      <c r="I20" s="7" t="n">
        <v>142.5954915254237</v>
      </c>
      <c r="J20" s="7" t="n">
        <v>155.692727219982</v>
      </c>
      <c r="K20" s="7" t="n">
        <v>158.0060445899441</v>
      </c>
      <c r="L20" s="7" t="n">
        <v>158.114386055631</v>
      </c>
      <c r="M20" s="7" t="n">
        <v>159.8129789070796</v>
      </c>
      <c r="N20" s="7" t="n">
        <v>155.5616031707514</v>
      </c>
      <c r="O20" s="8">
        <f>N20*$B$2/100</f>
        <v/>
      </c>
    </row>
    <row r="21">
      <c r="A21" s="6" t="n">
        <v>46238.50805391204</v>
      </c>
      <c r="B21" s="7" t="n">
        <v>160.3422951723188</v>
      </c>
      <c r="C21" s="7" t="n">
        <v>156.8940896927194</v>
      </c>
      <c r="D21" s="7" t="n">
        <v>156.0480839095277</v>
      </c>
      <c r="E21" s="7" t="n">
        <v>159.4340424700873</v>
      </c>
      <c r="F21" s="7" t="n">
        <v>152.5787184235352</v>
      </c>
      <c r="G21" s="7" t="n">
        <v>149.906481454797</v>
      </c>
      <c r="H21" s="7" t="n">
        <v>148.7465351625494</v>
      </c>
      <c r="I21" s="7" t="n">
        <v>121.5462636587945</v>
      </c>
      <c r="J21" s="7" t="n">
        <v>144.8911029728565</v>
      </c>
      <c r="K21" s="7" t="n">
        <v>114.7520474777448</v>
      </c>
      <c r="L21" s="7" t="n">
        <v>159.9881940309382</v>
      </c>
      <c r="M21" s="7" t="n">
        <v>159.5857284031952</v>
      </c>
      <c r="N21" s="7" t="n">
        <v>157.4341085271318</v>
      </c>
      <c r="O21" s="8">
        <f>N21*$B$2/100</f>
        <v/>
      </c>
    </row>
    <row r="22">
      <c r="A22" s="6" t="n">
        <v>46238.508065625</v>
      </c>
      <c r="B22" s="7" t="n">
        <v>157.9105044463913</v>
      </c>
      <c r="C22" s="7" t="n">
        <v>159.7247814589614</v>
      </c>
      <c r="D22" s="7" t="n">
        <v>154.3536927884805</v>
      </c>
      <c r="E22" s="7" t="n">
        <v>160.7012158863295</v>
      </c>
      <c r="F22" s="7" t="n">
        <v>158.7617278908561</v>
      </c>
      <c r="G22" s="7" t="n">
        <v>145.8061665037471</v>
      </c>
      <c r="H22" s="7" t="n">
        <v>149.9733757107264</v>
      </c>
      <c r="I22" s="7" t="n">
        <v>154.5946128335647</v>
      </c>
      <c r="J22" s="7" t="n">
        <v>147.1887987228948</v>
      </c>
      <c r="K22" s="7" t="n">
        <v>127.7200341653222</v>
      </c>
      <c r="L22" s="7" t="n">
        <v>159.562531960643</v>
      </c>
      <c r="M22" s="7" t="n">
        <v>159.1411110240539</v>
      </c>
      <c r="N22" s="7" t="n">
        <v>157.4361307533483</v>
      </c>
      <c r="O22" s="8">
        <f>N22*$B$2/100</f>
        <v/>
      </c>
    </row>
    <row r="23">
      <c r="A23" s="6" t="n">
        <v>46238.50807722222</v>
      </c>
      <c r="B23" s="7" t="n">
        <v>159.8430187959857</v>
      </c>
      <c r="C23" s="7" t="n">
        <v>161.6760998479363</v>
      </c>
      <c r="D23" s="7" t="n">
        <v>155.3223574595465</v>
      </c>
      <c r="E23" s="7" t="n">
        <v>155.2078310149408</v>
      </c>
      <c r="F23" s="7" t="n">
        <v>149.2595465015532</v>
      </c>
      <c r="G23" s="7" t="n">
        <v>139.9422080124013</v>
      </c>
      <c r="H23" s="7" t="n">
        <v>151.3324023468896</v>
      </c>
      <c r="I23" s="7" t="n">
        <v>115.3717485998755</v>
      </c>
      <c r="J23" s="7" t="n">
        <v>160.9094955023947</v>
      </c>
      <c r="K23" s="7" t="n">
        <v>152.6981356050555</v>
      </c>
      <c r="L23" s="7" t="n">
        <v>161.9503190575281</v>
      </c>
      <c r="M23" s="7" t="n">
        <v>155.10921651533</v>
      </c>
      <c r="N23" s="7" t="n">
        <v>158.3689886845827</v>
      </c>
      <c r="O23" s="8">
        <f>N23*$B$2/100</f>
        <v/>
      </c>
    </row>
    <row r="24">
      <c r="A24" s="6" t="n">
        <v>46238.50808896991</v>
      </c>
      <c r="B24" s="7" t="n">
        <v>158.6597562412452</v>
      </c>
      <c r="C24" s="7" t="n">
        <v>158.2110646599777</v>
      </c>
      <c r="D24" s="7" t="n">
        <v>153.3349878254355</v>
      </c>
      <c r="E24" s="7" t="n">
        <v>159.9573254487463</v>
      </c>
      <c r="F24" s="7" t="n">
        <v>156.2016214971995</v>
      </c>
      <c r="G24" s="7" t="n">
        <v>157.5183657123698</v>
      </c>
      <c r="H24" s="7" t="n">
        <v>156.0797566771512</v>
      </c>
      <c r="I24" s="7" t="n">
        <v>146.1192436126427</v>
      </c>
      <c r="J24" s="7" t="n">
        <v>137.3582716438284</v>
      </c>
      <c r="K24" s="7" t="n">
        <v>152.7889580914177</v>
      </c>
      <c r="L24" s="7" t="n">
        <v>157.0737412803945</v>
      </c>
      <c r="M24" s="7" t="n">
        <v>148.8015459886955</v>
      </c>
      <c r="N24" s="7" t="n">
        <v>156.2635246332154</v>
      </c>
      <c r="O24" s="8">
        <f>N24*$B$2/100</f>
        <v/>
      </c>
    </row>
    <row r="25">
      <c r="A25" s="6" t="n">
        <v>46238.50810070602</v>
      </c>
      <c r="B25" s="7" t="n">
        <v>150.5732732825916</v>
      </c>
      <c r="C25" s="7" t="n">
        <v>156.9432216332764</v>
      </c>
      <c r="D25" s="7" t="n">
        <v>153.0602466540217</v>
      </c>
      <c r="E25" s="7" t="n">
        <v>152.3053422344019</v>
      </c>
      <c r="F25" s="7" t="n">
        <v>150.7785749149188</v>
      </c>
      <c r="G25" s="7" t="n">
        <v>153.6797576179546</v>
      </c>
      <c r="H25" s="7" t="n">
        <v>154.8366884444094</v>
      </c>
      <c r="I25" s="7" t="n">
        <v>151.1551267726687</v>
      </c>
      <c r="J25" s="7" t="n">
        <v>150.4821862457237</v>
      </c>
      <c r="K25" s="7" t="n">
        <v>147.409905993588</v>
      </c>
      <c r="L25" s="7" t="n">
        <v>156.0262546657388</v>
      </c>
      <c r="M25" s="7" t="n">
        <v>153.7567336224606</v>
      </c>
      <c r="N25" s="7" t="n">
        <v>152.9915066959778</v>
      </c>
      <c r="O25" s="8">
        <f>N25*$B$2/100</f>
        <v/>
      </c>
    </row>
    <row r="26">
      <c r="A26" s="6" t="n">
        <v>46238.50811244213</v>
      </c>
      <c r="B26" s="7" t="n">
        <v>145.1047821190332</v>
      </c>
      <c r="C26" s="7" t="n">
        <v>154.6378986688012</v>
      </c>
      <c r="D26" s="7" t="n">
        <v>152.9437933718496</v>
      </c>
      <c r="E26" s="7" t="n">
        <v>153.0650562344661</v>
      </c>
      <c r="F26" s="7" t="n">
        <v>150.8955232266329</v>
      </c>
      <c r="G26" s="7" t="n">
        <v>152.7081508622242</v>
      </c>
      <c r="H26" s="7" t="n">
        <v>149.8790395386139</v>
      </c>
      <c r="I26" s="7" t="n">
        <v>148.0131804317759</v>
      </c>
      <c r="J26" s="7" t="n">
        <v>153.0690029615005</v>
      </c>
      <c r="K26" s="7" t="n">
        <v>152.2368417900436</v>
      </c>
      <c r="L26" s="7" t="n">
        <v>149.072365782387</v>
      </c>
      <c r="M26" s="7" t="n">
        <v>149.5167844445033</v>
      </c>
      <c r="N26" s="7" t="n">
        <v>151.3734627682823</v>
      </c>
      <c r="O26" s="8">
        <f>N26*$B$2/100</f>
        <v/>
      </c>
    </row>
    <row r="27">
      <c r="A27" s="6" t="n">
        <v>46238.50812417824</v>
      </c>
      <c r="B27" s="7" t="n">
        <v>150.6679989314483</v>
      </c>
      <c r="C27" s="7" t="n">
        <v>152.1699503114374</v>
      </c>
      <c r="D27" s="7" t="n">
        <v>150.5374794364896</v>
      </c>
      <c r="E27" s="7" t="n">
        <v>151.3034261876257</v>
      </c>
      <c r="F27" s="7" t="n">
        <v>151.8875409889783</v>
      </c>
      <c r="G27" s="7" t="n">
        <v>151.2813783417419</v>
      </c>
      <c r="H27" s="7" t="n">
        <v>151.7404729627956</v>
      </c>
      <c r="I27" s="7" t="n">
        <v>154.3201666805492</v>
      </c>
      <c r="J27" s="7" t="n">
        <v>151.4577973015375</v>
      </c>
      <c r="K27" s="7" t="n">
        <v>151.8321552682686</v>
      </c>
      <c r="L27" s="7" t="n">
        <v>151.169222053742</v>
      </c>
      <c r="M27" s="7" t="n">
        <v>151.6857926616923</v>
      </c>
      <c r="N27" s="7" t="n">
        <v>151.7355270533519</v>
      </c>
      <c r="O27" s="8">
        <f>N27*$B$2/100</f>
        <v/>
      </c>
    </row>
    <row r="28">
      <c r="A28" s="6" t="n">
        <v>46238.50813592593</v>
      </c>
      <c r="B28" s="7" t="n">
        <v>156.4739833703521</v>
      </c>
      <c r="C28" s="7" t="n">
        <v>160.7894941256433</v>
      </c>
      <c r="D28" s="7" t="n">
        <v>151.3733842895743</v>
      </c>
      <c r="E28" s="7" t="n">
        <v>150.3001991417272</v>
      </c>
      <c r="F28" s="7" t="n">
        <v>159.1202329144423</v>
      </c>
      <c r="G28" s="7" t="n">
        <v>152.2618838166452</v>
      </c>
      <c r="H28" s="7" t="n">
        <v>151.4065462458318</v>
      </c>
      <c r="I28" s="7" t="n">
        <v>147.8624303674835</v>
      </c>
      <c r="J28" s="7" t="n">
        <v>153.3050951424716</v>
      </c>
      <c r="K28" s="7" t="n">
        <v>143.721701779505</v>
      </c>
      <c r="L28" s="7" t="n">
        <v>158.2637941479476</v>
      </c>
      <c r="M28" s="7" t="n">
        <v>160.3774918920291</v>
      </c>
      <c r="N28" s="7" t="n">
        <v>156.4243327665376</v>
      </c>
      <c r="O28" s="8">
        <f>N28*$B$2/100</f>
        <v/>
      </c>
    </row>
    <row r="29">
      <c r="A29" s="6" t="n">
        <v>46238.50814767361</v>
      </c>
      <c r="B29" s="7" t="n">
        <v>152.2979825031244</v>
      </c>
      <c r="C29" s="7" t="n">
        <v>159.0636019397132</v>
      </c>
      <c r="D29" s="7" t="n">
        <v>153.5360317353594</v>
      </c>
      <c r="E29" s="7" t="n">
        <v>126.9099604907465</v>
      </c>
      <c r="F29" s="7" t="n">
        <v>145.0271410760525</v>
      </c>
      <c r="G29" s="7" t="n">
        <v>142.4879881895048</v>
      </c>
      <c r="H29" s="7" t="n">
        <v>156.2055326348971</v>
      </c>
      <c r="I29" s="7" t="n">
        <v>150.6094483093351</v>
      </c>
      <c r="J29" s="7" t="n">
        <v>158.0063238933187</v>
      </c>
      <c r="K29" s="7" t="n">
        <v>136.8841543442121</v>
      </c>
      <c r="L29" s="7" t="n">
        <v>160.1545068115672</v>
      </c>
      <c r="M29" s="7" t="n">
        <v>159.4357943384076</v>
      </c>
      <c r="N29" s="7" t="n">
        <v>157.127604369879</v>
      </c>
      <c r="O29" s="8">
        <f>N29*$B$2/100</f>
        <v/>
      </c>
    </row>
    <row r="30">
      <c r="A30" s="6" t="n">
        <v>46238.50815939814</v>
      </c>
      <c r="B30" s="7" t="n">
        <v>155.3759994746088</v>
      </c>
      <c r="C30" s="7" t="n">
        <v>162.7515615148172</v>
      </c>
      <c r="D30" s="7" t="n">
        <v>160.2171835716075</v>
      </c>
      <c r="E30" s="7" t="n">
        <v>159.8618107556161</v>
      </c>
      <c r="F30" s="7" t="n">
        <v>156.4328959010979</v>
      </c>
      <c r="G30" s="7" t="n">
        <v>157.9710715282163</v>
      </c>
      <c r="H30" s="7" t="n">
        <v>152.0234250877517</v>
      </c>
      <c r="I30" s="7" t="n">
        <v>124.2774344768805</v>
      </c>
      <c r="J30" s="7" t="n">
        <v>146.9628347183749</v>
      </c>
      <c r="K30" s="7" t="n">
        <v>125.5496658738249</v>
      </c>
      <c r="L30" s="7" t="n">
        <v>160.6722095608757</v>
      </c>
      <c r="M30" s="7" t="n">
        <v>157.8397724885679</v>
      </c>
      <c r="N30" s="7" t="n">
        <v>158.5936338960864</v>
      </c>
      <c r="O30" s="8">
        <f>N30*$B$2/100</f>
        <v/>
      </c>
    </row>
    <row r="31">
      <c r="A31" s="6" t="n">
        <v>46238.50817112269</v>
      </c>
      <c r="B31" s="7" t="n">
        <v>145.3375098963891</v>
      </c>
      <c r="C31" s="7" t="n">
        <v>161.58022117736</v>
      </c>
      <c r="D31" s="7" t="n">
        <v>151.9843687614789</v>
      </c>
      <c r="E31" s="7" t="n">
        <v>156.8140544542793</v>
      </c>
      <c r="F31" s="7" t="n">
        <v>158.27380107614</v>
      </c>
      <c r="G31" s="7" t="n">
        <v>145.1149105848236</v>
      </c>
      <c r="H31" s="7" t="n">
        <v>153.5529445362381</v>
      </c>
      <c r="I31" s="7" t="n">
        <v>151.4013763896241</v>
      </c>
      <c r="J31" s="7" t="n">
        <v>148.9592432432432</v>
      </c>
      <c r="K31" s="7" t="n">
        <v>115.9893337455557</v>
      </c>
      <c r="L31" s="7" t="n">
        <v>160.7008559569617</v>
      </c>
      <c r="M31" s="7" t="n">
        <v>158.8080228275656</v>
      </c>
      <c r="N31" s="7" t="n">
        <v>157.3164868041457</v>
      </c>
      <c r="O31" s="8">
        <f>N31*$B$2/100</f>
        <v/>
      </c>
    </row>
    <row r="32">
      <c r="A32" s="6" t="n">
        <v>46238.50818285879</v>
      </c>
      <c r="B32" s="7" t="n">
        <v>155.4713990756593</v>
      </c>
      <c r="C32" s="7" t="n">
        <v>162.5332354077297</v>
      </c>
      <c r="D32" s="7" t="n">
        <v>155.0445136317738</v>
      </c>
      <c r="E32" s="7" t="n">
        <v>161.7917217268253</v>
      </c>
      <c r="F32" s="7" t="n">
        <v>153.9100670222952</v>
      </c>
      <c r="G32" s="7" t="n">
        <v>153.9135570312041</v>
      </c>
      <c r="H32" s="7" t="n">
        <v>157.9037654670268</v>
      </c>
      <c r="I32" s="7" t="n">
        <v>153.1331657539576</v>
      </c>
      <c r="J32" s="7" t="n">
        <v>159.0750549688768</v>
      </c>
      <c r="K32" s="7" t="n">
        <v>143.3948816445183</v>
      </c>
      <c r="L32" s="7" t="n">
        <v>161.1732396012668</v>
      </c>
      <c r="M32" s="7" t="n">
        <v>159.9372615186493</v>
      </c>
      <c r="N32" s="7" t="n">
        <v>158.7414603512912</v>
      </c>
      <c r="O32" s="8">
        <f>N32*$B$2/100</f>
        <v/>
      </c>
    </row>
    <row r="33">
      <c r="A33" s="6" t="n">
        <v>46238.50819460648</v>
      </c>
      <c r="B33" s="7" t="n">
        <v>159.0847267687045</v>
      </c>
      <c r="C33" s="7" t="n">
        <v>164.2964454703609</v>
      </c>
      <c r="D33" s="7" t="n">
        <v>148.044575316038</v>
      </c>
      <c r="E33" s="7" t="n">
        <v>141.3321506116613</v>
      </c>
      <c r="F33" s="7" t="n">
        <v>145.082558403266</v>
      </c>
      <c r="G33" s="7" t="n">
        <v>144.6711159397796</v>
      </c>
      <c r="H33" s="7" t="n">
        <v>154.0667191497737</v>
      </c>
      <c r="I33" s="7" t="n">
        <v>117.3770470829069</v>
      </c>
      <c r="J33" s="7" t="n">
        <v>123.6880103137086</v>
      </c>
      <c r="K33" s="7" t="n">
        <v>124.8270295746436</v>
      </c>
      <c r="L33" s="7" t="n">
        <v>162.7847128364625</v>
      </c>
      <c r="M33" s="7" t="n">
        <v>156.3208132400552</v>
      </c>
      <c r="N33" s="7" t="n">
        <v>157.8532216082291</v>
      </c>
      <c r="O33" s="8">
        <f>N33*$B$2/100</f>
        <v/>
      </c>
    </row>
    <row r="34">
      <c r="A34" s="6" t="n">
        <v>46238.50820621528</v>
      </c>
      <c r="B34" s="7" t="n">
        <v>160.0896491644888</v>
      </c>
      <c r="C34" s="7" t="n">
        <v>159.7636706363188</v>
      </c>
      <c r="D34" s="7" t="n">
        <v>157.1301914079115</v>
      </c>
      <c r="E34" s="7" t="n">
        <v>160.0333357021876</v>
      </c>
      <c r="F34" s="7" t="n">
        <v>149.4888532963941</v>
      </c>
      <c r="G34" s="7" t="n">
        <v>143.333026500654</v>
      </c>
      <c r="H34" s="7" t="n">
        <v>146.0933216223847</v>
      </c>
      <c r="I34" s="7" t="n">
        <v>152.2985688139458</v>
      </c>
      <c r="J34" s="7" t="n">
        <v>146.6909607363728</v>
      </c>
      <c r="K34" s="7" t="n">
        <v>105.0920374260073</v>
      </c>
      <c r="L34" s="7" t="n">
        <v>160.4631637498085</v>
      </c>
      <c r="M34" s="7" t="n">
        <v>160.9134120062795</v>
      </c>
      <c r="N34" s="7" t="n">
        <v>158.288928067701</v>
      </c>
      <c r="O34" s="8">
        <f>N34*$B$2/100</f>
        <v/>
      </c>
    </row>
    <row r="35">
      <c r="A35" s="6" t="n">
        <v>46238.50821796296</v>
      </c>
      <c r="B35" s="7" t="n">
        <v>157.1858181633276</v>
      </c>
      <c r="C35" s="7" t="n">
        <v>160.7947719397422</v>
      </c>
      <c r="D35" s="7" t="n">
        <v>149.2892733316653</v>
      </c>
      <c r="E35" s="7" t="n">
        <v>156.2009171025292</v>
      </c>
      <c r="F35" s="7" t="n">
        <v>147.6756218563851</v>
      </c>
      <c r="G35" s="7" t="n">
        <v>146.4292552554948</v>
      </c>
      <c r="H35" s="7" t="n">
        <v>143.0082362490451</v>
      </c>
      <c r="I35" s="7" t="n">
        <v>123.1874285714286</v>
      </c>
      <c r="J35" s="7" t="n">
        <v>134.8564141523768</v>
      </c>
      <c r="K35" s="7" t="n">
        <v>141.2260911502291</v>
      </c>
      <c r="L35" s="7" t="n">
        <v>158.4917082603546</v>
      </c>
      <c r="M35" s="7" t="n">
        <v>159.2443125552462</v>
      </c>
      <c r="N35" s="7" t="n">
        <v>154.070389294691</v>
      </c>
      <c r="O35" s="8">
        <f>N35*$B$2/100</f>
        <v/>
      </c>
    </row>
    <row r="36">
      <c r="A36" s="6" t="n">
        <v>46238.5082296875</v>
      </c>
      <c r="B36" s="7" t="n">
        <v>157.8650164852048</v>
      </c>
      <c r="C36" s="7" t="n">
        <v>155.2711351222987</v>
      </c>
      <c r="D36" s="7" t="n">
        <v>146.7037851271267</v>
      </c>
      <c r="E36" s="7" t="n">
        <v>152.1815061578841</v>
      </c>
      <c r="F36" s="7" t="n">
        <v>157.0184327342469</v>
      </c>
      <c r="G36" s="7" t="n">
        <v>152.6846724351051</v>
      </c>
      <c r="H36" s="7" t="n">
        <v>148.6955355351126</v>
      </c>
      <c r="I36" s="7" t="n">
        <v>149.710565131274</v>
      </c>
      <c r="J36" s="7" t="n">
        <v>153.1235933291518</v>
      </c>
      <c r="K36" s="7" t="n">
        <v>153.0792021813341</v>
      </c>
      <c r="L36" s="7" t="n">
        <v>157.6203754374801</v>
      </c>
      <c r="M36" s="7" t="n">
        <v>158.6262031715255</v>
      </c>
      <c r="N36" s="7" t="n">
        <v>155.3826734267462</v>
      </c>
      <c r="O36" s="8">
        <f>N36*$B$2/100</f>
        <v/>
      </c>
    </row>
    <row r="37">
      <c r="A37" s="6" t="n">
        <v>46238.50824143519</v>
      </c>
      <c r="B37" s="7" t="n">
        <v>150.8184970353184</v>
      </c>
      <c r="C37" s="7" t="n">
        <v>154.0497503922408</v>
      </c>
      <c r="D37" s="7" t="n">
        <v>135.903450303862</v>
      </c>
      <c r="E37" s="7" t="n">
        <v>131.5566518664693</v>
      </c>
      <c r="F37" s="7" t="n">
        <v>126.1691751956653</v>
      </c>
      <c r="G37" s="7" t="n">
        <v>126.567845311338</v>
      </c>
      <c r="H37" s="7" t="n">
        <v>153.5471974476108</v>
      </c>
      <c r="I37" s="7" t="n">
        <v>154.5446249315569</v>
      </c>
      <c r="J37" s="7" t="n">
        <v>150.7897668393782</v>
      </c>
      <c r="K37" s="7" t="n">
        <v>152.1735908450011</v>
      </c>
      <c r="L37" s="7" t="n">
        <v>158.7080543144602</v>
      </c>
      <c r="M37" s="7" t="n">
        <v>160.1635677818909</v>
      </c>
      <c r="N37" s="7" t="n">
        <v>155.0408137138175</v>
      </c>
      <c r="O37" s="8">
        <f>N37*$B$2/100</f>
        <v/>
      </c>
    </row>
    <row r="38">
      <c r="A38" s="6" t="n">
        <v>46238.50825320602</v>
      </c>
      <c r="B38" s="7" t="n">
        <v>156.0349202948999</v>
      </c>
      <c r="C38" s="7" t="n">
        <v>154.0922936852281</v>
      </c>
      <c r="D38" s="7" t="n">
        <v>145.6818641574204</v>
      </c>
      <c r="E38" s="7" t="n">
        <v>141.2123002084781</v>
      </c>
      <c r="F38" s="7" t="n">
        <v>154.6100640052658</v>
      </c>
      <c r="G38" s="7" t="n">
        <v>148.514463082816</v>
      </c>
      <c r="H38" s="7" t="n">
        <v>155.7123048685191</v>
      </c>
      <c r="I38" s="7" t="n">
        <v>156.8036786867024</v>
      </c>
      <c r="J38" s="7" t="n">
        <v>155.287404614639</v>
      </c>
      <c r="K38" s="7" t="n">
        <v>156.2150199047184</v>
      </c>
      <c r="L38" s="7" t="n">
        <v>156.7277130860269</v>
      </c>
      <c r="M38" s="7" t="n">
        <v>157.340836341546</v>
      </c>
      <c r="N38" s="7" t="n">
        <v>155.4838577069053</v>
      </c>
      <c r="O38" s="8">
        <f>N38*$B$2/100</f>
        <v/>
      </c>
    </row>
    <row r="39">
      <c r="A39" s="6" t="n">
        <v>46238.50826494213</v>
      </c>
      <c r="B39" s="7" t="n">
        <v>154.1923470954189</v>
      </c>
      <c r="C39" s="7" t="n">
        <v>154.316570741431</v>
      </c>
      <c r="D39" s="7" t="n">
        <v>151.6571073610104</v>
      </c>
      <c r="E39" s="7" t="n">
        <v>148.0613971021322</v>
      </c>
      <c r="F39" s="7" t="n">
        <v>147.3683737418497</v>
      </c>
      <c r="G39" s="7" t="n">
        <v>142.0566169617894</v>
      </c>
      <c r="H39" s="7" t="n">
        <v>154.459282715692</v>
      </c>
      <c r="I39" s="7" t="n">
        <v>154.5152366085204</v>
      </c>
      <c r="J39" s="7" t="n">
        <v>154.1715497939036</v>
      </c>
      <c r="K39" s="7" t="n">
        <v>154.3428341554776</v>
      </c>
      <c r="L39" s="7" t="n">
        <v>153.7328887823101</v>
      </c>
      <c r="M39" s="7" t="n">
        <v>154.2923683101652</v>
      </c>
      <c r="N39" s="7" t="n">
        <v>153.8468821319002</v>
      </c>
      <c r="O39" s="8">
        <f>N39*$B$2/100</f>
        <v/>
      </c>
    </row>
    <row r="40">
      <c r="A40" s="6" t="n">
        <v>46238.50827670139</v>
      </c>
      <c r="B40" s="7" t="n">
        <v>154.0867769895753</v>
      </c>
      <c r="C40" s="7" t="n">
        <v>154.6785852344593</v>
      </c>
      <c r="D40" s="7" t="n">
        <v>145.7350852669835</v>
      </c>
      <c r="E40" s="7" t="n">
        <v>143.0578797725426</v>
      </c>
      <c r="F40" s="7" t="n">
        <v>151.765554608023</v>
      </c>
      <c r="G40" s="7" t="n">
        <v>146.5815592259796</v>
      </c>
      <c r="H40" s="7" t="n">
        <v>153.6751849993102</v>
      </c>
      <c r="I40" s="7" t="n">
        <v>153.5925997716135</v>
      </c>
      <c r="J40" s="7" t="n">
        <v>153.9435908884875</v>
      </c>
      <c r="K40" s="7" t="n">
        <v>153.6644228631095</v>
      </c>
      <c r="L40" s="7" t="n">
        <v>153.078217897902</v>
      </c>
      <c r="M40" s="7" t="n">
        <v>153.6101386188826</v>
      </c>
      <c r="N40" s="7" t="n">
        <v>153.2796496389654</v>
      </c>
      <c r="O40" s="8">
        <f>N40*$B$2/100</f>
        <v/>
      </c>
    </row>
    <row r="41">
      <c r="A41" s="6" t="n">
        <v>46238.50828841435</v>
      </c>
      <c r="B41" s="7" t="n">
        <v>152.7266707440994</v>
      </c>
      <c r="C41" s="7" t="n">
        <v>153.0451149024436</v>
      </c>
      <c r="D41" s="7" t="n">
        <v>150.3661404162249</v>
      </c>
      <c r="E41" s="7" t="n">
        <v>149.0668325218911</v>
      </c>
      <c r="F41" s="7" t="n">
        <v>151.0011517406886</v>
      </c>
      <c r="G41" s="7" t="n">
        <v>149.5733794828738</v>
      </c>
      <c r="H41" s="7" t="n">
        <v>153.3879192582556</v>
      </c>
      <c r="I41" s="7" t="n">
        <v>153.5505726363972</v>
      </c>
      <c r="J41" s="7" t="n">
        <v>153.2089005488793</v>
      </c>
      <c r="K41" s="7" t="n">
        <v>153.4830376645912</v>
      </c>
      <c r="L41" s="7" t="n">
        <v>152.7548946980688</v>
      </c>
      <c r="M41" s="7" t="n">
        <v>152.6849773144383</v>
      </c>
      <c r="N41" s="7" t="n">
        <v>152.6837999983631</v>
      </c>
      <c r="O41" s="8">
        <f>N41*$B$2/100</f>
        <v/>
      </c>
    </row>
    <row r="42">
      <c r="A42" s="6" t="n">
        <v>46238.50830012732</v>
      </c>
      <c r="B42" s="7" t="n">
        <v>151.1069858527746</v>
      </c>
      <c r="C42" s="7" t="n">
        <v>151.5639019300991</v>
      </c>
      <c r="D42" s="7" t="n">
        <v>149.9154579566944</v>
      </c>
      <c r="E42" s="7" t="n">
        <v>146.4684205784305</v>
      </c>
      <c r="F42" s="7" t="n">
        <v>151.3336288937141</v>
      </c>
      <c r="G42" s="7" t="n">
        <v>145.7925643586555</v>
      </c>
      <c r="H42" s="7" t="n">
        <v>151.5863722917544</v>
      </c>
      <c r="I42" s="7" t="n">
        <v>151.777288771643</v>
      </c>
      <c r="J42" s="7" t="n">
        <v>151.6304274248581</v>
      </c>
      <c r="K42" s="7" t="n">
        <v>151.8019141128632</v>
      </c>
      <c r="L42" s="7" t="n">
        <v>151.3220881044279</v>
      </c>
      <c r="M42" s="7" t="n">
        <v>151.4153066216882</v>
      </c>
      <c r="N42" s="7" t="n">
        <v>151.3537330018043</v>
      </c>
      <c r="O42" s="8">
        <f>N42*$B$2/100</f>
        <v/>
      </c>
    </row>
    <row r="43">
      <c r="A43" s="6" t="n">
        <v>46238.50831184028</v>
      </c>
      <c r="B43" s="7" t="n">
        <v>152.5226313669871</v>
      </c>
      <c r="C43" s="7" t="n">
        <v>153.3409715493265</v>
      </c>
      <c r="D43" s="7" t="n">
        <v>150.8856642311976</v>
      </c>
      <c r="E43" s="7" t="n">
        <v>142.8817479640668</v>
      </c>
      <c r="F43" s="7" t="n">
        <v>150.6311561431601</v>
      </c>
      <c r="G43" s="7" t="n">
        <v>139.4184423445124</v>
      </c>
      <c r="H43" s="7" t="n">
        <v>153.0086928774488</v>
      </c>
      <c r="I43" s="7" t="n">
        <v>152.7792350635557</v>
      </c>
      <c r="J43" s="7" t="n">
        <v>152.8482305406851</v>
      </c>
      <c r="K43" s="7" t="n">
        <v>152.6587023955738</v>
      </c>
      <c r="L43" s="7" t="n">
        <v>151.6545092373401</v>
      </c>
      <c r="M43" s="7" t="n">
        <v>152.1212277991183</v>
      </c>
      <c r="N43" s="7" t="n">
        <v>152.297871537949</v>
      </c>
      <c r="O43" s="8">
        <f>N43*$B$2/100</f>
        <v/>
      </c>
    </row>
    <row r="44">
      <c r="A44" s="6" t="n">
        <v>46238.5083234375</v>
      </c>
      <c r="B44" s="7" t="n">
        <v>153.6641397786503</v>
      </c>
      <c r="C44" s="7" t="n">
        <v>154.1707134282626</v>
      </c>
      <c r="D44" s="7" t="n">
        <v>148.0634504348547</v>
      </c>
      <c r="E44" s="7" t="n">
        <v>149.2906485038252</v>
      </c>
      <c r="F44" s="7" t="n">
        <v>147.2197687256668</v>
      </c>
      <c r="G44" s="7" t="n">
        <v>139.7318058719856</v>
      </c>
      <c r="H44" s="7" t="n">
        <v>153.7949143776577</v>
      </c>
      <c r="I44" s="7" t="n">
        <v>153.5945054221232</v>
      </c>
      <c r="J44" s="7" t="n">
        <v>153.9241405017798</v>
      </c>
      <c r="K44" s="7" t="n">
        <v>153.6486062820437</v>
      </c>
      <c r="L44" s="7" t="n">
        <v>153.6405554761861</v>
      </c>
      <c r="M44" s="7" t="n">
        <v>153.3275324774107</v>
      </c>
      <c r="N44" s="7" t="n">
        <v>153.2583945402587</v>
      </c>
      <c r="O44" s="8">
        <f>N44*$B$2/100</f>
        <v/>
      </c>
    </row>
    <row r="45">
      <c r="A45" s="6" t="n">
        <v>46238.50833516203</v>
      </c>
      <c r="B45" s="7" t="n">
        <v>153.1274760491036</v>
      </c>
      <c r="C45" s="7" t="n">
        <v>152.7837340775154</v>
      </c>
      <c r="D45" s="7" t="n">
        <v>151.6057560686746</v>
      </c>
      <c r="E45" s="7" t="n">
        <v>148.47871288384</v>
      </c>
      <c r="F45" s="7" t="n">
        <v>140.0876714130685</v>
      </c>
      <c r="G45" s="7" t="n">
        <v>141.9751576829316</v>
      </c>
      <c r="H45" s="7" t="n">
        <v>152.9244491017239</v>
      </c>
      <c r="I45" s="7" t="n">
        <v>153.0605857499717</v>
      </c>
      <c r="J45" s="7" t="n">
        <v>153.1038481813389</v>
      </c>
      <c r="K45" s="7" t="n">
        <v>153.5095079446438</v>
      </c>
      <c r="L45" s="7" t="n">
        <v>152.3317203450355</v>
      </c>
      <c r="M45" s="7" t="n">
        <v>152.9254366484999</v>
      </c>
      <c r="N45" s="7" t="n">
        <v>152.6482865496142</v>
      </c>
      <c r="O45" s="8">
        <f>N45*$B$2/100</f>
        <v/>
      </c>
    </row>
    <row r="46">
      <c r="A46" s="6" t="n">
        <v>46238.50834675926</v>
      </c>
      <c r="B46" s="7" t="n">
        <v>149.2545582997478</v>
      </c>
      <c r="C46" s="7" t="n">
        <v>151.2835033863043</v>
      </c>
      <c r="D46" s="7" t="n">
        <v>147.3445780845966</v>
      </c>
      <c r="E46" s="7" t="n">
        <v>145.9007085739267</v>
      </c>
      <c r="F46" s="7" t="n">
        <v>150.1268537754579</v>
      </c>
      <c r="G46" s="7" t="n">
        <v>139.434446107012</v>
      </c>
      <c r="H46" s="7" t="n">
        <v>150.7877378032532</v>
      </c>
      <c r="I46" s="7" t="n">
        <v>150.6977058083581</v>
      </c>
      <c r="J46" s="7" t="n">
        <v>150.6834991294945</v>
      </c>
      <c r="K46" s="7" t="n">
        <v>150.7596223369373</v>
      </c>
      <c r="L46" s="7" t="n">
        <v>150.3542635847231</v>
      </c>
      <c r="M46" s="7" t="n">
        <v>150.4022909315297</v>
      </c>
      <c r="N46" s="7" t="n">
        <v>150.3216971819774</v>
      </c>
      <c r="O46" s="8">
        <f>N46*$B$2/100</f>
        <v/>
      </c>
    </row>
    <row r="47">
      <c r="A47" s="6" t="n">
        <v>46238.50835847222</v>
      </c>
      <c r="B47" s="7" t="n">
        <v>152.0590866700301</v>
      </c>
      <c r="C47" s="7" t="n">
        <v>151.9960235312782</v>
      </c>
      <c r="D47" s="7" t="n">
        <v>149.1548892966944</v>
      </c>
      <c r="E47" s="7" t="n">
        <v>147.6722404248108</v>
      </c>
      <c r="F47" s="7" t="n">
        <v>144.0243632686596</v>
      </c>
      <c r="G47" s="7" t="n">
        <v>143.288378925813</v>
      </c>
      <c r="H47" s="7" t="n">
        <v>151.8827816445676</v>
      </c>
      <c r="I47" s="7" t="n">
        <v>151.7424647436445</v>
      </c>
      <c r="J47" s="7" t="n">
        <v>151.9585688099804</v>
      </c>
      <c r="K47" s="7" t="n">
        <v>151.5831239011327</v>
      </c>
      <c r="L47" s="7" t="n">
        <v>150.6038542028045</v>
      </c>
      <c r="M47" s="7" t="n">
        <v>150.5138924130931</v>
      </c>
      <c r="N47" s="7" t="n">
        <v>151.1672637437938</v>
      </c>
      <c r="O47" s="8">
        <f>N47*$B$2/100</f>
        <v/>
      </c>
    </row>
    <row r="48">
      <c r="A48" s="6" t="n">
        <v>46238.50837008102</v>
      </c>
      <c r="B48" s="7" t="n">
        <v>151.5375330766283</v>
      </c>
      <c r="C48" s="7" t="n">
        <v>150.5685813408444</v>
      </c>
      <c r="D48" s="7" t="n">
        <v>150.17</v>
      </c>
      <c r="E48" s="7" t="n">
        <v>143.5948822151811</v>
      </c>
      <c r="F48" s="7" t="n">
        <v>136.5268689133329</v>
      </c>
      <c r="G48" s="7" t="n">
        <v>139.0248782513496</v>
      </c>
      <c r="H48" s="7" t="n">
        <v>150.6610738391312</v>
      </c>
      <c r="I48" s="7" t="n">
        <v>150.6082007179093</v>
      </c>
      <c r="J48" s="7" t="n">
        <v>150.9442644932351</v>
      </c>
      <c r="K48" s="7" t="n">
        <v>150.7531377568394</v>
      </c>
      <c r="L48" s="7" t="n">
        <v>150.5337383666044</v>
      </c>
      <c r="M48" s="7" t="n">
        <v>150.1660009536726</v>
      </c>
      <c r="N48" s="7" t="n">
        <v>150.400885311626</v>
      </c>
      <c r="O48" s="8">
        <f>N48*$B$2/100</f>
        <v/>
      </c>
    </row>
    <row r="49">
      <c r="A49" s="6" t="n">
        <v>46238.5083818287</v>
      </c>
      <c r="B49" s="7" t="n">
        <v>151.3881707472249</v>
      </c>
      <c r="C49" s="7" t="n">
        <v>151.1512779472816</v>
      </c>
      <c r="D49" s="7" t="n">
        <v>144.0984884881186</v>
      </c>
      <c r="E49" s="7" t="n">
        <v>140.3269472361809</v>
      </c>
      <c r="F49" s="7" t="n">
        <v>152.3519126335263</v>
      </c>
      <c r="G49" s="7" t="n">
        <v>141.9742775630407</v>
      </c>
      <c r="H49" s="7" t="n">
        <v>151.5177679332475</v>
      </c>
      <c r="I49" s="7" t="n">
        <v>151.4516371475181</v>
      </c>
      <c r="J49" s="7" t="n">
        <v>151.7131606345583</v>
      </c>
      <c r="K49" s="7" t="n">
        <v>151.546986833427</v>
      </c>
      <c r="L49" s="7" t="n">
        <v>151.620709869629</v>
      </c>
      <c r="M49" s="7" t="n">
        <v>150.4828639421365</v>
      </c>
      <c r="N49" s="7" t="n">
        <v>151.2013640179731</v>
      </c>
      <c r="O49" s="8">
        <f>N49*$B$2/100</f>
        <v/>
      </c>
    </row>
    <row r="50">
      <c r="A50" s="6" t="n">
        <v>46238.50839357639</v>
      </c>
      <c r="B50" s="7" t="n">
        <v>153.5990487175832</v>
      </c>
      <c r="C50" s="7" t="n">
        <v>154.2270350092643</v>
      </c>
      <c r="D50" s="7" t="n">
        <v>149.3042796947717</v>
      </c>
      <c r="E50" s="7" t="n">
        <v>147.2605814712119</v>
      </c>
      <c r="F50" s="7" t="n">
        <v>142.7916412007909</v>
      </c>
      <c r="G50" s="7" t="n">
        <v>142.6439712248536</v>
      </c>
      <c r="H50" s="7" t="n">
        <v>153.7042732718886</v>
      </c>
      <c r="I50" s="7" t="n">
        <v>153.3676372551361</v>
      </c>
      <c r="J50" s="7" t="n">
        <v>153.5154626527058</v>
      </c>
      <c r="K50" s="7" t="n">
        <v>153.9369621104424</v>
      </c>
      <c r="L50" s="7" t="n">
        <v>153.7380406754106</v>
      </c>
      <c r="M50" s="7" t="n">
        <v>152.6029289670436</v>
      </c>
      <c r="N50" s="7" t="n">
        <v>153.0522785404023</v>
      </c>
      <c r="O50" s="8">
        <f>N50*$B$2/100</f>
        <v/>
      </c>
    </row>
    <row r="51">
      <c r="A51" s="6" t="n">
        <v>46238.5084053125</v>
      </c>
      <c r="B51" s="7" t="n">
        <v>148.4104491074711</v>
      </c>
      <c r="C51" s="7" t="n">
        <v>148.4505779709746</v>
      </c>
      <c r="D51" s="7" t="n">
        <v>148.6227515922398</v>
      </c>
      <c r="E51" s="7" t="n">
        <v>146.4123390929406</v>
      </c>
      <c r="F51" s="7" t="n">
        <v>145.8914686067628</v>
      </c>
      <c r="G51" s="7" t="n">
        <v>146.2741960504476</v>
      </c>
      <c r="H51" s="7" t="n">
        <v>149.2119383384444</v>
      </c>
      <c r="I51" s="7" t="n">
        <v>149.3319659765226</v>
      </c>
      <c r="J51" s="7" t="n">
        <v>148.981652329071</v>
      </c>
      <c r="K51" s="7" t="n">
        <v>149.0761710126023</v>
      </c>
      <c r="L51" s="7" t="n">
        <v>149.0261421455045</v>
      </c>
      <c r="M51" s="7" t="n">
        <v>148.746593614641</v>
      </c>
      <c r="N51" s="7" t="n">
        <v>148.48347272455</v>
      </c>
      <c r="O51" s="8">
        <f>N51*$B$2/100</f>
        <v/>
      </c>
    </row>
    <row r="52">
      <c r="A52" s="6" t="n">
        <v>46238.50841694445</v>
      </c>
      <c r="B52" s="7" t="n">
        <v>149.5788911993303</v>
      </c>
      <c r="C52" s="7" t="n">
        <v>149.5780458428112</v>
      </c>
      <c r="D52" s="7" t="n">
        <v>149.4433186210811</v>
      </c>
      <c r="E52" s="7" t="n">
        <v>149.4519544268774</v>
      </c>
      <c r="F52" s="7" t="n">
        <v>149.5367798978322</v>
      </c>
      <c r="G52" s="7" t="n">
        <v>149.5391501824133</v>
      </c>
      <c r="H52" s="7" t="n">
        <v>149.5805728468537</v>
      </c>
      <c r="I52" s="7" t="n">
        <v>149.609650690872</v>
      </c>
      <c r="J52" s="7" t="n">
        <v>149.6234524733019</v>
      </c>
      <c r="K52" s="7" t="n">
        <v>149.6499001256084</v>
      </c>
      <c r="L52" s="7" t="n">
        <v>149.6379820152877</v>
      </c>
      <c r="M52" s="7" t="n">
        <v>149.6201559416679</v>
      </c>
      <c r="N52" s="7" t="n">
        <v>149.5784972573734</v>
      </c>
      <c r="O52" s="8">
        <f>N52*$B$2/100</f>
        <v/>
      </c>
    </row>
    <row r="53">
      <c r="A53" s="6" t="n">
        <v>46238.50842862268</v>
      </c>
      <c r="B53" s="7" t="n">
        <v>151.746574340223</v>
      </c>
      <c r="C53" s="7" t="n">
        <v>151.7772966175692</v>
      </c>
      <c r="D53" s="7" t="n">
        <v>151.6477507268248</v>
      </c>
      <c r="E53" s="7" t="n">
        <v>151.7300282650278</v>
      </c>
      <c r="F53" s="7" t="n">
        <v>151.7265432174889</v>
      </c>
      <c r="G53" s="7" t="n">
        <v>151.7816164777701</v>
      </c>
      <c r="H53" s="7" t="n">
        <v>151.8037040651106</v>
      </c>
      <c r="I53" s="7" t="n">
        <v>151.8191446510687</v>
      </c>
      <c r="J53" s="7" t="n">
        <v>151.7761898212057</v>
      </c>
      <c r="K53" s="7" t="n">
        <v>151.7946380936178</v>
      </c>
      <c r="L53" s="7" t="n">
        <v>151.7926768251836</v>
      </c>
      <c r="M53" s="7" t="n">
        <v>151.7598549493673</v>
      </c>
      <c r="N53" s="7" t="n">
        <v>151.7669348242943</v>
      </c>
      <c r="O53" s="8">
        <f>N53*$B$2/100</f>
        <v/>
      </c>
    </row>
    <row r="54">
      <c r="A54" s="6" t="n">
        <v>46238.50844037037</v>
      </c>
      <c r="B54" s="7" t="n">
        <v>151.770358538511</v>
      </c>
      <c r="C54" s="7" t="n">
        <v>151.8057597060233</v>
      </c>
      <c r="D54" s="7" t="n">
        <v>151.6837716566692</v>
      </c>
      <c r="E54" s="7" t="n">
        <v>151.7401450652347</v>
      </c>
      <c r="F54" s="7" t="n">
        <v>151.6672907658358</v>
      </c>
      <c r="G54" s="7" t="n">
        <v>151.696370045264</v>
      </c>
      <c r="H54" s="7" t="n">
        <v>151.7995320813289</v>
      </c>
      <c r="I54" s="7" t="n">
        <v>151.818500913236</v>
      </c>
      <c r="J54" s="7" t="n">
        <v>151.7450560253891</v>
      </c>
      <c r="K54" s="7" t="n">
        <v>151.7770972608733</v>
      </c>
      <c r="L54" s="7" t="n">
        <v>151.7872935862396</v>
      </c>
      <c r="M54" s="7" t="n">
        <v>151.7486849236984</v>
      </c>
      <c r="N54" s="7" t="n">
        <v>151.7621869472833</v>
      </c>
      <c r="O54" s="8">
        <f>N54*$B$2/100</f>
        <v/>
      </c>
    </row>
    <row r="55">
      <c r="A55" s="6" t="n">
        <v>46238.50845210648</v>
      </c>
      <c r="B55" s="7" t="n">
        <v>151.7493428592941</v>
      </c>
      <c r="C55" s="7" t="n">
        <v>151.7707636033079</v>
      </c>
      <c r="D55" s="7" t="n">
        <v>151.6774270675221</v>
      </c>
      <c r="E55" s="7" t="n">
        <v>151.7590468344002</v>
      </c>
      <c r="F55" s="7" t="n">
        <v>151.6932253681262</v>
      </c>
      <c r="G55" s="7" t="n">
        <v>151.7635363460746</v>
      </c>
      <c r="H55" s="7" t="n">
        <v>151.7893409911874</v>
      </c>
      <c r="I55" s="7" t="n">
        <v>151.8103484145329</v>
      </c>
      <c r="J55" s="7" t="n">
        <v>151.7770128699019</v>
      </c>
      <c r="K55" s="7" t="n">
        <v>151.8059669675021</v>
      </c>
      <c r="L55" s="7" t="n">
        <v>151.8036466519962</v>
      </c>
      <c r="M55" s="7" t="n">
        <v>151.7505102613727</v>
      </c>
      <c r="N55" s="7" t="n">
        <v>151.7566347377357</v>
      </c>
      <c r="O55" s="8">
        <f>N55*$B$2/100</f>
        <v/>
      </c>
    </row>
    <row r="56">
      <c r="A56" s="6" t="n">
        <v>46238.50846376157</v>
      </c>
      <c r="B56" s="7" t="n">
        <v>151.7626976367697</v>
      </c>
      <c r="C56" s="7" t="n">
        <v>151.7823461383664</v>
      </c>
      <c r="D56" s="7" t="n">
        <v>151.6313764172628</v>
      </c>
      <c r="E56" s="7" t="n">
        <v>151.7131966321737</v>
      </c>
      <c r="F56" s="7" t="n">
        <v>151.7093833327074</v>
      </c>
      <c r="G56" s="7" t="n">
        <v>151.7740253457906</v>
      </c>
      <c r="H56" s="7" t="n">
        <v>151.7733331987511</v>
      </c>
      <c r="I56" s="7" t="n">
        <v>151.7966550753436</v>
      </c>
      <c r="J56" s="7" t="n">
        <v>151.7725411510794</v>
      </c>
      <c r="K56" s="7" t="n">
        <v>151.8017135842443</v>
      </c>
      <c r="L56" s="7" t="n">
        <v>151.8074476991626</v>
      </c>
      <c r="M56" s="7" t="n">
        <v>151.7712549296359</v>
      </c>
      <c r="N56" s="7" t="n">
        <v>151.7601515587264</v>
      </c>
      <c r="O56" s="8">
        <f>N56*$B$2/100</f>
        <v/>
      </c>
    </row>
    <row r="57">
      <c r="A57" s="6" t="n">
        <v>46238.50847584491</v>
      </c>
      <c r="B57" s="7" t="n">
        <v>148.1007410512252</v>
      </c>
      <c r="C57" s="7" t="n">
        <v>148.2383271405608</v>
      </c>
      <c r="D57" s="7" t="n">
        <v>148.1660328519746</v>
      </c>
      <c r="E57" s="7" t="n">
        <v>148.1867108414498</v>
      </c>
      <c r="F57" s="7" t="n">
        <v>148.1153719944151</v>
      </c>
      <c r="G57" s="7" t="n">
        <v>148.1943828980454</v>
      </c>
      <c r="H57" s="7" t="n">
        <v>148.2040906781231</v>
      </c>
      <c r="I57" s="7" t="n">
        <v>148.2178123202198</v>
      </c>
      <c r="J57" s="7" t="n">
        <v>148.2530681729034</v>
      </c>
      <c r="K57" s="7" t="n">
        <v>148.2089085666165</v>
      </c>
      <c r="L57" s="7" t="n">
        <v>148.2344834561845</v>
      </c>
      <c r="M57" s="7" t="n">
        <v>148.2699964779223</v>
      </c>
      <c r="N57" s="7" t="n">
        <v>148.1942200124301</v>
      </c>
      <c r="O57" s="8">
        <f>N57*$B$2/100</f>
        <v/>
      </c>
    </row>
    <row r="58">
      <c r="A58" s="6" t="n">
        <v>46238.50848763889</v>
      </c>
      <c r="B58" s="7" t="n">
        <v>150.0238453384483</v>
      </c>
      <c r="C58" s="7" t="n">
        <v>150.1516946113457</v>
      </c>
      <c r="D58" s="7" t="n">
        <v>150.0643280286893</v>
      </c>
      <c r="E58" s="7" t="n">
        <v>150.0921842869316</v>
      </c>
      <c r="F58" s="7" t="n">
        <v>150.0738089290295</v>
      </c>
      <c r="G58" s="7" t="n">
        <v>150.1447065004302</v>
      </c>
      <c r="H58" s="7" t="n">
        <v>150.1044836227713</v>
      </c>
      <c r="I58" s="7" t="n">
        <v>150.1922463603731</v>
      </c>
      <c r="J58" s="7" t="n">
        <v>149.9998060498346</v>
      </c>
      <c r="K58" s="7" t="n">
        <v>150.121296370679</v>
      </c>
      <c r="L58" s="7" t="n">
        <v>150.0194286703083</v>
      </c>
      <c r="M58" s="7" t="n">
        <v>150.1197614798694</v>
      </c>
      <c r="N58" s="7" t="n">
        <v>150.0977723110098</v>
      </c>
      <c r="O58" s="8">
        <f>N58*$B$2/100</f>
        <v/>
      </c>
    </row>
    <row r="59">
      <c r="A59" s="6" t="n">
        <v>46238.50849938657</v>
      </c>
      <c r="B59" s="7" t="n">
        <v>151.7401934273171</v>
      </c>
      <c r="C59" s="7" t="n">
        <v>151.8077262519552</v>
      </c>
      <c r="D59" s="7" t="n">
        <v>151.7087108409782</v>
      </c>
      <c r="E59" s="7" t="n">
        <v>151.8104875536481</v>
      </c>
      <c r="F59" s="7" t="n">
        <v>151.6930417717768</v>
      </c>
      <c r="G59" s="7" t="n">
        <v>151.7930702782812</v>
      </c>
      <c r="H59" s="7" t="n">
        <v>151.7942995542973</v>
      </c>
      <c r="I59" s="7" t="n">
        <v>151.8301092796194</v>
      </c>
      <c r="J59" s="7" t="n">
        <v>151.7379570903496</v>
      </c>
      <c r="K59" s="7" t="n">
        <v>151.82153511556</v>
      </c>
      <c r="L59" s="7" t="n">
        <v>151.7885064560726</v>
      </c>
      <c r="M59" s="7" t="n">
        <v>151.7910968323054</v>
      </c>
      <c r="N59" s="7" t="n">
        <v>151.7776230341107</v>
      </c>
      <c r="O59" s="8">
        <f>N59*$B$2/100</f>
        <v/>
      </c>
    </row>
    <row r="60">
      <c r="A60" s="6" t="n">
        <v>46238.50851107639</v>
      </c>
      <c r="B60" s="7" t="n">
        <v>151.5129606371464</v>
      </c>
      <c r="C60" s="7" t="n">
        <v>151.5688880858972</v>
      </c>
      <c r="D60" s="7" t="n">
        <v>151.4871314269649</v>
      </c>
      <c r="E60" s="7" t="n">
        <v>151.556172187832</v>
      </c>
      <c r="F60" s="7" t="n">
        <v>151.4554556997329</v>
      </c>
      <c r="G60" s="7" t="n">
        <v>151.5635010421869</v>
      </c>
      <c r="H60" s="7" t="n">
        <v>151.5535652937035</v>
      </c>
      <c r="I60" s="7" t="n">
        <v>151.5593731361972</v>
      </c>
      <c r="J60" s="7" t="n">
        <v>151.4821106333309</v>
      </c>
      <c r="K60" s="7" t="n">
        <v>151.5918721443581</v>
      </c>
      <c r="L60" s="7" t="n">
        <v>151.5006126011637</v>
      </c>
      <c r="M60" s="7" t="n">
        <v>151.5435239375203</v>
      </c>
      <c r="N60" s="7" t="n">
        <v>151.5313839974967</v>
      </c>
      <c r="O60" s="8">
        <f>N60*$B$2/100</f>
        <v/>
      </c>
    </row>
    <row r="61">
      <c r="A61" s="6" t="n">
        <v>46238.50852274305</v>
      </c>
      <c r="B61" s="7" t="n">
        <v>150.8431167961711</v>
      </c>
      <c r="C61" s="7" t="n">
        <v>150.8842545025347</v>
      </c>
      <c r="D61" s="7" t="n">
        <v>150.8069805203209</v>
      </c>
      <c r="E61" s="7" t="n">
        <v>150.8859717323585</v>
      </c>
      <c r="F61" s="7" t="n">
        <v>150.8327637082256</v>
      </c>
      <c r="G61" s="7" t="n">
        <v>150.9033777316144</v>
      </c>
      <c r="H61" s="7" t="n">
        <v>150.8775112269589</v>
      </c>
      <c r="I61" s="7" t="n">
        <v>150.9369302924345</v>
      </c>
      <c r="J61" s="7" t="n">
        <v>150.8069195942521</v>
      </c>
      <c r="K61" s="7" t="n">
        <v>150.8858718421383</v>
      </c>
      <c r="L61" s="7" t="n">
        <v>150.811028359373</v>
      </c>
      <c r="M61" s="7" t="n">
        <v>150.8756153965964</v>
      </c>
      <c r="N61" s="7" t="n">
        <v>150.8597706817057</v>
      </c>
      <c r="O61" s="8">
        <f>N61*$B$2/100</f>
        <v/>
      </c>
    </row>
    <row r="62">
      <c r="A62" s="6" t="n">
        <v>46238.50853439815</v>
      </c>
      <c r="B62" s="7" t="n">
        <v>150.4725642866998</v>
      </c>
      <c r="C62" s="7" t="n">
        <v>150.5116642135436</v>
      </c>
      <c r="D62" s="7" t="n">
        <v>150.4806889736878</v>
      </c>
      <c r="E62" s="7" t="n">
        <v>150.5333533965671</v>
      </c>
      <c r="F62" s="7" t="n">
        <v>150.4322474041042</v>
      </c>
      <c r="G62" s="7" t="n">
        <v>150.5419398292838</v>
      </c>
      <c r="H62" s="7" t="n">
        <v>150.484274288319</v>
      </c>
      <c r="I62" s="7" t="n">
        <v>150.5723610228759</v>
      </c>
      <c r="J62" s="7" t="n">
        <v>150.494799352536</v>
      </c>
      <c r="K62" s="7" t="n">
        <v>150.5180866895768</v>
      </c>
      <c r="L62" s="7" t="n">
        <v>150.401754061523</v>
      </c>
      <c r="M62" s="7" t="n">
        <v>150.5260469723441</v>
      </c>
      <c r="N62" s="7" t="n">
        <v>150.5004790383107</v>
      </c>
      <c r="O62" s="8">
        <f>N62*$B$2/100</f>
        <v/>
      </c>
    </row>
    <row r="63">
      <c r="A63" s="6" t="n">
        <v>46238.50854606481</v>
      </c>
      <c r="B63" s="7" t="n">
        <v>148.8378659074872</v>
      </c>
      <c r="C63" s="7" t="n">
        <v>149.6226058071146</v>
      </c>
      <c r="D63" s="7" t="n">
        <v>151.5197921352035</v>
      </c>
      <c r="E63" s="7" t="n">
        <v>149.6698731437504</v>
      </c>
      <c r="F63" s="7" t="n">
        <v>149.2858255503781</v>
      </c>
      <c r="G63" s="7" t="n">
        <v>148.8739980604778</v>
      </c>
      <c r="H63" s="7" t="n">
        <v>150.6140843520951</v>
      </c>
      <c r="I63" s="7" t="n">
        <v>149.4130817422963</v>
      </c>
      <c r="J63" s="7" t="n">
        <v>148.864573683181</v>
      </c>
      <c r="K63" s="7" t="n">
        <v>149.5187600477575</v>
      </c>
      <c r="L63" s="7" t="n">
        <v>148.330350991288</v>
      </c>
      <c r="M63" s="7" t="n">
        <v>149.7700134745857</v>
      </c>
      <c r="N63" s="7" t="n">
        <v>149.639036542681</v>
      </c>
      <c r="O63" s="8">
        <f>N63*$B$2/100</f>
        <v/>
      </c>
    </row>
    <row r="64">
      <c r="A64" s="6" t="n">
        <v>46238.50855783564</v>
      </c>
      <c r="B64" s="7" t="n">
        <v>145.0760877436109</v>
      </c>
      <c r="C64" s="7" t="n">
        <v>146.2910455831213</v>
      </c>
      <c r="D64" s="7" t="n">
        <v>146.1454530038132</v>
      </c>
      <c r="E64" s="7" t="n">
        <v>146.7666522421025</v>
      </c>
      <c r="F64" s="7" t="n">
        <v>146.3117242491677</v>
      </c>
      <c r="G64" s="7" t="n">
        <v>145.9516252009746</v>
      </c>
      <c r="H64" s="7" t="n">
        <v>148.4548983107908</v>
      </c>
      <c r="I64" s="7" t="n">
        <v>146.7848928168217</v>
      </c>
      <c r="J64" s="7" t="n">
        <v>146.6409220080596</v>
      </c>
      <c r="K64" s="7" t="n">
        <v>146.3751470576023</v>
      </c>
      <c r="L64" s="7" t="n">
        <v>145.7187937147421</v>
      </c>
      <c r="M64" s="7" t="n">
        <v>146.37267639829</v>
      </c>
      <c r="N64" s="7" t="n">
        <v>146.4267674407443</v>
      </c>
      <c r="O64" s="8">
        <f>N64*$B$2/100</f>
        <v/>
      </c>
    </row>
    <row r="65">
      <c r="A65" s="6" t="n">
        <v>46238.50856953704</v>
      </c>
      <c r="B65" s="7" t="n">
        <v>122.9342043061584</v>
      </c>
      <c r="C65" s="7" t="n">
        <v>159.9470398621262</v>
      </c>
      <c r="D65" s="7" t="n">
        <v>147.81564551988</v>
      </c>
      <c r="E65" s="7" t="n">
        <v>143.562238854776</v>
      </c>
      <c r="F65" s="7" t="n">
        <v>141.9567729666472</v>
      </c>
      <c r="G65" s="7" t="n">
        <v>124.5952235150031</v>
      </c>
      <c r="H65" s="7" t="n">
        <v>144.3721257419213</v>
      </c>
      <c r="I65" s="7" t="n">
        <v>113.5448816061943</v>
      </c>
      <c r="J65" s="7" t="n">
        <v>135.0094035743973</v>
      </c>
      <c r="K65" s="7" t="n">
        <v>109.5515216709247</v>
      </c>
      <c r="L65" s="7" t="n">
        <v>126.732992258949</v>
      </c>
      <c r="M65" s="7" t="n">
        <v>135.8925328261136</v>
      </c>
      <c r="N65" s="7" t="n">
        <v>141.2282894558469</v>
      </c>
      <c r="O65" s="8">
        <f>N65*$B$2/100</f>
        <v/>
      </c>
    </row>
    <row r="66">
      <c r="A66" s="6" t="n">
        <v>46238.50858115741</v>
      </c>
      <c r="B66" s="7" t="n">
        <v>81.43512655570298</v>
      </c>
      <c r="C66" s="7" t="n">
        <v>122.6527074511217</v>
      </c>
      <c r="D66" s="7" t="n">
        <v>74.71778479927499</v>
      </c>
      <c r="E66" s="7" t="n">
        <v>87.34117123315391</v>
      </c>
      <c r="F66" s="7" t="n">
        <v>81.82392245197541</v>
      </c>
      <c r="G66" s="7" t="n">
        <v>90.09052224371374</v>
      </c>
      <c r="H66" s="7" t="n">
        <v>93.40976628802716</v>
      </c>
      <c r="I66" s="7" t="n">
        <v>84.04465046888321</v>
      </c>
      <c r="J66" s="7" t="n">
        <v>110.0176055692956</v>
      </c>
      <c r="K66" s="7" t="n">
        <v>59.75909442724458</v>
      </c>
      <c r="L66" s="7" t="n">
        <v>92.69094727533989</v>
      </c>
      <c r="M66" s="7" t="n">
        <v>82.87377626941652</v>
      </c>
      <c r="N66" s="7" t="n">
        <v>91.85491494645765</v>
      </c>
      <c r="O66" s="8">
        <f>N66*$B$2/100</f>
        <v/>
      </c>
    </row>
    <row r="67">
      <c r="A67" s="6" t="n">
        <v>46238.50859282407</v>
      </c>
      <c r="B67" s="7" t="n">
        <v>153.9633987212387</v>
      </c>
      <c r="C67" s="7" t="n">
        <v>124.9424299505533</v>
      </c>
      <c r="D67" s="7" t="n">
        <v>131.7071682266831</v>
      </c>
      <c r="E67" s="7" t="n">
        <v>159.5520352141631</v>
      </c>
      <c r="F67" s="7" t="n">
        <v>134.4466968969503</v>
      </c>
      <c r="G67" s="7" t="n">
        <v>118.7635754583921</v>
      </c>
      <c r="H67" s="7" t="n">
        <v>140.2783062920459</v>
      </c>
      <c r="I67" s="7" t="n">
        <v>86.44400417101147</v>
      </c>
      <c r="J67" s="7" t="n">
        <v>131.2799405567497</v>
      </c>
      <c r="K67" s="7" t="n">
        <v>119.3924256951103</v>
      </c>
      <c r="L67" s="7" t="n">
        <v>103.0394564171357</v>
      </c>
      <c r="M67" s="7" t="n">
        <v>135.8591895210807</v>
      </c>
      <c r="N67" s="7" t="n">
        <v>142.2667246798913</v>
      </c>
      <c r="O67" s="8">
        <f>N67*$B$2/100</f>
        <v/>
      </c>
    </row>
    <row r="68">
      <c r="A68" s="6" t="n">
        <v>46238.50860452546</v>
      </c>
      <c r="B68" s="7" t="n">
        <v>136.9487471042061</v>
      </c>
      <c r="C68" s="7" t="n">
        <v>160.2707051859477</v>
      </c>
      <c r="D68" s="7" t="n">
        <v>135.2560319192984</v>
      </c>
      <c r="E68" s="7" t="n">
        <v>132.3715712340315</v>
      </c>
      <c r="F68" s="7" t="n">
        <v>144.1373376354761</v>
      </c>
      <c r="G68" s="7" t="n">
        <v>129.5756534075408</v>
      </c>
      <c r="H68" s="7" t="n">
        <v>145.3039061100161</v>
      </c>
      <c r="I68" s="7" t="n">
        <v>159.6131990060293</v>
      </c>
      <c r="J68" s="7" t="n">
        <v>152.1433774357497</v>
      </c>
      <c r="K68" s="7" t="n">
        <v>139.4972375690608</v>
      </c>
      <c r="L68" s="7" t="n">
        <v>129.6044255768427</v>
      </c>
      <c r="M68" s="7" t="n">
        <v>127.5668407815825</v>
      </c>
      <c r="N68" s="7" t="n">
        <v>147.3526678701429</v>
      </c>
      <c r="O68" s="8">
        <f>N68*$B$2/100</f>
        <v/>
      </c>
    </row>
    <row r="69">
      <c r="A69" s="6" t="n">
        <v>46238.50861625</v>
      </c>
      <c r="B69" s="7" t="n">
        <v>150.6083585839214</v>
      </c>
      <c r="C69" s="7" t="n">
        <v>129.1554475496152</v>
      </c>
      <c r="D69" s="7" t="n">
        <v>133.4347090807895</v>
      </c>
      <c r="E69" s="7" t="n">
        <v>156.0521922502416</v>
      </c>
      <c r="F69" s="7" t="n">
        <v>138.550232614711</v>
      </c>
      <c r="G69" s="7" t="n">
        <v>121.4912271127241</v>
      </c>
      <c r="H69" s="7" t="n">
        <v>144.4744177862682</v>
      </c>
      <c r="I69" s="7" t="n">
        <v>129.8344904750975</v>
      </c>
      <c r="J69" s="7" t="n">
        <v>137.2236309238475</v>
      </c>
      <c r="K69" s="7" t="n">
        <v>143.717927467063</v>
      </c>
      <c r="L69" s="7" t="n">
        <v>135.9522111927226</v>
      </c>
      <c r="M69" s="7" t="n">
        <v>116.761034505509</v>
      </c>
      <c r="N69" s="7" t="n">
        <v>142.9031562335613</v>
      </c>
      <c r="O69" s="8">
        <f>N69*$B$2/100</f>
        <v/>
      </c>
    </row>
    <row r="70">
      <c r="A70" s="6" t="n">
        <v>46238.50862795139</v>
      </c>
      <c r="B70" s="7" t="n">
        <v>121.6658933457065</v>
      </c>
      <c r="C70" s="7" t="n">
        <v>161.8278685237279</v>
      </c>
      <c r="D70" s="7" t="n">
        <v>156.4122931379434</v>
      </c>
      <c r="E70" s="7" t="n">
        <v>127.9397831944357</v>
      </c>
      <c r="F70" s="7" t="n">
        <v>96.51260585065435</v>
      </c>
      <c r="G70" s="7" t="n">
        <v>111.3387328821868</v>
      </c>
      <c r="H70" s="7" t="n">
        <v>129.1917569687289</v>
      </c>
      <c r="I70" s="7" t="n">
        <v>107.0001530924679</v>
      </c>
      <c r="J70" s="7" t="n">
        <v>142.9135284668927</v>
      </c>
      <c r="K70" s="7" t="n">
        <v>90.71623024570307</v>
      </c>
      <c r="L70" s="7" t="n">
        <v>129.5043963476496</v>
      </c>
      <c r="M70" s="7" t="n">
        <v>131.7457081107532</v>
      </c>
      <c r="N70" s="7" t="n">
        <v>141.7758873463773</v>
      </c>
      <c r="O70" s="8">
        <f>N70*$B$2/100</f>
        <v/>
      </c>
    </row>
    <row r="71">
      <c r="A71" s="6" t="n">
        <v>46238.50863960648</v>
      </c>
      <c r="B71" s="7" t="n">
        <v>117.1933994058467</v>
      </c>
      <c r="C71" s="7" t="n">
        <v>160.3022900238795</v>
      </c>
      <c r="D71" s="7" t="n">
        <v>96.00735564545789</v>
      </c>
      <c r="E71" s="7" t="n">
        <v>96.08705443814553</v>
      </c>
      <c r="F71" s="7" t="n">
        <v>157.8431250417102</v>
      </c>
      <c r="G71" s="7" t="n">
        <v>113.9492087799898</v>
      </c>
      <c r="H71" s="7" t="n">
        <v>138.0600282905607</v>
      </c>
      <c r="I71" s="7" t="n">
        <v>109.9552721922511</v>
      </c>
      <c r="J71" s="7" t="n">
        <v>149.0316911183719</v>
      </c>
      <c r="K71" s="7" t="n">
        <v>76.97302268546903</v>
      </c>
      <c r="L71" s="7" t="n">
        <v>97.18924237454904</v>
      </c>
      <c r="M71" s="7" t="n">
        <v>71.18410689170183</v>
      </c>
      <c r="N71" s="7" t="n">
        <v>142.8429742719819</v>
      </c>
      <c r="O71" s="8">
        <f>N71*$B$2/100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9" customWidth="1" min="4" max="4"/>
    <col width="56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테스트 구간별 시각 경계와 실행 스레드, 그 구간의 평균 클럭</t>
        </is>
      </c>
    </row>
    <row r="2">
      <c r="A2" s="4" t="inlineStr">
        <is>
          <t>시각 경계 출처: 전체·워밍업·워커 읽기는 프로브의 [구간 시각] 출력, 측정 회차는 IMPLOG의 시작시각ms(첫 스캔 시작)와 마지막 스캔 시작+바퀴 시간이다.</t>
        </is>
      </c>
    </row>
    <row r="3">
      <c r="A3" s="4" t="inlineStr">
        <is>
      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      </is>
      </c>
    </row>
    <row r="5">
      <c r="A5" s="5" t="inlineStr">
        <is>
          <t>구간</t>
        </is>
      </c>
      <c r="B5" s="5" t="inlineStr">
        <is>
          <t>시작 시각</t>
        </is>
      </c>
      <c r="C5" s="5" t="inlineStr">
        <is>
          <t>끝 시각</t>
        </is>
      </c>
      <c r="D5" s="5" t="inlineStr">
        <is>
          <t>길이(초)</t>
        </is>
      </c>
      <c r="E5" s="5" t="inlineStr">
        <is>
          <t>실행 스레드</t>
        </is>
      </c>
      <c r="F5" s="5" t="inlineStr">
        <is>
          <t>표본 수(개)</t>
        </is>
      </c>
      <c r="G5" s="5" t="inlineStr">
        <is>
          <t>평균 클럭(%)</t>
        </is>
      </c>
      <c r="H5" s="5" t="inlineStr">
        <is>
          <t>평균 클럭(GHz)</t>
        </is>
      </c>
    </row>
    <row r="6">
      <c r="A6" s="9" t="inlineStr">
        <is>
          <t>순차 전체</t>
        </is>
      </c>
      <c r="B6" s="10" t="n">
        <v>46238.507943176</v>
      </c>
      <c r="C6" s="10" t="n">
        <v>46238.50824836807</v>
      </c>
      <c r="D6" s="11">
        <f>(C6-B6)*86400</f>
        <v/>
      </c>
      <c r="E6" s="12" t="inlineStr">
        <is>
          <t>main (improveSequential, 워밍업+측정)</t>
        </is>
      </c>
      <c r="F6" s="13">
        <f>COUNTIFS('클럭 정리'!$A$6:$A$71,"&gt;="&amp;B6,'클럭 정리'!$A$6:$A$71,"&lt;="&amp;C6)</f>
        <v/>
      </c>
      <c r="G6" s="14">
        <f>AVERAGEIFS('클럭 정리'!$N$6:$N$71,'클럭 정리'!$A$6:$A$71,"&gt;="&amp;B6,'클럭 정리'!$A$6:$A$71,"&lt;="&amp;C6)</f>
        <v/>
      </c>
      <c r="H6" s="15">
        <f>G6*'클럭 정리'!$B$2/100</f>
        <v/>
      </c>
    </row>
    <row r="7">
      <c r="A7" s="9" t="inlineStr">
        <is>
          <t>병렬도 6 분할 11 전체</t>
        </is>
      </c>
      <c r="B7" s="10" t="n">
        <v>46238.50824837878</v>
      </c>
      <c r="C7" s="10" t="n">
        <v>46238.50841032706</v>
      </c>
      <c r="D7" s="11">
        <f>(C7-B7)*86400</f>
        <v/>
      </c>
      <c r="E7" s="12" t="inlineStr">
        <is>
          <t>워커(호출마다 새 풀)+main</t>
        </is>
      </c>
      <c r="F7" s="13">
        <f>COUNTIFS('클럭 정리'!$A$6:$A$71,"&gt;="&amp;B7,'클럭 정리'!$A$6:$A$71,"&lt;="&amp;C7)</f>
        <v/>
      </c>
      <c r="G7" s="14">
        <f>AVERAGEIFS('클럭 정리'!$N$6:$N$71,'클럭 정리'!$A$6:$A$71,"&gt;="&amp;B7,'클럭 정리'!$A$6:$A$71,"&lt;="&amp;C7)</f>
        <v/>
      </c>
      <c r="H7" s="15">
        <f>G7*'클럭 정리'!$B$2/100</f>
        <v/>
      </c>
    </row>
    <row r="8">
      <c r="A8" s="13" t="inlineStr">
        <is>
          <t>병렬도 6 분할 11 워밍업</t>
        </is>
      </c>
      <c r="B8" s="10" t="n">
        <v>46238.50824837878</v>
      </c>
      <c r="C8" s="10" t="n">
        <v>46238.50828811343</v>
      </c>
      <c r="D8" s="11">
        <f>(C8-B8)*86400</f>
        <v/>
      </c>
      <c r="E8" s="12" t="inlineStr">
        <is>
          <t>워커 (IMPLOG 기록 없음)</t>
        </is>
      </c>
      <c r="F8" s="13">
        <f>COUNTIFS('클럭 정리'!$A$6:$A$71,"&gt;="&amp;B8,'클럭 정리'!$A$6:$A$71,"&lt;="&amp;C8)</f>
        <v/>
      </c>
      <c r="G8" s="14">
        <f>AVERAGEIFS('클럭 정리'!$N$6:$N$71,'클럭 정리'!$A$6:$A$71,"&gt;="&amp;B8,'클럭 정리'!$A$6:$A$71,"&lt;="&amp;C8)</f>
        <v/>
      </c>
      <c r="H8" s="15">
        <f>G8*'클럭 정리'!$B$2/100</f>
        <v/>
      </c>
    </row>
    <row r="9">
      <c r="A9" s="13" t="inlineStr">
        <is>
          <t>병렬도 6 분할 11 측정 1회차</t>
        </is>
      </c>
      <c r="B9" s="10" t="n">
        <v>46238.50828811343</v>
      </c>
      <c r="C9" s="10" t="n">
        <v>46238.50830770659</v>
      </c>
      <c r="D9" s="11">
        <f>(C9-B9)*86400</f>
        <v/>
      </c>
      <c r="E9" s="12" t="inlineStr">
        <is>
          <t>ForkJoinPool-3-worker-1, ForkJoinPool-3-worker-2, ForkJoinPool-3-worker-3, ForkJoinPool-3-worker-4, ForkJoinPool-3-worker-5, ForkJoinPool-3-worker-6 + main(스캔 사이 순차 구간)</t>
        </is>
      </c>
      <c r="F9" s="13">
        <f>COUNTIFS('클럭 정리'!$A$6:$A$71,"&gt;="&amp;B9,'클럭 정리'!$A$6:$A$71,"&lt;="&amp;C9)</f>
        <v/>
      </c>
      <c r="G9" s="14">
        <f>AVERAGEIFS('클럭 정리'!$N$6:$N$71,'클럭 정리'!$A$6:$A$71,"&gt;="&amp;B9,'클럭 정리'!$A$6:$A$71,"&lt;="&amp;C9)</f>
        <v/>
      </c>
      <c r="H9" s="15">
        <f>G9*'클럭 정리'!$B$2/100</f>
        <v/>
      </c>
    </row>
    <row r="10">
      <c r="A10" s="13" t="inlineStr">
        <is>
          <t>병렬도 6 분할 11 측정 2회차</t>
        </is>
      </c>
      <c r="B10" s="10" t="n">
        <v>46238.50830773148</v>
      </c>
      <c r="C10" s="10" t="n">
        <v>46238.50832714138</v>
      </c>
      <c r="D10" s="11">
        <f>(C10-B10)*86400</f>
        <v/>
      </c>
      <c r="E10" s="12" t="inlineStr">
        <is>
          <t>ForkJoinPool-4-worker-1, ForkJoinPool-4-worker-2, ForkJoinPool-4-worker-3, ForkJoinPool-4-worker-4, ForkJoinPool-4-worker-5, ForkJoinPool-4-worker-6 + main(스캔 사이 순차 구간)</t>
        </is>
      </c>
      <c r="F10" s="13">
        <f>COUNTIFS('클럭 정리'!$A$6:$A$71,"&gt;="&amp;B10,'클럭 정리'!$A$6:$A$71,"&lt;="&amp;C10)</f>
        <v/>
      </c>
      <c r="G10" s="14">
        <f>AVERAGEIFS('클럭 정리'!$N$6:$N$71,'클럭 정리'!$A$6:$A$71,"&gt;="&amp;B10,'클럭 정리'!$A$6:$A$71,"&lt;="&amp;C10)</f>
        <v/>
      </c>
      <c r="H10" s="15">
        <f>G10*'클럭 정리'!$B$2/100</f>
        <v/>
      </c>
    </row>
    <row r="11">
      <c r="A11" s="13" t="inlineStr">
        <is>
          <t>병렬도 6 분할 11 측정 3회차</t>
        </is>
      </c>
      <c r="B11" s="10" t="n">
        <v>46238.50832715278</v>
      </c>
      <c r="C11" s="10" t="n">
        <v>46238.50834648383</v>
      </c>
      <c r="D11" s="11">
        <f>(C11-B11)*86400</f>
        <v/>
      </c>
      <c r="E11" s="12" t="inlineStr">
        <is>
          <t>ForkJoinPool-5-worker-1, ForkJoinPool-5-worker-2, ForkJoinPool-5-worker-3, ForkJoinPool-5-worker-4, ForkJoinPool-5-worker-5, ForkJoinPool-5-worker-6 + main(스캔 사이 순차 구간)</t>
        </is>
      </c>
      <c r="F11" s="13">
        <f>COUNTIFS('클럭 정리'!$A$6:$A$71,"&gt;="&amp;B11,'클럭 정리'!$A$6:$A$71,"&lt;="&amp;C11)</f>
        <v/>
      </c>
      <c r="G11" s="14">
        <f>AVERAGEIFS('클럭 정리'!$N$6:$N$71,'클럭 정리'!$A$6:$A$71,"&gt;="&amp;B11,'클럭 정리'!$A$6:$A$71,"&lt;="&amp;C11)</f>
        <v/>
      </c>
      <c r="H11" s="15">
        <f>G11*'클럭 정리'!$B$2/100</f>
        <v/>
      </c>
    </row>
    <row r="12">
      <c r="A12" s="13" t="inlineStr">
        <is>
          <t>병렬도 6 분할 11 측정 4회차</t>
        </is>
      </c>
      <c r="B12" s="10" t="n">
        <v>46238.50834649306</v>
      </c>
      <c r="C12" s="10" t="n">
        <v>46238.5083658482</v>
      </c>
      <c r="D12" s="11">
        <f>(C12-B12)*86400</f>
        <v/>
      </c>
      <c r="E12" s="12" t="inlineStr">
        <is>
          <t>ForkJoinPool-6-worker-1, ForkJoinPool-6-worker-2, ForkJoinPool-6-worker-3, ForkJoinPool-6-worker-4, ForkJoinPool-6-worker-5, ForkJoinPool-6-worker-6 + main(스캔 사이 순차 구간)</t>
        </is>
      </c>
      <c r="F12" s="13">
        <f>COUNTIFS('클럭 정리'!$A$6:$A$71,"&gt;="&amp;B12,'클럭 정리'!$A$6:$A$71,"&lt;="&amp;C12)</f>
        <v/>
      </c>
      <c r="G12" s="14">
        <f>AVERAGEIFS('클럭 정리'!$N$6:$N$71,'클럭 정리'!$A$6:$A$71,"&gt;="&amp;B12,'클럭 정리'!$A$6:$A$71,"&lt;="&amp;C12)</f>
        <v/>
      </c>
      <c r="H12" s="15">
        <f>G12*'클럭 정리'!$B$2/100</f>
        <v/>
      </c>
    </row>
    <row r="13">
      <c r="A13" s="13" t="inlineStr">
        <is>
          <t>병렬도 6 분할 11 측정 5회차</t>
        </is>
      </c>
      <c r="B13" s="10" t="n">
        <v>46238.50836585648</v>
      </c>
      <c r="C13" s="10" t="n">
        <v>46238.5083852734</v>
      </c>
      <c r="D13" s="11">
        <f>(C13-B13)*86400</f>
        <v/>
      </c>
      <c r="E13" s="12" t="inlineStr">
        <is>
          <t>ForkJoinPool-7-worker-1, ForkJoinPool-7-worker-2, ForkJoinPool-7-worker-3, ForkJoinPool-7-worker-4, ForkJoinPool-7-worker-5, ForkJoinPool-7-worker-6 + main(스캔 사이 순차 구간)</t>
        </is>
      </c>
      <c r="F13" s="13">
        <f>COUNTIFS('클럭 정리'!$A$6:$A$71,"&gt;="&amp;B13,'클럭 정리'!$A$6:$A$71,"&lt;="&amp;C13)</f>
        <v/>
      </c>
      <c r="G13" s="14">
        <f>AVERAGEIFS('클럭 정리'!$N$6:$N$71,'클럭 정리'!$A$6:$A$71,"&gt;="&amp;B13,'클럭 정리'!$A$6:$A$71,"&lt;="&amp;C13)</f>
        <v/>
      </c>
      <c r="H13" s="15">
        <f>G13*'클럭 정리'!$B$2/100</f>
        <v/>
      </c>
    </row>
    <row r="14">
      <c r="A14" s="13" t="inlineStr">
        <is>
          <t>병렬도 6 분할 11 워커별 CPU 읽기 실행</t>
        </is>
      </c>
      <c r="B14" s="10" t="n">
        <v>46238.5083852734</v>
      </c>
      <c r="C14" s="10" t="n">
        <v>46238.50841032706</v>
      </c>
      <c r="D14" s="11">
        <f>(C14-B14)*86400</f>
        <v/>
      </c>
      <c r="E14" s="12" t="inlineStr">
        <is>
          <t>ForkJoinPool-8-worker-1, ForkJoinPool-8-worker-4, ForkJoinPool-8-worker-2, ForkJoinPool-8-worker-5, ForkJoinPool-8-worker-6, ForkJoinPool-8-worker-3 + main</t>
        </is>
      </c>
      <c r="F14" s="13">
        <f>COUNTIFS('클럭 정리'!$A$6:$A$71,"&gt;="&amp;B14,'클럭 정리'!$A$6:$A$71,"&lt;="&amp;C14)</f>
        <v/>
      </c>
      <c r="G14" s="14">
        <f>AVERAGEIFS('클럭 정리'!$N$6:$N$71,'클럭 정리'!$A$6:$A$71,"&gt;="&amp;B14,'클럭 정리'!$A$6:$A$71,"&lt;="&amp;C14)</f>
        <v/>
      </c>
      <c r="H14" s="15">
        <f>G14*'클럭 정리'!$B$2/100</f>
        <v/>
      </c>
    </row>
    <row r="15">
      <c r="A15" s="9" t="inlineStr">
        <is>
          <t>병렬도 12 분할 11 전체</t>
        </is>
      </c>
      <c r="B15" s="10" t="n">
        <v>46238.50841033863</v>
      </c>
      <c r="C15" s="10" t="n">
        <v>46238.50853956315</v>
      </c>
      <c r="D15" s="11">
        <f>(C15-B15)*86400</f>
        <v/>
      </c>
      <c r="E15" s="12" t="inlineStr">
        <is>
          <t>워커(호출마다 새 풀)+main</t>
        </is>
      </c>
      <c r="F15" s="13">
        <f>COUNTIFS('클럭 정리'!$A$6:$A$71,"&gt;="&amp;B15,'클럭 정리'!$A$6:$A$71,"&lt;="&amp;C15)</f>
        <v/>
      </c>
      <c r="G15" s="14">
        <f>AVERAGEIFS('클럭 정리'!$N$6:$N$71,'클럭 정리'!$A$6:$A$71,"&gt;="&amp;B15,'클럭 정리'!$A$6:$A$71,"&lt;="&amp;C15)</f>
        <v/>
      </c>
      <c r="H15" s="15">
        <f>G15*'클럭 정리'!$B$2/100</f>
        <v/>
      </c>
    </row>
    <row r="16">
      <c r="A16" s="13" t="inlineStr">
        <is>
          <t>병렬도 12 분할 11 워밍업</t>
        </is>
      </c>
      <c r="B16" s="10" t="n">
        <v>46238.50841033863</v>
      </c>
      <c r="C16" s="10" t="n">
        <v>46238.50844149305</v>
      </c>
      <c r="D16" s="11">
        <f>(C16-B16)*86400</f>
        <v/>
      </c>
      <c r="E16" s="12" t="inlineStr">
        <is>
          <t>워커 (IMPLOG 기록 없음)</t>
        </is>
      </c>
      <c r="F16" s="13">
        <f>COUNTIFS('클럭 정리'!$A$6:$A$71,"&gt;="&amp;B16,'클럭 정리'!$A$6:$A$71,"&lt;="&amp;C16)</f>
        <v/>
      </c>
      <c r="G16" s="14">
        <f>AVERAGEIFS('클럭 정리'!$N$6:$N$71,'클럭 정리'!$A$6:$A$71,"&gt;="&amp;B16,'클럭 정리'!$A$6:$A$71,"&lt;="&amp;C16)</f>
        <v/>
      </c>
      <c r="H16" s="15">
        <f>G16*'클럭 정리'!$B$2/100</f>
        <v/>
      </c>
    </row>
    <row r="17">
      <c r="A17" s="13" t="inlineStr">
        <is>
          <t>병렬도 12 분할 11 측정 1회차</t>
        </is>
      </c>
      <c r="B17" s="10" t="n">
        <v>46238.50844149305</v>
      </c>
      <c r="C17" s="10" t="n">
        <v>46238.50845695392</v>
      </c>
      <c r="D17" s="11">
        <f>(C17-B17)*86400</f>
        <v/>
      </c>
      <c r="E17" s="12" t="inlineStr">
        <is>
          <t>ForkJoinPool-11-worker-1, ForkJoinPool-11-worker-10, ForkJoinPool-11-worker-11, ForkJoinPool-11-worker-12, ForkJoinPool-11-worker-2, ForkJoinPool-11-worker-3, ForkJoinPool-11-worker-4, ForkJoinPool-11-worker-5, ForkJoinPool-11-worker-6, ForkJoinPool-11-worker-7, ForkJoinPool-11-worker-8, ForkJoinPool-11-worker-9 + main(스캔 사이 순차 구간)</t>
        </is>
      </c>
      <c r="F17" s="13">
        <f>COUNTIFS('클럭 정리'!$A$6:$A$71,"&gt;="&amp;B17,'클럭 정리'!$A$6:$A$71,"&lt;="&amp;C17)</f>
        <v/>
      </c>
      <c r="G17" s="14">
        <f>AVERAGEIFS('클럭 정리'!$N$6:$N$71,'클럭 정리'!$A$6:$A$71,"&gt;="&amp;B17,'클럭 정리'!$A$6:$A$71,"&lt;="&amp;C17)</f>
        <v/>
      </c>
      <c r="H17" s="15">
        <f>G17*'클럭 정리'!$B$2/100</f>
        <v/>
      </c>
    </row>
    <row r="18">
      <c r="A18" s="13" t="inlineStr">
        <is>
          <t>병렬도 12 분할 11 측정 2회차</t>
        </is>
      </c>
      <c r="B18" s="10" t="n">
        <v>46238.50845696759</v>
      </c>
      <c r="C18" s="10" t="n">
        <v>46238.50847605949</v>
      </c>
      <c r="D18" s="11">
        <f>(C18-B18)*86400</f>
        <v/>
      </c>
      <c r="E18" s="12" t="inlineStr">
        <is>
          <t>ForkJoinPool-12-worker-1, ForkJoinPool-12-worker-10, ForkJoinPool-12-worker-11, ForkJoinPool-12-worker-12, ForkJoinPool-12-worker-2, ForkJoinPool-12-worker-3, ForkJoinPool-12-worker-4, ForkJoinPool-12-worker-5, ForkJoinPool-12-worker-6, ForkJoinPool-12-worker-7, ForkJoinPool-12-worker-8, ForkJoinPool-12-worker-9 + main(스캔 사이 순차 구간)</t>
        </is>
      </c>
      <c r="F18" s="13">
        <f>COUNTIFS('클럭 정리'!$A$6:$A$71,"&gt;="&amp;B18,'클럭 정리'!$A$6:$A$71,"&lt;="&amp;C18)</f>
        <v/>
      </c>
      <c r="G18" s="14">
        <f>AVERAGEIFS('클럭 정리'!$N$6:$N$71,'클럭 정리'!$A$6:$A$71,"&gt;="&amp;B18,'클럭 정리'!$A$6:$A$71,"&lt;="&amp;C18)</f>
        <v/>
      </c>
      <c r="H18" s="15">
        <f>G18*'클럭 정리'!$B$2/100</f>
        <v/>
      </c>
    </row>
    <row r="19">
      <c r="A19" s="13" t="inlineStr">
        <is>
          <t>병렬도 12 분할 11 측정 3회차</t>
        </is>
      </c>
      <c r="B19" s="10" t="n">
        <v>46238.50847608796</v>
      </c>
      <c r="C19" s="10" t="n">
        <v>46238.5084926872</v>
      </c>
      <c r="D19" s="11">
        <f>(C19-B19)*86400</f>
        <v/>
      </c>
      <c r="E19" s="12" t="inlineStr">
        <is>
          <t>ForkJoinPool-13-worker-1, ForkJoinPool-13-worker-10, ForkJoinPool-13-worker-11, ForkJoinPool-13-worker-12, ForkJoinPool-13-worker-2, ForkJoinPool-13-worker-3, ForkJoinPool-13-worker-4, ForkJoinPool-13-worker-5, ForkJoinPool-13-worker-6, ForkJoinPool-13-worker-7, ForkJoinPool-13-worker-8, ForkJoinPool-13-worker-9 + main(스캔 사이 순차 구간)</t>
        </is>
      </c>
      <c r="F19" s="13">
        <f>COUNTIFS('클럭 정리'!$A$6:$A$71,"&gt;="&amp;B19,'클럭 정리'!$A$6:$A$71,"&lt;="&amp;C19)</f>
        <v/>
      </c>
      <c r="G19" s="14">
        <f>AVERAGEIFS('클럭 정리'!$N$6:$N$71,'클럭 정리'!$A$6:$A$71,"&gt;="&amp;B19,'클럭 정리'!$A$6:$A$71,"&lt;="&amp;C19)</f>
        <v/>
      </c>
      <c r="H19" s="15">
        <f>G19*'클럭 정리'!$B$2/100</f>
        <v/>
      </c>
    </row>
    <row r="20">
      <c r="A20" s="13" t="inlineStr">
        <is>
          <t>병렬도 12 분할 11 측정 4회차</t>
        </is>
      </c>
      <c r="B20" s="10" t="n">
        <v>46238.50849269676</v>
      </c>
      <c r="C20" s="10" t="n">
        <v>46238.5085080932</v>
      </c>
      <c r="D20" s="11">
        <f>(C20-B20)*86400</f>
        <v/>
      </c>
      <c r="E20" s="12" t="inlineStr">
        <is>
          <t>ForkJoinPool-14-worker-1, ForkJoinPool-14-worker-10, ForkJoinPool-14-worker-11, ForkJoinPool-14-worker-12, ForkJoinPool-14-worker-2, ForkJoinPool-14-worker-3, ForkJoinPool-14-worker-4, ForkJoinPool-14-worker-5, ForkJoinPool-14-worker-6, ForkJoinPool-14-worker-7, ForkJoinPool-14-worker-8, ForkJoinPool-14-worker-9 + main(스캔 사이 순차 구간)</t>
        </is>
      </c>
      <c r="F20" s="13">
        <f>COUNTIFS('클럭 정리'!$A$6:$A$71,"&gt;="&amp;B20,'클럭 정리'!$A$6:$A$71,"&lt;="&amp;C20)</f>
        <v/>
      </c>
      <c r="G20" s="14">
        <f>AVERAGEIFS('클럭 정리'!$N$6:$N$71,'클럭 정리'!$A$6:$A$71,"&gt;="&amp;B20,'클럭 정리'!$A$6:$A$71,"&lt;="&amp;C20)</f>
        <v/>
      </c>
      <c r="H20" s="15">
        <f>G20*'클럭 정리'!$B$2/100</f>
        <v/>
      </c>
    </row>
    <row r="21">
      <c r="A21" s="13" t="inlineStr">
        <is>
          <t>병렬도 12 분할 11 측정 5회차</t>
        </is>
      </c>
      <c r="B21" s="10" t="n">
        <v>46238.50850810186</v>
      </c>
      <c r="C21" s="10" t="n">
        <v>46238.50852348051</v>
      </c>
      <c r="D21" s="11">
        <f>(C21-B21)*86400</f>
        <v/>
      </c>
      <c r="E21" s="12" t="inlineStr">
        <is>
          <t>ForkJoinPool-15-worker-1, ForkJoinPool-15-worker-10, ForkJoinPool-15-worker-11, ForkJoinPool-15-worker-12, ForkJoinPool-15-worker-2, ForkJoinPool-15-worker-3, ForkJoinPool-15-worker-4, ForkJoinPool-15-worker-5, ForkJoinPool-15-worker-6, ForkJoinPool-15-worker-7, ForkJoinPool-15-worker-8, ForkJoinPool-15-worker-9 + main(스캔 사이 순차 구간)</t>
        </is>
      </c>
      <c r="F21" s="13">
        <f>COUNTIFS('클럭 정리'!$A$6:$A$71,"&gt;="&amp;B21,'클럭 정리'!$A$6:$A$71,"&lt;="&amp;C21)</f>
        <v/>
      </c>
      <c r="G21" s="14">
        <f>AVERAGEIFS('클럭 정리'!$N$6:$N$71,'클럭 정리'!$A$6:$A$71,"&gt;="&amp;B21,'클럭 정리'!$A$6:$A$71,"&lt;="&amp;C21)</f>
        <v/>
      </c>
      <c r="H21" s="15">
        <f>G21*'클럭 정리'!$B$2/100</f>
        <v/>
      </c>
    </row>
    <row r="22">
      <c r="A22" s="13" t="inlineStr">
        <is>
          <t>병렬도 12 분할 11 워커별 CPU 읽기 실행</t>
        </is>
      </c>
      <c r="B22" s="10" t="n">
        <v>46238.50852348051</v>
      </c>
      <c r="C22" s="10" t="n">
        <v>46238.50853956315</v>
      </c>
      <c r="D22" s="11">
        <f>(C22-B22)*86400</f>
        <v/>
      </c>
      <c r="E22" s="12" t="inlineStr">
        <is>
          <t>ForkJoinPool-16-worker-11, ForkJoinPool-16-worker-3, ForkJoinPool-16-worker-6, ForkJoinPool-16-worker-4, ForkJoinPool-16-worker-5, ForkJoinPool-16-worker-7, ForkJoinPool-16-worker-9, ForkJoinPool-16-worker-2, ForkJoinPool-16-worker-1, ForkJoinPool-16-worker-10, ForkJoinPool-16-worker-8, ForkJoinPool-16-worker-12 + main</t>
        </is>
      </c>
      <c r="F22" s="13">
        <f>COUNTIFS('클럭 정리'!$A$6:$A$71,"&gt;="&amp;B22,'클럭 정리'!$A$6:$A$71,"&lt;="&amp;C22)</f>
        <v/>
      </c>
      <c r="G22" s="14">
        <f>AVERAGEIFS('클럭 정리'!$N$6:$N$71,'클럭 정리'!$A$6:$A$71,"&gt;="&amp;B22,'클럭 정리'!$A$6:$A$71,"&lt;="&amp;C22)</f>
        <v/>
      </c>
      <c r="H22" s="15">
        <f>G22*'클럭 정리'!$B$2/100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6" customWidth="1" min="3" max="3"/>
    <col width="40" customWidth="1" min="4" max="4"/>
    <col width="14" customWidth="1" min="5" max="5"/>
    <col width="14" customWidth="1" min="6" max="6"/>
    <col width="17" customWidth="1" min="7" max="7"/>
    <col width="15" customWidth="1" min="8" max="8"/>
    <col width="11" customWidth="1" min="9" max="9"/>
    <col width="12" customWidth="1" min="10" max="10"/>
    <col width="13" customWidth="1" min="11" max="11"/>
  </cols>
  <sheetData>
    <row r="1">
      <c r="A1" s="1" t="inlineStr">
        <is>
          <t>측정 회차 구간 안의 스레드별 활동 창과 클럭, 그리고 풀별 클럭 표본 매핑</t>
        </is>
      </c>
    </row>
    <row r="2">
      <c r="A2" s="4" t="inlineStr">
        <is>
      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      </is>
      </c>
    </row>
    <row r="3">
      <c r="A3" s="4" t="inlineStr">
        <is>
      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      </is>
      </c>
    </row>
    <row r="5">
      <c r="A5" s="5" t="inlineStr">
        <is>
          <t>구간</t>
        </is>
      </c>
      <c r="B5" s="5" t="inlineStr">
        <is>
          <t>회차</t>
        </is>
      </c>
      <c r="C5" s="5" t="inlineStr">
        <is>
          <t>스레드</t>
        </is>
      </c>
      <c r="D5" s="5" t="inlineStr">
        <is>
          <t>역할</t>
        </is>
      </c>
      <c r="E5" s="5" t="inlineStr">
        <is>
          <t>활동 시작</t>
        </is>
      </c>
      <c r="F5" s="5" t="inlineStr">
        <is>
          <t>활동 끝</t>
        </is>
      </c>
      <c r="G5" s="5" t="inlineStr">
        <is>
          <t>처리 수(말단/스캔)</t>
        </is>
      </c>
      <c r="H5" s="5" t="inlineStr">
        <is>
          <t>활동 시간 합(ms)</t>
        </is>
      </c>
      <c r="I5" s="5" t="inlineStr">
        <is>
          <t>표본 수(개)</t>
        </is>
      </c>
      <c r="J5" s="5" t="inlineStr">
        <is>
          <t>평균 클럭(%)</t>
        </is>
      </c>
      <c r="K5" s="5" t="inlineStr">
        <is>
          <t>평균 클럭(GHz)</t>
        </is>
      </c>
    </row>
    <row r="6">
      <c r="A6" s="13" t="inlineStr">
        <is>
          <t>병렬도 6 분할 11</t>
        </is>
      </c>
      <c r="B6" s="13" t="n">
        <v>1</v>
      </c>
      <c r="C6" s="13" t="inlineStr">
        <is>
          <t>ForkJoinPool-3-worker-1</t>
        </is>
      </c>
      <c r="D6" s="12" t="inlineStr">
        <is>
          <t>워커</t>
        </is>
      </c>
      <c r="E6" s="10" t="n">
        <v>46238.508288125</v>
      </c>
      <c r="F6" s="10" t="n">
        <v>46238.50830767456</v>
      </c>
      <c r="G6" s="13" t="n">
        <v>86</v>
      </c>
      <c r="H6" s="14" t="n">
        <v>1517.6269</v>
      </c>
      <c r="I6" s="13">
        <f>COUNTIFS('클럭 정리'!$A$6:$A$71,"&gt;="&amp;E6,'클럭 정리'!$A$6:$A$71,"&lt;="&amp;F6)</f>
        <v/>
      </c>
      <c r="J6" s="14">
        <f>AVERAGEIFS('클럭 정리'!$N$6:$N$71,'클럭 정리'!$A$6:$A$71,"&gt;="&amp;E6,'클럭 정리'!$A$6:$A$71,"&lt;="&amp;F6)</f>
        <v/>
      </c>
      <c r="K6" s="15">
        <f>J6*'클럭 정리'!$B$2/100</f>
        <v/>
      </c>
    </row>
    <row r="7">
      <c r="A7" s="13" t="inlineStr">
        <is>
          <t>병렬도 6 분할 11</t>
        </is>
      </c>
      <c r="B7" s="13" t="n">
        <v>1</v>
      </c>
      <c r="C7" s="13" t="inlineStr">
        <is>
          <t>ForkJoinPool-3-worker-2</t>
        </is>
      </c>
      <c r="D7" s="12" t="inlineStr">
        <is>
          <t>워커</t>
        </is>
      </c>
      <c r="E7" s="10" t="n">
        <v>46238.508288125</v>
      </c>
      <c r="F7" s="10" t="n">
        <v>46238.50830750907</v>
      </c>
      <c r="G7" s="13" t="n">
        <v>83</v>
      </c>
      <c r="H7" s="14" t="n">
        <v>1455.6827</v>
      </c>
      <c r="I7" s="13">
        <f>COUNTIFS('클럭 정리'!$A$6:$A$71,"&gt;="&amp;E7,'클럭 정리'!$A$6:$A$71,"&lt;="&amp;F7)</f>
        <v/>
      </c>
      <c r="J7" s="14">
        <f>AVERAGEIFS('클럭 정리'!$N$6:$N$71,'클럭 정리'!$A$6:$A$71,"&gt;="&amp;E7,'클럭 정리'!$A$6:$A$71,"&lt;="&amp;F7)</f>
        <v/>
      </c>
      <c r="K7" s="15">
        <f>J7*'클럭 정리'!$B$2/100</f>
        <v/>
      </c>
    </row>
    <row r="8">
      <c r="A8" s="13" t="inlineStr">
        <is>
          <t>병렬도 6 분할 11</t>
        </is>
      </c>
      <c r="B8" s="13" t="n">
        <v>1</v>
      </c>
      <c r="C8" s="13" t="inlineStr">
        <is>
          <t>ForkJoinPool-3-worker-3</t>
        </is>
      </c>
      <c r="D8" s="12" t="inlineStr">
        <is>
          <t>워커</t>
        </is>
      </c>
      <c r="E8" s="10" t="n">
        <v>46238.508288125</v>
      </c>
      <c r="F8" s="10" t="n">
        <v>46238.50830769534</v>
      </c>
      <c r="G8" s="13" t="n">
        <v>81</v>
      </c>
      <c r="H8" s="14" t="n">
        <v>1453.9852</v>
      </c>
      <c r="I8" s="13">
        <f>COUNTIFS('클럭 정리'!$A$6:$A$71,"&gt;="&amp;E8,'클럭 정리'!$A$6:$A$71,"&lt;="&amp;F8)</f>
        <v/>
      </c>
      <c r="J8" s="14">
        <f>AVERAGEIFS('클럭 정리'!$N$6:$N$71,'클럭 정리'!$A$6:$A$71,"&gt;="&amp;E8,'클럭 정리'!$A$6:$A$71,"&lt;="&amp;F8)</f>
        <v/>
      </c>
      <c r="K8" s="15">
        <f>J8*'클럭 정리'!$B$2/100</f>
        <v/>
      </c>
    </row>
    <row r="9">
      <c r="A9" s="13" t="inlineStr">
        <is>
          <t>병렬도 6 분할 11</t>
        </is>
      </c>
      <c r="B9" s="13" t="n">
        <v>1</v>
      </c>
      <c r="C9" s="13" t="inlineStr">
        <is>
          <t>ForkJoinPool-3-worker-4</t>
        </is>
      </c>
      <c r="D9" s="12" t="inlineStr">
        <is>
          <t>워커</t>
        </is>
      </c>
      <c r="E9" s="10" t="n">
        <v>46238.508288125</v>
      </c>
      <c r="F9" s="10" t="n">
        <v>46238.50830768445</v>
      </c>
      <c r="G9" s="13" t="n">
        <v>84</v>
      </c>
      <c r="H9" s="14" t="n">
        <v>1451.9105</v>
      </c>
      <c r="I9" s="13">
        <f>COUNTIFS('클럭 정리'!$A$6:$A$71,"&gt;="&amp;E9,'클럭 정리'!$A$6:$A$71,"&lt;="&amp;F9)</f>
        <v/>
      </c>
      <c r="J9" s="14">
        <f>AVERAGEIFS('클럭 정리'!$N$6:$N$71,'클럭 정리'!$A$6:$A$71,"&gt;="&amp;E9,'클럭 정리'!$A$6:$A$71,"&lt;="&amp;F9)</f>
        <v/>
      </c>
      <c r="K9" s="15">
        <f>J9*'클럭 정리'!$B$2/100</f>
        <v/>
      </c>
    </row>
    <row r="10">
      <c r="A10" s="13" t="inlineStr">
        <is>
          <t>병렬도 6 분할 11</t>
        </is>
      </c>
      <c r="B10" s="13" t="n">
        <v>1</v>
      </c>
      <c r="C10" s="13" t="inlineStr">
        <is>
          <t>ForkJoinPool-3-worker-5</t>
        </is>
      </c>
      <c r="D10" s="12" t="inlineStr">
        <is>
          <t>워커</t>
        </is>
      </c>
      <c r="E10" s="10" t="n">
        <v>46238.508288125</v>
      </c>
      <c r="F10" s="10" t="n">
        <v>46238.50830768696</v>
      </c>
      <c r="G10" s="13" t="n">
        <v>82</v>
      </c>
      <c r="H10" s="14" t="n">
        <v>1411.4788</v>
      </c>
      <c r="I10" s="13">
        <f>COUNTIFS('클럭 정리'!$A$6:$A$71,"&gt;="&amp;E10,'클럭 정리'!$A$6:$A$71,"&lt;="&amp;F10)</f>
        <v/>
      </c>
      <c r="J10" s="14">
        <f>AVERAGEIFS('클럭 정리'!$N$6:$N$71,'클럭 정리'!$A$6:$A$71,"&gt;="&amp;E10,'클럭 정리'!$A$6:$A$71,"&lt;="&amp;F10)</f>
        <v/>
      </c>
      <c r="K10" s="15">
        <f>J10*'클럭 정리'!$B$2/100</f>
        <v/>
      </c>
    </row>
    <row r="11">
      <c r="A11" s="13" t="inlineStr">
        <is>
          <t>병렬도 6 분할 11</t>
        </is>
      </c>
      <c r="B11" s="13" t="n">
        <v>1</v>
      </c>
      <c r="C11" s="13" t="inlineStr">
        <is>
          <t>ForkJoinPool-3-worker-6</t>
        </is>
      </c>
      <c r="D11" s="12" t="inlineStr">
        <is>
          <t>워커</t>
        </is>
      </c>
      <c r="E11" s="10" t="n">
        <v>46238.508288125</v>
      </c>
      <c r="F11" s="10" t="n">
        <v>46238.50830770999</v>
      </c>
      <c r="G11" s="13" t="n">
        <v>79</v>
      </c>
      <c r="H11" s="14" t="n">
        <v>1399.7297</v>
      </c>
      <c r="I11" s="13">
        <f>COUNTIFS('클럭 정리'!$A$6:$A$71,"&gt;="&amp;E11,'클럭 정리'!$A$6:$A$71,"&lt;="&amp;F11)</f>
        <v/>
      </c>
      <c r="J11" s="14">
        <f>AVERAGEIFS('클럭 정리'!$N$6:$N$71,'클럭 정리'!$A$6:$A$71,"&gt;="&amp;E11,'클럭 정리'!$A$6:$A$71,"&lt;="&amp;F11)</f>
        <v/>
      </c>
      <c r="K11" s="15">
        <f>J11*'클럭 정리'!$B$2/100</f>
        <v/>
      </c>
    </row>
    <row r="12">
      <c r="A12" s="13" t="inlineStr">
        <is>
          <t>병렬도 6 분할 11</t>
        </is>
      </c>
      <c r="B12" s="13" t="n">
        <v>1</v>
      </c>
      <c r="C12" s="13" t="inlineStr">
        <is>
          <t>main</t>
        </is>
      </c>
      <c r="D12" s="12" t="inlineStr">
        <is>
          <t>main (활동 시간 합 = 그 회차 mainCPU, 창은 워커와 겹침)</t>
        </is>
      </c>
      <c r="E12" s="10" t="n">
        <v>46238.50828811343</v>
      </c>
      <c r="F12" s="10" t="n">
        <v>46238.50830770659</v>
      </c>
      <c r="G12" s="13" t="n">
        <v>45</v>
      </c>
      <c r="H12" s="14" t="n">
        <v>0</v>
      </c>
      <c r="I12" s="13">
        <f>COUNTIFS('클럭 정리'!$A$6:$A$71,"&gt;="&amp;E12,'클럭 정리'!$A$6:$A$71,"&lt;="&amp;F12)</f>
        <v/>
      </c>
      <c r="J12" s="14">
        <f>AVERAGEIFS('클럭 정리'!$N$6:$N$71,'클럭 정리'!$A$6:$A$71,"&gt;="&amp;E12,'클럭 정리'!$A$6:$A$71,"&lt;="&amp;F12)</f>
        <v/>
      </c>
      <c r="K12" s="15">
        <f>J12*'클럭 정리'!$B$2/100</f>
        <v/>
      </c>
    </row>
    <row r="13">
      <c r="A13" s="13" t="inlineStr">
        <is>
          <t>병렬도 6 분할 11</t>
        </is>
      </c>
      <c r="B13" s="13" t="n">
        <v>2</v>
      </c>
      <c r="C13" s="13" t="inlineStr">
        <is>
          <t>ForkJoinPool-4-worker-1</t>
        </is>
      </c>
      <c r="D13" s="12" t="inlineStr">
        <is>
          <t>워커</t>
        </is>
      </c>
      <c r="E13" s="10" t="n">
        <v>46238.50830773148</v>
      </c>
      <c r="F13" s="10" t="n">
        <v>46238.50832704618</v>
      </c>
      <c r="G13" s="13" t="n">
        <v>77</v>
      </c>
      <c r="H13" s="14" t="n">
        <v>1362.7257</v>
      </c>
      <c r="I13" s="13">
        <f>COUNTIFS('클럭 정리'!$A$6:$A$71,"&gt;="&amp;E13,'클럭 정리'!$A$6:$A$71,"&lt;="&amp;F13)</f>
        <v/>
      </c>
      <c r="J13" s="14">
        <f>AVERAGEIFS('클럭 정리'!$N$6:$N$71,'클럭 정리'!$A$6:$A$71,"&gt;="&amp;E13,'클럭 정리'!$A$6:$A$71,"&lt;="&amp;F13)</f>
        <v/>
      </c>
      <c r="K13" s="15">
        <f>J13*'클럭 정리'!$B$2/100</f>
        <v/>
      </c>
    </row>
    <row r="14">
      <c r="A14" s="13" t="inlineStr">
        <is>
          <t>병렬도 6 분할 11</t>
        </is>
      </c>
      <c r="B14" s="13" t="n">
        <v>2</v>
      </c>
      <c r="C14" s="13" t="inlineStr">
        <is>
          <t>ForkJoinPool-4-worker-2</t>
        </is>
      </c>
      <c r="D14" s="12" t="inlineStr">
        <is>
          <t>워커</t>
        </is>
      </c>
      <c r="E14" s="10" t="n">
        <v>46238.50830774305</v>
      </c>
      <c r="F14" s="10" t="n">
        <v>46238.50832692825</v>
      </c>
      <c r="G14" s="13" t="n">
        <v>89</v>
      </c>
      <c r="H14" s="14" t="n">
        <v>1458.8646</v>
      </c>
      <c r="I14" s="13">
        <f>COUNTIFS('클럭 정리'!$A$6:$A$71,"&gt;="&amp;E14,'클럭 정리'!$A$6:$A$71,"&lt;="&amp;F14)</f>
        <v/>
      </c>
      <c r="J14" s="14">
        <f>AVERAGEIFS('클럭 정리'!$N$6:$N$71,'클럭 정리'!$A$6:$A$71,"&gt;="&amp;E14,'클럭 정리'!$A$6:$A$71,"&lt;="&amp;F14)</f>
        <v/>
      </c>
      <c r="K14" s="15">
        <f>J14*'클럭 정리'!$B$2/100</f>
        <v/>
      </c>
    </row>
    <row r="15">
      <c r="A15" s="13" t="inlineStr">
        <is>
          <t>병렬도 6 분할 11</t>
        </is>
      </c>
      <c r="B15" s="13" t="n">
        <v>2</v>
      </c>
      <c r="C15" s="13" t="inlineStr">
        <is>
          <t>ForkJoinPool-4-worker-3</t>
        </is>
      </c>
      <c r="D15" s="12" t="inlineStr">
        <is>
          <t>워커</t>
        </is>
      </c>
      <c r="E15" s="10" t="n">
        <v>46238.50830774305</v>
      </c>
      <c r="F15" s="10" t="n">
        <v>46238.50832707227</v>
      </c>
      <c r="G15" s="13" t="n">
        <v>84</v>
      </c>
      <c r="H15" s="14" t="n">
        <v>1462.0959</v>
      </c>
      <c r="I15" s="13">
        <f>COUNTIFS('클럭 정리'!$A$6:$A$71,"&gt;="&amp;E15,'클럭 정리'!$A$6:$A$71,"&lt;="&amp;F15)</f>
        <v/>
      </c>
      <c r="J15" s="14">
        <f>AVERAGEIFS('클럭 정리'!$N$6:$N$71,'클럭 정리'!$A$6:$A$71,"&gt;="&amp;E15,'클럭 정리'!$A$6:$A$71,"&lt;="&amp;F15)</f>
        <v/>
      </c>
      <c r="K15" s="15">
        <f>J15*'클럭 정리'!$B$2/100</f>
        <v/>
      </c>
    </row>
    <row r="16">
      <c r="A16" s="13" t="inlineStr">
        <is>
          <t>병렬도 6 분할 11</t>
        </is>
      </c>
      <c r="B16" s="13" t="n">
        <v>2</v>
      </c>
      <c r="C16" s="13" t="inlineStr">
        <is>
          <t>ForkJoinPool-4-worker-4</t>
        </is>
      </c>
      <c r="D16" s="12" t="inlineStr">
        <is>
          <t>워커</t>
        </is>
      </c>
      <c r="E16" s="10" t="n">
        <v>46238.50830774305</v>
      </c>
      <c r="F16" s="10" t="n">
        <v>46238.50832705473</v>
      </c>
      <c r="G16" s="13" t="n">
        <v>80</v>
      </c>
      <c r="H16" s="14" t="n">
        <v>1350.524</v>
      </c>
      <c r="I16" s="13">
        <f>COUNTIFS('클럭 정리'!$A$6:$A$71,"&gt;="&amp;E16,'클럭 정리'!$A$6:$A$71,"&lt;="&amp;F16)</f>
        <v/>
      </c>
      <c r="J16" s="14">
        <f>AVERAGEIFS('클럭 정리'!$N$6:$N$71,'클럭 정리'!$A$6:$A$71,"&gt;="&amp;E16,'클럭 정리'!$A$6:$A$71,"&lt;="&amp;F16)</f>
        <v/>
      </c>
      <c r="K16" s="15">
        <f>J16*'클럭 정리'!$B$2/100</f>
        <v/>
      </c>
    </row>
    <row r="17">
      <c r="A17" s="13" t="inlineStr">
        <is>
          <t>병렬도 6 분할 11</t>
        </is>
      </c>
      <c r="B17" s="13" t="n">
        <v>2</v>
      </c>
      <c r="C17" s="13" t="inlineStr">
        <is>
          <t>ForkJoinPool-4-worker-5</t>
        </is>
      </c>
      <c r="D17" s="12" t="inlineStr">
        <is>
          <t>워커</t>
        </is>
      </c>
      <c r="E17" s="10" t="n">
        <v>46238.50830774305</v>
      </c>
      <c r="F17" s="10" t="n">
        <v>46238.50832714069</v>
      </c>
      <c r="G17" s="13" t="n">
        <v>84</v>
      </c>
      <c r="H17" s="14" t="n">
        <v>1446.9835</v>
      </c>
      <c r="I17" s="13">
        <f>COUNTIFS('클럭 정리'!$A$6:$A$71,"&gt;="&amp;E17,'클럭 정리'!$A$6:$A$71,"&lt;="&amp;F17)</f>
        <v/>
      </c>
      <c r="J17" s="14">
        <f>AVERAGEIFS('클럭 정리'!$N$6:$N$71,'클럭 정리'!$A$6:$A$71,"&gt;="&amp;E17,'클럭 정리'!$A$6:$A$71,"&lt;="&amp;F17)</f>
        <v/>
      </c>
      <c r="K17" s="15">
        <f>J17*'클럭 정리'!$B$2/100</f>
        <v/>
      </c>
    </row>
    <row r="18">
      <c r="A18" s="13" t="inlineStr">
        <is>
          <t>병렬도 6 분할 11</t>
        </is>
      </c>
      <c r="B18" s="13" t="n">
        <v>2</v>
      </c>
      <c r="C18" s="13" t="inlineStr">
        <is>
          <t>ForkJoinPool-4-worker-6</t>
        </is>
      </c>
      <c r="D18" s="12" t="inlineStr">
        <is>
          <t>워커</t>
        </is>
      </c>
      <c r="E18" s="10" t="n">
        <v>46238.50830774305</v>
      </c>
      <c r="F18" s="10" t="n">
        <v>46238.5083271351</v>
      </c>
      <c r="G18" s="13" t="n">
        <v>81</v>
      </c>
      <c r="H18" s="14" t="n">
        <v>1391.8355</v>
      </c>
      <c r="I18" s="13">
        <f>COUNTIFS('클럭 정리'!$A$6:$A$71,"&gt;="&amp;E18,'클럭 정리'!$A$6:$A$71,"&lt;="&amp;F18)</f>
        <v/>
      </c>
      <c r="J18" s="14">
        <f>AVERAGEIFS('클럭 정리'!$N$6:$N$71,'클럭 정리'!$A$6:$A$71,"&gt;="&amp;E18,'클럭 정리'!$A$6:$A$71,"&lt;="&amp;F18)</f>
        <v/>
      </c>
      <c r="K18" s="15">
        <f>J18*'클럭 정리'!$B$2/100</f>
        <v/>
      </c>
    </row>
    <row r="19">
      <c r="A19" s="13" t="inlineStr">
        <is>
          <t>병렬도 6 분할 11</t>
        </is>
      </c>
      <c r="B19" s="13" t="n">
        <v>2</v>
      </c>
      <c r="C19" s="13" t="inlineStr">
        <is>
          <t>main</t>
        </is>
      </c>
      <c r="D19" s="12" t="inlineStr">
        <is>
          <t>main (활동 시간 합 = 그 회차 mainCPU, 창은 워커와 겹침)</t>
        </is>
      </c>
      <c r="E19" s="10" t="n">
        <v>46238.50830773148</v>
      </c>
      <c r="F19" s="10" t="n">
        <v>46238.50832714138</v>
      </c>
      <c r="G19" s="13" t="n">
        <v>45</v>
      </c>
      <c r="H19" s="14" t="n">
        <v>15.625</v>
      </c>
      <c r="I19" s="13">
        <f>COUNTIFS('클럭 정리'!$A$6:$A$71,"&gt;="&amp;E19,'클럭 정리'!$A$6:$A$71,"&lt;="&amp;F19)</f>
        <v/>
      </c>
      <c r="J19" s="14">
        <f>AVERAGEIFS('클럭 정리'!$N$6:$N$71,'클럭 정리'!$A$6:$A$71,"&gt;="&amp;E19,'클럭 정리'!$A$6:$A$71,"&lt;="&amp;F19)</f>
        <v/>
      </c>
      <c r="K19" s="15">
        <f>J19*'클럭 정리'!$B$2/100</f>
        <v/>
      </c>
    </row>
    <row r="20">
      <c r="A20" s="13" t="inlineStr">
        <is>
          <t>병렬도 6 분할 11</t>
        </is>
      </c>
      <c r="B20" s="13" t="n">
        <v>3</v>
      </c>
      <c r="C20" s="13" t="inlineStr">
        <is>
          <t>ForkJoinPool-5-worker-1</t>
        </is>
      </c>
      <c r="D20" s="12" t="inlineStr">
        <is>
          <t>워커</t>
        </is>
      </c>
      <c r="E20" s="10" t="n">
        <v>46238.50832715278</v>
      </c>
      <c r="F20" s="10" t="n">
        <v>46238.50834642647</v>
      </c>
      <c r="G20" s="13" t="n">
        <v>83</v>
      </c>
      <c r="H20" s="14" t="n">
        <v>1436.5242</v>
      </c>
      <c r="I20" s="13">
        <f>COUNTIFS('클럭 정리'!$A$6:$A$71,"&gt;="&amp;E20,'클럭 정리'!$A$6:$A$71,"&lt;="&amp;F20)</f>
        <v/>
      </c>
      <c r="J20" s="14">
        <f>AVERAGEIFS('클럭 정리'!$N$6:$N$71,'클럭 정리'!$A$6:$A$71,"&gt;="&amp;E20,'클럭 정리'!$A$6:$A$71,"&lt;="&amp;F20)</f>
        <v/>
      </c>
      <c r="K20" s="15">
        <f>J20*'클럭 정리'!$B$2/100</f>
        <v/>
      </c>
    </row>
    <row r="21">
      <c r="A21" s="13" t="inlineStr">
        <is>
          <t>병렬도 6 분할 11</t>
        </is>
      </c>
      <c r="B21" s="13" t="n">
        <v>3</v>
      </c>
      <c r="C21" s="13" t="inlineStr">
        <is>
          <t>ForkJoinPool-5-worker-2</t>
        </is>
      </c>
      <c r="D21" s="12" t="inlineStr">
        <is>
          <t>워커</t>
        </is>
      </c>
      <c r="E21" s="10" t="n">
        <v>46238.50832716435</v>
      </c>
      <c r="F21" s="10" t="n">
        <v>46238.50834640005</v>
      </c>
      <c r="G21" s="13" t="n">
        <v>82</v>
      </c>
      <c r="H21" s="14" t="n">
        <v>1383.5095</v>
      </c>
      <c r="I21" s="13">
        <f>COUNTIFS('클럭 정리'!$A$6:$A$71,"&gt;="&amp;E21,'클럭 정리'!$A$6:$A$71,"&lt;="&amp;F21)</f>
        <v/>
      </c>
      <c r="J21" s="14">
        <f>AVERAGEIFS('클럭 정리'!$N$6:$N$71,'클럭 정리'!$A$6:$A$71,"&gt;="&amp;E21,'클럭 정리'!$A$6:$A$71,"&lt;="&amp;F21)</f>
        <v/>
      </c>
      <c r="K21" s="15">
        <f>J21*'클럭 정리'!$B$2/100</f>
        <v/>
      </c>
    </row>
    <row r="22">
      <c r="A22" s="13" t="inlineStr">
        <is>
          <t>병렬도 6 분할 11</t>
        </is>
      </c>
      <c r="B22" s="13" t="n">
        <v>3</v>
      </c>
      <c r="C22" s="13" t="inlineStr">
        <is>
          <t>ForkJoinPool-5-worker-3</t>
        </is>
      </c>
      <c r="D22" s="12" t="inlineStr">
        <is>
          <t>워커</t>
        </is>
      </c>
      <c r="E22" s="10" t="n">
        <v>46238.50832716435</v>
      </c>
      <c r="F22" s="10" t="n">
        <v>46238.50834647949</v>
      </c>
      <c r="G22" s="13" t="n">
        <v>82</v>
      </c>
      <c r="H22" s="14" t="n">
        <v>1388.3586</v>
      </c>
      <c r="I22" s="13">
        <f>COUNTIFS('클럭 정리'!$A$6:$A$71,"&gt;="&amp;E22,'클럭 정리'!$A$6:$A$71,"&lt;="&amp;F22)</f>
        <v/>
      </c>
      <c r="J22" s="14">
        <f>AVERAGEIFS('클럭 정리'!$N$6:$N$71,'클럭 정리'!$A$6:$A$71,"&gt;="&amp;E22,'클럭 정리'!$A$6:$A$71,"&lt;="&amp;F22)</f>
        <v/>
      </c>
      <c r="K22" s="15">
        <f>J22*'클럭 정리'!$B$2/100</f>
        <v/>
      </c>
    </row>
    <row r="23">
      <c r="A23" s="13" t="inlineStr">
        <is>
          <t>병렬도 6 분할 11</t>
        </is>
      </c>
      <c r="B23" s="13" t="n">
        <v>3</v>
      </c>
      <c r="C23" s="13" t="inlineStr">
        <is>
          <t>ForkJoinPool-5-worker-4</t>
        </is>
      </c>
      <c r="D23" s="12" t="inlineStr">
        <is>
          <t>워커</t>
        </is>
      </c>
      <c r="E23" s="10" t="n">
        <v>46238.50832716435</v>
      </c>
      <c r="F23" s="10" t="n">
        <v>46238.50834631728</v>
      </c>
      <c r="G23" s="13" t="n">
        <v>88</v>
      </c>
      <c r="H23" s="14" t="n">
        <v>1469.493</v>
      </c>
      <c r="I23" s="13">
        <f>COUNTIFS('클럭 정리'!$A$6:$A$71,"&gt;="&amp;E23,'클럭 정리'!$A$6:$A$71,"&lt;="&amp;F23)</f>
        <v/>
      </c>
      <c r="J23" s="14">
        <f>AVERAGEIFS('클럭 정리'!$N$6:$N$71,'클럭 정리'!$A$6:$A$71,"&gt;="&amp;E23,'클럭 정리'!$A$6:$A$71,"&lt;="&amp;F23)</f>
        <v/>
      </c>
      <c r="K23" s="15">
        <f>J23*'클럭 정리'!$B$2/100</f>
        <v/>
      </c>
    </row>
    <row r="24">
      <c r="A24" s="13" t="inlineStr">
        <is>
          <t>병렬도 6 분할 11</t>
        </is>
      </c>
      <c r="B24" s="13" t="n">
        <v>3</v>
      </c>
      <c r="C24" s="13" t="inlineStr">
        <is>
          <t>ForkJoinPool-5-worker-5</t>
        </is>
      </c>
      <c r="D24" s="12" t="inlineStr">
        <is>
          <t>워커</t>
        </is>
      </c>
      <c r="E24" s="10" t="n">
        <v>46238.50832716435</v>
      </c>
      <c r="F24" s="10" t="n">
        <v>46238.50834645163</v>
      </c>
      <c r="G24" s="13" t="n">
        <v>79</v>
      </c>
      <c r="H24" s="14" t="n">
        <v>1368.0401</v>
      </c>
      <c r="I24" s="13">
        <f>COUNTIFS('클럭 정리'!$A$6:$A$71,"&gt;="&amp;E24,'클럭 정리'!$A$6:$A$71,"&lt;="&amp;F24)</f>
        <v/>
      </c>
      <c r="J24" s="14">
        <f>AVERAGEIFS('클럭 정리'!$N$6:$N$71,'클럭 정리'!$A$6:$A$71,"&gt;="&amp;E24,'클럭 정리'!$A$6:$A$71,"&lt;="&amp;F24)</f>
        <v/>
      </c>
      <c r="K24" s="15">
        <f>J24*'클럭 정리'!$B$2/100</f>
        <v/>
      </c>
    </row>
    <row r="25">
      <c r="A25" s="13" t="inlineStr">
        <is>
          <t>병렬도 6 분할 11</t>
        </is>
      </c>
      <c r="B25" s="13" t="n">
        <v>3</v>
      </c>
      <c r="C25" s="13" t="inlineStr">
        <is>
          <t>ForkJoinPool-5-worker-6</t>
        </is>
      </c>
      <c r="D25" s="12" t="inlineStr">
        <is>
          <t>워커</t>
        </is>
      </c>
      <c r="E25" s="10" t="n">
        <v>46238.50832716435</v>
      </c>
      <c r="F25" s="10" t="n">
        <v>46238.50834643695</v>
      </c>
      <c r="G25" s="13" t="n">
        <v>81</v>
      </c>
      <c r="H25" s="14" t="n">
        <v>1384.0869</v>
      </c>
      <c r="I25" s="13">
        <f>COUNTIFS('클럭 정리'!$A$6:$A$71,"&gt;="&amp;E25,'클럭 정리'!$A$6:$A$71,"&lt;="&amp;F25)</f>
        <v/>
      </c>
      <c r="J25" s="14">
        <f>AVERAGEIFS('클럭 정리'!$N$6:$N$71,'클럭 정리'!$A$6:$A$71,"&gt;="&amp;E25,'클럭 정리'!$A$6:$A$71,"&lt;="&amp;F25)</f>
        <v/>
      </c>
      <c r="K25" s="15">
        <f>J25*'클럭 정리'!$B$2/100</f>
        <v/>
      </c>
    </row>
    <row r="26">
      <c r="A26" s="13" t="inlineStr">
        <is>
          <t>병렬도 6 분할 11</t>
        </is>
      </c>
      <c r="B26" s="13" t="n">
        <v>3</v>
      </c>
      <c r="C26" s="13" t="inlineStr">
        <is>
          <t>main</t>
        </is>
      </c>
      <c r="D26" s="12" t="inlineStr">
        <is>
          <t>main (활동 시간 합 = 그 회차 mainCPU, 창은 워커와 겹침)</t>
        </is>
      </c>
      <c r="E26" s="10" t="n">
        <v>46238.50832715278</v>
      </c>
      <c r="F26" s="10" t="n">
        <v>46238.50834648383</v>
      </c>
      <c r="G26" s="13" t="n">
        <v>45</v>
      </c>
      <c r="H26" s="14" t="n">
        <v>0</v>
      </c>
      <c r="I26" s="13">
        <f>COUNTIFS('클럭 정리'!$A$6:$A$71,"&gt;="&amp;E26,'클럭 정리'!$A$6:$A$71,"&lt;="&amp;F26)</f>
        <v/>
      </c>
      <c r="J26" s="14">
        <f>AVERAGEIFS('클럭 정리'!$N$6:$N$71,'클럭 정리'!$A$6:$A$71,"&gt;="&amp;E26,'클럭 정리'!$A$6:$A$71,"&lt;="&amp;F26)</f>
        <v/>
      </c>
      <c r="K26" s="15">
        <f>J26*'클럭 정리'!$B$2/100</f>
        <v/>
      </c>
    </row>
    <row r="27">
      <c r="A27" s="13" t="inlineStr">
        <is>
          <t>병렬도 6 분할 11</t>
        </is>
      </c>
      <c r="B27" s="13" t="n">
        <v>4</v>
      </c>
      <c r="C27" s="13" t="inlineStr">
        <is>
          <t>ForkJoinPool-6-worker-1</t>
        </is>
      </c>
      <c r="D27" s="12" t="inlineStr">
        <is>
          <t>워커</t>
        </is>
      </c>
      <c r="E27" s="10" t="n">
        <v>46238.50834649306</v>
      </c>
      <c r="F27" s="10" t="n">
        <v>46238.50836584903</v>
      </c>
      <c r="G27" s="13" t="n">
        <v>85</v>
      </c>
      <c r="H27" s="14" t="n">
        <v>1500.6944</v>
      </c>
      <c r="I27" s="13">
        <f>COUNTIFS('클럭 정리'!$A$6:$A$71,"&gt;="&amp;E27,'클럭 정리'!$A$6:$A$71,"&lt;="&amp;F27)</f>
        <v/>
      </c>
      <c r="J27" s="14">
        <f>AVERAGEIFS('클럭 정리'!$N$6:$N$71,'클럭 정리'!$A$6:$A$71,"&gt;="&amp;E27,'클럭 정리'!$A$6:$A$71,"&lt;="&amp;F27)</f>
        <v/>
      </c>
      <c r="K27" s="15">
        <f>J27*'클럭 정리'!$B$2/100</f>
        <v/>
      </c>
    </row>
    <row r="28">
      <c r="A28" s="13" t="inlineStr">
        <is>
          <t>병렬도 6 분할 11</t>
        </is>
      </c>
      <c r="B28" s="13" t="n">
        <v>4</v>
      </c>
      <c r="C28" s="13" t="inlineStr">
        <is>
          <t>ForkJoinPool-6-worker-2</t>
        </is>
      </c>
      <c r="D28" s="12" t="inlineStr">
        <is>
          <t>워커</t>
        </is>
      </c>
      <c r="E28" s="10" t="n">
        <v>46238.50834649306</v>
      </c>
      <c r="F28" s="10" t="n">
        <v>46238.5083658347</v>
      </c>
      <c r="G28" s="13" t="n">
        <v>81</v>
      </c>
      <c r="H28" s="14" t="n">
        <v>1411.377</v>
      </c>
      <c r="I28" s="13">
        <f>COUNTIFS('클럭 정리'!$A$6:$A$71,"&gt;="&amp;E28,'클럭 정리'!$A$6:$A$71,"&lt;="&amp;F28)</f>
        <v/>
      </c>
      <c r="J28" s="14">
        <f>AVERAGEIFS('클럭 정리'!$N$6:$N$71,'클럭 정리'!$A$6:$A$71,"&gt;="&amp;E28,'클럭 정리'!$A$6:$A$71,"&lt;="&amp;F28)</f>
        <v/>
      </c>
      <c r="K28" s="15">
        <f>J28*'클럭 정리'!$B$2/100</f>
        <v/>
      </c>
    </row>
    <row r="29">
      <c r="A29" s="13" t="inlineStr">
        <is>
          <t>병렬도 6 분할 11</t>
        </is>
      </c>
      <c r="B29" s="13" t="n">
        <v>4</v>
      </c>
      <c r="C29" s="13" t="inlineStr">
        <is>
          <t>ForkJoinPool-6-worker-3</t>
        </is>
      </c>
      <c r="D29" s="12" t="inlineStr">
        <is>
          <t>워커</t>
        </is>
      </c>
      <c r="E29" s="10" t="n">
        <v>46238.50834650463</v>
      </c>
      <c r="F29" s="10" t="n">
        <v>46238.50836584338</v>
      </c>
      <c r="G29" s="13" t="n">
        <v>85</v>
      </c>
      <c r="H29" s="14" t="n">
        <v>1404.0452</v>
      </c>
      <c r="I29" s="13">
        <f>COUNTIFS('클럭 정리'!$A$6:$A$71,"&gt;="&amp;E29,'클럭 정리'!$A$6:$A$71,"&lt;="&amp;F29)</f>
        <v/>
      </c>
      <c r="J29" s="14">
        <f>AVERAGEIFS('클럭 정리'!$N$6:$N$71,'클럭 정리'!$A$6:$A$71,"&gt;="&amp;E29,'클럭 정리'!$A$6:$A$71,"&lt;="&amp;F29)</f>
        <v/>
      </c>
      <c r="K29" s="15">
        <f>J29*'클럭 정리'!$B$2/100</f>
        <v/>
      </c>
    </row>
    <row r="30">
      <c r="A30" s="13" t="inlineStr">
        <is>
          <t>병렬도 6 분할 11</t>
        </is>
      </c>
      <c r="B30" s="13" t="n">
        <v>4</v>
      </c>
      <c r="C30" s="13" t="inlineStr">
        <is>
          <t>ForkJoinPool-6-worker-4</t>
        </is>
      </c>
      <c r="D30" s="12" t="inlineStr">
        <is>
          <t>워커</t>
        </is>
      </c>
      <c r="E30" s="10" t="n">
        <v>46238.50834650463</v>
      </c>
      <c r="F30" s="10" t="n">
        <v>46238.50836578924</v>
      </c>
      <c r="G30" s="13" t="n">
        <v>85</v>
      </c>
      <c r="H30" s="14" t="n">
        <v>1445.2719</v>
      </c>
      <c r="I30" s="13">
        <f>COUNTIFS('클럭 정리'!$A$6:$A$71,"&gt;="&amp;E30,'클럭 정리'!$A$6:$A$71,"&lt;="&amp;F30)</f>
        <v/>
      </c>
      <c r="J30" s="14">
        <f>AVERAGEIFS('클럭 정리'!$N$6:$N$71,'클럭 정리'!$A$6:$A$71,"&gt;="&amp;E30,'클럭 정리'!$A$6:$A$71,"&lt;="&amp;F30)</f>
        <v/>
      </c>
      <c r="K30" s="15">
        <f>J30*'클럭 정리'!$B$2/100</f>
        <v/>
      </c>
    </row>
    <row r="31">
      <c r="A31" s="13" t="inlineStr">
        <is>
          <t>병렬도 6 분할 11</t>
        </is>
      </c>
      <c r="B31" s="13" t="n">
        <v>4</v>
      </c>
      <c r="C31" s="13" t="inlineStr">
        <is>
          <t>ForkJoinPool-6-worker-5</t>
        </is>
      </c>
      <c r="D31" s="12" t="inlineStr">
        <is>
          <t>워커</t>
        </is>
      </c>
      <c r="E31" s="10" t="n">
        <v>46238.50834650463</v>
      </c>
      <c r="F31" s="10" t="n">
        <v>46238.50836584352</v>
      </c>
      <c r="G31" s="13" t="n">
        <v>82</v>
      </c>
      <c r="H31" s="14" t="n">
        <v>1434.9255</v>
      </c>
      <c r="I31" s="13">
        <f>COUNTIFS('클럭 정리'!$A$6:$A$71,"&gt;="&amp;E31,'클럭 정리'!$A$6:$A$71,"&lt;="&amp;F31)</f>
        <v/>
      </c>
      <c r="J31" s="14">
        <f>AVERAGEIFS('클럭 정리'!$N$6:$N$71,'클럭 정리'!$A$6:$A$71,"&gt;="&amp;E31,'클럭 정리'!$A$6:$A$71,"&lt;="&amp;F31)</f>
        <v/>
      </c>
      <c r="K31" s="15">
        <f>J31*'클럭 정리'!$B$2/100</f>
        <v/>
      </c>
    </row>
    <row r="32">
      <c r="A32" s="13" t="inlineStr">
        <is>
          <t>병렬도 6 분할 11</t>
        </is>
      </c>
      <c r="B32" s="13" t="n">
        <v>4</v>
      </c>
      <c r="C32" s="13" t="inlineStr">
        <is>
          <t>ForkJoinPool-6-worker-6</t>
        </is>
      </c>
      <c r="D32" s="12" t="inlineStr">
        <is>
          <t>워커</t>
        </is>
      </c>
      <c r="E32" s="10" t="n">
        <v>46238.50834650463</v>
      </c>
      <c r="F32" s="10" t="n">
        <v>46238.50836565468</v>
      </c>
      <c r="G32" s="13" t="n">
        <v>77</v>
      </c>
      <c r="H32" s="14" t="n">
        <v>1389.2998</v>
      </c>
      <c r="I32" s="13">
        <f>COUNTIFS('클럭 정리'!$A$6:$A$71,"&gt;="&amp;E32,'클럭 정리'!$A$6:$A$71,"&lt;="&amp;F32)</f>
        <v/>
      </c>
      <c r="J32" s="14">
        <f>AVERAGEIFS('클럭 정리'!$N$6:$N$71,'클럭 정리'!$A$6:$A$71,"&gt;="&amp;E32,'클럭 정리'!$A$6:$A$71,"&lt;="&amp;F32)</f>
        <v/>
      </c>
      <c r="K32" s="15">
        <f>J32*'클럭 정리'!$B$2/100</f>
        <v/>
      </c>
    </row>
    <row r="33">
      <c r="A33" s="13" t="inlineStr">
        <is>
          <t>병렬도 6 분할 11</t>
        </is>
      </c>
      <c r="B33" s="13" t="n">
        <v>4</v>
      </c>
      <c r="C33" s="13" t="inlineStr">
        <is>
          <t>main</t>
        </is>
      </c>
      <c r="D33" s="12" t="inlineStr">
        <is>
          <t>main (활동 시간 합 = 그 회차 mainCPU, 창은 워커와 겹침)</t>
        </is>
      </c>
      <c r="E33" s="10" t="n">
        <v>46238.50834649306</v>
      </c>
      <c r="F33" s="10" t="n">
        <v>46238.5083658482</v>
      </c>
      <c r="G33" s="13" t="n">
        <v>45</v>
      </c>
      <c r="H33" s="14" t="n">
        <v>0</v>
      </c>
      <c r="I33" s="13">
        <f>COUNTIFS('클럭 정리'!$A$6:$A$71,"&gt;="&amp;E33,'클럭 정리'!$A$6:$A$71,"&lt;="&amp;F33)</f>
        <v/>
      </c>
      <c r="J33" s="14">
        <f>AVERAGEIFS('클럭 정리'!$N$6:$N$71,'클럭 정리'!$A$6:$A$71,"&gt;="&amp;E33,'클럭 정리'!$A$6:$A$71,"&lt;="&amp;F33)</f>
        <v/>
      </c>
      <c r="K33" s="15">
        <f>J33*'클럭 정리'!$B$2/100</f>
        <v/>
      </c>
    </row>
    <row r="34">
      <c r="A34" s="13" t="inlineStr">
        <is>
          <t>병렬도 6 분할 11</t>
        </is>
      </c>
      <c r="B34" s="13" t="n">
        <v>5</v>
      </c>
      <c r="C34" s="13" t="inlineStr">
        <is>
          <t>ForkJoinPool-7-worker-1</t>
        </is>
      </c>
      <c r="D34" s="12" t="inlineStr">
        <is>
          <t>워커</t>
        </is>
      </c>
      <c r="E34" s="10" t="n">
        <v>46238.50836586805</v>
      </c>
      <c r="F34" s="10" t="n">
        <v>46238.50838522281</v>
      </c>
      <c r="G34" s="13" t="n">
        <v>83</v>
      </c>
      <c r="H34" s="14" t="n">
        <v>1459.4677</v>
      </c>
      <c r="I34" s="13">
        <f>COUNTIFS('클럭 정리'!$A$6:$A$71,"&gt;="&amp;E34,'클럭 정리'!$A$6:$A$71,"&lt;="&amp;F34)</f>
        <v/>
      </c>
      <c r="J34" s="14">
        <f>AVERAGEIFS('클럭 정리'!$N$6:$N$71,'클럭 정리'!$A$6:$A$71,"&gt;="&amp;E34,'클럭 정리'!$A$6:$A$71,"&lt;="&amp;F34)</f>
        <v/>
      </c>
      <c r="K34" s="15">
        <f>J34*'클럭 정리'!$B$2/100</f>
        <v/>
      </c>
    </row>
    <row r="35">
      <c r="A35" s="13" t="inlineStr">
        <is>
          <t>병렬도 6 분할 11</t>
        </is>
      </c>
      <c r="B35" s="13" t="n">
        <v>5</v>
      </c>
      <c r="C35" s="13" t="inlineStr">
        <is>
          <t>ForkJoinPool-7-worker-2</t>
        </is>
      </c>
      <c r="D35" s="12" t="inlineStr">
        <is>
          <t>워커</t>
        </is>
      </c>
      <c r="E35" s="10" t="n">
        <v>46238.50836586805</v>
      </c>
      <c r="F35" s="10" t="n">
        <v>46238.50838521076</v>
      </c>
      <c r="G35" s="13" t="n">
        <v>85</v>
      </c>
      <c r="H35" s="14" t="n">
        <v>1398.5482</v>
      </c>
      <c r="I35" s="13">
        <f>COUNTIFS('클럭 정리'!$A$6:$A$71,"&gt;="&amp;E35,'클럭 정리'!$A$6:$A$71,"&lt;="&amp;F35)</f>
        <v/>
      </c>
      <c r="J35" s="14">
        <f>AVERAGEIFS('클럭 정리'!$N$6:$N$71,'클럭 정리'!$A$6:$A$71,"&gt;="&amp;E35,'클럭 정리'!$A$6:$A$71,"&lt;="&amp;F35)</f>
        <v/>
      </c>
      <c r="K35" s="15">
        <f>J35*'클럭 정리'!$B$2/100</f>
        <v/>
      </c>
    </row>
    <row r="36">
      <c r="A36" s="13" t="inlineStr">
        <is>
          <t>병렬도 6 분할 11</t>
        </is>
      </c>
      <c r="B36" s="13" t="n">
        <v>5</v>
      </c>
      <c r="C36" s="13" t="inlineStr">
        <is>
          <t>ForkJoinPool-7-worker-3</t>
        </is>
      </c>
      <c r="D36" s="12" t="inlineStr">
        <is>
          <t>워커</t>
        </is>
      </c>
      <c r="E36" s="10" t="n">
        <v>46238.50836586805</v>
      </c>
      <c r="F36" s="10" t="n">
        <v>46238.50838509553</v>
      </c>
      <c r="G36" s="13" t="n">
        <v>80</v>
      </c>
      <c r="H36" s="14" t="n">
        <v>1364.296</v>
      </c>
      <c r="I36" s="13">
        <f>COUNTIFS('클럭 정리'!$A$6:$A$71,"&gt;="&amp;E36,'클럭 정리'!$A$6:$A$71,"&lt;="&amp;F36)</f>
        <v/>
      </c>
      <c r="J36" s="14">
        <f>AVERAGEIFS('클럭 정리'!$N$6:$N$71,'클럭 정리'!$A$6:$A$71,"&gt;="&amp;E36,'클럭 정리'!$A$6:$A$71,"&lt;="&amp;F36)</f>
        <v/>
      </c>
      <c r="K36" s="15">
        <f>J36*'클럭 정리'!$B$2/100</f>
        <v/>
      </c>
    </row>
    <row r="37">
      <c r="A37" s="13" t="inlineStr">
        <is>
          <t>병렬도 6 분할 11</t>
        </is>
      </c>
      <c r="B37" s="13" t="n">
        <v>5</v>
      </c>
      <c r="C37" s="13" t="inlineStr">
        <is>
          <t>ForkJoinPool-7-worker-4</t>
        </is>
      </c>
      <c r="D37" s="12" t="inlineStr">
        <is>
          <t>워커</t>
        </is>
      </c>
      <c r="E37" s="10" t="n">
        <v>46238.50836587963</v>
      </c>
      <c r="F37" s="10" t="n">
        <v>46238.50838513743</v>
      </c>
      <c r="G37" s="13" t="n">
        <v>84</v>
      </c>
      <c r="H37" s="14" t="n">
        <v>1394.7531</v>
      </c>
      <c r="I37" s="13">
        <f>COUNTIFS('클럭 정리'!$A$6:$A$71,"&gt;="&amp;E37,'클럭 정리'!$A$6:$A$71,"&lt;="&amp;F37)</f>
        <v/>
      </c>
      <c r="J37" s="14">
        <f>AVERAGEIFS('클럭 정리'!$N$6:$N$71,'클럭 정리'!$A$6:$A$71,"&gt;="&amp;E37,'클럭 정리'!$A$6:$A$71,"&lt;="&amp;F37)</f>
        <v/>
      </c>
      <c r="K37" s="15">
        <f>J37*'클럭 정리'!$B$2/100</f>
        <v/>
      </c>
    </row>
    <row r="38">
      <c r="A38" s="13" t="inlineStr">
        <is>
          <t>병렬도 6 분할 11</t>
        </is>
      </c>
      <c r="B38" s="13" t="n">
        <v>5</v>
      </c>
      <c r="C38" s="13" t="inlineStr">
        <is>
          <t>ForkJoinPool-7-worker-5</t>
        </is>
      </c>
      <c r="D38" s="12" t="inlineStr">
        <is>
          <t>워커</t>
        </is>
      </c>
      <c r="E38" s="10" t="n">
        <v>46238.50836587963</v>
      </c>
      <c r="F38" s="10" t="n">
        <v>46238.50838527569</v>
      </c>
      <c r="G38" s="13" t="n">
        <v>81</v>
      </c>
      <c r="H38" s="14" t="n">
        <v>1411.1312</v>
      </c>
      <c r="I38" s="13">
        <f>COUNTIFS('클럭 정리'!$A$6:$A$71,"&gt;="&amp;E38,'클럭 정리'!$A$6:$A$71,"&lt;="&amp;F38)</f>
        <v/>
      </c>
      <c r="J38" s="14">
        <f>AVERAGEIFS('클럭 정리'!$N$6:$N$71,'클럭 정리'!$A$6:$A$71,"&gt;="&amp;E38,'클럭 정리'!$A$6:$A$71,"&lt;="&amp;F38)</f>
        <v/>
      </c>
      <c r="K38" s="15">
        <f>J38*'클럭 정리'!$B$2/100</f>
        <v/>
      </c>
    </row>
    <row r="39">
      <c r="A39" s="13" t="inlineStr">
        <is>
          <t>병렬도 6 분할 11</t>
        </is>
      </c>
      <c r="B39" s="13" t="n">
        <v>5</v>
      </c>
      <c r="C39" s="13" t="inlineStr">
        <is>
          <t>ForkJoinPool-7-worker-6</t>
        </is>
      </c>
      <c r="D39" s="12" t="inlineStr">
        <is>
          <t>워커</t>
        </is>
      </c>
      <c r="E39" s="10" t="n">
        <v>46238.50836587963</v>
      </c>
      <c r="F39" s="10" t="n">
        <v>46238.50838526482</v>
      </c>
      <c r="G39" s="13" t="n">
        <v>82</v>
      </c>
      <c r="H39" s="14" t="n">
        <v>1427.2568</v>
      </c>
      <c r="I39" s="13">
        <f>COUNTIFS('클럭 정리'!$A$6:$A$71,"&gt;="&amp;E39,'클럭 정리'!$A$6:$A$71,"&lt;="&amp;F39)</f>
        <v/>
      </c>
      <c r="J39" s="14">
        <f>AVERAGEIFS('클럭 정리'!$N$6:$N$71,'클럭 정리'!$A$6:$A$71,"&gt;="&amp;E39,'클럭 정리'!$A$6:$A$71,"&lt;="&amp;F39)</f>
        <v/>
      </c>
      <c r="K39" s="15">
        <f>J39*'클럭 정리'!$B$2/100</f>
        <v/>
      </c>
    </row>
    <row r="40">
      <c r="A40" s="13" t="inlineStr">
        <is>
          <t>병렬도 6 분할 11</t>
        </is>
      </c>
      <c r="B40" s="13" t="n">
        <v>5</v>
      </c>
      <c r="C40" s="13" t="inlineStr">
        <is>
          <t>main</t>
        </is>
      </c>
      <c r="D40" s="12" t="inlineStr">
        <is>
          <t>main (활동 시간 합 = 그 회차 mainCPU, 창은 워커와 겹침)</t>
        </is>
      </c>
      <c r="E40" s="10" t="n">
        <v>46238.50836585648</v>
      </c>
      <c r="F40" s="10" t="n">
        <v>46238.5083852734</v>
      </c>
      <c r="G40" s="13" t="n">
        <v>45</v>
      </c>
      <c r="H40" s="14" t="n">
        <v>0</v>
      </c>
      <c r="I40" s="13">
        <f>COUNTIFS('클럭 정리'!$A$6:$A$71,"&gt;="&amp;E40,'클럭 정리'!$A$6:$A$71,"&lt;="&amp;F40)</f>
        <v/>
      </c>
      <c r="J40" s="14">
        <f>AVERAGEIFS('클럭 정리'!$N$6:$N$71,'클럭 정리'!$A$6:$A$71,"&gt;="&amp;E40,'클럭 정리'!$A$6:$A$71,"&lt;="&amp;F40)</f>
        <v/>
      </c>
      <c r="K40" s="15">
        <f>J40*'클럭 정리'!$B$2/100</f>
        <v/>
      </c>
    </row>
    <row r="41">
      <c r="A41" s="13" t="inlineStr">
        <is>
          <t>병렬도 12 분할 11</t>
        </is>
      </c>
      <c r="B41" s="13" t="n">
        <v>1</v>
      </c>
      <c r="C41" s="13" t="inlineStr">
        <is>
          <t>ForkJoinPool-11-worker-1</t>
        </is>
      </c>
      <c r="D41" s="12" t="inlineStr">
        <is>
          <t>워커</t>
        </is>
      </c>
      <c r="E41" s="10" t="n">
        <v>46238.50844149305</v>
      </c>
      <c r="F41" s="10" t="n">
        <v>46238.50845694247</v>
      </c>
      <c r="G41" s="13" t="n">
        <v>45</v>
      </c>
      <c r="H41" s="14" t="n">
        <v>1287.651</v>
      </c>
      <c r="I41" s="13">
        <f>COUNTIFS('클럭 정리'!$A$6:$A$71,"&gt;="&amp;E41,'클럭 정리'!$A$6:$A$71,"&lt;="&amp;F41)</f>
        <v/>
      </c>
      <c r="J41" s="14">
        <f>AVERAGEIFS('클럭 정리'!$N$6:$N$71,'클럭 정리'!$A$6:$A$71,"&gt;="&amp;E41,'클럭 정리'!$A$6:$A$71,"&lt;="&amp;F41)</f>
        <v/>
      </c>
      <c r="K41" s="15">
        <f>J41*'클럭 정리'!$B$2/100</f>
        <v/>
      </c>
    </row>
    <row r="42">
      <c r="A42" s="13" t="inlineStr">
        <is>
          <t>병렬도 12 분할 11</t>
        </is>
      </c>
      <c r="B42" s="13" t="n">
        <v>1</v>
      </c>
      <c r="C42" s="13" t="inlineStr">
        <is>
          <t>ForkJoinPool-11-worker-10</t>
        </is>
      </c>
      <c r="D42" s="12" t="inlineStr">
        <is>
          <t>워커</t>
        </is>
      </c>
      <c r="E42" s="10" t="n">
        <v>46238.50844150463</v>
      </c>
      <c r="F42" s="10" t="n">
        <v>46238.50845691182</v>
      </c>
      <c r="G42" s="13" t="n">
        <v>45</v>
      </c>
      <c r="H42" s="14" t="n">
        <v>1252.7298</v>
      </c>
      <c r="I42" s="13">
        <f>COUNTIFS('클럭 정리'!$A$6:$A$71,"&gt;="&amp;E42,'클럭 정리'!$A$6:$A$71,"&lt;="&amp;F42)</f>
        <v/>
      </c>
      <c r="J42" s="14">
        <f>AVERAGEIFS('클럭 정리'!$N$6:$N$71,'클럭 정리'!$A$6:$A$71,"&gt;="&amp;E42,'클럭 정리'!$A$6:$A$71,"&lt;="&amp;F42)</f>
        <v/>
      </c>
      <c r="K42" s="15">
        <f>J42*'클럭 정리'!$B$2/100</f>
        <v/>
      </c>
    </row>
    <row r="43">
      <c r="A43" s="13" t="inlineStr">
        <is>
          <t>병렬도 12 분할 11</t>
        </is>
      </c>
      <c r="B43" s="13" t="n">
        <v>1</v>
      </c>
      <c r="C43" s="13" t="inlineStr">
        <is>
          <t>ForkJoinPool-11-worker-11</t>
        </is>
      </c>
      <c r="D43" s="12" t="inlineStr">
        <is>
          <t>워커</t>
        </is>
      </c>
      <c r="E43" s="10" t="n">
        <v>46238.50844151621</v>
      </c>
      <c r="F43" s="10" t="n">
        <v>46238.50844180195</v>
      </c>
      <c r="G43" s="13" t="n">
        <v>1</v>
      </c>
      <c r="H43" s="14" t="n">
        <v>24.689</v>
      </c>
      <c r="I43" s="13">
        <f>COUNTIFS('클럭 정리'!$A$6:$A$71,"&gt;="&amp;E43,'클럭 정리'!$A$6:$A$71,"&lt;="&amp;F43)</f>
        <v/>
      </c>
      <c r="J43" s="14">
        <f>AVERAGEIFS('클럭 정리'!$N$6:$N$71,'클럭 정리'!$A$6:$A$71,"&gt;="&amp;E43,'클럭 정리'!$A$6:$A$71,"&lt;="&amp;F43)</f>
        <v/>
      </c>
      <c r="K43" s="15">
        <f>J43*'클럭 정리'!$B$2/100</f>
        <v/>
      </c>
    </row>
    <row r="44">
      <c r="A44" s="13" t="inlineStr">
        <is>
          <t>병렬도 12 분할 11</t>
        </is>
      </c>
      <c r="B44" s="13" t="n">
        <v>1</v>
      </c>
      <c r="C44" s="13" t="inlineStr">
        <is>
          <t>ForkJoinPool-11-worker-12</t>
        </is>
      </c>
      <c r="D44" s="12" t="inlineStr">
        <is>
          <t>워커</t>
        </is>
      </c>
      <c r="E44" s="10" t="n">
        <v>46238.50844185185</v>
      </c>
      <c r="F44" s="10" t="n">
        <v>46238.50845693451</v>
      </c>
      <c r="G44" s="13" t="n">
        <v>44</v>
      </c>
      <c r="H44" s="14" t="n">
        <v>1217.9188</v>
      </c>
      <c r="I44" s="13">
        <f>COUNTIFS('클럭 정리'!$A$6:$A$71,"&gt;="&amp;E44,'클럭 정리'!$A$6:$A$71,"&lt;="&amp;F44)</f>
        <v/>
      </c>
      <c r="J44" s="14">
        <f>AVERAGEIFS('클럭 정리'!$N$6:$N$71,'클럭 정리'!$A$6:$A$71,"&gt;="&amp;E44,'클럭 정리'!$A$6:$A$71,"&lt;="&amp;F44)</f>
        <v/>
      </c>
      <c r="K44" s="15">
        <f>J44*'클럭 정리'!$B$2/100</f>
        <v/>
      </c>
    </row>
    <row r="45">
      <c r="A45" s="13" t="inlineStr">
        <is>
          <t>병렬도 12 분할 11</t>
        </is>
      </c>
      <c r="B45" s="13" t="n">
        <v>1</v>
      </c>
      <c r="C45" s="13" t="inlineStr">
        <is>
          <t>ForkJoinPool-11-worker-2</t>
        </is>
      </c>
      <c r="D45" s="12" t="inlineStr">
        <is>
          <t>워커</t>
        </is>
      </c>
      <c r="E45" s="10" t="n">
        <v>46238.50844150463</v>
      </c>
      <c r="F45" s="10" t="n">
        <v>46238.50845693937</v>
      </c>
      <c r="G45" s="13" t="n">
        <v>45</v>
      </c>
      <c r="H45" s="14" t="n">
        <v>1245.2753</v>
      </c>
      <c r="I45" s="13">
        <f>COUNTIFS('클럭 정리'!$A$6:$A$71,"&gt;="&amp;E45,'클럭 정리'!$A$6:$A$71,"&lt;="&amp;F45)</f>
        <v/>
      </c>
      <c r="J45" s="14">
        <f>AVERAGEIFS('클럭 정리'!$N$6:$N$71,'클럭 정리'!$A$6:$A$71,"&gt;="&amp;E45,'클럭 정리'!$A$6:$A$71,"&lt;="&amp;F45)</f>
        <v/>
      </c>
      <c r="K45" s="15">
        <f>J45*'클럭 정리'!$B$2/100</f>
        <v/>
      </c>
    </row>
    <row r="46">
      <c r="A46" s="13" t="inlineStr">
        <is>
          <t>병렬도 12 분할 11</t>
        </is>
      </c>
      <c r="B46" s="13" t="n">
        <v>1</v>
      </c>
      <c r="C46" s="13" t="inlineStr">
        <is>
          <t>ForkJoinPool-11-worker-3</t>
        </is>
      </c>
      <c r="D46" s="12" t="inlineStr">
        <is>
          <t>워커</t>
        </is>
      </c>
      <c r="E46" s="10" t="n">
        <v>46238.50844150463</v>
      </c>
      <c r="F46" s="10" t="n">
        <v>46238.50845693872</v>
      </c>
      <c r="G46" s="13" t="n">
        <v>45</v>
      </c>
      <c r="H46" s="14" t="n">
        <v>1268.7797</v>
      </c>
      <c r="I46" s="13">
        <f>COUNTIFS('클럭 정리'!$A$6:$A$71,"&gt;="&amp;E46,'클럭 정리'!$A$6:$A$71,"&lt;="&amp;F46)</f>
        <v/>
      </c>
      <c r="J46" s="14">
        <f>AVERAGEIFS('클럭 정리'!$N$6:$N$71,'클럭 정리'!$A$6:$A$71,"&gt;="&amp;E46,'클럭 정리'!$A$6:$A$71,"&lt;="&amp;F46)</f>
        <v/>
      </c>
      <c r="K46" s="15">
        <f>J46*'클럭 정리'!$B$2/100</f>
        <v/>
      </c>
    </row>
    <row r="47">
      <c r="A47" s="13" t="inlineStr">
        <is>
          <t>병렬도 12 분할 11</t>
        </is>
      </c>
      <c r="B47" s="13" t="n">
        <v>1</v>
      </c>
      <c r="C47" s="13" t="inlineStr">
        <is>
          <t>ForkJoinPool-11-worker-4</t>
        </is>
      </c>
      <c r="D47" s="12" t="inlineStr">
        <is>
          <t>워커</t>
        </is>
      </c>
      <c r="E47" s="10" t="n">
        <v>46238.50844150463</v>
      </c>
      <c r="F47" s="10" t="n">
        <v>46238.50845694262</v>
      </c>
      <c r="G47" s="13" t="n">
        <v>45</v>
      </c>
      <c r="H47" s="14" t="n">
        <v>1222.3399</v>
      </c>
      <c r="I47" s="13">
        <f>COUNTIFS('클럭 정리'!$A$6:$A$71,"&gt;="&amp;E47,'클럭 정리'!$A$6:$A$71,"&lt;="&amp;F47)</f>
        <v/>
      </c>
      <c r="J47" s="14">
        <f>AVERAGEIFS('클럭 정리'!$N$6:$N$71,'클럭 정리'!$A$6:$A$71,"&gt;="&amp;E47,'클럭 정리'!$A$6:$A$71,"&lt;="&amp;F47)</f>
        <v/>
      </c>
      <c r="K47" s="15">
        <f>J47*'클럭 정리'!$B$2/100</f>
        <v/>
      </c>
    </row>
    <row r="48">
      <c r="A48" s="13" t="inlineStr">
        <is>
          <t>병렬도 12 분할 11</t>
        </is>
      </c>
      <c r="B48" s="13" t="n">
        <v>1</v>
      </c>
      <c r="C48" s="13" t="inlineStr">
        <is>
          <t>ForkJoinPool-11-worker-5</t>
        </is>
      </c>
      <c r="D48" s="12" t="inlineStr">
        <is>
          <t>워커</t>
        </is>
      </c>
      <c r="E48" s="10" t="n">
        <v>46238.50844150463</v>
      </c>
      <c r="F48" s="10" t="n">
        <v>46238.50845694264</v>
      </c>
      <c r="G48" s="13" t="n">
        <v>45</v>
      </c>
      <c r="H48" s="14" t="n">
        <v>1264.7288</v>
      </c>
      <c r="I48" s="13">
        <f>COUNTIFS('클럭 정리'!$A$6:$A$71,"&gt;="&amp;E48,'클럭 정리'!$A$6:$A$71,"&lt;="&amp;F48)</f>
        <v/>
      </c>
      <c r="J48" s="14">
        <f>AVERAGEIFS('클럭 정리'!$N$6:$N$71,'클럭 정리'!$A$6:$A$71,"&gt;="&amp;E48,'클럭 정리'!$A$6:$A$71,"&lt;="&amp;F48)</f>
        <v/>
      </c>
      <c r="K48" s="15">
        <f>J48*'클럭 정리'!$B$2/100</f>
        <v/>
      </c>
    </row>
    <row r="49">
      <c r="A49" s="13" t="inlineStr">
        <is>
          <t>병렬도 12 분할 11</t>
        </is>
      </c>
      <c r="B49" s="13" t="n">
        <v>1</v>
      </c>
      <c r="C49" s="13" t="inlineStr">
        <is>
          <t>ForkJoinPool-11-worker-6</t>
        </is>
      </c>
      <c r="D49" s="12" t="inlineStr">
        <is>
          <t>워커</t>
        </is>
      </c>
      <c r="E49" s="10" t="n">
        <v>46238.50844150463</v>
      </c>
      <c r="F49" s="10" t="n">
        <v>46238.50845693475</v>
      </c>
      <c r="G49" s="13" t="n">
        <v>45</v>
      </c>
      <c r="H49" s="14" t="n">
        <v>1257.9773</v>
      </c>
      <c r="I49" s="13">
        <f>COUNTIFS('클럭 정리'!$A$6:$A$71,"&gt;="&amp;E49,'클럭 정리'!$A$6:$A$71,"&lt;="&amp;F49)</f>
        <v/>
      </c>
      <c r="J49" s="14">
        <f>AVERAGEIFS('클럭 정리'!$N$6:$N$71,'클럭 정리'!$A$6:$A$71,"&gt;="&amp;E49,'클럭 정리'!$A$6:$A$71,"&lt;="&amp;F49)</f>
        <v/>
      </c>
      <c r="K49" s="15">
        <f>J49*'클럭 정리'!$B$2/100</f>
        <v/>
      </c>
    </row>
    <row r="50">
      <c r="A50" s="13" t="inlineStr">
        <is>
          <t>병렬도 12 분할 11</t>
        </is>
      </c>
      <c r="B50" s="13" t="n">
        <v>1</v>
      </c>
      <c r="C50" s="13" t="inlineStr">
        <is>
          <t>ForkJoinPool-11-worker-7</t>
        </is>
      </c>
      <c r="D50" s="12" t="inlineStr">
        <is>
          <t>워커</t>
        </is>
      </c>
      <c r="E50" s="10" t="n">
        <v>46238.50844150463</v>
      </c>
      <c r="F50" s="10" t="n">
        <v>46238.50845693073</v>
      </c>
      <c r="G50" s="13" t="n">
        <v>45</v>
      </c>
      <c r="H50" s="14" t="n">
        <v>1254.9561</v>
      </c>
      <c r="I50" s="13">
        <f>COUNTIFS('클럭 정리'!$A$6:$A$71,"&gt;="&amp;E50,'클럭 정리'!$A$6:$A$71,"&lt;="&amp;F50)</f>
        <v/>
      </c>
      <c r="J50" s="14">
        <f>AVERAGEIFS('클럭 정리'!$N$6:$N$71,'클럭 정리'!$A$6:$A$71,"&gt;="&amp;E50,'클럭 정리'!$A$6:$A$71,"&lt;="&amp;F50)</f>
        <v/>
      </c>
      <c r="K50" s="15">
        <f>J50*'클럭 정리'!$B$2/100</f>
        <v/>
      </c>
    </row>
    <row r="51">
      <c r="A51" s="13" t="inlineStr">
        <is>
          <t>병렬도 12 분할 11</t>
        </is>
      </c>
      <c r="B51" s="13" t="n">
        <v>1</v>
      </c>
      <c r="C51" s="13" t="inlineStr">
        <is>
          <t>ForkJoinPool-11-worker-8</t>
        </is>
      </c>
      <c r="D51" s="12" t="inlineStr">
        <is>
          <t>워커</t>
        </is>
      </c>
      <c r="E51" s="10" t="n">
        <v>46238.50844150463</v>
      </c>
      <c r="F51" s="10" t="n">
        <v>46238.50845695189</v>
      </c>
      <c r="G51" s="13" t="n">
        <v>45</v>
      </c>
      <c r="H51" s="14" t="n">
        <v>1233.4993</v>
      </c>
      <c r="I51" s="13">
        <f>COUNTIFS('클럭 정리'!$A$6:$A$71,"&gt;="&amp;E51,'클럭 정리'!$A$6:$A$71,"&lt;="&amp;F51)</f>
        <v/>
      </c>
      <c r="J51" s="14">
        <f>AVERAGEIFS('클럭 정리'!$N$6:$N$71,'클럭 정리'!$A$6:$A$71,"&gt;="&amp;E51,'클럭 정리'!$A$6:$A$71,"&lt;="&amp;F51)</f>
        <v/>
      </c>
      <c r="K51" s="15">
        <f>J51*'클럭 정리'!$B$2/100</f>
        <v/>
      </c>
    </row>
    <row r="52">
      <c r="A52" s="13" t="inlineStr">
        <is>
          <t>병렬도 12 분할 11</t>
        </is>
      </c>
      <c r="B52" s="13" t="n">
        <v>1</v>
      </c>
      <c r="C52" s="13" t="inlineStr">
        <is>
          <t>ForkJoinPool-11-worker-9</t>
        </is>
      </c>
      <c r="D52" s="12" t="inlineStr">
        <is>
          <t>워커</t>
        </is>
      </c>
      <c r="E52" s="10" t="n">
        <v>46238.50844150463</v>
      </c>
      <c r="F52" s="10" t="n">
        <v>46238.50845689073</v>
      </c>
      <c r="G52" s="13" t="n">
        <v>45</v>
      </c>
      <c r="H52" s="14" t="n">
        <v>1215.5141</v>
      </c>
      <c r="I52" s="13">
        <f>COUNTIFS('클럭 정리'!$A$6:$A$71,"&gt;="&amp;E52,'클럭 정리'!$A$6:$A$71,"&lt;="&amp;F52)</f>
        <v/>
      </c>
      <c r="J52" s="14">
        <f>AVERAGEIFS('클럭 정리'!$N$6:$N$71,'클럭 정리'!$A$6:$A$71,"&gt;="&amp;E52,'클럭 정리'!$A$6:$A$71,"&lt;="&amp;F52)</f>
        <v/>
      </c>
      <c r="K52" s="15">
        <f>J52*'클럭 정리'!$B$2/100</f>
        <v/>
      </c>
    </row>
    <row r="53">
      <c r="A53" s="13" t="inlineStr">
        <is>
          <t>병렬도 12 분할 11</t>
        </is>
      </c>
      <c r="B53" s="13" t="n">
        <v>1</v>
      </c>
      <c r="C53" s="13" t="inlineStr">
        <is>
          <t>main</t>
        </is>
      </c>
      <c r="D53" s="12" t="inlineStr">
        <is>
          <t>main (활동 시간 합 = 그 회차 mainCPU, 창은 워커와 겹침)</t>
        </is>
      </c>
      <c r="E53" s="10" t="n">
        <v>46238.50844149305</v>
      </c>
      <c r="F53" s="10" t="n">
        <v>46238.50845695392</v>
      </c>
      <c r="G53" s="13" t="n">
        <v>45</v>
      </c>
      <c r="H53" s="14" t="n">
        <v>0</v>
      </c>
      <c r="I53" s="13">
        <f>COUNTIFS('클럭 정리'!$A$6:$A$71,"&gt;="&amp;E53,'클럭 정리'!$A$6:$A$71,"&lt;="&amp;F53)</f>
        <v/>
      </c>
      <c r="J53" s="14">
        <f>AVERAGEIFS('클럭 정리'!$N$6:$N$71,'클럭 정리'!$A$6:$A$71,"&gt;="&amp;E53,'클럭 정리'!$A$6:$A$71,"&lt;="&amp;F53)</f>
        <v/>
      </c>
      <c r="K53" s="15">
        <f>J53*'클럭 정리'!$B$2/100</f>
        <v/>
      </c>
    </row>
    <row r="54">
      <c r="A54" s="13" t="inlineStr">
        <is>
          <t>병렬도 12 분할 11</t>
        </is>
      </c>
      <c r="B54" s="13" t="n">
        <v>2</v>
      </c>
      <c r="C54" s="13" t="inlineStr">
        <is>
          <t>ForkJoinPool-12-worker-1</t>
        </is>
      </c>
      <c r="D54" s="12" t="inlineStr">
        <is>
          <t>워커</t>
        </is>
      </c>
      <c r="E54" s="10" t="n">
        <v>46238.50845696759</v>
      </c>
      <c r="F54" s="10" t="n">
        <v>46238.50847585146</v>
      </c>
      <c r="G54" s="13" t="n">
        <v>45</v>
      </c>
      <c r="H54" s="14" t="n">
        <v>1417.5633</v>
      </c>
      <c r="I54" s="13">
        <f>COUNTIFS('클럭 정리'!$A$6:$A$71,"&gt;="&amp;E54,'클럭 정리'!$A$6:$A$71,"&lt;="&amp;F54)</f>
        <v/>
      </c>
      <c r="J54" s="14">
        <f>AVERAGEIFS('클럭 정리'!$N$6:$N$71,'클럭 정리'!$A$6:$A$71,"&gt;="&amp;E54,'클럭 정리'!$A$6:$A$71,"&lt;="&amp;F54)</f>
        <v/>
      </c>
      <c r="K54" s="15">
        <f>J54*'클럭 정리'!$B$2/100</f>
        <v/>
      </c>
    </row>
    <row r="55">
      <c r="A55" s="13" t="inlineStr">
        <is>
          <t>병렬도 12 분할 11</t>
        </is>
      </c>
      <c r="B55" s="13" t="n">
        <v>2</v>
      </c>
      <c r="C55" s="13" t="inlineStr">
        <is>
          <t>ForkJoinPool-12-worker-10</t>
        </is>
      </c>
      <c r="D55" s="12" t="inlineStr">
        <is>
          <t>워커</t>
        </is>
      </c>
      <c r="E55" s="10" t="n">
        <v>46238.50845699074</v>
      </c>
      <c r="F55" s="10" t="n">
        <v>46238.50847595229</v>
      </c>
      <c r="G55" s="13" t="n">
        <v>47</v>
      </c>
      <c r="H55" s="14" t="n">
        <v>1370.896</v>
      </c>
      <c r="I55" s="13">
        <f>COUNTIFS('클럭 정리'!$A$6:$A$71,"&gt;="&amp;E55,'클럭 정리'!$A$6:$A$71,"&lt;="&amp;F55)</f>
        <v/>
      </c>
      <c r="J55" s="14">
        <f>AVERAGEIFS('클럭 정리'!$N$6:$N$71,'클럭 정리'!$A$6:$A$71,"&gt;="&amp;E55,'클럭 정리'!$A$6:$A$71,"&lt;="&amp;F55)</f>
        <v/>
      </c>
      <c r="K55" s="15">
        <f>J55*'클럭 정리'!$B$2/100</f>
        <v/>
      </c>
    </row>
    <row r="56">
      <c r="A56" s="13" t="inlineStr">
        <is>
          <t>병렬도 12 분할 11</t>
        </is>
      </c>
      <c r="B56" s="13" t="n">
        <v>2</v>
      </c>
      <c r="C56" s="13" t="inlineStr">
        <is>
          <t>ForkJoinPool-12-worker-11</t>
        </is>
      </c>
      <c r="D56" s="12" t="inlineStr">
        <is>
          <t>워커</t>
        </is>
      </c>
      <c r="E56" s="10" t="n">
        <v>46238.50845699074</v>
      </c>
      <c r="F56" s="10" t="n">
        <v>46238.50847590734</v>
      </c>
      <c r="G56" s="13" t="n">
        <v>47</v>
      </c>
      <c r="H56" s="14" t="n">
        <v>1395.571</v>
      </c>
      <c r="I56" s="13">
        <f>COUNTIFS('클럭 정리'!$A$6:$A$71,"&gt;="&amp;E56,'클럭 정리'!$A$6:$A$71,"&lt;="&amp;F56)</f>
        <v/>
      </c>
      <c r="J56" s="14">
        <f>AVERAGEIFS('클럭 정리'!$N$6:$N$71,'클럭 정리'!$A$6:$A$71,"&gt;="&amp;E56,'클럭 정리'!$A$6:$A$71,"&lt;="&amp;F56)</f>
        <v/>
      </c>
      <c r="K56" s="15">
        <f>J56*'클럭 정리'!$B$2/100</f>
        <v/>
      </c>
    </row>
    <row r="57">
      <c r="A57" s="13" t="inlineStr">
        <is>
          <t>병렬도 12 분할 11</t>
        </is>
      </c>
      <c r="B57" s="13" t="n">
        <v>2</v>
      </c>
      <c r="C57" s="13" t="inlineStr">
        <is>
          <t>ForkJoinPool-12-worker-12</t>
        </is>
      </c>
      <c r="D57" s="12" t="inlineStr">
        <is>
          <t>워커</t>
        </is>
      </c>
      <c r="E57" s="10" t="n">
        <v>46238.50847362269</v>
      </c>
      <c r="F57" s="10" t="n">
        <v>46238.50847484871</v>
      </c>
      <c r="G57" s="13" t="n">
        <v>1</v>
      </c>
      <c r="H57" s="14" t="n">
        <v>105.9284</v>
      </c>
      <c r="I57" s="13">
        <f>COUNTIFS('클럭 정리'!$A$6:$A$71,"&gt;="&amp;E57,'클럭 정리'!$A$6:$A$71,"&lt;="&amp;F57)</f>
        <v/>
      </c>
      <c r="J57" s="14">
        <f>AVERAGEIFS('클럭 정리'!$N$6:$N$71,'클럭 정리'!$A$6:$A$71,"&gt;="&amp;E57,'클럭 정리'!$A$6:$A$71,"&lt;="&amp;F57)</f>
        <v/>
      </c>
      <c r="K57" s="15">
        <f>J57*'클럭 정리'!$B$2/100</f>
        <v/>
      </c>
    </row>
    <row r="58">
      <c r="A58" s="13" t="inlineStr">
        <is>
          <t>병렬도 12 분할 11</t>
        </is>
      </c>
      <c r="B58" s="13" t="n">
        <v>2</v>
      </c>
      <c r="C58" s="13" t="inlineStr">
        <is>
          <t>ForkJoinPool-12-worker-2</t>
        </is>
      </c>
      <c r="D58" s="12" t="inlineStr">
        <is>
          <t>워커</t>
        </is>
      </c>
      <c r="E58" s="10" t="n">
        <v>46238.50845697917</v>
      </c>
      <c r="F58" s="10" t="n">
        <v>46238.50847595179</v>
      </c>
      <c r="G58" s="13" t="n">
        <v>46</v>
      </c>
      <c r="H58" s="14" t="n">
        <v>1346.0031</v>
      </c>
      <c r="I58" s="13">
        <f>COUNTIFS('클럭 정리'!$A$6:$A$71,"&gt;="&amp;E58,'클럭 정리'!$A$6:$A$71,"&lt;="&amp;F58)</f>
        <v/>
      </c>
      <c r="J58" s="14">
        <f>AVERAGEIFS('클럭 정리'!$N$6:$N$71,'클럭 정리'!$A$6:$A$71,"&gt;="&amp;E58,'클럭 정리'!$A$6:$A$71,"&lt;="&amp;F58)</f>
        <v/>
      </c>
      <c r="K58" s="15">
        <f>J58*'클럭 정리'!$B$2/100</f>
        <v/>
      </c>
    </row>
    <row r="59">
      <c r="A59" s="13" t="inlineStr">
        <is>
          <t>병렬도 12 분할 11</t>
        </is>
      </c>
      <c r="B59" s="13" t="n">
        <v>2</v>
      </c>
      <c r="C59" s="13" t="inlineStr">
        <is>
          <t>ForkJoinPool-12-worker-3</t>
        </is>
      </c>
      <c r="D59" s="12" t="inlineStr">
        <is>
          <t>워커</t>
        </is>
      </c>
      <c r="E59" s="10" t="n">
        <v>46238.50845697917</v>
      </c>
      <c r="F59" s="10" t="n">
        <v>46238.50847327396</v>
      </c>
      <c r="G59" s="13" t="n">
        <v>43</v>
      </c>
      <c r="H59" s="14" t="n">
        <v>1269.3084</v>
      </c>
      <c r="I59" s="13">
        <f>COUNTIFS('클럭 정리'!$A$6:$A$71,"&gt;="&amp;E59,'클럭 정리'!$A$6:$A$71,"&lt;="&amp;F59)</f>
        <v/>
      </c>
      <c r="J59" s="14">
        <f>AVERAGEIFS('클럭 정리'!$N$6:$N$71,'클럭 정리'!$A$6:$A$71,"&gt;="&amp;E59,'클럭 정리'!$A$6:$A$71,"&lt;="&amp;F59)</f>
        <v/>
      </c>
      <c r="K59" s="15">
        <f>J59*'클럭 정리'!$B$2/100</f>
        <v/>
      </c>
    </row>
    <row r="60">
      <c r="A60" s="13" t="inlineStr">
        <is>
          <t>병렬도 12 분할 11</t>
        </is>
      </c>
      <c r="B60" s="13" t="n">
        <v>2</v>
      </c>
      <c r="C60" s="13" t="inlineStr">
        <is>
          <t>ForkJoinPool-12-worker-4</t>
        </is>
      </c>
      <c r="D60" s="12" t="inlineStr">
        <is>
          <t>워커</t>
        </is>
      </c>
      <c r="E60" s="10" t="n">
        <v>46238.50845697917</v>
      </c>
      <c r="F60" s="10" t="n">
        <v>46238.50847597232</v>
      </c>
      <c r="G60" s="13" t="n">
        <v>44</v>
      </c>
      <c r="H60" s="14" t="n">
        <v>1248.1419</v>
      </c>
      <c r="I60" s="13">
        <f>COUNTIFS('클럭 정리'!$A$6:$A$71,"&gt;="&amp;E60,'클럭 정리'!$A$6:$A$71,"&lt;="&amp;F60)</f>
        <v/>
      </c>
      <c r="J60" s="14">
        <f>AVERAGEIFS('클럭 정리'!$N$6:$N$71,'클럭 정리'!$A$6:$A$71,"&gt;="&amp;E60,'클럭 정리'!$A$6:$A$71,"&lt;="&amp;F60)</f>
        <v/>
      </c>
      <c r="K60" s="15">
        <f>J60*'클럭 정리'!$B$2/100</f>
        <v/>
      </c>
    </row>
    <row r="61">
      <c r="A61" s="13" t="inlineStr">
        <is>
          <t>병렬도 12 분할 11</t>
        </is>
      </c>
      <c r="B61" s="13" t="n">
        <v>2</v>
      </c>
      <c r="C61" s="13" t="inlineStr">
        <is>
          <t>ForkJoinPool-12-worker-5</t>
        </is>
      </c>
      <c r="D61" s="12" t="inlineStr">
        <is>
          <t>워커</t>
        </is>
      </c>
      <c r="E61" s="10" t="n">
        <v>46238.50845697917</v>
      </c>
      <c r="F61" s="10" t="n">
        <v>46238.5084760657</v>
      </c>
      <c r="G61" s="13" t="n">
        <v>46</v>
      </c>
      <c r="H61" s="14" t="n">
        <v>1557.1698</v>
      </c>
      <c r="I61" s="13">
        <f>COUNTIFS('클럭 정리'!$A$6:$A$71,"&gt;="&amp;E61,'클럭 정리'!$A$6:$A$71,"&lt;="&amp;F61)</f>
        <v/>
      </c>
      <c r="J61" s="14">
        <f>AVERAGEIFS('클럭 정리'!$N$6:$N$71,'클럭 정리'!$A$6:$A$71,"&gt;="&amp;E61,'클럭 정리'!$A$6:$A$71,"&lt;="&amp;F61)</f>
        <v/>
      </c>
      <c r="K61" s="15">
        <f>J61*'클럭 정리'!$B$2/100</f>
        <v/>
      </c>
    </row>
    <row r="62">
      <c r="A62" s="13" t="inlineStr">
        <is>
          <t>병렬도 12 분할 11</t>
        </is>
      </c>
      <c r="B62" s="13" t="n">
        <v>2</v>
      </c>
      <c r="C62" s="13" t="inlineStr">
        <is>
          <t>ForkJoinPool-12-worker-6</t>
        </is>
      </c>
      <c r="D62" s="12" t="inlineStr">
        <is>
          <t>워커</t>
        </is>
      </c>
      <c r="E62" s="10" t="n">
        <v>46238.50845697917</v>
      </c>
      <c r="F62" s="10" t="n">
        <v>46238.50847462823</v>
      </c>
      <c r="G62" s="13" t="n">
        <v>46</v>
      </c>
      <c r="H62" s="14" t="n">
        <v>1342.152</v>
      </c>
      <c r="I62" s="13">
        <f>COUNTIFS('클럭 정리'!$A$6:$A$71,"&gt;="&amp;E62,'클럭 정리'!$A$6:$A$71,"&lt;="&amp;F62)</f>
        <v/>
      </c>
      <c r="J62" s="14">
        <f>AVERAGEIFS('클럭 정리'!$N$6:$N$71,'클럭 정리'!$A$6:$A$71,"&gt;="&amp;E62,'클럭 정리'!$A$6:$A$71,"&lt;="&amp;F62)</f>
        <v/>
      </c>
      <c r="K62" s="15">
        <f>J62*'클럭 정리'!$B$2/100</f>
        <v/>
      </c>
    </row>
    <row r="63">
      <c r="A63" s="13" t="inlineStr">
        <is>
          <t>병렬도 12 분할 11</t>
        </is>
      </c>
      <c r="B63" s="13" t="n">
        <v>2</v>
      </c>
      <c r="C63" s="13" t="inlineStr">
        <is>
          <t>ForkJoinPool-12-worker-7</t>
        </is>
      </c>
      <c r="D63" s="12" t="inlineStr">
        <is>
          <t>워커</t>
        </is>
      </c>
      <c r="E63" s="10" t="n">
        <v>46238.50845697917</v>
      </c>
      <c r="F63" s="10" t="n">
        <v>46238.50847595579</v>
      </c>
      <c r="G63" s="13" t="n">
        <v>45</v>
      </c>
      <c r="H63" s="14" t="n">
        <v>1345.5228</v>
      </c>
      <c r="I63" s="13">
        <f>COUNTIFS('클럭 정리'!$A$6:$A$71,"&gt;="&amp;E63,'클럭 정리'!$A$6:$A$71,"&lt;="&amp;F63)</f>
        <v/>
      </c>
      <c r="J63" s="14">
        <f>AVERAGEIFS('클럭 정리'!$N$6:$N$71,'클럭 정리'!$A$6:$A$71,"&gt;="&amp;E63,'클럭 정리'!$A$6:$A$71,"&lt;="&amp;F63)</f>
        <v/>
      </c>
      <c r="K63" s="15">
        <f>J63*'클럭 정리'!$B$2/100</f>
        <v/>
      </c>
    </row>
    <row r="64">
      <c r="A64" s="13" t="inlineStr">
        <is>
          <t>병렬도 12 분할 11</t>
        </is>
      </c>
      <c r="B64" s="13" t="n">
        <v>2</v>
      </c>
      <c r="C64" s="13" t="inlineStr">
        <is>
          <t>ForkJoinPool-12-worker-8</t>
        </is>
      </c>
      <c r="D64" s="12" t="inlineStr">
        <is>
          <t>워커</t>
        </is>
      </c>
      <c r="E64" s="10" t="n">
        <v>46238.50845699074</v>
      </c>
      <c r="F64" s="10" t="n">
        <v>46238.50847417324</v>
      </c>
      <c r="G64" s="13" t="n">
        <v>43</v>
      </c>
      <c r="H64" s="14" t="n">
        <v>1234.1398</v>
      </c>
      <c r="I64" s="13">
        <f>COUNTIFS('클럭 정리'!$A$6:$A$71,"&gt;="&amp;E64,'클럭 정리'!$A$6:$A$71,"&lt;="&amp;F64)</f>
        <v/>
      </c>
      <c r="J64" s="14">
        <f>AVERAGEIFS('클럭 정리'!$N$6:$N$71,'클럭 정리'!$A$6:$A$71,"&gt;="&amp;E64,'클럭 정리'!$A$6:$A$71,"&lt;="&amp;F64)</f>
        <v/>
      </c>
      <c r="K64" s="15">
        <f>J64*'클럭 정리'!$B$2/100</f>
        <v/>
      </c>
    </row>
    <row r="65">
      <c r="A65" s="13" t="inlineStr">
        <is>
          <t>병렬도 12 분할 11</t>
        </is>
      </c>
      <c r="B65" s="13" t="n">
        <v>2</v>
      </c>
      <c r="C65" s="13" t="inlineStr">
        <is>
          <t>ForkJoinPool-12-worker-9</t>
        </is>
      </c>
      <c r="D65" s="12" t="inlineStr">
        <is>
          <t>워커</t>
        </is>
      </c>
      <c r="E65" s="10" t="n">
        <v>46238.50845697917</v>
      </c>
      <c r="F65" s="10" t="n">
        <v>46238.50847300122</v>
      </c>
      <c r="G65" s="13" t="n">
        <v>42</v>
      </c>
      <c r="H65" s="14" t="n">
        <v>1230.0862</v>
      </c>
      <c r="I65" s="13">
        <f>COUNTIFS('클럭 정리'!$A$6:$A$71,"&gt;="&amp;E65,'클럭 정리'!$A$6:$A$71,"&lt;="&amp;F65)</f>
        <v/>
      </c>
      <c r="J65" s="14">
        <f>AVERAGEIFS('클럭 정리'!$N$6:$N$71,'클럭 정리'!$A$6:$A$71,"&gt;="&amp;E65,'클럭 정리'!$A$6:$A$71,"&lt;="&amp;F65)</f>
        <v/>
      </c>
      <c r="K65" s="15">
        <f>J65*'클럭 정리'!$B$2/100</f>
        <v/>
      </c>
    </row>
    <row r="66">
      <c r="A66" s="13" t="inlineStr">
        <is>
          <t>병렬도 12 분할 11</t>
        </is>
      </c>
      <c r="B66" s="13" t="n">
        <v>2</v>
      </c>
      <c r="C66" s="13" t="inlineStr">
        <is>
          <t>main</t>
        </is>
      </c>
      <c r="D66" s="12" t="inlineStr">
        <is>
          <t>main (활동 시간 합 = 그 회차 mainCPU, 창은 워커와 겹침)</t>
        </is>
      </c>
      <c r="E66" s="10" t="n">
        <v>46238.50845696759</v>
      </c>
      <c r="F66" s="10" t="n">
        <v>46238.50847605949</v>
      </c>
      <c r="G66" s="13" t="n">
        <v>45</v>
      </c>
      <c r="H66" s="14" t="n">
        <v>0</v>
      </c>
      <c r="I66" s="13">
        <f>COUNTIFS('클럭 정리'!$A$6:$A$71,"&gt;="&amp;E66,'클럭 정리'!$A$6:$A$71,"&lt;="&amp;F66)</f>
        <v/>
      </c>
      <c r="J66" s="14">
        <f>AVERAGEIFS('클럭 정리'!$N$6:$N$71,'클럭 정리'!$A$6:$A$71,"&gt;="&amp;E66,'클럭 정리'!$A$6:$A$71,"&lt;="&amp;F66)</f>
        <v/>
      </c>
      <c r="K66" s="15">
        <f>J66*'클럭 정리'!$B$2/100</f>
        <v/>
      </c>
    </row>
    <row r="67">
      <c r="A67" s="13" t="inlineStr">
        <is>
          <t>병렬도 12 분할 11</t>
        </is>
      </c>
      <c r="B67" s="13" t="n">
        <v>3</v>
      </c>
      <c r="C67" s="13" t="inlineStr">
        <is>
          <t>ForkJoinPool-13-worker-1</t>
        </is>
      </c>
      <c r="D67" s="12" t="inlineStr">
        <is>
          <t>워커</t>
        </is>
      </c>
      <c r="E67" s="10" t="n">
        <v>46238.50847608796</v>
      </c>
      <c r="F67" s="10" t="n">
        <v>46238.50849267396</v>
      </c>
      <c r="G67" s="13" t="n">
        <v>45</v>
      </c>
      <c r="H67" s="14" t="n">
        <v>1307.5317</v>
      </c>
      <c r="I67" s="13">
        <f>COUNTIFS('클럭 정리'!$A$6:$A$71,"&gt;="&amp;E67,'클럭 정리'!$A$6:$A$71,"&lt;="&amp;F67)</f>
        <v/>
      </c>
      <c r="J67" s="14">
        <f>AVERAGEIFS('클럭 정리'!$N$6:$N$71,'클럭 정리'!$A$6:$A$71,"&gt;="&amp;E67,'클럭 정리'!$A$6:$A$71,"&lt;="&amp;F67)</f>
        <v/>
      </c>
      <c r="K67" s="15">
        <f>J67*'클럭 정리'!$B$2/100</f>
        <v/>
      </c>
    </row>
    <row r="68">
      <c r="A68" s="13" t="inlineStr">
        <is>
          <t>병렬도 12 분할 11</t>
        </is>
      </c>
      <c r="B68" s="13" t="n">
        <v>3</v>
      </c>
      <c r="C68" s="13" t="inlineStr">
        <is>
          <t>ForkJoinPool-13-worker-10</t>
        </is>
      </c>
      <c r="D68" s="12" t="inlineStr">
        <is>
          <t>워커</t>
        </is>
      </c>
      <c r="E68" s="10" t="n">
        <v>46238.50847664352</v>
      </c>
      <c r="F68" s="10" t="n">
        <v>46238.5084926713</v>
      </c>
      <c r="G68" s="13" t="n">
        <v>44</v>
      </c>
      <c r="H68" s="14" t="n">
        <v>1226.2093</v>
      </c>
      <c r="I68" s="13">
        <f>COUNTIFS('클럭 정리'!$A$6:$A$71,"&gt;="&amp;E68,'클럭 정리'!$A$6:$A$71,"&lt;="&amp;F68)</f>
        <v/>
      </c>
      <c r="J68" s="14">
        <f>AVERAGEIFS('클럭 정리'!$N$6:$N$71,'클럭 정리'!$A$6:$A$71,"&gt;="&amp;E68,'클럭 정리'!$A$6:$A$71,"&lt;="&amp;F68)</f>
        <v/>
      </c>
      <c r="K68" s="15">
        <f>J68*'클럭 정리'!$B$2/100</f>
        <v/>
      </c>
    </row>
    <row r="69">
      <c r="A69" s="13" t="inlineStr">
        <is>
          <t>병렬도 12 분할 11</t>
        </is>
      </c>
      <c r="B69" s="13" t="n">
        <v>3</v>
      </c>
      <c r="C69" s="13" t="inlineStr">
        <is>
          <t>ForkJoinPool-13-worker-11</t>
        </is>
      </c>
      <c r="D69" s="12" t="inlineStr">
        <is>
          <t>워커</t>
        </is>
      </c>
      <c r="E69" s="10" t="n">
        <v>46238.50847675926</v>
      </c>
      <c r="F69" s="10" t="n">
        <v>46238.50849264477</v>
      </c>
      <c r="G69" s="13" t="n">
        <v>44</v>
      </c>
      <c r="H69" s="14" t="n">
        <v>1243.4729</v>
      </c>
      <c r="I69" s="13">
        <f>COUNTIFS('클럭 정리'!$A$6:$A$71,"&gt;="&amp;E69,'클럭 정리'!$A$6:$A$71,"&lt;="&amp;F69)</f>
        <v/>
      </c>
      <c r="J69" s="14">
        <f>AVERAGEIFS('클럭 정리'!$N$6:$N$71,'클럭 정리'!$A$6:$A$71,"&gt;="&amp;E69,'클럭 정리'!$A$6:$A$71,"&lt;="&amp;F69)</f>
        <v/>
      </c>
      <c r="K69" s="15">
        <f>J69*'클럭 정리'!$B$2/100</f>
        <v/>
      </c>
    </row>
    <row r="70">
      <c r="A70" s="13" t="inlineStr">
        <is>
          <t>병렬도 12 분할 11</t>
        </is>
      </c>
      <c r="B70" s="13" t="n">
        <v>3</v>
      </c>
      <c r="C70" s="13" t="inlineStr">
        <is>
          <t>ForkJoinPool-13-worker-12</t>
        </is>
      </c>
      <c r="D70" s="12" t="inlineStr">
        <is>
          <t>워커</t>
        </is>
      </c>
      <c r="E70" s="10" t="n">
        <v>46238.50847664352</v>
      </c>
      <c r="F70" s="10" t="n">
        <v>46238.50849267962</v>
      </c>
      <c r="G70" s="13" t="n">
        <v>44</v>
      </c>
      <c r="H70" s="14" t="n">
        <v>1269.5169</v>
      </c>
      <c r="I70" s="13">
        <f>COUNTIFS('클럭 정리'!$A$6:$A$71,"&gt;="&amp;E70,'클럭 정리'!$A$6:$A$71,"&lt;="&amp;F70)</f>
        <v/>
      </c>
      <c r="J70" s="14">
        <f>AVERAGEIFS('클럭 정리'!$N$6:$N$71,'클럭 정리'!$A$6:$A$71,"&gt;="&amp;E70,'클럭 정리'!$A$6:$A$71,"&lt;="&amp;F70)</f>
        <v/>
      </c>
      <c r="K70" s="15">
        <f>J70*'클럭 정리'!$B$2/100</f>
        <v/>
      </c>
    </row>
    <row r="71">
      <c r="A71" s="13" t="inlineStr">
        <is>
          <t>병렬도 12 분할 11</t>
        </is>
      </c>
      <c r="B71" s="13" t="n">
        <v>3</v>
      </c>
      <c r="C71" s="13" t="inlineStr">
        <is>
          <t>ForkJoinPool-13-worker-2</t>
        </is>
      </c>
      <c r="D71" s="12" t="inlineStr">
        <is>
          <t>워커</t>
        </is>
      </c>
      <c r="E71" s="10" t="n">
        <v>46238.50847609954</v>
      </c>
      <c r="F71" s="10" t="n">
        <v>46238.50847738214</v>
      </c>
      <c r="G71" s="13" t="n">
        <v>4</v>
      </c>
      <c r="H71" s="14" t="n">
        <v>94.60120000000001</v>
      </c>
      <c r="I71" s="13">
        <f>COUNTIFS('클럭 정리'!$A$6:$A$71,"&gt;="&amp;E71,'클럭 정리'!$A$6:$A$71,"&lt;="&amp;F71)</f>
        <v/>
      </c>
      <c r="J71" s="14">
        <f>AVERAGEIFS('클럭 정리'!$N$6:$N$71,'클럭 정리'!$A$6:$A$71,"&gt;="&amp;E71,'클럭 정리'!$A$6:$A$71,"&lt;="&amp;F71)</f>
        <v/>
      </c>
      <c r="K71" s="15">
        <f>J71*'클럭 정리'!$B$2/100</f>
        <v/>
      </c>
    </row>
    <row r="72">
      <c r="A72" s="13" t="inlineStr">
        <is>
          <t>병렬도 12 분할 11</t>
        </is>
      </c>
      <c r="B72" s="13" t="n">
        <v>3</v>
      </c>
      <c r="C72" s="13" t="inlineStr">
        <is>
          <t>ForkJoinPool-13-worker-3</t>
        </is>
      </c>
      <c r="D72" s="12" t="inlineStr">
        <is>
          <t>워커</t>
        </is>
      </c>
      <c r="E72" s="10" t="n">
        <v>46238.50847609954</v>
      </c>
      <c r="F72" s="10" t="n">
        <v>46238.50849266722</v>
      </c>
      <c r="G72" s="13" t="n">
        <v>46</v>
      </c>
      <c r="H72" s="14" t="n">
        <v>1247.8195</v>
      </c>
      <c r="I72" s="13">
        <f>COUNTIFS('클럭 정리'!$A$6:$A$71,"&gt;="&amp;E72,'클럭 정리'!$A$6:$A$71,"&lt;="&amp;F72)</f>
        <v/>
      </c>
      <c r="J72" s="14">
        <f>AVERAGEIFS('클럭 정리'!$N$6:$N$71,'클럭 정리'!$A$6:$A$71,"&gt;="&amp;E72,'클럭 정리'!$A$6:$A$71,"&lt;="&amp;F72)</f>
        <v/>
      </c>
      <c r="K72" s="15">
        <f>J72*'클럭 정리'!$B$2/100</f>
        <v/>
      </c>
    </row>
    <row r="73">
      <c r="A73" s="13" t="inlineStr">
        <is>
          <t>병렬도 12 분할 11</t>
        </is>
      </c>
      <c r="B73" s="13" t="n">
        <v>3</v>
      </c>
      <c r="C73" s="13" t="inlineStr">
        <is>
          <t>ForkJoinPool-13-worker-4</t>
        </is>
      </c>
      <c r="D73" s="12" t="inlineStr">
        <is>
          <t>워커</t>
        </is>
      </c>
      <c r="E73" s="10" t="n">
        <v>46238.50847609954</v>
      </c>
      <c r="F73" s="10" t="n">
        <v>46238.50849266843</v>
      </c>
      <c r="G73" s="13" t="n">
        <v>46</v>
      </c>
      <c r="H73" s="14" t="n">
        <v>1252.6309</v>
      </c>
      <c r="I73" s="13">
        <f>COUNTIFS('클럭 정리'!$A$6:$A$71,"&gt;="&amp;E73,'클럭 정리'!$A$6:$A$71,"&lt;="&amp;F73)</f>
        <v/>
      </c>
      <c r="J73" s="14">
        <f>AVERAGEIFS('클럭 정리'!$N$6:$N$71,'클럭 정리'!$A$6:$A$71,"&gt;="&amp;E73,'클럭 정리'!$A$6:$A$71,"&lt;="&amp;F73)</f>
        <v/>
      </c>
      <c r="K73" s="15">
        <f>J73*'클럭 정리'!$B$2/100</f>
        <v/>
      </c>
    </row>
    <row r="74">
      <c r="A74" s="13" t="inlineStr">
        <is>
          <t>병렬도 12 분할 11</t>
        </is>
      </c>
      <c r="B74" s="13" t="n">
        <v>3</v>
      </c>
      <c r="C74" s="13" t="inlineStr">
        <is>
          <t>ForkJoinPool-13-worker-5</t>
        </is>
      </c>
      <c r="D74" s="12" t="inlineStr">
        <is>
          <t>워커</t>
        </is>
      </c>
      <c r="E74" s="10" t="n">
        <v>46238.50847609954</v>
      </c>
      <c r="F74" s="10" t="n">
        <v>46238.50849263463</v>
      </c>
      <c r="G74" s="13" t="n">
        <v>45</v>
      </c>
      <c r="H74" s="14" t="n">
        <v>1245.1816</v>
      </c>
      <c r="I74" s="13">
        <f>COUNTIFS('클럭 정리'!$A$6:$A$71,"&gt;="&amp;E74,'클럭 정리'!$A$6:$A$71,"&lt;="&amp;F74)</f>
        <v/>
      </c>
      <c r="J74" s="14">
        <f>AVERAGEIFS('클럭 정리'!$N$6:$N$71,'클럭 정리'!$A$6:$A$71,"&gt;="&amp;E74,'클럭 정리'!$A$6:$A$71,"&lt;="&amp;F74)</f>
        <v/>
      </c>
      <c r="K74" s="15">
        <f>J74*'클럭 정리'!$B$2/100</f>
        <v/>
      </c>
    </row>
    <row r="75">
      <c r="A75" s="13" t="inlineStr">
        <is>
          <t>병렬도 12 분할 11</t>
        </is>
      </c>
      <c r="B75" s="13" t="n">
        <v>3</v>
      </c>
      <c r="C75" s="13" t="inlineStr">
        <is>
          <t>ForkJoinPool-13-worker-6</t>
        </is>
      </c>
      <c r="D75" s="12" t="inlineStr">
        <is>
          <t>워커</t>
        </is>
      </c>
      <c r="E75" s="10" t="n">
        <v>46238.50847613426</v>
      </c>
      <c r="F75" s="10" t="n">
        <v>46238.50849267584</v>
      </c>
      <c r="G75" s="13" t="n">
        <v>43</v>
      </c>
      <c r="H75" s="14" t="n">
        <v>1170.4526</v>
      </c>
      <c r="I75" s="13">
        <f>COUNTIFS('클럭 정리'!$A$6:$A$71,"&gt;="&amp;E75,'클럭 정리'!$A$6:$A$71,"&lt;="&amp;F75)</f>
        <v/>
      </c>
      <c r="J75" s="14">
        <f>AVERAGEIFS('클럭 정리'!$N$6:$N$71,'클럭 정리'!$A$6:$A$71,"&gt;="&amp;E75,'클럭 정리'!$A$6:$A$71,"&lt;="&amp;F75)</f>
        <v/>
      </c>
      <c r="K75" s="15">
        <f>J75*'클럭 정리'!$B$2/100</f>
        <v/>
      </c>
    </row>
    <row r="76">
      <c r="A76" s="13" t="inlineStr">
        <is>
          <t>병렬도 12 분할 11</t>
        </is>
      </c>
      <c r="B76" s="13" t="n">
        <v>3</v>
      </c>
      <c r="C76" s="13" t="inlineStr">
        <is>
          <t>ForkJoinPool-13-worker-7</t>
        </is>
      </c>
      <c r="D76" s="12" t="inlineStr">
        <is>
          <t>워커</t>
        </is>
      </c>
      <c r="E76" s="10" t="n">
        <v>46238.50847613426</v>
      </c>
      <c r="F76" s="10" t="n">
        <v>46238.5084926699</v>
      </c>
      <c r="G76" s="13" t="n">
        <v>45</v>
      </c>
      <c r="H76" s="14" t="n">
        <v>1245.5002</v>
      </c>
      <c r="I76" s="13">
        <f>COUNTIFS('클럭 정리'!$A$6:$A$71,"&gt;="&amp;E76,'클럭 정리'!$A$6:$A$71,"&lt;="&amp;F76)</f>
        <v/>
      </c>
      <c r="J76" s="14">
        <f>AVERAGEIFS('클럭 정리'!$N$6:$N$71,'클럭 정리'!$A$6:$A$71,"&gt;="&amp;E76,'클럭 정리'!$A$6:$A$71,"&lt;="&amp;F76)</f>
        <v/>
      </c>
      <c r="K76" s="15">
        <f>J76*'클럭 정리'!$B$2/100</f>
        <v/>
      </c>
    </row>
    <row r="77">
      <c r="A77" s="13" t="inlineStr">
        <is>
          <t>병렬도 12 분할 11</t>
        </is>
      </c>
      <c r="B77" s="13" t="n">
        <v>3</v>
      </c>
      <c r="C77" s="13" t="inlineStr">
        <is>
          <t>ForkJoinPool-13-worker-8</t>
        </is>
      </c>
      <c r="D77" s="12" t="inlineStr">
        <is>
          <t>워커</t>
        </is>
      </c>
      <c r="E77" s="10" t="n">
        <v>46238.50847615741</v>
      </c>
      <c r="F77" s="10" t="n">
        <v>46238.50849267304</v>
      </c>
      <c r="G77" s="13" t="n">
        <v>45</v>
      </c>
      <c r="H77" s="14" t="n">
        <v>1287.7244</v>
      </c>
      <c r="I77" s="13">
        <f>COUNTIFS('클럭 정리'!$A$6:$A$71,"&gt;="&amp;E77,'클럭 정리'!$A$6:$A$71,"&lt;="&amp;F77)</f>
        <v/>
      </c>
      <c r="J77" s="14">
        <f>AVERAGEIFS('클럭 정리'!$N$6:$N$71,'클럭 정리'!$A$6:$A$71,"&gt;="&amp;E77,'클럭 정리'!$A$6:$A$71,"&lt;="&amp;F77)</f>
        <v/>
      </c>
      <c r="K77" s="15">
        <f>J77*'클럭 정리'!$B$2/100</f>
        <v/>
      </c>
    </row>
    <row r="78">
      <c r="A78" s="13" t="inlineStr">
        <is>
          <t>병렬도 12 분할 11</t>
        </is>
      </c>
      <c r="B78" s="13" t="n">
        <v>3</v>
      </c>
      <c r="C78" s="13" t="inlineStr">
        <is>
          <t>ForkJoinPool-13-worker-9</t>
        </is>
      </c>
      <c r="D78" s="12" t="inlineStr">
        <is>
          <t>워커</t>
        </is>
      </c>
      <c r="E78" s="10" t="n">
        <v>46238.50847663194</v>
      </c>
      <c r="F78" s="10" t="n">
        <v>46238.50849268464</v>
      </c>
      <c r="G78" s="13" t="n">
        <v>44</v>
      </c>
      <c r="H78" s="14" t="n">
        <v>1227.9203</v>
      </c>
      <c r="I78" s="13">
        <f>COUNTIFS('클럭 정리'!$A$6:$A$71,"&gt;="&amp;E78,'클럭 정리'!$A$6:$A$71,"&lt;="&amp;F78)</f>
        <v/>
      </c>
      <c r="J78" s="14">
        <f>AVERAGEIFS('클럭 정리'!$N$6:$N$71,'클럭 정리'!$A$6:$A$71,"&gt;="&amp;E78,'클럭 정리'!$A$6:$A$71,"&lt;="&amp;F78)</f>
        <v/>
      </c>
      <c r="K78" s="15">
        <f>J78*'클럭 정리'!$B$2/100</f>
        <v/>
      </c>
    </row>
    <row r="79">
      <c r="A79" s="13" t="inlineStr">
        <is>
          <t>병렬도 12 분할 11</t>
        </is>
      </c>
      <c r="B79" s="13" t="n">
        <v>3</v>
      </c>
      <c r="C79" s="13" t="inlineStr">
        <is>
          <t>main</t>
        </is>
      </c>
      <c r="D79" s="12" t="inlineStr">
        <is>
          <t>main (활동 시간 합 = 그 회차 mainCPU, 창은 워커와 겹침)</t>
        </is>
      </c>
      <c r="E79" s="10" t="n">
        <v>46238.50847608796</v>
      </c>
      <c r="F79" s="10" t="n">
        <v>46238.5084926872</v>
      </c>
      <c r="G79" s="13" t="n">
        <v>45</v>
      </c>
      <c r="H79" s="14" t="n">
        <v>0</v>
      </c>
      <c r="I79" s="13">
        <f>COUNTIFS('클럭 정리'!$A$6:$A$71,"&gt;="&amp;E79,'클럭 정리'!$A$6:$A$71,"&lt;="&amp;F79)</f>
        <v/>
      </c>
      <c r="J79" s="14">
        <f>AVERAGEIFS('클럭 정리'!$N$6:$N$71,'클럭 정리'!$A$6:$A$71,"&gt;="&amp;E79,'클럭 정리'!$A$6:$A$71,"&lt;="&amp;F79)</f>
        <v/>
      </c>
      <c r="K79" s="15">
        <f>J79*'클럭 정리'!$B$2/100</f>
        <v/>
      </c>
    </row>
    <row r="80">
      <c r="A80" s="13" t="inlineStr">
        <is>
          <t>병렬도 12 분할 11</t>
        </is>
      </c>
      <c r="B80" s="13" t="n">
        <v>4</v>
      </c>
      <c r="C80" s="13" t="inlineStr">
        <is>
          <t>ForkJoinPool-14-worker-1</t>
        </is>
      </c>
      <c r="D80" s="12" t="inlineStr">
        <is>
          <t>워커</t>
        </is>
      </c>
      <c r="E80" s="10" t="n">
        <v>46238.50849270833</v>
      </c>
      <c r="F80" s="10" t="n">
        <v>46238.50850806732</v>
      </c>
      <c r="G80" s="13" t="n">
        <v>45</v>
      </c>
      <c r="H80" s="14" t="n">
        <v>1254.1416</v>
      </c>
      <c r="I80" s="13">
        <f>COUNTIFS('클럭 정리'!$A$6:$A$71,"&gt;="&amp;E80,'클럭 정리'!$A$6:$A$71,"&lt;="&amp;F80)</f>
        <v/>
      </c>
      <c r="J80" s="14">
        <f>AVERAGEIFS('클럭 정리'!$N$6:$N$71,'클럭 정리'!$A$6:$A$71,"&gt;="&amp;E80,'클럭 정리'!$A$6:$A$71,"&lt;="&amp;F80)</f>
        <v/>
      </c>
      <c r="K80" s="15">
        <f>J80*'클럭 정리'!$B$2/100</f>
        <v/>
      </c>
    </row>
    <row r="81">
      <c r="A81" s="13" t="inlineStr">
        <is>
          <t>병렬도 12 분할 11</t>
        </is>
      </c>
      <c r="B81" s="13" t="n">
        <v>4</v>
      </c>
      <c r="C81" s="13" t="inlineStr">
        <is>
          <t>ForkJoinPool-14-worker-10</t>
        </is>
      </c>
      <c r="D81" s="12" t="inlineStr">
        <is>
          <t>워커</t>
        </is>
      </c>
      <c r="E81" s="10" t="n">
        <v>46238.50849271991</v>
      </c>
      <c r="F81" s="10" t="n">
        <v>46238.50850807945</v>
      </c>
      <c r="G81" s="13" t="n">
        <v>45</v>
      </c>
      <c r="H81" s="14" t="n">
        <v>1210.5141</v>
      </c>
      <c r="I81" s="13">
        <f>COUNTIFS('클럭 정리'!$A$6:$A$71,"&gt;="&amp;E81,'클럭 정리'!$A$6:$A$71,"&lt;="&amp;F81)</f>
        <v/>
      </c>
      <c r="J81" s="14">
        <f>AVERAGEIFS('클럭 정리'!$N$6:$N$71,'클럭 정리'!$A$6:$A$71,"&gt;="&amp;E81,'클럭 정리'!$A$6:$A$71,"&lt;="&amp;F81)</f>
        <v/>
      </c>
      <c r="K81" s="15">
        <f>J81*'클럭 정리'!$B$2/100</f>
        <v/>
      </c>
    </row>
    <row r="82">
      <c r="A82" s="13" t="inlineStr">
        <is>
          <t>병렬도 12 분할 11</t>
        </is>
      </c>
      <c r="B82" s="13" t="n">
        <v>4</v>
      </c>
      <c r="C82" s="13" t="inlineStr">
        <is>
          <t>ForkJoinPool-14-worker-11</t>
        </is>
      </c>
      <c r="D82" s="12" t="inlineStr">
        <is>
          <t>워커</t>
        </is>
      </c>
      <c r="E82" s="10" t="n">
        <v>46238.50849273148</v>
      </c>
      <c r="F82" s="10" t="n">
        <v>46238.5085080436</v>
      </c>
      <c r="G82" s="13" t="n">
        <v>45</v>
      </c>
      <c r="H82" s="14" t="n">
        <v>1225.6306</v>
      </c>
      <c r="I82" s="13">
        <f>COUNTIFS('클럭 정리'!$A$6:$A$71,"&gt;="&amp;E82,'클럭 정리'!$A$6:$A$71,"&lt;="&amp;F82)</f>
        <v/>
      </c>
      <c r="J82" s="14">
        <f>AVERAGEIFS('클럭 정리'!$N$6:$N$71,'클럭 정리'!$A$6:$A$71,"&gt;="&amp;E82,'클럭 정리'!$A$6:$A$71,"&lt;="&amp;F82)</f>
        <v/>
      </c>
      <c r="K82" s="15">
        <f>J82*'클럭 정리'!$B$2/100</f>
        <v/>
      </c>
    </row>
    <row r="83">
      <c r="A83" s="13" t="inlineStr">
        <is>
          <t>병렬도 12 분할 11</t>
        </is>
      </c>
      <c r="B83" s="13" t="n">
        <v>4</v>
      </c>
      <c r="C83" s="13" t="inlineStr">
        <is>
          <t>ForkJoinPool-14-worker-12</t>
        </is>
      </c>
      <c r="D83" s="12" t="inlineStr">
        <is>
          <t>워커</t>
        </is>
      </c>
      <c r="E83" s="10" t="n">
        <v>46238.50849305555</v>
      </c>
      <c r="F83" s="10" t="n">
        <v>46238.50850808241</v>
      </c>
      <c r="G83" s="13" t="n">
        <v>44</v>
      </c>
      <c r="H83" s="14" t="n">
        <v>1241.4344</v>
      </c>
      <c r="I83" s="13">
        <f>COUNTIFS('클럭 정리'!$A$6:$A$71,"&gt;="&amp;E83,'클럭 정리'!$A$6:$A$71,"&lt;="&amp;F83)</f>
        <v/>
      </c>
      <c r="J83" s="14">
        <f>AVERAGEIFS('클럭 정리'!$N$6:$N$71,'클럭 정리'!$A$6:$A$71,"&gt;="&amp;E83,'클럭 정리'!$A$6:$A$71,"&lt;="&amp;F83)</f>
        <v/>
      </c>
      <c r="K83" s="15">
        <f>J83*'클럭 정리'!$B$2/100</f>
        <v/>
      </c>
    </row>
    <row r="84">
      <c r="A84" s="13" t="inlineStr">
        <is>
          <t>병렬도 12 분할 11</t>
        </is>
      </c>
      <c r="B84" s="13" t="n">
        <v>4</v>
      </c>
      <c r="C84" s="13" t="inlineStr">
        <is>
          <t>ForkJoinPool-14-worker-2</t>
        </is>
      </c>
      <c r="D84" s="12" t="inlineStr">
        <is>
          <t>워커</t>
        </is>
      </c>
      <c r="E84" s="10" t="n">
        <v>46238.50849270833</v>
      </c>
      <c r="F84" s="10" t="n">
        <v>46238.50850805096</v>
      </c>
      <c r="G84" s="13" t="n">
        <v>45</v>
      </c>
      <c r="H84" s="14" t="n">
        <v>1247.039</v>
      </c>
      <c r="I84" s="13">
        <f>COUNTIFS('클럭 정리'!$A$6:$A$71,"&gt;="&amp;E84,'클럭 정리'!$A$6:$A$71,"&lt;="&amp;F84)</f>
        <v/>
      </c>
      <c r="J84" s="14">
        <f>AVERAGEIFS('클럭 정리'!$N$6:$N$71,'클럭 정리'!$A$6:$A$71,"&gt;="&amp;E84,'클럭 정리'!$A$6:$A$71,"&lt;="&amp;F84)</f>
        <v/>
      </c>
      <c r="K84" s="15">
        <f>J84*'클럭 정리'!$B$2/100</f>
        <v/>
      </c>
    </row>
    <row r="85">
      <c r="A85" s="13" t="inlineStr">
        <is>
          <t>병렬도 12 분할 11</t>
        </is>
      </c>
      <c r="B85" s="13" t="n">
        <v>4</v>
      </c>
      <c r="C85" s="13" t="inlineStr">
        <is>
          <t>ForkJoinPool-14-worker-3</t>
        </is>
      </c>
      <c r="D85" s="12" t="inlineStr">
        <is>
          <t>워커</t>
        </is>
      </c>
      <c r="E85" s="10" t="n">
        <v>46238.50849271991</v>
      </c>
      <c r="F85" s="10" t="n">
        <v>46238.50850803663</v>
      </c>
      <c r="G85" s="13" t="n">
        <v>45</v>
      </c>
      <c r="H85" s="14" t="n">
        <v>1196.2212</v>
      </c>
      <c r="I85" s="13">
        <f>COUNTIFS('클럭 정리'!$A$6:$A$71,"&gt;="&amp;E85,'클럭 정리'!$A$6:$A$71,"&lt;="&amp;F85)</f>
        <v/>
      </c>
      <c r="J85" s="14">
        <f>AVERAGEIFS('클럭 정리'!$N$6:$N$71,'클럭 정리'!$A$6:$A$71,"&gt;="&amp;E85,'클럭 정리'!$A$6:$A$71,"&lt;="&amp;F85)</f>
        <v/>
      </c>
      <c r="K85" s="15">
        <f>J85*'클럭 정리'!$B$2/100</f>
        <v/>
      </c>
    </row>
    <row r="86">
      <c r="A86" s="13" t="inlineStr">
        <is>
          <t>병렬도 12 분할 11</t>
        </is>
      </c>
      <c r="B86" s="13" t="n">
        <v>4</v>
      </c>
      <c r="C86" s="13" t="inlineStr">
        <is>
          <t>ForkJoinPool-14-worker-4</t>
        </is>
      </c>
      <c r="D86" s="12" t="inlineStr">
        <is>
          <t>워커</t>
        </is>
      </c>
      <c r="E86" s="10" t="n">
        <v>46238.50849271991</v>
      </c>
      <c r="F86" s="10" t="n">
        <v>46238.50850809104</v>
      </c>
      <c r="G86" s="13" t="n">
        <v>45</v>
      </c>
      <c r="H86" s="14" t="n">
        <v>1228.2044</v>
      </c>
      <c r="I86" s="13">
        <f>COUNTIFS('클럭 정리'!$A$6:$A$71,"&gt;="&amp;E86,'클럭 정리'!$A$6:$A$71,"&lt;="&amp;F86)</f>
        <v/>
      </c>
      <c r="J86" s="14">
        <f>AVERAGEIFS('클럭 정리'!$N$6:$N$71,'클럭 정리'!$A$6:$A$71,"&gt;="&amp;E86,'클럭 정리'!$A$6:$A$71,"&lt;="&amp;F86)</f>
        <v/>
      </c>
      <c r="K86" s="15">
        <f>J86*'클럭 정리'!$B$2/100</f>
        <v/>
      </c>
    </row>
    <row r="87">
      <c r="A87" s="13" t="inlineStr">
        <is>
          <t>병렬도 12 분할 11</t>
        </is>
      </c>
      <c r="B87" s="13" t="n">
        <v>4</v>
      </c>
      <c r="C87" s="13" t="inlineStr">
        <is>
          <t>ForkJoinPool-14-worker-5</t>
        </is>
      </c>
      <c r="D87" s="12" t="inlineStr">
        <is>
          <t>워커</t>
        </is>
      </c>
      <c r="E87" s="10" t="n">
        <v>46238.50849271991</v>
      </c>
      <c r="F87" s="10" t="n">
        <v>46238.50849476724</v>
      </c>
      <c r="G87" s="13" t="n">
        <v>6</v>
      </c>
      <c r="H87" s="14" t="n">
        <v>164.6527</v>
      </c>
      <c r="I87" s="13">
        <f>COUNTIFS('클럭 정리'!$A$6:$A$71,"&gt;="&amp;E87,'클럭 정리'!$A$6:$A$71,"&lt;="&amp;F87)</f>
        <v/>
      </c>
      <c r="J87" s="14">
        <f>AVERAGEIFS('클럭 정리'!$N$6:$N$71,'클럭 정리'!$A$6:$A$71,"&gt;="&amp;E87,'클럭 정리'!$A$6:$A$71,"&lt;="&amp;F87)</f>
        <v/>
      </c>
      <c r="K87" s="15">
        <f>J87*'클럭 정리'!$B$2/100</f>
        <v/>
      </c>
    </row>
    <row r="88">
      <c r="A88" s="13" t="inlineStr">
        <is>
          <t>병렬도 12 분할 11</t>
        </is>
      </c>
      <c r="B88" s="13" t="n">
        <v>4</v>
      </c>
      <c r="C88" s="13" t="inlineStr">
        <is>
          <t>ForkJoinPool-14-worker-6</t>
        </is>
      </c>
      <c r="D88" s="12" t="inlineStr">
        <is>
          <t>워커</t>
        </is>
      </c>
      <c r="E88" s="10" t="n">
        <v>46238.50849271991</v>
      </c>
      <c r="F88" s="10" t="n">
        <v>46238.50850805688</v>
      </c>
      <c r="G88" s="13" t="n">
        <v>45</v>
      </c>
      <c r="H88" s="14" t="n">
        <v>1296.6158</v>
      </c>
      <c r="I88" s="13">
        <f>COUNTIFS('클럭 정리'!$A$6:$A$71,"&gt;="&amp;E88,'클럭 정리'!$A$6:$A$71,"&lt;="&amp;F88)</f>
        <v/>
      </c>
      <c r="J88" s="14">
        <f>AVERAGEIFS('클럭 정리'!$N$6:$N$71,'클럭 정리'!$A$6:$A$71,"&gt;="&amp;E88,'클럭 정리'!$A$6:$A$71,"&lt;="&amp;F88)</f>
        <v/>
      </c>
      <c r="K88" s="15">
        <f>J88*'클럭 정리'!$B$2/100</f>
        <v/>
      </c>
    </row>
    <row r="89">
      <c r="A89" s="13" t="inlineStr">
        <is>
          <t>병렬도 12 분할 11</t>
        </is>
      </c>
      <c r="B89" s="13" t="n">
        <v>4</v>
      </c>
      <c r="C89" s="13" t="inlineStr">
        <is>
          <t>ForkJoinPool-14-worker-7</t>
        </is>
      </c>
      <c r="D89" s="12" t="inlineStr">
        <is>
          <t>워커</t>
        </is>
      </c>
      <c r="E89" s="10" t="n">
        <v>46238.50849271991</v>
      </c>
      <c r="F89" s="10" t="n">
        <v>46238.50850803588</v>
      </c>
      <c r="G89" s="13" t="n">
        <v>45</v>
      </c>
      <c r="H89" s="14" t="n">
        <v>1237.4628</v>
      </c>
      <c r="I89" s="13">
        <f>COUNTIFS('클럭 정리'!$A$6:$A$71,"&gt;="&amp;E89,'클럭 정리'!$A$6:$A$71,"&lt;="&amp;F89)</f>
        <v/>
      </c>
      <c r="J89" s="14">
        <f>AVERAGEIFS('클럭 정리'!$N$6:$N$71,'클럭 정리'!$A$6:$A$71,"&gt;="&amp;E89,'클럭 정리'!$A$6:$A$71,"&lt;="&amp;F89)</f>
        <v/>
      </c>
      <c r="K89" s="15">
        <f>J89*'클럭 정리'!$B$2/100</f>
        <v/>
      </c>
    </row>
    <row r="90">
      <c r="A90" s="13" t="inlineStr">
        <is>
          <t>병렬도 12 분할 11</t>
        </is>
      </c>
      <c r="B90" s="13" t="n">
        <v>4</v>
      </c>
      <c r="C90" s="13" t="inlineStr">
        <is>
          <t>ForkJoinPool-14-worker-8</t>
        </is>
      </c>
      <c r="D90" s="12" t="inlineStr">
        <is>
          <t>워커</t>
        </is>
      </c>
      <c r="E90" s="10" t="n">
        <v>46238.50849271991</v>
      </c>
      <c r="F90" s="10" t="n">
        <v>46238.50850808474</v>
      </c>
      <c r="G90" s="13" t="n">
        <v>45</v>
      </c>
      <c r="H90" s="14" t="n">
        <v>1226.5557</v>
      </c>
      <c r="I90" s="13">
        <f>COUNTIFS('클럭 정리'!$A$6:$A$71,"&gt;="&amp;E90,'클럭 정리'!$A$6:$A$71,"&lt;="&amp;F90)</f>
        <v/>
      </c>
      <c r="J90" s="14">
        <f>AVERAGEIFS('클럭 정리'!$N$6:$N$71,'클럭 정리'!$A$6:$A$71,"&gt;="&amp;E90,'클럭 정리'!$A$6:$A$71,"&lt;="&amp;F90)</f>
        <v/>
      </c>
      <c r="K90" s="15">
        <f>J90*'클럭 정리'!$B$2/100</f>
        <v/>
      </c>
    </row>
    <row r="91">
      <c r="A91" s="13" t="inlineStr">
        <is>
          <t>병렬도 12 분할 11</t>
        </is>
      </c>
      <c r="B91" s="13" t="n">
        <v>4</v>
      </c>
      <c r="C91" s="13" t="inlineStr">
        <is>
          <t>ForkJoinPool-14-worker-9</t>
        </is>
      </c>
      <c r="D91" s="12" t="inlineStr">
        <is>
          <t>워커</t>
        </is>
      </c>
      <c r="E91" s="10" t="n">
        <v>46238.50849271991</v>
      </c>
      <c r="F91" s="10" t="n">
        <v>46238.50850809199</v>
      </c>
      <c r="G91" s="13" t="n">
        <v>40</v>
      </c>
      <c r="H91" s="14" t="n">
        <v>1099.506</v>
      </c>
      <c r="I91" s="13">
        <f>COUNTIFS('클럭 정리'!$A$6:$A$71,"&gt;="&amp;E91,'클럭 정리'!$A$6:$A$71,"&lt;="&amp;F91)</f>
        <v/>
      </c>
      <c r="J91" s="14">
        <f>AVERAGEIFS('클럭 정리'!$N$6:$N$71,'클럭 정리'!$A$6:$A$71,"&gt;="&amp;E91,'클럭 정리'!$A$6:$A$71,"&lt;="&amp;F91)</f>
        <v/>
      </c>
      <c r="K91" s="15">
        <f>J91*'클럭 정리'!$B$2/100</f>
        <v/>
      </c>
    </row>
    <row r="92">
      <c r="A92" s="13" t="inlineStr">
        <is>
          <t>병렬도 12 분할 11</t>
        </is>
      </c>
      <c r="B92" s="13" t="n">
        <v>4</v>
      </c>
      <c r="C92" s="13" t="inlineStr">
        <is>
          <t>main</t>
        </is>
      </c>
      <c r="D92" s="12" t="inlineStr">
        <is>
          <t>main (활동 시간 합 = 그 회차 mainCPU, 창은 워커와 겹침)</t>
        </is>
      </c>
      <c r="E92" s="10" t="n">
        <v>46238.50849269676</v>
      </c>
      <c r="F92" s="10" t="n">
        <v>46238.5085080932</v>
      </c>
      <c r="G92" s="13" t="n">
        <v>45</v>
      </c>
      <c r="H92" s="14" t="n">
        <v>0</v>
      </c>
      <c r="I92" s="13">
        <f>COUNTIFS('클럭 정리'!$A$6:$A$71,"&gt;="&amp;E92,'클럭 정리'!$A$6:$A$71,"&lt;="&amp;F92)</f>
        <v/>
      </c>
      <c r="J92" s="14">
        <f>AVERAGEIFS('클럭 정리'!$N$6:$N$71,'클럭 정리'!$A$6:$A$71,"&gt;="&amp;E92,'클럭 정리'!$A$6:$A$71,"&lt;="&amp;F92)</f>
        <v/>
      </c>
      <c r="K92" s="15">
        <f>J92*'클럭 정리'!$B$2/100</f>
        <v/>
      </c>
    </row>
    <row r="93">
      <c r="A93" s="13" t="inlineStr">
        <is>
          <t>병렬도 12 분할 11</t>
        </is>
      </c>
      <c r="B93" s="13" t="n">
        <v>5</v>
      </c>
      <c r="C93" s="13" t="inlineStr">
        <is>
          <t>ForkJoinPool-15-worker-1</t>
        </is>
      </c>
      <c r="D93" s="12" t="inlineStr">
        <is>
          <t>워커</t>
        </is>
      </c>
      <c r="E93" s="10" t="n">
        <v>46238.50850811342</v>
      </c>
      <c r="F93" s="10" t="n">
        <v>46238.50852340287</v>
      </c>
      <c r="G93" s="13" t="n">
        <v>45</v>
      </c>
      <c r="H93" s="14" t="n">
        <v>1260.8581</v>
      </c>
      <c r="I93" s="13">
        <f>COUNTIFS('클럭 정리'!$A$6:$A$71,"&gt;="&amp;E93,'클럭 정리'!$A$6:$A$71,"&lt;="&amp;F93)</f>
        <v/>
      </c>
      <c r="J93" s="14">
        <f>AVERAGEIFS('클럭 정리'!$N$6:$N$71,'클럭 정리'!$A$6:$A$71,"&gt;="&amp;E93,'클럭 정리'!$A$6:$A$71,"&lt;="&amp;F93)</f>
        <v/>
      </c>
      <c r="K93" s="15">
        <f>J93*'클럭 정리'!$B$2/100</f>
        <v/>
      </c>
    </row>
    <row r="94">
      <c r="A94" s="13" t="inlineStr">
        <is>
          <t>병렬도 12 분할 11</t>
        </is>
      </c>
      <c r="B94" s="13" t="n">
        <v>5</v>
      </c>
      <c r="C94" s="13" t="inlineStr">
        <is>
          <t>ForkJoinPool-15-worker-10</t>
        </is>
      </c>
      <c r="D94" s="12" t="inlineStr">
        <is>
          <t>워커</t>
        </is>
      </c>
      <c r="E94" s="10" t="n">
        <v>46238.508508125</v>
      </c>
      <c r="F94" s="10" t="n">
        <v>46238.50852346689</v>
      </c>
      <c r="G94" s="13" t="n">
        <v>16</v>
      </c>
      <c r="H94" s="14" t="n">
        <v>445.4832</v>
      </c>
      <c r="I94" s="13">
        <f>COUNTIFS('클럭 정리'!$A$6:$A$71,"&gt;="&amp;E94,'클럭 정리'!$A$6:$A$71,"&lt;="&amp;F94)</f>
        <v/>
      </c>
      <c r="J94" s="14">
        <f>AVERAGEIFS('클럭 정리'!$N$6:$N$71,'클럭 정리'!$A$6:$A$71,"&gt;="&amp;E94,'클럭 정리'!$A$6:$A$71,"&lt;="&amp;F94)</f>
        <v/>
      </c>
      <c r="K94" s="15">
        <f>J94*'클럭 정리'!$B$2/100</f>
        <v/>
      </c>
    </row>
    <row r="95">
      <c r="A95" s="13" t="inlineStr">
        <is>
          <t>병렬도 12 분할 11</t>
        </is>
      </c>
      <c r="B95" s="13" t="n">
        <v>5</v>
      </c>
      <c r="C95" s="13" t="inlineStr">
        <is>
          <t>ForkJoinPool-15-worker-11</t>
        </is>
      </c>
      <c r="D95" s="12" t="inlineStr">
        <is>
          <t>워커</t>
        </is>
      </c>
      <c r="E95" s="10" t="n">
        <v>46238.508508125</v>
      </c>
      <c r="F95" s="10" t="n">
        <v>46238.50852345191</v>
      </c>
      <c r="G95" s="13" t="n">
        <v>45</v>
      </c>
      <c r="H95" s="14" t="n">
        <v>1249.6457</v>
      </c>
      <c r="I95" s="13">
        <f>COUNTIFS('클럭 정리'!$A$6:$A$71,"&gt;="&amp;E95,'클럭 정리'!$A$6:$A$71,"&lt;="&amp;F95)</f>
        <v/>
      </c>
      <c r="J95" s="14">
        <f>AVERAGEIFS('클럭 정리'!$N$6:$N$71,'클럭 정리'!$A$6:$A$71,"&gt;="&amp;E95,'클럭 정리'!$A$6:$A$71,"&lt;="&amp;F95)</f>
        <v/>
      </c>
      <c r="K95" s="15">
        <f>J95*'클럭 정리'!$B$2/100</f>
        <v/>
      </c>
    </row>
    <row r="96">
      <c r="A96" s="13" t="inlineStr">
        <is>
          <t>병렬도 12 분할 11</t>
        </is>
      </c>
      <c r="B96" s="13" t="n">
        <v>5</v>
      </c>
      <c r="C96" s="13" t="inlineStr">
        <is>
          <t>ForkJoinPool-15-worker-12</t>
        </is>
      </c>
      <c r="D96" s="12" t="inlineStr">
        <is>
          <t>워커</t>
        </is>
      </c>
      <c r="E96" s="10" t="n">
        <v>46238.50850847222</v>
      </c>
      <c r="F96" s="10" t="n">
        <v>46238.50852346154</v>
      </c>
      <c r="G96" s="13" t="n">
        <v>44</v>
      </c>
      <c r="H96" s="14" t="n">
        <v>1257.8926</v>
      </c>
      <c r="I96" s="13">
        <f>COUNTIFS('클럭 정리'!$A$6:$A$71,"&gt;="&amp;E96,'클럭 정리'!$A$6:$A$71,"&lt;="&amp;F96)</f>
        <v/>
      </c>
      <c r="J96" s="14">
        <f>AVERAGEIFS('클럭 정리'!$N$6:$N$71,'클럭 정리'!$A$6:$A$71,"&gt;="&amp;E96,'클럭 정리'!$A$6:$A$71,"&lt;="&amp;F96)</f>
        <v/>
      </c>
      <c r="K96" s="15">
        <f>J96*'클럭 정리'!$B$2/100</f>
        <v/>
      </c>
    </row>
    <row r="97">
      <c r="A97" s="13" t="inlineStr">
        <is>
          <t>병렬도 12 분할 11</t>
        </is>
      </c>
      <c r="B97" s="13" t="n">
        <v>5</v>
      </c>
      <c r="C97" s="13" t="inlineStr">
        <is>
          <t>ForkJoinPool-15-worker-2</t>
        </is>
      </c>
      <c r="D97" s="12" t="inlineStr">
        <is>
          <t>워커</t>
        </is>
      </c>
      <c r="E97" s="10" t="n">
        <v>46238.50850811342</v>
      </c>
      <c r="F97" s="10" t="n">
        <v>46238.50852346607</v>
      </c>
      <c r="G97" s="13" t="n">
        <v>45</v>
      </c>
      <c r="H97" s="14" t="n">
        <v>1237.0016</v>
      </c>
      <c r="I97" s="13">
        <f>COUNTIFS('클럭 정리'!$A$6:$A$71,"&gt;="&amp;E97,'클럭 정리'!$A$6:$A$71,"&lt;="&amp;F97)</f>
        <v/>
      </c>
      <c r="J97" s="14">
        <f>AVERAGEIFS('클럭 정리'!$N$6:$N$71,'클럭 정리'!$A$6:$A$71,"&gt;="&amp;E97,'클럭 정리'!$A$6:$A$71,"&lt;="&amp;F97)</f>
        <v/>
      </c>
      <c r="K97" s="15">
        <f>J97*'클럭 정리'!$B$2/100</f>
        <v/>
      </c>
    </row>
    <row r="98">
      <c r="A98" s="13" t="inlineStr">
        <is>
          <t>병렬도 12 분할 11</t>
        </is>
      </c>
      <c r="B98" s="13" t="n">
        <v>5</v>
      </c>
      <c r="C98" s="13" t="inlineStr">
        <is>
          <t>ForkJoinPool-15-worker-3</t>
        </is>
      </c>
      <c r="D98" s="12" t="inlineStr">
        <is>
          <t>워커</t>
        </is>
      </c>
      <c r="E98" s="10" t="n">
        <v>46238.50850811342</v>
      </c>
      <c r="F98" s="10" t="n">
        <v>46238.50852346093</v>
      </c>
      <c r="G98" s="13" t="n">
        <v>45</v>
      </c>
      <c r="H98" s="14" t="n">
        <v>1241.2175</v>
      </c>
      <c r="I98" s="13">
        <f>COUNTIFS('클럭 정리'!$A$6:$A$71,"&gt;="&amp;E98,'클럭 정리'!$A$6:$A$71,"&lt;="&amp;F98)</f>
        <v/>
      </c>
      <c r="J98" s="14">
        <f>AVERAGEIFS('클럭 정리'!$N$6:$N$71,'클럭 정리'!$A$6:$A$71,"&gt;="&amp;E98,'클럭 정리'!$A$6:$A$71,"&lt;="&amp;F98)</f>
        <v/>
      </c>
      <c r="K98" s="15">
        <f>J98*'클럭 정리'!$B$2/100</f>
        <v/>
      </c>
    </row>
    <row r="99">
      <c r="A99" s="13" t="inlineStr">
        <is>
          <t>병렬도 12 분할 11</t>
        </is>
      </c>
      <c r="B99" s="13" t="n">
        <v>5</v>
      </c>
      <c r="C99" s="13" t="inlineStr">
        <is>
          <t>ForkJoinPool-15-worker-4</t>
        </is>
      </c>
      <c r="D99" s="12" t="inlineStr">
        <is>
          <t>워커</t>
        </is>
      </c>
      <c r="E99" s="10" t="n">
        <v>46238.50850811342</v>
      </c>
      <c r="F99" s="10" t="n">
        <v>46238.5085234728</v>
      </c>
      <c r="G99" s="13" t="n">
        <v>45</v>
      </c>
      <c r="H99" s="14" t="n">
        <v>1240.7187</v>
      </c>
      <c r="I99" s="13">
        <f>COUNTIFS('클럭 정리'!$A$6:$A$71,"&gt;="&amp;E99,'클럭 정리'!$A$6:$A$71,"&lt;="&amp;F99)</f>
        <v/>
      </c>
      <c r="J99" s="14">
        <f>AVERAGEIFS('클럭 정리'!$N$6:$N$71,'클럭 정리'!$A$6:$A$71,"&gt;="&amp;E99,'클럭 정리'!$A$6:$A$71,"&lt;="&amp;F99)</f>
        <v/>
      </c>
      <c r="K99" s="15">
        <f>J99*'클럭 정리'!$B$2/100</f>
        <v/>
      </c>
    </row>
    <row r="100">
      <c r="A100" s="13" t="inlineStr">
        <is>
          <t>병렬도 12 분할 11</t>
        </is>
      </c>
      <c r="B100" s="13" t="n">
        <v>5</v>
      </c>
      <c r="C100" s="13" t="inlineStr">
        <is>
          <t>ForkJoinPool-15-worker-5</t>
        </is>
      </c>
      <c r="D100" s="12" t="inlineStr">
        <is>
          <t>워커</t>
        </is>
      </c>
      <c r="E100" s="10" t="n">
        <v>46238.50850811342</v>
      </c>
      <c r="F100" s="10" t="n">
        <v>46238.50851834972</v>
      </c>
      <c r="G100" s="13" t="n">
        <v>30</v>
      </c>
      <c r="H100" s="14" t="n">
        <v>811.6284000000001</v>
      </c>
      <c r="I100" s="13">
        <f>COUNTIFS('클럭 정리'!$A$6:$A$71,"&gt;="&amp;E100,'클럭 정리'!$A$6:$A$71,"&lt;="&amp;F100)</f>
        <v/>
      </c>
      <c r="J100" s="14">
        <f>AVERAGEIFS('클럭 정리'!$N$6:$N$71,'클럭 정리'!$A$6:$A$71,"&gt;="&amp;E100,'클럭 정리'!$A$6:$A$71,"&lt;="&amp;F100)</f>
        <v/>
      </c>
      <c r="K100" s="15">
        <f>J100*'클럭 정리'!$B$2/100</f>
        <v/>
      </c>
    </row>
    <row r="101">
      <c r="A101" s="13" t="inlineStr">
        <is>
          <t>병렬도 12 분할 11</t>
        </is>
      </c>
      <c r="B101" s="13" t="n">
        <v>5</v>
      </c>
      <c r="C101" s="13" t="inlineStr">
        <is>
          <t>ForkJoinPool-15-worker-6</t>
        </is>
      </c>
      <c r="D101" s="12" t="inlineStr">
        <is>
          <t>워커</t>
        </is>
      </c>
      <c r="E101" s="10" t="n">
        <v>46238.50850811342</v>
      </c>
      <c r="F101" s="10" t="n">
        <v>46238.50852347917</v>
      </c>
      <c r="G101" s="13" t="n">
        <v>45</v>
      </c>
      <c r="H101" s="14" t="n">
        <v>1270.1109</v>
      </c>
      <c r="I101" s="13">
        <f>COUNTIFS('클럭 정리'!$A$6:$A$71,"&gt;="&amp;E101,'클럭 정리'!$A$6:$A$71,"&lt;="&amp;F101)</f>
        <v/>
      </c>
      <c r="J101" s="14">
        <f>AVERAGEIFS('클럭 정리'!$N$6:$N$71,'클럭 정리'!$A$6:$A$71,"&gt;="&amp;E101,'클럭 정리'!$A$6:$A$71,"&lt;="&amp;F101)</f>
        <v/>
      </c>
      <c r="K101" s="15">
        <f>J101*'클럭 정리'!$B$2/100</f>
        <v/>
      </c>
    </row>
    <row r="102">
      <c r="A102" s="13" t="inlineStr">
        <is>
          <t>병렬도 12 분할 11</t>
        </is>
      </c>
      <c r="B102" s="13" t="n">
        <v>5</v>
      </c>
      <c r="C102" s="13" t="inlineStr">
        <is>
          <t>ForkJoinPool-15-worker-7</t>
        </is>
      </c>
      <c r="D102" s="12" t="inlineStr">
        <is>
          <t>워커</t>
        </is>
      </c>
      <c r="E102" s="10" t="n">
        <v>46238.508508125</v>
      </c>
      <c r="F102" s="10" t="n">
        <v>46238.50852343765</v>
      </c>
      <c r="G102" s="13" t="n">
        <v>45</v>
      </c>
      <c r="H102" s="14" t="n">
        <v>1258.4378</v>
      </c>
      <c r="I102" s="13">
        <f>COUNTIFS('클럭 정리'!$A$6:$A$71,"&gt;="&amp;E102,'클럭 정리'!$A$6:$A$71,"&lt;="&amp;F102)</f>
        <v/>
      </c>
      <c r="J102" s="14">
        <f>AVERAGEIFS('클럭 정리'!$N$6:$N$71,'클럭 정리'!$A$6:$A$71,"&gt;="&amp;E102,'클럭 정리'!$A$6:$A$71,"&lt;="&amp;F102)</f>
        <v/>
      </c>
      <c r="K102" s="15">
        <f>J102*'클럭 정리'!$B$2/100</f>
        <v/>
      </c>
    </row>
    <row r="103">
      <c r="A103" s="13" t="inlineStr">
        <is>
          <t>병렬도 12 분할 11</t>
        </is>
      </c>
      <c r="B103" s="13" t="n">
        <v>5</v>
      </c>
      <c r="C103" s="13" t="inlineStr">
        <is>
          <t>ForkJoinPool-15-worker-8</t>
        </is>
      </c>
      <c r="D103" s="12" t="inlineStr">
        <is>
          <t>워커</t>
        </is>
      </c>
      <c r="E103" s="10" t="n">
        <v>46238.508508125</v>
      </c>
      <c r="F103" s="10" t="n">
        <v>46238.50852341299</v>
      </c>
      <c r="G103" s="13" t="n">
        <v>45</v>
      </c>
      <c r="H103" s="14" t="n">
        <v>1249.1806</v>
      </c>
      <c r="I103" s="13">
        <f>COUNTIFS('클럭 정리'!$A$6:$A$71,"&gt;="&amp;E103,'클럭 정리'!$A$6:$A$71,"&lt;="&amp;F103)</f>
        <v/>
      </c>
      <c r="J103" s="14">
        <f>AVERAGEIFS('클럭 정리'!$N$6:$N$71,'클럭 정리'!$A$6:$A$71,"&gt;="&amp;E103,'클럭 정리'!$A$6:$A$71,"&lt;="&amp;F103)</f>
        <v/>
      </c>
      <c r="K103" s="15">
        <f>J103*'클럭 정리'!$B$2/100</f>
        <v/>
      </c>
    </row>
    <row r="104">
      <c r="A104" s="13" t="inlineStr">
        <is>
          <t>병렬도 12 분할 11</t>
        </is>
      </c>
      <c r="B104" s="13" t="n">
        <v>5</v>
      </c>
      <c r="C104" s="13" t="inlineStr">
        <is>
          <t>ForkJoinPool-15-worker-9</t>
        </is>
      </c>
      <c r="D104" s="12" t="inlineStr">
        <is>
          <t>워커</t>
        </is>
      </c>
      <c r="E104" s="10" t="n">
        <v>46238.508508125</v>
      </c>
      <c r="F104" s="10" t="n">
        <v>46238.50852345199</v>
      </c>
      <c r="G104" s="13" t="n">
        <v>45</v>
      </c>
      <c r="H104" s="14" t="n">
        <v>1215.8252</v>
      </c>
      <c r="I104" s="13">
        <f>COUNTIFS('클럭 정리'!$A$6:$A$71,"&gt;="&amp;E104,'클럭 정리'!$A$6:$A$71,"&lt;="&amp;F104)</f>
        <v/>
      </c>
      <c r="J104" s="14">
        <f>AVERAGEIFS('클럭 정리'!$N$6:$N$71,'클럭 정리'!$A$6:$A$71,"&gt;="&amp;E104,'클럭 정리'!$A$6:$A$71,"&lt;="&amp;F104)</f>
        <v/>
      </c>
      <c r="K104" s="15">
        <f>J104*'클럭 정리'!$B$2/100</f>
        <v/>
      </c>
    </row>
    <row r="105">
      <c r="A105" s="13" t="inlineStr">
        <is>
          <t>병렬도 12 분할 11</t>
        </is>
      </c>
      <c r="B105" s="13" t="n">
        <v>5</v>
      </c>
      <c r="C105" s="13" t="inlineStr">
        <is>
          <t>main</t>
        </is>
      </c>
      <c r="D105" s="12" t="inlineStr">
        <is>
          <t>main (활동 시간 합 = 그 회차 mainCPU, 창은 워커와 겹침)</t>
        </is>
      </c>
      <c r="E105" s="10" t="n">
        <v>46238.50850810186</v>
      </c>
      <c r="F105" s="10" t="n">
        <v>46238.50852348051</v>
      </c>
      <c r="G105" s="13" t="n">
        <v>45</v>
      </c>
      <c r="H105" s="14" t="n">
        <v>15.625</v>
      </c>
      <c r="I105" s="13">
        <f>COUNTIFS('클럭 정리'!$A$6:$A$71,"&gt;="&amp;E105,'클럭 정리'!$A$6:$A$71,"&lt;="&amp;F105)</f>
        <v/>
      </c>
      <c r="J105" s="14">
        <f>AVERAGEIFS('클럭 정리'!$N$6:$N$71,'클럭 정리'!$A$6:$A$71,"&gt;="&amp;E105,'클럭 정리'!$A$6:$A$71,"&lt;="&amp;F105)</f>
        <v/>
      </c>
      <c r="K105" s="15">
        <f>J105*'클럭 정리'!$B$2/100</f>
        <v/>
      </c>
    </row>
    <row r="108">
      <c r="A108" s="1" t="inlineStr">
        <is>
          <t>풀·main별 클럭 표본 매핑</t>
        </is>
      </c>
    </row>
    <row r="109">
      <c r="A109" s="4" t="inlineStr">
        <is>
          <t>행 하나가 (풀 또는 main, 그 활동 창에 걸린 클럭 표본 1개)다. 표본 값은 클럭 정리 시트의 해당 행을 참조한다. main의 창은 그 회차 스캔 전체라 같은 회차 풀과 같은 표본에 걸린다.</t>
        </is>
      </c>
    </row>
    <row r="110">
      <c r="A110" s="5" t="inlineStr">
        <is>
          <t>구간</t>
        </is>
      </c>
      <c r="B110" s="5" t="inlineStr">
        <is>
          <t>회차</t>
        </is>
      </c>
      <c r="C110" s="5" t="inlineStr">
        <is>
          <t>풀/스레드</t>
        </is>
      </c>
      <c r="D110" s="5" t="inlineStr">
        <is>
          <t>활동 시작</t>
        </is>
      </c>
      <c r="E110" s="5" t="inlineStr">
        <is>
          <t>활동 끝</t>
        </is>
      </c>
      <c r="F110" s="5" t="inlineStr">
        <is>
          <t>표본 시각</t>
        </is>
      </c>
      <c r="G110" s="5" t="inlineStr">
        <is>
          <t>표본 클럭(%)</t>
        </is>
      </c>
      <c r="H110" s="5" t="inlineStr">
        <is>
          <t>표본 클럭(GHz)</t>
        </is>
      </c>
    </row>
    <row r="111">
      <c r="A111" s="13" t="inlineStr">
        <is>
          <t>병렬도 6 분할 11</t>
        </is>
      </c>
      <c r="B111" s="13" t="n">
        <v>1</v>
      </c>
      <c r="C111" s="13" t="inlineStr">
        <is>
          <t>ForkJoinPool-3</t>
        </is>
      </c>
      <c r="D111" s="10" t="n">
        <v>46238.508288125</v>
      </c>
      <c r="E111" s="10" t="n">
        <v>46238.50830770999</v>
      </c>
      <c r="F111" s="16">
        <f>'클럭 정리'!A41</f>
        <v/>
      </c>
      <c r="G111" s="17">
        <f>'클럭 정리'!N41</f>
        <v/>
      </c>
      <c r="H111" s="15">
        <f>'클럭 정리'!O41</f>
        <v/>
      </c>
    </row>
    <row r="112">
      <c r="A112" s="13" t="inlineStr">
        <is>
          <t>병렬도 6 분할 11</t>
        </is>
      </c>
      <c r="B112" s="13" t="n">
        <v>1</v>
      </c>
      <c r="C112" s="13" t="inlineStr">
        <is>
          <t>ForkJoinPool-3</t>
        </is>
      </c>
      <c r="D112" s="10" t="n">
        <v>46238.508288125</v>
      </c>
      <c r="E112" s="10" t="n">
        <v>46238.50830770999</v>
      </c>
      <c r="F112" s="16">
        <f>'클럭 정리'!A42</f>
        <v/>
      </c>
      <c r="G112" s="17">
        <f>'클럭 정리'!N42</f>
        <v/>
      </c>
      <c r="H112" s="15">
        <f>'클럭 정리'!O42</f>
        <v/>
      </c>
    </row>
    <row r="113">
      <c r="A113" s="13" t="inlineStr">
        <is>
          <t>병렬도 6 분할 11</t>
        </is>
      </c>
      <c r="B113" s="13" t="n">
        <v>1</v>
      </c>
      <c r="C113" s="13" t="inlineStr">
        <is>
          <t>main</t>
        </is>
      </c>
      <c r="D113" s="10" t="n">
        <v>46238.50828811343</v>
      </c>
      <c r="E113" s="10" t="n">
        <v>46238.50830770659</v>
      </c>
      <c r="F113" s="16">
        <f>'클럭 정리'!A41</f>
        <v/>
      </c>
      <c r="G113" s="17">
        <f>'클럭 정리'!N41</f>
        <v/>
      </c>
      <c r="H113" s="15">
        <f>'클럭 정리'!O41</f>
        <v/>
      </c>
    </row>
    <row r="114">
      <c r="A114" s="13" t="inlineStr">
        <is>
          <t>병렬도 6 분할 11</t>
        </is>
      </c>
      <c r="B114" s="13" t="n">
        <v>1</v>
      </c>
      <c r="C114" s="13" t="inlineStr">
        <is>
          <t>main</t>
        </is>
      </c>
      <c r="D114" s="10" t="n">
        <v>46238.50828811343</v>
      </c>
      <c r="E114" s="10" t="n">
        <v>46238.50830770659</v>
      </c>
      <c r="F114" s="16">
        <f>'클럭 정리'!A42</f>
        <v/>
      </c>
      <c r="G114" s="17">
        <f>'클럭 정리'!N42</f>
        <v/>
      </c>
      <c r="H114" s="15">
        <f>'클럭 정리'!O42</f>
        <v/>
      </c>
    </row>
    <row r="115">
      <c r="A115" s="13" t="inlineStr">
        <is>
          <t>병렬도 6 분할 11</t>
        </is>
      </c>
      <c r="B115" s="13" t="n">
        <v>2</v>
      </c>
      <c r="C115" s="13" t="inlineStr">
        <is>
          <t>ForkJoinPool-4</t>
        </is>
      </c>
      <c r="D115" s="10" t="n">
        <v>46238.50830773148</v>
      </c>
      <c r="E115" s="10" t="n">
        <v>46238.50832714069</v>
      </c>
      <c r="F115" s="16">
        <f>'클럭 정리'!A43</f>
        <v/>
      </c>
      <c r="G115" s="17">
        <f>'클럭 정리'!N43</f>
        <v/>
      </c>
      <c r="H115" s="15">
        <f>'클럭 정리'!O43</f>
        <v/>
      </c>
    </row>
    <row r="116">
      <c r="A116" s="13" t="inlineStr">
        <is>
          <t>병렬도 6 분할 11</t>
        </is>
      </c>
      <c r="B116" s="13" t="n">
        <v>2</v>
      </c>
      <c r="C116" s="13" t="inlineStr">
        <is>
          <t>ForkJoinPool-4</t>
        </is>
      </c>
      <c r="D116" s="10" t="n">
        <v>46238.50830773148</v>
      </c>
      <c r="E116" s="10" t="n">
        <v>46238.50832714069</v>
      </c>
      <c r="F116" s="16">
        <f>'클럭 정리'!A44</f>
        <v/>
      </c>
      <c r="G116" s="17">
        <f>'클럭 정리'!N44</f>
        <v/>
      </c>
      <c r="H116" s="15">
        <f>'클럭 정리'!O44</f>
        <v/>
      </c>
    </row>
    <row r="117">
      <c r="A117" s="13" t="inlineStr">
        <is>
          <t>병렬도 6 분할 11</t>
        </is>
      </c>
      <c r="B117" s="13" t="n">
        <v>2</v>
      </c>
      <c r="C117" s="13" t="inlineStr">
        <is>
          <t>main</t>
        </is>
      </c>
      <c r="D117" s="10" t="n">
        <v>46238.50830773148</v>
      </c>
      <c r="E117" s="10" t="n">
        <v>46238.50832714138</v>
      </c>
      <c r="F117" s="16">
        <f>'클럭 정리'!A43</f>
        <v/>
      </c>
      <c r="G117" s="17">
        <f>'클럭 정리'!N43</f>
        <v/>
      </c>
      <c r="H117" s="15">
        <f>'클럭 정리'!O43</f>
        <v/>
      </c>
    </row>
    <row r="118">
      <c r="A118" s="13" t="inlineStr">
        <is>
          <t>병렬도 6 분할 11</t>
        </is>
      </c>
      <c r="B118" s="13" t="n">
        <v>2</v>
      </c>
      <c r="C118" s="13" t="inlineStr">
        <is>
          <t>main</t>
        </is>
      </c>
      <c r="D118" s="10" t="n">
        <v>46238.50830773148</v>
      </c>
      <c r="E118" s="10" t="n">
        <v>46238.50832714138</v>
      </c>
      <c r="F118" s="16">
        <f>'클럭 정리'!A44</f>
        <v/>
      </c>
      <c r="G118" s="17">
        <f>'클럭 정리'!N44</f>
        <v/>
      </c>
      <c r="H118" s="15">
        <f>'클럭 정리'!O44</f>
        <v/>
      </c>
    </row>
    <row r="119">
      <c r="A119" s="13" t="inlineStr">
        <is>
          <t>병렬도 6 분할 11</t>
        </is>
      </c>
      <c r="B119" s="13" t="n">
        <v>3</v>
      </c>
      <c r="C119" s="13" t="inlineStr">
        <is>
          <t>ForkJoinPool-5</t>
        </is>
      </c>
      <c r="D119" s="10" t="n">
        <v>46238.50832715278</v>
      </c>
      <c r="E119" s="10" t="n">
        <v>46238.50834647949</v>
      </c>
      <c r="F119" s="16">
        <f>'클럭 정리'!A45</f>
        <v/>
      </c>
      <c r="G119" s="17">
        <f>'클럭 정리'!N45</f>
        <v/>
      </c>
      <c r="H119" s="15">
        <f>'클럭 정리'!O45</f>
        <v/>
      </c>
    </row>
    <row r="120">
      <c r="A120" s="13" t="inlineStr">
        <is>
          <t>병렬도 6 분할 11</t>
        </is>
      </c>
      <c r="B120" s="13" t="n">
        <v>3</v>
      </c>
      <c r="C120" s="13" t="inlineStr">
        <is>
          <t>main</t>
        </is>
      </c>
      <c r="D120" s="10" t="n">
        <v>46238.50832715278</v>
      </c>
      <c r="E120" s="10" t="n">
        <v>46238.50834648383</v>
      </c>
      <c r="F120" s="16">
        <f>'클럭 정리'!A45</f>
        <v/>
      </c>
      <c r="G120" s="17">
        <f>'클럭 정리'!N45</f>
        <v/>
      </c>
      <c r="H120" s="15">
        <f>'클럭 정리'!O45</f>
        <v/>
      </c>
    </row>
    <row r="121">
      <c r="A121" s="13" t="inlineStr">
        <is>
          <t>병렬도 6 분할 11</t>
        </is>
      </c>
      <c r="B121" s="13" t="n">
        <v>4</v>
      </c>
      <c r="C121" s="13" t="inlineStr">
        <is>
          <t>ForkJoinPool-6</t>
        </is>
      </c>
      <c r="D121" s="10" t="n">
        <v>46238.50834649306</v>
      </c>
      <c r="E121" s="10" t="n">
        <v>46238.50836584903</v>
      </c>
      <c r="F121" s="16">
        <f>'클럭 정리'!A46</f>
        <v/>
      </c>
      <c r="G121" s="17">
        <f>'클럭 정리'!N46</f>
        <v/>
      </c>
      <c r="H121" s="15">
        <f>'클럭 정리'!O46</f>
        <v/>
      </c>
    </row>
    <row r="122">
      <c r="A122" s="13" t="inlineStr">
        <is>
          <t>병렬도 6 분할 11</t>
        </is>
      </c>
      <c r="B122" s="13" t="n">
        <v>4</v>
      </c>
      <c r="C122" s="13" t="inlineStr">
        <is>
          <t>ForkJoinPool-6</t>
        </is>
      </c>
      <c r="D122" s="10" t="n">
        <v>46238.50834649306</v>
      </c>
      <c r="E122" s="10" t="n">
        <v>46238.50836584903</v>
      </c>
      <c r="F122" s="16">
        <f>'클럭 정리'!A47</f>
        <v/>
      </c>
      <c r="G122" s="17">
        <f>'클럭 정리'!N47</f>
        <v/>
      </c>
      <c r="H122" s="15">
        <f>'클럭 정리'!O47</f>
        <v/>
      </c>
    </row>
    <row r="123">
      <c r="A123" s="13" t="inlineStr">
        <is>
          <t>병렬도 6 분할 11</t>
        </is>
      </c>
      <c r="B123" s="13" t="n">
        <v>4</v>
      </c>
      <c r="C123" s="13" t="inlineStr">
        <is>
          <t>main</t>
        </is>
      </c>
      <c r="D123" s="10" t="n">
        <v>46238.50834649306</v>
      </c>
      <c r="E123" s="10" t="n">
        <v>46238.5083658482</v>
      </c>
      <c r="F123" s="16">
        <f>'클럭 정리'!A46</f>
        <v/>
      </c>
      <c r="G123" s="17">
        <f>'클럭 정리'!N46</f>
        <v/>
      </c>
      <c r="H123" s="15">
        <f>'클럭 정리'!O46</f>
        <v/>
      </c>
    </row>
    <row r="124">
      <c r="A124" s="13" t="inlineStr">
        <is>
          <t>병렬도 6 분할 11</t>
        </is>
      </c>
      <c r="B124" s="13" t="n">
        <v>4</v>
      </c>
      <c r="C124" s="13" t="inlineStr">
        <is>
          <t>main</t>
        </is>
      </c>
      <c r="D124" s="10" t="n">
        <v>46238.50834649306</v>
      </c>
      <c r="E124" s="10" t="n">
        <v>46238.5083658482</v>
      </c>
      <c r="F124" s="16">
        <f>'클럭 정리'!A47</f>
        <v/>
      </c>
      <c r="G124" s="17">
        <f>'클럭 정리'!N47</f>
        <v/>
      </c>
      <c r="H124" s="15">
        <f>'클럭 정리'!O47</f>
        <v/>
      </c>
    </row>
    <row r="125">
      <c r="A125" s="13" t="inlineStr">
        <is>
          <t>병렬도 6 분할 11</t>
        </is>
      </c>
      <c r="B125" s="13" t="n">
        <v>5</v>
      </c>
      <c r="C125" s="13" t="inlineStr">
        <is>
          <t>ForkJoinPool-7</t>
        </is>
      </c>
      <c r="D125" s="10" t="n">
        <v>46238.50836586805</v>
      </c>
      <c r="E125" s="10" t="n">
        <v>46238.50838527569</v>
      </c>
      <c r="F125" s="16">
        <f>'클럭 정리'!A48</f>
        <v/>
      </c>
      <c r="G125" s="17">
        <f>'클럭 정리'!N48</f>
        <v/>
      </c>
      <c r="H125" s="15">
        <f>'클럭 정리'!O48</f>
        <v/>
      </c>
    </row>
    <row r="126">
      <c r="A126" s="13" t="inlineStr">
        <is>
          <t>병렬도 6 분할 11</t>
        </is>
      </c>
      <c r="B126" s="13" t="n">
        <v>5</v>
      </c>
      <c r="C126" s="13" t="inlineStr">
        <is>
          <t>ForkJoinPool-7</t>
        </is>
      </c>
      <c r="D126" s="10" t="n">
        <v>46238.50836586805</v>
      </c>
      <c r="E126" s="10" t="n">
        <v>46238.50838527569</v>
      </c>
      <c r="F126" s="16">
        <f>'클럭 정리'!A49</f>
        <v/>
      </c>
      <c r="G126" s="17">
        <f>'클럭 정리'!N49</f>
        <v/>
      </c>
      <c r="H126" s="15">
        <f>'클럭 정리'!O49</f>
        <v/>
      </c>
    </row>
    <row r="127">
      <c r="A127" s="13" t="inlineStr">
        <is>
          <t>병렬도 6 분할 11</t>
        </is>
      </c>
      <c r="B127" s="13" t="n">
        <v>5</v>
      </c>
      <c r="C127" s="13" t="inlineStr">
        <is>
          <t>main</t>
        </is>
      </c>
      <c r="D127" s="10" t="n">
        <v>46238.50836585648</v>
      </c>
      <c r="E127" s="10" t="n">
        <v>46238.5083852734</v>
      </c>
      <c r="F127" s="16">
        <f>'클럭 정리'!A48</f>
        <v/>
      </c>
      <c r="G127" s="17">
        <f>'클럭 정리'!N48</f>
        <v/>
      </c>
      <c r="H127" s="15">
        <f>'클럭 정리'!O48</f>
        <v/>
      </c>
    </row>
    <row r="128">
      <c r="A128" s="13" t="inlineStr">
        <is>
          <t>병렬도 6 분할 11</t>
        </is>
      </c>
      <c r="B128" s="13" t="n">
        <v>5</v>
      </c>
      <c r="C128" s="13" t="inlineStr">
        <is>
          <t>main</t>
        </is>
      </c>
      <c r="D128" s="10" t="n">
        <v>46238.50836585648</v>
      </c>
      <c r="E128" s="10" t="n">
        <v>46238.5083852734</v>
      </c>
      <c r="F128" s="16">
        <f>'클럭 정리'!A49</f>
        <v/>
      </c>
      <c r="G128" s="17">
        <f>'클럭 정리'!N49</f>
        <v/>
      </c>
      <c r="H128" s="15">
        <f>'클럭 정리'!O49</f>
        <v/>
      </c>
    </row>
    <row r="129">
      <c r="A129" s="13" t="inlineStr">
        <is>
          <t>병렬도 12 분할 11</t>
        </is>
      </c>
      <c r="B129" s="13" t="n">
        <v>1</v>
      </c>
      <c r="C129" s="13" t="inlineStr">
        <is>
          <t>ForkJoinPool-11</t>
        </is>
      </c>
      <c r="D129" s="10" t="n">
        <v>46238.50844149305</v>
      </c>
      <c r="E129" s="10" t="n">
        <v>46238.50845695189</v>
      </c>
      <c r="F129" s="16">
        <f>'클럭 정리'!A55</f>
        <v/>
      </c>
      <c r="G129" s="17">
        <f>'클럭 정리'!N55</f>
        <v/>
      </c>
      <c r="H129" s="15">
        <f>'클럭 정리'!O55</f>
        <v/>
      </c>
    </row>
    <row r="130">
      <c r="A130" s="13" t="inlineStr">
        <is>
          <t>병렬도 12 분할 11</t>
        </is>
      </c>
      <c r="B130" s="13" t="n">
        <v>1</v>
      </c>
      <c r="C130" s="13" t="inlineStr">
        <is>
          <t>main</t>
        </is>
      </c>
      <c r="D130" s="10" t="n">
        <v>46238.50844149305</v>
      </c>
      <c r="E130" s="10" t="n">
        <v>46238.50845695392</v>
      </c>
      <c r="F130" s="16">
        <f>'클럭 정리'!A55</f>
        <v/>
      </c>
      <c r="G130" s="17">
        <f>'클럭 정리'!N55</f>
        <v/>
      </c>
      <c r="H130" s="15">
        <f>'클럭 정리'!O55</f>
        <v/>
      </c>
    </row>
    <row r="131">
      <c r="A131" s="13" t="inlineStr">
        <is>
          <t>병렬도 12 분할 11</t>
        </is>
      </c>
      <c r="B131" s="13" t="n">
        <v>2</v>
      </c>
      <c r="C131" s="13" t="inlineStr">
        <is>
          <t>ForkJoinPool-12</t>
        </is>
      </c>
      <c r="D131" s="10" t="n">
        <v>46238.50845696759</v>
      </c>
      <c r="E131" s="10" t="n">
        <v>46238.5084760657</v>
      </c>
      <c r="F131" s="16">
        <f>'클럭 정리'!A56</f>
        <v/>
      </c>
      <c r="G131" s="17">
        <f>'클럭 정리'!N56</f>
        <v/>
      </c>
      <c r="H131" s="15">
        <f>'클럭 정리'!O56</f>
        <v/>
      </c>
    </row>
    <row r="132">
      <c r="A132" s="13" t="inlineStr">
        <is>
          <t>병렬도 12 분할 11</t>
        </is>
      </c>
      <c r="B132" s="13" t="n">
        <v>2</v>
      </c>
      <c r="C132" s="13" t="inlineStr">
        <is>
          <t>ForkJoinPool-12</t>
        </is>
      </c>
      <c r="D132" s="10" t="n">
        <v>46238.50845696759</v>
      </c>
      <c r="E132" s="10" t="n">
        <v>46238.5084760657</v>
      </c>
      <c r="F132" s="16">
        <f>'클럭 정리'!A57</f>
        <v/>
      </c>
      <c r="G132" s="17">
        <f>'클럭 정리'!N57</f>
        <v/>
      </c>
      <c r="H132" s="15">
        <f>'클럭 정리'!O57</f>
        <v/>
      </c>
    </row>
    <row r="133">
      <c r="A133" s="13" t="inlineStr">
        <is>
          <t>병렬도 12 분할 11</t>
        </is>
      </c>
      <c r="B133" s="13" t="n">
        <v>2</v>
      </c>
      <c r="C133" s="13" t="inlineStr">
        <is>
          <t>main</t>
        </is>
      </c>
      <c r="D133" s="10" t="n">
        <v>46238.50845696759</v>
      </c>
      <c r="E133" s="10" t="n">
        <v>46238.50847605949</v>
      </c>
      <c r="F133" s="16">
        <f>'클럭 정리'!A56</f>
        <v/>
      </c>
      <c r="G133" s="17">
        <f>'클럭 정리'!N56</f>
        <v/>
      </c>
      <c r="H133" s="15">
        <f>'클럭 정리'!O56</f>
        <v/>
      </c>
    </row>
    <row r="134">
      <c r="A134" s="13" t="inlineStr">
        <is>
          <t>병렬도 12 분할 11</t>
        </is>
      </c>
      <c r="B134" s="13" t="n">
        <v>2</v>
      </c>
      <c r="C134" s="13" t="inlineStr">
        <is>
          <t>main</t>
        </is>
      </c>
      <c r="D134" s="10" t="n">
        <v>46238.50845696759</v>
      </c>
      <c r="E134" s="10" t="n">
        <v>46238.50847605949</v>
      </c>
      <c r="F134" s="16">
        <f>'클럭 정리'!A57</f>
        <v/>
      </c>
      <c r="G134" s="17">
        <f>'클럭 정리'!N57</f>
        <v/>
      </c>
      <c r="H134" s="15">
        <f>'클럭 정리'!O57</f>
        <v/>
      </c>
    </row>
    <row r="135">
      <c r="A135" s="13" t="inlineStr">
        <is>
          <t>병렬도 12 분할 11</t>
        </is>
      </c>
      <c r="B135" s="13" t="n">
        <v>3</v>
      </c>
      <c r="C135" s="13" t="inlineStr">
        <is>
          <t>ForkJoinPool-13</t>
        </is>
      </c>
      <c r="D135" s="10" t="n">
        <v>46238.50847608796</v>
      </c>
      <c r="E135" s="10" t="n">
        <v>46238.50849268464</v>
      </c>
      <c r="F135" s="16">
        <f>'클럭 정리'!A58</f>
        <v/>
      </c>
      <c r="G135" s="17">
        <f>'클럭 정리'!N58</f>
        <v/>
      </c>
      <c r="H135" s="15">
        <f>'클럭 정리'!O58</f>
        <v/>
      </c>
    </row>
    <row r="136">
      <c r="A136" s="13" t="inlineStr">
        <is>
          <t>병렬도 12 분할 11</t>
        </is>
      </c>
      <c r="B136" s="13" t="n">
        <v>3</v>
      </c>
      <c r="C136" s="13" t="inlineStr">
        <is>
          <t>main</t>
        </is>
      </c>
      <c r="D136" s="10" t="n">
        <v>46238.50847608796</v>
      </c>
      <c r="E136" s="10" t="n">
        <v>46238.5084926872</v>
      </c>
      <c r="F136" s="16">
        <f>'클럭 정리'!A58</f>
        <v/>
      </c>
      <c r="G136" s="17">
        <f>'클럭 정리'!N58</f>
        <v/>
      </c>
      <c r="H136" s="15">
        <f>'클럭 정리'!O58</f>
        <v/>
      </c>
    </row>
    <row r="137">
      <c r="A137" s="13" t="inlineStr">
        <is>
          <t>병렬도 12 분할 11</t>
        </is>
      </c>
      <c r="B137" s="13" t="n">
        <v>4</v>
      </c>
      <c r="C137" s="13" t="inlineStr">
        <is>
          <t>ForkJoinPool-14</t>
        </is>
      </c>
      <c r="D137" s="10" t="n">
        <v>46238.50849270833</v>
      </c>
      <c r="E137" s="10" t="n">
        <v>46238.50850809199</v>
      </c>
      <c r="F137" s="16">
        <f>'클럭 정리'!A59</f>
        <v/>
      </c>
      <c r="G137" s="17">
        <f>'클럭 정리'!N59</f>
        <v/>
      </c>
      <c r="H137" s="15">
        <f>'클럭 정리'!O59</f>
        <v/>
      </c>
    </row>
    <row r="138">
      <c r="A138" s="13" t="inlineStr">
        <is>
          <t>병렬도 12 분할 11</t>
        </is>
      </c>
      <c r="B138" s="13" t="n">
        <v>4</v>
      </c>
      <c r="C138" s="13" t="inlineStr">
        <is>
          <t>main</t>
        </is>
      </c>
      <c r="D138" s="10" t="n">
        <v>46238.50849269676</v>
      </c>
      <c r="E138" s="10" t="n">
        <v>46238.5085080932</v>
      </c>
      <c r="F138" s="16">
        <f>'클럭 정리'!A59</f>
        <v/>
      </c>
      <c r="G138" s="17">
        <f>'클럭 정리'!N59</f>
        <v/>
      </c>
      <c r="H138" s="15">
        <f>'클럭 정리'!O59</f>
        <v/>
      </c>
    </row>
    <row r="139">
      <c r="A139" s="13" t="inlineStr">
        <is>
          <t>병렬도 12 분할 11</t>
        </is>
      </c>
      <c r="B139" s="13" t="n">
        <v>5</v>
      </c>
      <c r="C139" s="13" t="inlineStr">
        <is>
          <t>ForkJoinPool-15</t>
        </is>
      </c>
      <c r="D139" s="10" t="n">
        <v>46238.50850811342</v>
      </c>
      <c r="E139" s="10" t="n">
        <v>46238.50852347917</v>
      </c>
      <c r="F139" s="16">
        <f>'클럭 정리'!A60</f>
        <v/>
      </c>
      <c r="G139" s="17">
        <f>'클럭 정리'!N60</f>
        <v/>
      </c>
      <c r="H139" s="15">
        <f>'클럭 정리'!O60</f>
        <v/>
      </c>
    </row>
    <row r="140">
      <c r="A140" s="13" t="inlineStr">
        <is>
          <t>병렬도 12 분할 11</t>
        </is>
      </c>
      <c r="B140" s="13" t="n">
        <v>5</v>
      </c>
      <c r="C140" s="13" t="inlineStr">
        <is>
          <t>ForkJoinPool-15</t>
        </is>
      </c>
      <c r="D140" s="10" t="n">
        <v>46238.50850811342</v>
      </c>
      <c r="E140" s="10" t="n">
        <v>46238.50852347917</v>
      </c>
      <c r="F140" s="16">
        <f>'클럭 정리'!A61</f>
        <v/>
      </c>
      <c r="G140" s="17">
        <f>'클럭 정리'!N61</f>
        <v/>
      </c>
      <c r="H140" s="15">
        <f>'클럭 정리'!O61</f>
        <v/>
      </c>
    </row>
    <row r="141">
      <c r="A141" s="13" t="inlineStr">
        <is>
          <t>병렬도 12 분할 11</t>
        </is>
      </c>
      <c r="B141" s="13" t="n">
        <v>5</v>
      </c>
      <c r="C141" s="13" t="inlineStr">
        <is>
          <t>main</t>
        </is>
      </c>
      <c r="D141" s="10" t="n">
        <v>46238.50850810186</v>
      </c>
      <c r="E141" s="10" t="n">
        <v>46238.50852348051</v>
      </c>
      <c r="F141" s="16">
        <f>'클럭 정리'!A60</f>
        <v/>
      </c>
      <c r="G141" s="17">
        <f>'클럭 정리'!N60</f>
        <v/>
      </c>
      <c r="H141" s="15">
        <f>'클럭 정리'!O60</f>
        <v/>
      </c>
    </row>
    <row r="142">
      <c r="A142" s="13" t="inlineStr">
        <is>
          <t>병렬도 12 분할 11</t>
        </is>
      </c>
      <c r="B142" s="13" t="n">
        <v>5</v>
      </c>
      <c r="C142" s="13" t="inlineStr">
        <is>
          <t>main</t>
        </is>
      </c>
      <c r="D142" s="10" t="n">
        <v>46238.50850810186</v>
      </c>
      <c r="E142" s="10" t="n">
        <v>46238.50852348051</v>
      </c>
      <c r="F142" s="16">
        <f>'클럭 정리'!A61</f>
        <v/>
      </c>
      <c r="G142" s="17">
        <f>'클럭 정리'!N61</f>
        <v/>
      </c>
      <c r="H142" s="15">
        <f>'클럭 정리'!O61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8" customWidth="1" min="12" max="12"/>
    <col width="11" customWidth="1" min="13" max="13"/>
  </cols>
  <sheetData>
    <row r="1">
      <c r="A1" s="1" t="inlineStr">
        <is>
          <t>측정 회차별 원값 (IMPLOG run 레코드). 프로브 표의 행은 5회 평균이고, 이 시트는 그 5회 각각이다</t>
        </is>
      </c>
    </row>
    <row r="2">
      <c r="A2" s="4" t="inlineStr">
        <is>
      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      </is>
      </c>
    </row>
    <row r="4">
      <c r="A4" s="5" t="inlineStr">
        <is>
          <t>구현</t>
        </is>
      </c>
      <c r="B4" s="5" t="inlineStr">
        <is>
          <t>병렬도</t>
        </is>
      </c>
      <c r="C4" s="5" t="inlineStr">
        <is>
          <t>분할</t>
        </is>
      </c>
      <c r="D4" s="5" t="inlineStr">
        <is>
          <t>회차</t>
        </is>
      </c>
      <c r="E4" s="5" t="inlineStr">
        <is>
          <t>elapsed(ms)</t>
        </is>
      </c>
      <c r="F4" s="5" t="inlineStr">
        <is>
          <t>procCPU(ms)</t>
        </is>
      </c>
      <c r="G4" s="5" t="inlineStr">
        <is>
          <t>busyCore(개)</t>
        </is>
      </c>
      <c r="H4" s="5" t="inlineStr">
        <is>
          <t>mainCPU(ms)</t>
        </is>
      </c>
      <c r="I4" s="5" t="inlineStr">
        <is>
          <t>workerCPU(ms)</t>
        </is>
      </c>
      <c r="J4" s="5" t="inlineStr">
        <is>
          <t>기타 자바(ms)</t>
        </is>
      </c>
      <c r="K4" s="5" t="inlineStr">
        <is>
          <t>자바 아닌(ms)</t>
        </is>
      </c>
      <c r="L4" s="5" t="inlineStr">
        <is>
          <t>GC(ms)</t>
        </is>
      </c>
      <c r="M4" s="5" t="inlineStr">
        <is>
          <t>speedup(배)</t>
        </is>
      </c>
    </row>
    <row r="5">
      <c r="A5" s="13" t="inlineStr">
        <is>
          <t>순차</t>
        </is>
      </c>
      <c r="B5" s="13" t="inlineStr">
        <is>
          <t>-</t>
        </is>
      </c>
      <c r="C5" s="13" t="inlineStr">
        <is>
          <t>-</t>
        </is>
      </c>
      <c r="D5" s="13" t="n">
        <v>1</v>
      </c>
      <c r="E5" s="14" t="n">
        <v>3364.9735</v>
      </c>
      <c r="F5" s="14" t="n">
        <v>3359.375</v>
      </c>
      <c r="G5" s="11">
        <f>F5/E5</f>
        <v/>
      </c>
      <c r="H5" s="14" t="n">
        <v>3343.75</v>
      </c>
      <c r="I5" s="14" t="n">
        <v>0</v>
      </c>
      <c r="J5" s="14" t="n">
        <v>0</v>
      </c>
      <c r="K5" s="14" t="n">
        <v>0</v>
      </c>
      <c r="L5" s="13" t="n">
        <v>19</v>
      </c>
      <c r="M5" s="13" t="n"/>
    </row>
    <row r="6">
      <c r="A6" s="13" t="inlineStr">
        <is>
          <t>순차</t>
        </is>
      </c>
      <c r="B6" s="13" t="inlineStr">
        <is>
          <t>-</t>
        </is>
      </c>
      <c r="C6" s="13" t="inlineStr">
        <is>
          <t>-</t>
        </is>
      </c>
      <c r="D6" s="13" t="n">
        <v>2</v>
      </c>
      <c r="E6" s="14" t="n">
        <v>4110.3562</v>
      </c>
      <c r="F6" s="14" t="n">
        <v>4140.625</v>
      </c>
      <c r="G6" s="11">
        <f>F6/E6</f>
        <v/>
      </c>
      <c r="H6" s="14" t="n">
        <v>4093.75</v>
      </c>
      <c r="I6" s="14" t="n">
        <v>0</v>
      </c>
      <c r="J6" s="14" t="n">
        <v>0</v>
      </c>
      <c r="K6" s="14" t="n">
        <v>46.875</v>
      </c>
      <c r="L6" s="13" t="n">
        <v>17</v>
      </c>
      <c r="M6" s="13" t="n"/>
    </row>
    <row r="7">
      <c r="A7" s="13" t="inlineStr">
        <is>
          <t>순차</t>
        </is>
      </c>
      <c r="B7" s="13" t="inlineStr">
        <is>
          <t>-</t>
        </is>
      </c>
      <c r="C7" s="13" t="inlineStr">
        <is>
          <t>-</t>
        </is>
      </c>
      <c r="D7" s="13" t="n">
        <v>3</v>
      </c>
      <c r="E7" s="14" t="n">
        <v>4265.7501</v>
      </c>
      <c r="F7" s="14" t="n">
        <v>4031.25</v>
      </c>
      <c r="G7" s="11">
        <f>F7/E7</f>
        <v/>
      </c>
      <c r="H7" s="14" t="n">
        <v>4031.25</v>
      </c>
      <c r="I7" s="14" t="n">
        <v>0</v>
      </c>
      <c r="J7" s="14" t="n">
        <v>0</v>
      </c>
      <c r="K7" s="14" t="n">
        <v>0</v>
      </c>
      <c r="L7" s="13" t="n">
        <v>18</v>
      </c>
      <c r="M7" s="13" t="n"/>
    </row>
    <row r="8">
      <c r="A8" s="13" t="inlineStr">
        <is>
          <t>순차</t>
        </is>
      </c>
      <c r="B8" s="13" t="inlineStr">
        <is>
          <t>-</t>
        </is>
      </c>
      <c r="C8" s="13" t="inlineStr">
        <is>
          <t>-</t>
        </is>
      </c>
      <c r="D8" s="13" t="n">
        <v>4</v>
      </c>
      <c r="E8" s="14" t="n">
        <v>3852.2533</v>
      </c>
      <c r="F8" s="14" t="n">
        <v>3968.75</v>
      </c>
      <c r="G8" s="11">
        <f>F8/E8</f>
        <v/>
      </c>
      <c r="H8" s="14" t="n">
        <v>3781.25</v>
      </c>
      <c r="I8" s="14" t="n">
        <v>0</v>
      </c>
      <c r="J8" s="14" t="n">
        <v>0</v>
      </c>
      <c r="K8" s="14" t="n">
        <v>187.5</v>
      </c>
      <c r="L8" s="13" t="n">
        <v>18</v>
      </c>
      <c r="M8" s="13" t="n"/>
    </row>
    <row r="9">
      <c r="A9" s="13" t="inlineStr">
        <is>
          <t>순차</t>
        </is>
      </c>
      <c r="B9" s="13" t="inlineStr">
        <is>
          <t>-</t>
        </is>
      </c>
      <c r="C9" s="13" t="inlineStr">
        <is>
          <t>-</t>
        </is>
      </c>
      <c r="D9" s="13" t="n">
        <v>5</v>
      </c>
      <c r="E9" s="14" t="n">
        <v>3993.682</v>
      </c>
      <c r="F9" s="14" t="n">
        <v>4015.625</v>
      </c>
      <c r="G9" s="11">
        <f>F9/E9</f>
        <v/>
      </c>
      <c r="H9" s="14" t="n">
        <v>3968.75</v>
      </c>
      <c r="I9" s="14" t="n">
        <v>0</v>
      </c>
      <c r="J9" s="14" t="n">
        <v>0</v>
      </c>
      <c r="K9" s="14" t="n">
        <v>46.875</v>
      </c>
      <c r="L9" s="13" t="n">
        <v>18</v>
      </c>
      <c r="M9" s="13" t="n"/>
    </row>
    <row r="10">
      <c r="A10" s="13" t="inlineStr">
        <is>
          <t>병렬</t>
        </is>
      </c>
      <c r="B10" s="13" t="n">
        <v>6</v>
      </c>
      <c r="C10" s="13" t="n">
        <v>11</v>
      </c>
      <c r="D10" s="13" t="n">
        <v>1</v>
      </c>
      <c r="E10" s="14" t="n">
        <v>1693.0828</v>
      </c>
      <c r="F10" s="14" t="n">
        <v>9484.375</v>
      </c>
      <c r="G10" s="11">
        <f>F10/E10</f>
        <v/>
      </c>
      <c r="H10" s="14" t="n">
        <v>0</v>
      </c>
      <c r="I10" s="14" t="n">
        <v>8703.125</v>
      </c>
      <c r="J10" s="14" t="n">
        <v>0</v>
      </c>
      <c r="K10" s="14" t="n">
        <v>781.25</v>
      </c>
      <c r="L10" s="13" t="n">
        <v>17</v>
      </c>
      <c r="M10" s="11">
        <f>AVERAGEIFS($E$5:$E$19,$A$5:$A$19,"순차")/E10</f>
        <v/>
      </c>
    </row>
    <row r="11">
      <c r="A11" s="13" t="inlineStr">
        <is>
          <t>병렬</t>
        </is>
      </c>
      <c r="B11" s="13" t="n">
        <v>6</v>
      </c>
      <c r="C11" s="13" t="n">
        <v>11</v>
      </c>
      <c r="D11" s="13" t="n">
        <v>2</v>
      </c>
      <c r="E11" s="14" t="n">
        <v>1676.9263</v>
      </c>
      <c r="F11" s="14" t="n">
        <v>8546.875</v>
      </c>
      <c r="G11" s="11">
        <f>F11/E11</f>
        <v/>
      </c>
      <c r="H11" s="14" t="n">
        <v>15.625</v>
      </c>
      <c r="I11" s="14" t="n">
        <v>8484.375</v>
      </c>
      <c r="J11" s="14" t="n">
        <v>0</v>
      </c>
      <c r="K11" s="14" t="n">
        <v>46.875</v>
      </c>
      <c r="L11" s="13" t="n">
        <v>17</v>
      </c>
      <c r="M11" s="11">
        <f>AVERAGEIFS($E$5:$E$19,$A$5:$A$19,"순차")/E11</f>
        <v/>
      </c>
    </row>
    <row r="12">
      <c r="A12" s="13" t="inlineStr">
        <is>
          <t>병렬</t>
        </is>
      </c>
      <c r="B12" s="13" t="n">
        <v>6</v>
      </c>
      <c r="C12" s="13" t="n">
        <v>11</v>
      </c>
      <c r="D12" s="13" t="n">
        <v>3</v>
      </c>
      <c r="E12" s="14" t="n">
        <v>1670.442</v>
      </c>
      <c r="F12" s="14" t="n">
        <v>8250</v>
      </c>
      <c r="G12" s="11">
        <f>F12/E12</f>
        <v/>
      </c>
      <c r="H12" s="14" t="n">
        <v>0</v>
      </c>
      <c r="I12" s="14" t="n">
        <v>8203.125</v>
      </c>
      <c r="J12" s="14" t="n">
        <v>0</v>
      </c>
      <c r="K12" s="14" t="n">
        <v>46.875</v>
      </c>
      <c r="L12" s="13" t="n">
        <v>16</v>
      </c>
      <c r="M12" s="11">
        <f>AVERAGEIFS($E$5:$E$19,$A$5:$A$19,"순차")/E12</f>
        <v/>
      </c>
    </row>
    <row r="13">
      <c r="A13" s="13" t="inlineStr">
        <is>
          <t>병렬</t>
        </is>
      </c>
      <c r="B13" s="13" t="n">
        <v>6</v>
      </c>
      <c r="C13" s="13" t="n">
        <v>11</v>
      </c>
      <c r="D13" s="13" t="n">
        <v>4</v>
      </c>
      <c r="E13" s="14" t="n">
        <v>1671.8886</v>
      </c>
      <c r="F13" s="14" t="n">
        <v>8625</v>
      </c>
      <c r="G13" s="11">
        <f>F13/E13</f>
        <v/>
      </c>
      <c r="H13" s="14" t="n">
        <v>0</v>
      </c>
      <c r="I13" s="14" t="n">
        <v>8546.875</v>
      </c>
      <c r="J13" s="14" t="n">
        <v>0</v>
      </c>
      <c r="K13" s="14" t="n">
        <v>78.125</v>
      </c>
      <c r="L13" s="13" t="n">
        <v>17</v>
      </c>
      <c r="M13" s="11">
        <f>AVERAGEIFS($E$5:$E$19,$A$5:$A$19,"순차")/E13</f>
        <v/>
      </c>
    </row>
    <row r="14">
      <c r="A14" s="13" t="inlineStr">
        <is>
          <t>병렬</t>
        </is>
      </c>
      <c r="B14" s="13" t="n">
        <v>6</v>
      </c>
      <c r="C14" s="13" t="n">
        <v>11</v>
      </c>
      <c r="D14" s="13" t="n">
        <v>5</v>
      </c>
      <c r="E14" s="14" t="n">
        <v>1677.9729</v>
      </c>
      <c r="F14" s="14" t="n">
        <v>8171.875</v>
      </c>
      <c r="G14" s="11">
        <f>F14/E14</f>
        <v/>
      </c>
      <c r="H14" s="14" t="n">
        <v>0</v>
      </c>
      <c r="I14" s="14" t="n">
        <v>8078.125</v>
      </c>
      <c r="J14" s="14" t="n">
        <v>0</v>
      </c>
      <c r="K14" s="14" t="n">
        <v>93.75</v>
      </c>
      <c r="L14" s="13" t="n">
        <v>16</v>
      </c>
      <c r="M14" s="11">
        <f>AVERAGEIFS($E$5:$E$19,$A$5:$A$19,"순차")/E14</f>
        <v/>
      </c>
    </row>
    <row r="15">
      <c r="A15" s="13" t="inlineStr">
        <is>
          <t>병렬</t>
        </is>
      </c>
      <c r="B15" s="13" t="n">
        <v>12</v>
      </c>
      <c r="C15" s="13" t="n">
        <v>11</v>
      </c>
      <c r="D15" s="13" t="n">
        <v>1</v>
      </c>
      <c r="E15" s="14" t="n">
        <v>1335.7209</v>
      </c>
      <c r="F15" s="14" t="n">
        <v>13515.625</v>
      </c>
      <c r="G15" s="11">
        <f>F15/E15</f>
        <v/>
      </c>
      <c r="H15" s="14" t="n">
        <v>0</v>
      </c>
      <c r="I15" s="14" t="n">
        <v>13515.625</v>
      </c>
      <c r="J15" s="14" t="n">
        <v>0</v>
      </c>
      <c r="K15" s="14" t="n">
        <v>0</v>
      </c>
      <c r="L15" s="13" t="n">
        <v>14</v>
      </c>
      <c r="M15" s="11">
        <f>AVERAGEIFS($E$5:$E$19,$A$5:$A$19,"순차")/E15</f>
        <v/>
      </c>
    </row>
    <row r="16">
      <c r="A16" s="13" t="inlineStr">
        <is>
          <t>병렬</t>
        </is>
      </c>
      <c r="B16" s="13" t="n">
        <v>12</v>
      </c>
      <c r="C16" s="13" t="n">
        <v>11</v>
      </c>
      <c r="D16" s="13" t="n">
        <v>2</v>
      </c>
      <c r="E16" s="14" t="n">
        <v>1650.8693</v>
      </c>
      <c r="F16" s="14" t="n">
        <v>13109.375</v>
      </c>
      <c r="G16" s="11">
        <f>F16/E16</f>
        <v/>
      </c>
      <c r="H16" s="14" t="n">
        <v>0</v>
      </c>
      <c r="I16" s="14" t="n">
        <v>12812.5</v>
      </c>
      <c r="J16" s="14" t="n">
        <v>0</v>
      </c>
      <c r="K16" s="14" t="n">
        <v>296.875</v>
      </c>
      <c r="L16" s="13" t="n">
        <v>16</v>
      </c>
      <c r="M16" s="11">
        <f>AVERAGEIFS($E$5:$E$19,$A$5:$A$19,"순차")/E16</f>
        <v/>
      </c>
    </row>
    <row r="17">
      <c r="A17" s="13" t="inlineStr">
        <is>
          <t>병렬</t>
        </is>
      </c>
      <c r="B17" s="13" t="n">
        <v>12</v>
      </c>
      <c r="C17" s="13" t="n">
        <v>11</v>
      </c>
      <c r="D17" s="13" t="n">
        <v>3</v>
      </c>
      <c r="E17" s="14" t="n">
        <v>1434.9685</v>
      </c>
      <c r="F17" s="14" t="n">
        <v>13000</v>
      </c>
      <c r="G17" s="11">
        <f>F17/E17</f>
        <v/>
      </c>
      <c r="H17" s="14" t="n">
        <v>0</v>
      </c>
      <c r="I17" s="14" t="n">
        <v>12718.75</v>
      </c>
      <c r="J17" s="14" t="n">
        <v>0</v>
      </c>
      <c r="K17" s="14" t="n">
        <v>281.25</v>
      </c>
      <c r="L17" s="13" t="n">
        <v>14</v>
      </c>
      <c r="M17" s="11">
        <f>AVERAGEIFS($E$5:$E$19,$A$5:$A$19,"순차")/E17</f>
        <v/>
      </c>
    </row>
    <row r="18">
      <c r="A18" s="13" t="inlineStr">
        <is>
          <t>병렬</t>
        </is>
      </c>
      <c r="B18" s="13" t="n">
        <v>12</v>
      </c>
      <c r="C18" s="13" t="n">
        <v>11</v>
      </c>
      <c r="D18" s="13" t="n">
        <v>4</v>
      </c>
      <c r="E18" s="14" t="n">
        <v>1329.8666</v>
      </c>
      <c r="F18" s="14" t="n">
        <v>13109.375</v>
      </c>
      <c r="G18" s="11">
        <f>F18/E18</f>
        <v/>
      </c>
      <c r="H18" s="14" t="n">
        <v>0</v>
      </c>
      <c r="I18" s="14" t="n">
        <v>13093.75</v>
      </c>
      <c r="J18" s="14" t="n">
        <v>0</v>
      </c>
      <c r="K18" s="14" t="n">
        <v>15.625</v>
      </c>
      <c r="L18" s="13" t="n">
        <v>14</v>
      </c>
      <c r="M18" s="11">
        <f>AVERAGEIFS($E$5:$E$19,$A$5:$A$19,"순차")/E18</f>
        <v/>
      </c>
    </row>
    <row r="19">
      <c r="A19" s="13" t="inlineStr">
        <is>
          <t>병렬</t>
        </is>
      </c>
      <c r="B19" s="13" t="n">
        <v>12</v>
      </c>
      <c r="C19" s="13" t="n">
        <v>11</v>
      </c>
      <c r="D19" s="13" t="n">
        <v>5</v>
      </c>
      <c r="E19" s="14" t="n">
        <v>1328.2758</v>
      </c>
      <c r="F19" s="14" t="n">
        <v>13000</v>
      </c>
      <c r="G19" s="11">
        <f>F19/E19</f>
        <v/>
      </c>
      <c r="H19" s="14" t="n">
        <v>15.625</v>
      </c>
      <c r="I19" s="14" t="n">
        <v>12781.25</v>
      </c>
      <c r="J19" s="14" t="n">
        <v>0</v>
      </c>
      <c r="K19" s="14" t="n">
        <v>203.125</v>
      </c>
      <c r="L19" s="13" t="n">
        <v>16</v>
      </c>
      <c r="M19" s="11">
        <f>AVERAGEIFS($E$5:$E$19,$A$5:$A$19,"순차")/E19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이 시트의 값: '구간과 스레드 매핑' 시트의 평균 클럭(GHz) 열이다. 수식 참조로 그대로 가져왔다</t>
        </is>
      </c>
    </row>
    <row r="2">
      <c r="A2" s="18" t="inlineStr">
        <is>
      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      </is>
      </c>
    </row>
    <row r="3">
      <c r="A3" s="19" t="inlineStr">
        <is>
          <t>구간 종류</t>
        </is>
      </c>
      <c r="B3" s="19" t="inlineStr">
        <is>
          <t>순차</t>
        </is>
      </c>
      <c r="C3" s="19" t="inlineStr">
        <is>
          <t>병렬도 6 분할 11</t>
        </is>
      </c>
      <c r="D3" s="19" t="inlineStr">
        <is>
          <t>병렬도 12 분할 11</t>
        </is>
      </c>
    </row>
    <row r="4">
      <c r="A4" s="18" t="inlineStr">
        <is>
          <t>전체</t>
        </is>
      </c>
      <c r="B4" s="20">
        <f>'구간과 스레드 매핑'!H6</f>
        <v/>
      </c>
      <c r="C4" s="20">
        <f>'구간과 스레드 매핑'!H7</f>
        <v/>
      </c>
      <c r="D4" s="20">
        <f>'구간과 스레드 매핑'!H15</f>
        <v/>
      </c>
    </row>
    <row r="5">
      <c r="A5" s="18" t="inlineStr">
        <is>
          <t>워밍업</t>
        </is>
      </c>
      <c r="C5" s="20">
        <f>'구간과 스레드 매핑'!H8</f>
        <v/>
      </c>
      <c r="D5" s="20">
        <f>'구간과 스레드 매핑'!H16</f>
        <v/>
      </c>
    </row>
    <row r="6">
      <c r="A6" s="18" t="inlineStr">
        <is>
          <t>측정 1회차</t>
        </is>
      </c>
      <c r="C6" s="20">
        <f>'구간과 스레드 매핑'!H9</f>
        <v/>
      </c>
      <c r="D6" s="20">
        <f>'구간과 스레드 매핑'!H17</f>
        <v/>
      </c>
    </row>
    <row r="7">
      <c r="A7" s="18" t="inlineStr">
        <is>
          <t>측정 2회차</t>
        </is>
      </c>
      <c r="C7" s="20">
        <f>'구간과 스레드 매핑'!H10</f>
        <v/>
      </c>
      <c r="D7" s="20">
        <f>'구간과 스레드 매핑'!H18</f>
        <v/>
      </c>
    </row>
    <row r="8">
      <c r="A8" s="18" t="inlineStr">
        <is>
          <t>측정 3회차</t>
        </is>
      </c>
      <c r="C8" s="20">
        <f>'구간과 스레드 매핑'!H11</f>
        <v/>
      </c>
      <c r="D8" s="20">
        <f>'구간과 스레드 매핑'!H19</f>
        <v/>
      </c>
    </row>
    <row r="9">
      <c r="A9" s="18" t="inlineStr">
        <is>
          <t>측정 4회차</t>
        </is>
      </c>
      <c r="C9" s="20">
        <f>'구간과 스레드 매핑'!H12</f>
        <v/>
      </c>
      <c r="D9" s="20">
        <f>'구간과 스레드 매핑'!H20</f>
        <v/>
      </c>
    </row>
    <row r="10">
      <c r="A10" s="18" t="inlineStr">
        <is>
          <t>측정 5회차</t>
        </is>
      </c>
      <c r="C10" s="20">
        <f>'구간과 스레드 매핑'!H13</f>
        <v/>
      </c>
      <c r="D10" s="20">
        <f>'구간과 스레드 매핑'!H21</f>
        <v/>
      </c>
    </row>
    <row r="11">
      <c r="A11" s="18" t="inlineStr">
        <is>
          <t>워커별 CPU 읽기 실행</t>
        </is>
      </c>
      <c r="C11" s="20">
        <f>'구간과 스레드 매핑'!H14</f>
        <v/>
      </c>
      <c r="D11" s="20">
        <f>'구간과 스레드 매핑'!H22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7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</cols>
  <sheetData>
    <row r="1">
      <c r="A1" s="4" t="inlineStr">
        <is>
          <t>차트 시트 그래프들의 원천 표다. 값은 전부 '클럭 정리' 시트를 참조하는 수식이고, 여기서는 보기만 한다</t>
        </is>
      </c>
    </row>
    <row r="3">
      <c r="A3" s="2" t="inlineStr">
        <is>
          <t>병렬도 6 분할 11 측정 1회차 (스레드별 클럭, GHz)</t>
        </is>
      </c>
      <c r="P3" s="2" t="inlineStr">
        <is>
          <t>전체 추이 데이터 (스레드별 선용, GHz)</t>
        </is>
      </c>
    </row>
    <row r="4">
      <c r="A4" s="21" t="inlineStr">
        <is>
          <t>시각</t>
        </is>
      </c>
      <c r="B4" s="21" t="inlineStr">
        <is>
          <t>ForkJoinPool-3-worker-1</t>
        </is>
      </c>
      <c r="C4" s="21" t="inlineStr">
        <is>
          <t>ForkJoinPool-3-worker-2</t>
        </is>
      </c>
      <c r="D4" s="21" t="inlineStr">
        <is>
          <t>ForkJoinPool-3-worker-3</t>
        </is>
      </c>
      <c r="E4" s="21" t="inlineStr">
        <is>
          <t>ForkJoinPool-3-worker-4</t>
        </is>
      </c>
      <c r="F4" s="21" t="inlineStr">
        <is>
          <t>ForkJoinPool-3-worker-5</t>
        </is>
      </c>
      <c r="G4" s="21" t="inlineStr">
        <is>
          <t>ForkJoinPool-3-worker-6</t>
        </is>
      </c>
      <c r="H4" s="21" t="inlineStr">
        <is>
          <t>main</t>
        </is>
      </c>
      <c r="P4" s="21" t="inlineStr">
        <is>
          <t>시각</t>
        </is>
      </c>
      <c r="Q4" s="21" t="inlineStr">
        <is>
          <t>전체 평균</t>
        </is>
      </c>
      <c r="R4" s="21" t="inlineStr">
        <is>
          <t>ForkJoinPool-3-worker-1</t>
        </is>
      </c>
      <c r="S4" s="21" t="inlineStr">
        <is>
          <t>ForkJoinPool-3-worker-2</t>
        </is>
      </c>
      <c r="T4" s="21" t="inlineStr">
        <is>
          <t>ForkJoinPool-3-worker-3</t>
        </is>
      </c>
      <c r="U4" s="21" t="inlineStr">
        <is>
          <t>ForkJoinPool-3-worker-4</t>
        </is>
      </c>
      <c r="V4" s="21" t="inlineStr">
        <is>
          <t>ForkJoinPool-3-worker-5</t>
        </is>
      </c>
      <c r="W4" s="21" t="inlineStr">
        <is>
          <t>ForkJoinPool-3-worker-6</t>
        </is>
      </c>
      <c r="X4" s="21" t="inlineStr">
        <is>
          <t>main</t>
        </is>
      </c>
      <c r="Y4" s="21" t="inlineStr">
        <is>
          <t>ForkJoinPool-4-worker-1</t>
        </is>
      </c>
      <c r="Z4" s="21" t="inlineStr">
        <is>
          <t>ForkJoinPool-4-worker-2</t>
        </is>
      </c>
      <c r="AA4" s="21" t="inlineStr">
        <is>
          <t>ForkJoinPool-4-worker-3</t>
        </is>
      </c>
      <c r="AB4" s="21" t="inlineStr">
        <is>
          <t>ForkJoinPool-4-worker-4</t>
        </is>
      </c>
      <c r="AC4" s="21" t="inlineStr">
        <is>
          <t>ForkJoinPool-4-worker-5</t>
        </is>
      </c>
      <c r="AD4" s="21" t="inlineStr">
        <is>
          <t>ForkJoinPool-4-worker-6</t>
        </is>
      </c>
      <c r="AE4" s="21" t="inlineStr">
        <is>
          <t>ForkJoinPool-5-worker-1</t>
        </is>
      </c>
      <c r="AF4" s="21" t="inlineStr">
        <is>
          <t>ForkJoinPool-5-worker-2</t>
        </is>
      </c>
      <c r="AG4" s="21" t="inlineStr">
        <is>
          <t>ForkJoinPool-5-worker-3</t>
        </is>
      </c>
      <c r="AH4" s="21" t="inlineStr">
        <is>
          <t>ForkJoinPool-5-worker-4</t>
        </is>
      </c>
      <c r="AI4" s="21" t="inlineStr">
        <is>
          <t>ForkJoinPool-5-worker-5</t>
        </is>
      </c>
      <c r="AJ4" s="21" t="inlineStr">
        <is>
          <t>ForkJoinPool-5-worker-6</t>
        </is>
      </c>
      <c r="AK4" s="21" t="inlineStr">
        <is>
          <t>ForkJoinPool-6-worker-1</t>
        </is>
      </c>
      <c r="AL4" s="21" t="inlineStr">
        <is>
          <t>ForkJoinPool-6-worker-2</t>
        </is>
      </c>
      <c r="AM4" s="21" t="inlineStr">
        <is>
          <t>ForkJoinPool-6-worker-3</t>
        </is>
      </c>
      <c r="AN4" s="21" t="inlineStr">
        <is>
          <t>ForkJoinPool-6-worker-4</t>
        </is>
      </c>
      <c r="AO4" s="21" t="inlineStr">
        <is>
          <t>ForkJoinPool-6-worker-5</t>
        </is>
      </c>
      <c r="AP4" s="21" t="inlineStr">
        <is>
          <t>ForkJoinPool-6-worker-6</t>
        </is>
      </c>
      <c r="AQ4" s="21" t="inlineStr">
        <is>
          <t>ForkJoinPool-7-worker-1</t>
        </is>
      </c>
      <c r="AR4" s="21" t="inlineStr">
        <is>
          <t>ForkJoinPool-7-worker-2</t>
        </is>
      </c>
      <c r="AS4" s="21" t="inlineStr">
        <is>
          <t>ForkJoinPool-7-worker-3</t>
        </is>
      </c>
      <c r="AT4" s="21" t="inlineStr">
        <is>
          <t>ForkJoinPool-7-worker-4</t>
        </is>
      </c>
      <c r="AU4" s="21" t="inlineStr">
        <is>
          <t>ForkJoinPool-7-worker-5</t>
        </is>
      </c>
      <c r="AV4" s="21" t="inlineStr">
        <is>
          <t>ForkJoinPool-7-worker-6</t>
        </is>
      </c>
      <c r="AW4" s="21" t="inlineStr">
        <is>
          <t>ForkJoinPool-11-worker-1</t>
        </is>
      </c>
      <c r="AX4" s="21" t="inlineStr">
        <is>
          <t>ForkJoinPool-11-worker-10</t>
        </is>
      </c>
      <c r="AY4" s="21" t="inlineStr">
        <is>
          <t>ForkJoinPool-11-worker-11</t>
        </is>
      </c>
      <c r="AZ4" s="21" t="inlineStr">
        <is>
          <t>ForkJoinPool-11-worker-12</t>
        </is>
      </c>
      <c r="BA4" s="21" t="inlineStr">
        <is>
          <t>ForkJoinPool-11-worker-2</t>
        </is>
      </c>
      <c r="BB4" s="21" t="inlineStr">
        <is>
          <t>ForkJoinPool-11-worker-3</t>
        </is>
      </c>
      <c r="BC4" s="21" t="inlineStr">
        <is>
          <t>ForkJoinPool-11-worker-4</t>
        </is>
      </c>
      <c r="BD4" s="21" t="inlineStr">
        <is>
          <t>ForkJoinPool-11-worker-5</t>
        </is>
      </c>
      <c r="BE4" s="21" t="inlineStr">
        <is>
          <t>ForkJoinPool-11-worker-6</t>
        </is>
      </c>
      <c r="BF4" s="21" t="inlineStr">
        <is>
          <t>ForkJoinPool-11-worker-7</t>
        </is>
      </c>
      <c r="BG4" s="21" t="inlineStr">
        <is>
          <t>ForkJoinPool-11-worker-8</t>
        </is>
      </c>
      <c r="BH4" s="21" t="inlineStr">
        <is>
          <t>ForkJoinPool-11-worker-9</t>
        </is>
      </c>
      <c r="BI4" s="21" t="inlineStr">
        <is>
          <t>ForkJoinPool-12-worker-1</t>
        </is>
      </c>
      <c r="BJ4" s="21" t="inlineStr">
        <is>
          <t>ForkJoinPool-12-worker-10</t>
        </is>
      </c>
      <c r="BK4" s="21" t="inlineStr">
        <is>
          <t>ForkJoinPool-12-worker-11</t>
        </is>
      </c>
      <c r="BL4" s="21" t="inlineStr">
        <is>
          <t>ForkJoinPool-12-worker-12</t>
        </is>
      </c>
      <c r="BM4" s="21" t="inlineStr">
        <is>
          <t>ForkJoinPool-12-worker-2</t>
        </is>
      </c>
      <c r="BN4" s="21" t="inlineStr">
        <is>
          <t>ForkJoinPool-12-worker-3</t>
        </is>
      </c>
      <c r="BO4" s="21" t="inlineStr">
        <is>
          <t>ForkJoinPool-12-worker-4</t>
        </is>
      </c>
      <c r="BP4" s="21" t="inlineStr">
        <is>
          <t>ForkJoinPool-12-worker-5</t>
        </is>
      </c>
      <c r="BQ4" s="21" t="inlineStr">
        <is>
          <t>ForkJoinPool-12-worker-6</t>
        </is>
      </c>
      <c r="BR4" s="21" t="inlineStr">
        <is>
          <t>ForkJoinPool-12-worker-7</t>
        </is>
      </c>
      <c r="BS4" s="21" t="inlineStr">
        <is>
          <t>ForkJoinPool-12-worker-8</t>
        </is>
      </c>
      <c r="BT4" s="21" t="inlineStr">
        <is>
          <t>ForkJoinPool-12-worker-9</t>
        </is>
      </c>
      <c r="BU4" s="21" t="inlineStr">
        <is>
          <t>ForkJoinPool-13-worker-1</t>
        </is>
      </c>
      <c r="BV4" s="21" t="inlineStr">
        <is>
          <t>ForkJoinPool-13-worker-10</t>
        </is>
      </c>
      <c r="BW4" s="21" t="inlineStr">
        <is>
          <t>ForkJoinPool-13-worker-11</t>
        </is>
      </c>
      <c r="BX4" s="21" t="inlineStr">
        <is>
          <t>ForkJoinPool-13-worker-12</t>
        </is>
      </c>
      <c r="BY4" s="21" t="inlineStr">
        <is>
          <t>ForkJoinPool-13-worker-2</t>
        </is>
      </c>
      <c r="BZ4" s="21" t="inlineStr">
        <is>
          <t>ForkJoinPool-13-worker-3</t>
        </is>
      </c>
      <c r="CA4" s="21" t="inlineStr">
        <is>
          <t>ForkJoinPool-13-worker-4</t>
        </is>
      </c>
      <c r="CB4" s="21" t="inlineStr">
        <is>
          <t>ForkJoinPool-13-worker-5</t>
        </is>
      </c>
      <c r="CC4" s="21" t="inlineStr">
        <is>
          <t>ForkJoinPool-13-worker-6</t>
        </is>
      </c>
      <c r="CD4" s="21" t="inlineStr">
        <is>
          <t>ForkJoinPool-13-worker-7</t>
        </is>
      </c>
      <c r="CE4" s="21" t="inlineStr">
        <is>
          <t>ForkJoinPool-13-worker-8</t>
        </is>
      </c>
      <c r="CF4" s="21" t="inlineStr">
        <is>
          <t>ForkJoinPool-13-worker-9</t>
        </is>
      </c>
      <c r="CG4" s="21" t="inlineStr">
        <is>
          <t>ForkJoinPool-14-worker-1</t>
        </is>
      </c>
      <c r="CH4" s="21" t="inlineStr">
        <is>
          <t>ForkJoinPool-14-worker-10</t>
        </is>
      </c>
      <c r="CI4" s="21" t="inlineStr">
        <is>
          <t>ForkJoinPool-14-worker-11</t>
        </is>
      </c>
      <c r="CJ4" s="21" t="inlineStr">
        <is>
          <t>ForkJoinPool-14-worker-12</t>
        </is>
      </c>
      <c r="CK4" s="21" t="inlineStr">
        <is>
          <t>ForkJoinPool-14-worker-2</t>
        </is>
      </c>
      <c r="CL4" s="21" t="inlineStr">
        <is>
          <t>ForkJoinPool-14-worker-3</t>
        </is>
      </c>
      <c r="CM4" s="21" t="inlineStr">
        <is>
          <t>ForkJoinPool-14-worker-4</t>
        </is>
      </c>
      <c r="CN4" s="21" t="inlineStr">
        <is>
          <t>ForkJoinPool-14-worker-5</t>
        </is>
      </c>
      <c r="CO4" s="21" t="inlineStr">
        <is>
          <t>ForkJoinPool-14-worker-6</t>
        </is>
      </c>
      <c r="CP4" s="21" t="inlineStr">
        <is>
          <t>ForkJoinPool-14-worker-7</t>
        </is>
      </c>
      <c r="CQ4" s="21" t="inlineStr">
        <is>
          <t>ForkJoinPool-14-worker-8</t>
        </is>
      </c>
      <c r="CR4" s="21" t="inlineStr">
        <is>
          <t>ForkJoinPool-14-worker-9</t>
        </is>
      </c>
      <c r="CS4" s="21" t="inlineStr">
        <is>
          <t>ForkJoinPool-15-worker-1</t>
        </is>
      </c>
      <c r="CT4" s="21" t="inlineStr">
        <is>
          <t>ForkJoinPool-15-worker-10</t>
        </is>
      </c>
      <c r="CU4" s="21" t="inlineStr">
        <is>
          <t>ForkJoinPool-15-worker-11</t>
        </is>
      </c>
      <c r="CV4" s="21" t="inlineStr">
        <is>
          <t>ForkJoinPool-15-worker-12</t>
        </is>
      </c>
      <c r="CW4" s="21" t="inlineStr">
        <is>
          <t>ForkJoinPool-15-worker-2</t>
        </is>
      </c>
      <c r="CX4" s="21" t="inlineStr">
        <is>
          <t>ForkJoinPool-15-worker-3</t>
        </is>
      </c>
      <c r="CY4" s="21" t="inlineStr">
        <is>
          <t>ForkJoinPool-15-worker-4</t>
        </is>
      </c>
      <c r="CZ4" s="21" t="inlineStr">
        <is>
          <t>ForkJoinPool-15-worker-5</t>
        </is>
      </c>
      <c r="DA4" s="21" t="inlineStr">
        <is>
          <t>ForkJoinPool-15-worker-6</t>
        </is>
      </c>
      <c r="DB4" s="21" t="inlineStr">
        <is>
          <t>ForkJoinPool-15-worker-7</t>
        </is>
      </c>
      <c r="DC4" s="21" t="inlineStr">
        <is>
          <t>ForkJoinPool-15-worker-8</t>
        </is>
      </c>
      <c r="DD4" s="21" t="inlineStr">
        <is>
          <t>ForkJoinPool-15-worker-9</t>
        </is>
      </c>
    </row>
    <row r="5">
      <c r="A5" s="22">
        <f>'클럭 정리'!A41</f>
        <v/>
      </c>
      <c r="B5" s="23">
        <f>'클럭 정리'!O41</f>
        <v/>
      </c>
      <c r="C5" s="23">
        <f>'클럭 정리'!O41</f>
        <v/>
      </c>
      <c r="D5" s="23">
        <f>'클럭 정리'!O41</f>
        <v/>
      </c>
      <c r="E5" s="23">
        <f>'클럭 정리'!O41</f>
        <v/>
      </c>
      <c r="F5" s="23">
        <f>'클럭 정리'!O41</f>
        <v/>
      </c>
      <c r="G5" s="23">
        <f>'클럭 정리'!O41</f>
        <v/>
      </c>
      <c r="H5" s="23">
        <f>'클럭 정리'!O41</f>
        <v/>
      </c>
      <c r="P5" s="24">
        <f>'클럭 정리'!A6</f>
        <v/>
      </c>
      <c r="Q5" s="23">
        <f>'클럭 정리'!O6</f>
        <v/>
      </c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25" t="n"/>
      <c r="AQ5" s="25" t="n"/>
      <c r="AR5" s="25" t="n"/>
      <c r="AS5" s="25" t="n"/>
      <c r="AT5" s="25" t="n"/>
      <c r="AU5" s="25" t="n"/>
      <c r="AV5" s="25" t="n"/>
      <c r="AW5" s="25" t="n"/>
      <c r="AX5" s="25" t="n"/>
      <c r="AY5" s="25" t="n"/>
      <c r="AZ5" s="25" t="n"/>
      <c r="BA5" s="25" t="n"/>
      <c r="BB5" s="25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  <c r="BW5" s="25" t="n"/>
      <c r="BX5" s="25" t="n"/>
      <c r="BY5" s="25" t="n"/>
      <c r="BZ5" s="25" t="n"/>
      <c r="CA5" s="25" t="n"/>
      <c r="CB5" s="25" t="n"/>
      <c r="CC5" s="25" t="n"/>
      <c r="CD5" s="25" t="n"/>
      <c r="CE5" s="25" t="n"/>
      <c r="CF5" s="25" t="n"/>
      <c r="CG5" s="25" t="n"/>
      <c r="CH5" s="25" t="n"/>
      <c r="CI5" s="25" t="n"/>
      <c r="CJ5" s="25" t="n"/>
      <c r="CK5" s="25" t="n"/>
      <c r="CL5" s="25" t="n"/>
      <c r="CM5" s="25" t="n"/>
      <c r="CN5" s="25" t="n"/>
      <c r="CO5" s="25" t="n"/>
      <c r="CP5" s="25" t="n"/>
      <c r="CQ5" s="25" t="n"/>
      <c r="CR5" s="25" t="n"/>
      <c r="CS5" s="25" t="n"/>
      <c r="CT5" s="25" t="n"/>
      <c r="CU5" s="25" t="n"/>
      <c r="CV5" s="25" t="n"/>
      <c r="CW5" s="25" t="n"/>
      <c r="CX5" s="25" t="n"/>
      <c r="CY5" s="25" t="n"/>
      <c r="CZ5" s="25" t="n"/>
      <c r="DA5" s="25" t="n"/>
      <c r="DB5" s="25" t="n"/>
      <c r="DC5" s="25" t="n"/>
      <c r="DD5" s="25" t="n"/>
    </row>
    <row r="6">
      <c r="A6" s="22">
        <f>'클럭 정리'!A42</f>
        <v/>
      </c>
      <c r="B6" s="23">
        <f>'클럭 정리'!O42</f>
        <v/>
      </c>
      <c r="C6" s="23">
        <f>'클럭 정리'!O42</f>
        <v/>
      </c>
      <c r="D6" s="23">
        <f>'클럭 정리'!O42</f>
        <v/>
      </c>
      <c r="E6" s="23">
        <f>'클럭 정리'!O42</f>
        <v/>
      </c>
      <c r="F6" s="23">
        <f>'클럭 정리'!O42</f>
        <v/>
      </c>
      <c r="G6" s="23">
        <f>'클럭 정리'!O42</f>
        <v/>
      </c>
      <c r="H6" s="23">
        <f>'클럭 정리'!O42</f>
        <v/>
      </c>
      <c r="P6" s="24">
        <f>'클럭 정리'!A7</f>
        <v/>
      </c>
      <c r="Q6" s="23">
        <f>'클럭 정리'!O7</f>
        <v/>
      </c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25" t="n"/>
      <c r="BN6" s="25" t="n"/>
      <c r="BO6" s="25" t="n"/>
      <c r="BP6" s="25" t="n"/>
      <c r="BQ6" s="25" t="n"/>
      <c r="BR6" s="25" t="n"/>
      <c r="BS6" s="25" t="n"/>
      <c r="BT6" s="25" t="n"/>
      <c r="BU6" s="25" t="n"/>
      <c r="BV6" s="25" t="n"/>
      <c r="BW6" s="25" t="n"/>
      <c r="BX6" s="25" t="n"/>
      <c r="BY6" s="25" t="n"/>
      <c r="BZ6" s="25" t="n"/>
      <c r="CA6" s="25" t="n"/>
      <c r="CB6" s="25" t="n"/>
      <c r="CC6" s="25" t="n"/>
      <c r="CD6" s="25" t="n"/>
      <c r="CE6" s="25" t="n"/>
      <c r="CF6" s="25" t="n"/>
      <c r="CG6" s="25" t="n"/>
      <c r="CH6" s="25" t="n"/>
      <c r="CI6" s="25" t="n"/>
      <c r="CJ6" s="25" t="n"/>
      <c r="CK6" s="25" t="n"/>
      <c r="CL6" s="25" t="n"/>
      <c r="CM6" s="25" t="n"/>
      <c r="CN6" s="25" t="n"/>
      <c r="CO6" s="25" t="n"/>
      <c r="CP6" s="25" t="n"/>
      <c r="CQ6" s="25" t="n"/>
      <c r="CR6" s="25" t="n"/>
      <c r="CS6" s="25" t="n"/>
      <c r="CT6" s="25" t="n"/>
      <c r="CU6" s="25" t="n"/>
      <c r="CV6" s="25" t="n"/>
      <c r="CW6" s="25" t="n"/>
      <c r="CX6" s="25" t="n"/>
      <c r="CY6" s="25" t="n"/>
      <c r="CZ6" s="25" t="n"/>
      <c r="DA6" s="25" t="n"/>
      <c r="DB6" s="25" t="n"/>
      <c r="DC6" s="25" t="n"/>
      <c r="DD6" s="25" t="n"/>
    </row>
    <row r="7">
      <c r="P7" s="24">
        <f>'클럭 정리'!A8</f>
        <v/>
      </c>
      <c r="Q7" s="23">
        <f>'클럭 정리'!O8</f>
        <v/>
      </c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25" t="n"/>
      <c r="BV7" s="25" t="n"/>
      <c r="BW7" s="25" t="n"/>
      <c r="BX7" s="25" t="n"/>
      <c r="BY7" s="25" t="n"/>
      <c r="BZ7" s="25" t="n"/>
      <c r="CA7" s="25" t="n"/>
      <c r="CB7" s="25" t="n"/>
      <c r="CC7" s="25" t="n"/>
      <c r="CD7" s="25" t="n"/>
      <c r="CE7" s="25" t="n"/>
      <c r="CF7" s="25" t="n"/>
      <c r="CG7" s="25" t="n"/>
      <c r="CH7" s="25" t="n"/>
      <c r="CI7" s="25" t="n"/>
      <c r="CJ7" s="25" t="n"/>
      <c r="CK7" s="25" t="n"/>
      <c r="CL7" s="25" t="n"/>
      <c r="CM7" s="25" t="n"/>
      <c r="CN7" s="25" t="n"/>
      <c r="CO7" s="25" t="n"/>
      <c r="CP7" s="25" t="n"/>
      <c r="CQ7" s="25" t="n"/>
      <c r="CR7" s="25" t="n"/>
      <c r="CS7" s="25" t="n"/>
      <c r="CT7" s="25" t="n"/>
      <c r="CU7" s="25" t="n"/>
      <c r="CV7" s="25" t="n"/>
      <c r="CW7" s="25" t="n"/>
      <c r="CX7" s="25" t="n"/>
      <c r="CY7" s="25" t="n"/>
      <c r="CZ7" s="25" t="n"/>
      <c r="DA7" s="25" t="n"/>
      <c r="DB7" s="25" t="n"/>
      <c r="DC7" s="25" t="n"/>
      <c r="DD7" s="25" t="n"/>
    </row>
    <row r="8">
      <c r="A8" s="2" t="inlineStr">
        <is>
          <t>병렬도 6 분할 11 측정 2회차 (스레드별 클럭, GHz)</t>
        </is>
      </c>
      <c r="P8" s="24">
        <f>'클럭 정리'!A9</f>
        <v/>
      </c>
      <c r="Q8" s="23">
        <f>'클럭 정리'!O9</f>
        <v/>
      </c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25" t="n"/>
      <c r="BN8" s="25" t="n"/>
      <c r="BO8" s="25" t="n"/>
      <c r="BP8" s="25" t="n"/>
      <c r="BQ8" s="25" t="n"/>
      <c r="BR8" s="25" t="n"/>
      <c r="BS8" s="25" t="n"/>
      <c r="BT8" s="25" t="n"/>
      <c r="BU8" s="25" t="n"/>
      <c r="BV8" s="25" t="n"/>
      <c r="BW8" s="25" t="n"/>
      <c r="BX8" s="25" t="n"/>
      <c r="BY8" s="25" t="n"/>
      <c r="BZ8" s="25" t="n"/>
      <c r="CA8" s="25" t="n"/>
      <c r="CB8" s="25" t="n"/>
      <c r="CC8" s="25" t="n"/>
      <c r="CD8" s="25" t="n"/>
      <c r="CE8" s="25" t="n"/>
      <c r="CF8" s="25" t="n"/>
      <c r="CG8" s="25" t="n"/>
      <c r="CH8" s="25" t="n"/>
      <c r="CI8" s="25" t="n"/>
      <c r="CJ8" s="25" t="n"/>
      <c r="CK8" s="25" t="n"/>
      <c r="CL8" s="25" t="n"/>
      <c r="CM8" s="25" t="n"/>
      <c r="CN8" s="25" t="n"/>
      <c r="CO8" s="25" t="n"/>
      <c r="CP8" s="25" t="n"/>
      <c r="CQ8" s="25" t="n"/>
      <c r="CR8" s="25" t="n"/>
      <c r="CS8" s="25" t="n"/>
      <c r="CT8" s="25" t="n"/>
      <c r="CU8" s="25" t="n"/>
      <c r="CV8" s="25" t="n"/>
      <c r="CW8" s="25" t="n"/>
      <c r="CX8" s="25" t="n"/>
      <c r="CY8" s="25" t="n"/>
      <c r="CZ8" s="25" t="n"/>
      <c r="DA8" s="25" t="n"/>
      <c r="DB8" s="25" t="n"/>
      <c r="DC8" s="25" t="n"/>
      <c r="DD8" s="25" t="n"/>
    </row>
    <row r="9">
      <c r="A9" s="21" t="inlineStr">
        <is>
          <t>시각</t>
        </is>
      </c>
      <c r="B9" s="21" t="inlineStr">
        <is>
          <t>ForkJoinPool-4-worker-1</t>
        </is>
      </c>
      <c r="C9" s="21" t="inlineStr">
        <is>
          <t>ForkJoinPool-4-worker-2</t>
        </is>
      </c>
      <c r="D9" s="21" t="inlineStr">
        <is>
          <t>ForkJoinPool-4-worker-3</t>
        </is>
      </c>
      <c r="E9" s="21" t="inlineStr">
        <is>
          <t>ForkJoinPool-4-worker-4</t>
        </is>
      </c>
      <c r="F9" s="21" t="inlineStr">
        <is>
          <t>ForkJoinPool-4-worker-5</t>
        </is>
      </c>
      <c r="G9" s="21" t="inlineStr">
        <is>
          <t>ForkJoinPool-4-worker-6</t>
        </is>
      </c>
      <c r="H9" s="21" t="inlineStr">
        <is>
          <t>main</t>
        </is>
      </c>
      <c r="P9" s="24">
        <f>'클럭 정리'!A10</f>
        <v/>
      </c>
      <c r="Q9" s="23">
        <f>'클럭 정리'!O10</f>
        <v/>
      </c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25" t="n"/>
      <c r="BV9" s="25" t="n"/>
      <c r="BW9" s="25" t="n"/>
      <c r="BX9" s="25" t="n"/>
      <c r="BY9" s="25" t="n"/>
      <c r="BZ9" s="25" t="n"/>
      <c r="CA9" s="25" t="n"/>
      <c r="CB9" s="25" t="n"/>
      <c r="CC9" s="25" t="n"/>
      <c r="CD9" s="25" t="n"/>
      <c r="CE9" s="25" t="n"/>
      <c r="CF9" s="25" t="n"/>
      <c r="CG9" s="25" t="n"/>
      <c r="CH9" s="25" t="n"/>
      <c r="CI9" s="25" t="n"/>
      <c r="CJ9" s="25" t="n"/>
      <c r="CK9" s="25" t="n"/>
      <c r="CL9" s="25" t="n"/>
      <c r="CM9" s="25" t="n"/>
      <c r="CN9" s="25" t="n"/>
      <c r="CO9" s="25" t="n"/>
      <c r="CP9" s="25" t="n"/>
      <c r="CQ9" s="25" t="n"/>
      <c r="CR9" s="25" t="n"/>
      <c r="CS9" s="25" t="n"/>
      <c r="CT9" s="25" t="n"/>
      <c r="CU9" s="25" t="n"/>
      <c r="CV9" s="25" t="n"/>
      <c r="CW9" s="25" t="n"/>
      <c r="CX9" s="25" t="n"/>
      <c r="CY9" s="25" t="n"/>
      <c r="CZ9" s="25" t="n"/>
      <c r="DA9" s="25" t="n"/>
      <c r="DB9" s="25" t="n"/>
      <c r="DC9" s="25" t="n"/>
      <c r="DD9" s="25" t="n"/>
    </row>
    <row r="10">
      <c r="A10" s="22">
        <f>'클럭 정리'!A43</f>
        <v/>
      </c>
      <c r="B10" s="23">
        <f>'클럭 정리'!O43</f>
        <v/>
      </c>
      <c r="C10" s="23">
        <f>'클럭 정리'!O43</f>
        <v/>
      </c>
      <c r="D10" s="23">
        <f>'클럭 정리'!O43</f>
        <v/>
      </c>
      <c r="E10" s="23">
        <f>'클럭 정리'!O43</f>
        <v/>
      </c>
      <c r="F10" s="23">
        <f>'클럭 정리'!O43</f>
        <v/>
      </c>
      <c r="G10" s="23">
        <f>'클럭 정리'!O43</f>
        <v/>
      </c>
      <c r="H10" s="23">
        <f>'클럭 정리'!O43</f>
        <v/>
      </c>
      <c r="P10" s="24">
        <f>'클럭 정리'!A11</f>
        <v/>
      </c>
      <c r="Q10" s="23">
        <f>'클럭 정리'!O11</f>
        <v/>
      </c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25" t="n"/>
      <c r="BZ10" s="25" t="n"/>
      <c r="CA10" s="25" t="n"/>
      <c r="CB10" s="25" t="n"/>
      <c r="CC10" s="25" t="n"/>
      <c r="CD10" s="25" t="n"/>
      <c r="CE10" s="25" t="n"/>
      <c r="CF10" s="25" t="n"/>
      <c r="CG10" s="25" t="n"/>
      <c r="CH10" s="25" t="n"/>
      <c r="CI10" s="25" t="n"/>
      <c r="CJ10" s="25" t="n"/>
      <c r="CK10" s="25" t="n"/>
      <c r="CL10" s="25" t="n"/>
      <c r="CM10" s="25" t="n"/>
      <c r="CN10" s="25" t="n"/>
      <c r="CO10" s="25" t="n"/>
      <c r="CP10" s="25" t="n"/>
      <c r="CQ10" s="25" t="n"/>
      <c r="CR10" s="25" t="n"/>
      <c r="CS10" s="25" t="n"/>
      <c r="CT10" s="25" t="n"/>
      <c r="CU10" s="25" t="n"/>
      <c r="CV10" s="25" t="n"/>
      <c r="CW10" s="25" t="n"/>
      <c r="CX10" s="25" t="n"/>
      <c r="CY10" s="25" t="n"/>
      <c r="CZ10" s="25" t="n"/>
      <c r="DA10" s="25" t="n"/>
      <c r="DB10" s="25" t="n"/>
      <c r="DC10" s="25" t="n"/>
      <c r="DD10" s="25" t="n"/>
    </row>
    <row r="11">
      <c r="A11" s="22">
        <f>'클럭 정리'!A44</f>
        <v/>
      </c>
      <c r="B11" s="23">
        <f>'클럭 정리'!O44</f>
        <v/>
      </c>
      <c r="C11" s="23">
        <f>'클럭 정리'!O44</f>
        <v/>
      </c>
      <c r="D11" s="23">
        <f>'클럭 정리'!O44</f>
        <v/>
      </c>
      <c r="E11" s="23">
        <f>'클럭 정리'!O44</f>
        <v/>
      </c>
      <c r="F11" s="23">
        <f>'클럭 정리'!O44</f>
        <v/>
      </c>
      <c r="G11" s="23">
        <f>'클럭 정리'!O44</f>
        <v/>
      </c>
      <c r="H11" s="23">
        <f>'클럭 정리'!O44</f>
        <v/>
      </c>
      <c r="P11" s="24">
        <f>'클럭 정리'!A12</f>
        <v/>
      </c>
      <c r="Q11" s="23">
        <f>'클럭 정리'!O12</f>
        <v/>
      </c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n"/>
      <c r="CA11" s="25" t="n"/>
      <c r="CB11" s="25" t="n"/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  <c r="CQ11" s="25" t="n"/>
      <c r="CR11" s="25" t="n"/>
      <c r="CS11" s="25" t="n"/>
      <c r="CT11" s="25" t="n"/>
      <c r="CU11" s="25" t="n"/>
      <c r="CV11" s="25" t="n"/>
      <c r="CW11" s="25" t="n"/>
      <c r="CX11" s="25" t="n"/>
      <c r="CY11" s="25" t="n"/>
      <c r="CZ11" s="25" t="n"/>
      <c r="DA11" s="25" t="n"/>
      <c r="DB11" s="25" t="n"/>
      <c r="DC11" s="25" t="n"/>
      <c r="DD11" s="25" t="n"/>
    </row>
    <row r="12">
      <c r="P12" s="24">
        <f>'클럭 정리'!A13</f>
        <v/>
      </c>
      <c r="Q12" s="23">
        <f>'클럭 정리'!O13</f>
        <v/>
      </c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5" t="n"/>
      <c r="CA12" s="25" t="n"/>
      <c r="CB12" s="25" t="n"/>
      <c r="CC12" s="25" t="n"/>
      <c r="CD12" s="25" t="n"/>
      <c r="CE12" s="25" t="n"/>
      <c r="CF12" s="25" t="n"/>
      <c r="CG12" s="25" t="n"/>
      <c r="CH12" s="25" t="n"/>
      <c r="CI12" s="25" t="n"/>
      <c r="CJ12" s="25" t="n"/>
      <c r="CK12" s="25" t="n"/>
      <c r="CL12" s="25" t="n"/>
      <c r="CM12" s="25" t="n"/>
      <c r="CN12" s="25" t="n"/>
      <c r="CO12" s="25" t="n"/>
      <c r="CP12" s="25" t="n"/>
      <c r="CQ12" s="25" t="n"/>
      <c r="CR12" s="25" t="n"/>
      <c r="CS12" s="25" t="n"/>
      <c r="CT12" s="25" t="n"/>
      <c r="CU12" s="25" t="n"/>
      <c r="CV12" s="25" t="n"/>
      <c r="CW12" s="25" t="n"/>
      <c r="CX12" s="25" t="n"/>
      <c r="CY12" s="25" t="n"/>
      <c r="CZ12" s="25" t="n"/>
      <c r="DA12" s="25" t="n"/>
      <c r="DB12" s="25" t="n"/>
      <c r="DC12" s="25" t="n"/>
      <c r="DD12" s="25" t="n"/>
    </row>
    <row r="13">
      <c r="A13" s="2" t="inlineStr">
        <is>
          <t>병렬도 6 분할 11 측정 3회차 (스레드별 클럭, GHz)</t>
        </is>
      </c>
      <c r="P13" s="24">
        <f>'클럭 정리'!A14</f>
        <v/>
      </c>
      <c r="Q13" s="23">
        <f>'클럭 정리'!O14</f>
        <v/>
      </c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25" t="n"/>
      <c r="DB13" s="25" t="n"/>
      <c r="DC13" s="25" t="n"/>
      <c r="DD13" s="25" t="n"/>
    </row>
    <row r="14">
      <c r="A14" s="21" t="inlineStr">
        <is>
          <t>시각</t>
        </is>
      </c>
      <c r="B14" s="21" t="inlineStr">
        <is>
          <t>ForkJoinPool-5-worker-1</t>
        </is>
      </c>
      <c r="C14" s="21" t="inlineStr">
        <is>
          <t>ForkJoinPool-5-worker-2</t>
        </is>
      </c>
      <c r="D14" s="21" t="inlineStr">
        <is>
          <t>ForkJoinPool-5-worker-3</t>
        </is>
      </c>
      <c r="E14" s="21" t="inlineStr">
        <is>
          <t>ForkJoinPool-5-worker-4</t>
        </is>
      </c>
      <c r="F14" s="21" t="inlineStr">
        <is>
          <t>ForkJoinPool-5-worker-5</t>
        </is>
      </c>
      <c r="G14" s="21" t="inlineStr">
        <is>
          <t>ForkJoinPool-5-worker-6</t>
        </is>
      </c>
      <c r="H14" s="21" t="inlineStr">
        <is>
          <t>main</t>
        </is>
      </c>
      <c r="P14" s="24">
        <f>'클럭 정리'!A15</f>
        <v/>
      </c>
      <c r="Q14" s="23">
        <f>'클럭 정리'!O15</f>
        <v/>
      </c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25" t="n"/>
      <c r="BX14" s="25" t="n"/>
      <c r="BY14" s="25" t="n"/>
      <c r="BZ14" s="25" t="n"/>
      <c r="CA14" s="25" t="n"/>
      <c r="CB14" s="25" t="n"/>
      <c r="CC14" s="25" t="n"/>
      <c r="CD14" s="25" t="n"/>
      <c r="CE14" s="25" t="n"/>
      <c r="CF14" s="25" t="n"/>
      <c r="CG14" s="25" t="n"/>
      <c r="CH14" s="25" t="n"/>
      <c r="CI14" s="25" t="n"/>
      <c r="CJ14" s="25" t="n"/>
      <c r="CK14" s="25" t="n"/>
      <c r="CL14" s="25" t="n"/>
      <c r="CM14" s="25" t="n"/>
      <c r="CN14" s="25" t="n"/>
      <c r="CO14" s="25" t="n"/>
      <c r="CP14" s="25" t="n"/>
      <c r="CQ14" s="25" t="n"/>
      <c r="CR14" s="25" t="n"/>
      <c r="CS14" s="25" t="n"/>
      <c r="CT14" s="25" t="n"/>
      <c r="CU14" s="25" t="n"/>
      <c r="CV14" s="25" t="n"/>
      <c r="CW14" s="25" t="n"/>
      <c r="CX14" s="25" t="n"/>
      <c r="CY14" s="25" t="n"/>
      <c r="CZ14" s="25" t="n"/>
      <c r="DA14" s="25" t="n"/>
      <c r="DB14" s="25" t="n"/>
      <c r="DC14" s="25" t="n"/>
      <c r="DD14" s="25" t="n"/>
    </row>
    <row r="15">
      <c r="A15" s="22">
        <f>'클럭 정리'!A45</f>
        <v/>
      </c>
      <c r="B15" s="23">
        <f>'클럭 정리'!O45</f>
        <v/>
      </c>
      <c r="C15" s="23">
        <f>'클럭 정리'!O45</f>
        <v/>
      </c>
      <c r="D15" s="23">
        <f>'클럭 정리'!O45</f>
        <v/>
      </c>
      <c r="E15" s="23">
        <f>'클럭 정리'!O45</f>
        <v/>
      </c>
      <c r="F15" s="23">
        <f>'클럭 정리'!O45</f>
        <v/>
      </c>
      <c r="G15" s="23">
        <f>'클럭 정리'!O45</f>
        <v/>
      </c>
      <c r="H15" s="23">
        <f>'클럭 정리'!O45</f>
        <v/>
      </c>
      <c r="P15" s="24">
        <f>'클럭 정리'!A16</f>
        <v/>
      </c>
      <c r="Q15" s="23">
        <f>'클럭 정리'!O16</f>
        <v/>
      </c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25" t="n"/>
      <c r="BX15" s="25" t="n"/>
      <c r="BY15" s="25" t="n"/>
      <c r="BZ15" s="25" t="n"/>
      <c r="CA15" s="25" t="n"/>
      <c r="CB15" s="25" t="n"/>
      <c r="CC15" s="25" t="n"/>
      <c r="CD15" s="25" t="n"/>
      <c r="CE15" s="25" t="n"/>
      <c r="CF15" s="25" t="n"/>
      <c r="CG15" s="25" t="n"/>
      <c r="CH15" s="25" t="n"/>
      <c r="CI15" s="25" t="n"/>
      <c r="CJ15" s="25" t="n"/>
      <c r="CK15" s="25" t="n"/>
      <c r="CL15" s="25" t="n"/>
      <c r="CM15" s="25" t="n"/>
      <c r="CN15" s="25" t="n"/>
      <c r="CO15" s="25" t="n"/>
      <c r="CP15" s="25" t="n"/>
      <c r="CQ15" s="25" t="n"/>
      <c r="CR15" s="25" t="n"/>
      <c r="CS15" s="25" t="n"/>
      <c r="CT15" s="25" t="n"/>
      <c r="CU15" s="25" t="n"/>
      <c r="CV15" s="25" t="n"/>
      <c r="CW15" s="25" t="n"/>
      <c r="CX15" s="25" t="n"/>
      <c r="CY15" s="25" t="n"/>
      <c r="CZ15" s="25" t="n"/>
      <c r="DA15" s="25" t="n"/>
      <c r="DB15" s="25" t="n"/>
      <c r="DC15" s="25" t="n"/>
      <c r="DD15" s="25" t="n"/>
    </row>
    <row r="16">
      <c r="P16" s="24">
        <f>'클럭 정리'!A17</f>
        <v/>
      </c>
      <c r="Q16" s="23">
        <f>'클럭 정리'!O17</f>
        <v/>
      </c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25" t="n"/>
      <c r="CE16" s="25" t="n"/>
      <c r="CF16" s="25" t="n"/>
      <c r="CG16" s="25" t="n"/>
      <c r="CH16" s="25" t="n"/>
      <c r="CI16" s="25" t="n"/>
      <c r="CJ16" s="25" t="n"/>
      <c r="CK16" s="25" t="n"/>
      <c r="CL16" s="25" t="n"/>
      <c r="CM16" s="25" t="n"/>
      <c r="CN16" s="25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25" t="n"/>
      <c r="DB16" s="25" t="n"/>
      <c r="DC16" s="25" t="n"/>
      <c r="DD16" s="25" t="n"/>
    </row>
    <row r="17">
      <c r="A17" s="2" t="inlineStr">
        <is>
          <t>병렬도 6 분할 11 측정 4회차 (스레드별 클럭, GHz)</t>
        </is>
      </c>
      <c r="P17" s="24">
        <f>'클럭 정리'!A18</f>
        <v/>
      </c>
      <c r="Q17" s="23">
        <f>'클럭 정리'!O18</f>
        <v/>
      </c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25" t="n"/>
      <c r="DB17" s="25" t="n"/>
      <c r="DC17" s="25" t="n"/>
      <c r="DD17" s="25" t="n"/>
    </row>
    <row r="18">
      <c r="A18" s="21" t="inlineStr">
        <is>
          <t>시각</t>
        </is>
      </c>
      <c r="B18" s="21" t="inlineStr">
        <is>
          <t>ForkJoinPool-6-worker-1</t>
        </is>
      </c>
      <c r="C18" s="21" t="inlineStr">
        <is>
          <t>ForkJoinPool-6-worker-2</t>
        </is>
      </c>
      <c r="D18" s="21" t="inlineStr">
        <is>
          <t>ForkJoinPool-6-worker-3</t>
        </is>
      </c>
      <c r="E18" s="21" t="inlineStr">
        <is>
          <t>ForkJoinPool-6-worker-4</t>
        </is>
      </c>
      <c r="F18" s="21" t="inlineStr">
        <is>
          <t>ForkJoinPool-6-worker-5</t>
        </is>
      </c>
      <c r="G18" s="21" t="inlineStr">
        <is>
          <t>ForkJoinPool-6-worker-6</t>
        </is>
      </c>
      <c r="H18" s="21" t="inlineStr">
        <is>
          <t>main</t>
        </is>
      </c>
      <c r="P18" s="24">
        <f>'클럭 정리'!A19</f>
        <v/>
      </c>
      <c r="Q18" s="23">
        <f>'클럭 정리'!O19</f>
        <v/>
      </c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25" t="n"/>
      <c r="DB18" s="25" t="n"/>
      <c r="DC18" s="25" t="n"/>
      <c r="DD18" s="25" t="n"/>
    </row>
    <row r="19">
      <c r="A19" s="22">
        <f>'클럭 정리'!A46</f>
        <v/>
      </c>
      <c r="B19" s="23">
        <f>'클럭 정리'!O46</f>
        <v/>
      </c>
      <c r="C19" s="23">
        <f>'클럭 정리'!O46</f>
        <v/>
      </c>
      <c r="D19" s="23">
        <f>'클럭 정리'!O46</f>
        <v/>
      </c>
      <c r="E19" s="23">
        <f>'클럭 정리'!O46</f>
        <v/>
      </c>
      <c r="F19" s="23">
        <f>'클럭 정리'!O46</f>
        <v/>
      </c>
      <c r="G19" s="23">
        <f>'클럭 정리'!O46</f>
        <v/>
      </c>
      <c r="H19" s="23">
        <f>'클럭 정리'!O46</f>
        <v/>
      </c>
      <c r="P19" s="24">
        <f>'클럭 정리'!A20</f>
        <v/>
      </c>
      <c r="Q19" s="23">
        <f>'클럭 정리'!O20</f>
        <v/>
      </c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25" t="n"/>
      <c r="CA19" s="25" t="n"/>
      <c r="CB19" s="25" t="n"/>
      <c r="CC19" s="2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25" t="n"/>
      <c r="DB19" s="25" t="n"/>
      <c r="DC19" s="25" t="n"/>
      <c r="DD19" s="25" t="n"/>
    </row>
    <row r="20">
      <c r="A20" s="22">
        <f>'클럭 정리'!A47</f>
        <v/>
      </c>
      <c r="B20" s="23">
        <f>'클럭 정리'!O47</f>
        <v/>
      </c>
      <c r="C20" s="23">
        <f>'클럭 정리'!O47</f>
        <v/>
      </c>
      <c r="D20" s="23">
        <f>'클럭 정리'!O47</f>
        <v/>
      </c>
      <c r="E20" s="23">
        <f>'클럭 정리'!O47</f>
        <v/>
      </c>
      <c r="F20" s="23">
        <f>'클럭 정리'!O47</f>
        <v/>
      </c>
      <c r="G20" s="23">
        <f>'클럭 정리'!O47</f>
        <v/>
      </c>
      <c r="H20" s="23">
        <f>'클럭 정리'!O47</f>
        <v/>
      </c>
      <c r="P20" s="24">
        <f>'클럭 정리'!A21</f>
        <v/>
      </c>
      <c r="Q20" s="23">
        <f>'클럭 정리'!O21</f>
        <v/>
      </c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25" t="n"/>
      <c r="DB20" s="25" t="n"/>
      <c r="DC20" s="25" t="n"/>
      <c r="DD20" s="25" t="n"/>
    </row>
    <row r="21">
      <c r="P21" s="24">
        <f>'클럭 정리'!A22</f>
        <v/>
      </c>
      <c r="Q21" s="23">
        <f>'클럭 정리'!O22</f>
        <v/>
      </c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25" t="n"/>
      <c r="DB21" s="25" t="n"/>
      <c r="DC21" s="25" t="n"/>
      <c r="DD21" s="25" t="n"/>
    </row>
    <row r="22">
      <c r="A22" s="2" t="inlineStr">
        <is>
          <t>병렬도 6 분할 11 측정 5회차 (스레드별 클럭, GHz)</t>
        </is>
      </c>
      <c r="P22" s="24">
        <f>'클럭 정리'!A23</f>
        <v/>
      </c>
      <c r="Q22" s="23">
        <f>'클럭 정리'!O23</f>
        <v/>
      </c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25" t="n"/>
      <c r="DB22" s="25" t="n"/>
      <c r="DC22" s="25" t="n"/>
      <c r="DD22" s="25" t="n"/>
    </row>
    <row r="23">
      <c r="A23" s="21" t="inlineStr">
        <is>
          <t>시각</t>
        </is>
      </c>
      <c r="B23" s="21" t="inlineStr">
        <is>
          <t>ForkJoinPool-7-worker-1</t>
        </is>
      </c>
      <c r="C23" s="21" t="inlineStr">
        <is>
          <t>ForkJoinPool-7-worker-2</t>
        </is>
      </c>
      <c r="D23" s="21" t="inlineStr">
        <is>
          <t>ForkJoinPool-7-worker-3</t>
        </is>
      </c>
      <c r="E23" s="21" t="inlineStr">
        <is>
          <t>ForkJoinPool-7-worker-4</t>
        </is>
      </c>
      <c r="F23" s="21" t="inlineStr">
        <is>
          <t>ForkJoinPool-7-worker-5</t>
        </is>
      </c>
      <c r="G23" s="21" t="inlineStr">
        <is>
          <t>ForkJoinPool-7-worker-6</t>
        </is>
      </c>
      <c r="H23" s="21" t="inlineStr">
        <is>
          <t>main</t>
        </is>
      </c>
      <c r="P23" s="24">
        <f>'클럭 정리'!A24</f>
        <v/>
      </c>
      <c r="Q23" s="23">
        <f>'클럭 정리'!O24</f>
        <v/>
      </c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25" t="n"/>
      <c r="DB23" s="25" t="n"/>
      <c r="DC23" s="25" t="n"/>
      <c r="DD23" s="25" t="n"/>
    </row>
    <row r="24">
      <c r="A24" s="22">
        <f>'클럭 정리'!A48</f>
        <v/>
      </c>
      <c r="B24" s="23">
        <f>'클럭 정리'!O48</f>
        <v/>
      </c>
      <c r="C24" s="23">
        <f>'클럭 정리'!O48</f>
        <v/>
      </c>
      <c r="D24" s="23">
        <f>'클럭 정리'!O48</f>
        <v/>
      </c>
      <c r="E24" s="23">
        <f>'클럭 정리'!O48</f>
        <v/>
      </c>
      <c r="F24" s="23">
        <f>'클럭 정리'!O48</f>
        <v/>
      </c>
      <c r="G24" s="23">
        <f>'클럭 정리'!O48</f>
        <v/>
      </c>
      <c r="H24" s="23">
        <f>'클럭 정리'!O48</f>
        <v/>
      </c>
      <c r="P24" s="24">
        <f>'클럭 정리'!A25</f>
        <v/>
      </c>
      <c r="Q24" s="23">
        <f>'클럭 정리'!O25</f>
        <v/>
      </c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25" t="n"/>
      <c r="BU24" s="25" t="n"/>
      <c r="BV24" s="25" t="n"/>
      <c r="BW24" s="25" t="n"/>
      <c r="BX24" s="25" t="n"/>
      <c r="BY24" s="25" t="n"/>
      <c r="BZ24" s="25" t="n"/>
      <c r="CA24" s="25" t="n"/>
      <c r="CB24" s="25" t="n"/>
      <c r="CC24" s="25" t="n"/>
      <c r="CD24" s="25" t="n"/>
      <c r="CE24" s="25" t="n"/>
      <c r="CF24" s="25" t="n"/>
      <c r="CG24" s="25" t="n"/>
      <c r="CH24" s="25" t="n"/>
      <c r="CI24" s="25" t="n"/>
      <c r="CJ24" s="25" t="n"/>
      <c r="CK24" s="25" t="n"/>
      <c r="CL24" s="25" t="n"/>
      <c r="CM24" s="25" t="n"/>
      <c r="CN24" s="25" t="n"/>
      <c r="CO24" s="25" t="n"/>
      <c r="CP24" s="25" t="n"/>
      <c r="CQ24" s="25" t="n"/>
      <c r="CR24" s="25" t="n"/>
      <c r="CS24" s="25" t="n"/>
      <c r="CT24" s="25" t="n"/>
      <c r="CU24" s="25" t="n"/>
      <c r="CV24" s="25" t="n"/>
      <c r="CW24" s="25" t="n"/>
      <c r="CX24" s="25" t="n"/>
      <c r="CY24" s="25" t="n"/>
      <c r="CZ24" s="25" t="n"/>
      <c r="DA24" s="25" t="n"/>
      <c r="DB24" s="25" t="n"/>
      <c r="DC24" s="25" t="n"/>
      <c r="DD24" s="25" t="n"/>
    </row>
    <row r="25">
      <c r="A25" s="22">
        <f>'클럭 정리'!A49</f>
        <v/>
      </c>
      <c r="B25" s="23">
        <f>'클럭 정리'!O49</f>
        <v/>
      </c>
      <c r="C25" s="23">
        <f>'클럭 정리'!O49</f>
        <v/>
      </c>
      <c r="D25" s="23">
        <f>'클럭 정리'!O49</f>
        <v/>
      </c>
      <c r="E25" s="23">
        <f>'클럭 정리'!O49</f>
        <v/>
      </c>
      <c r="F25" s="23">
        <f>'클럭 정리'!O49</f>
        <v/>
      </c>
      <c r="G25" s="23">
        <f>'클럭 정리'!O49</f>
        <v/>
      </c>
      <c r="H25" s="23">
        <f>'클럭 정리'!O49</f>
        <v/>
      </c>
      <c r="P25" s="24">
        <f>'클럭 정리'!A26</f>
        <v/>
      </c>
      <c r="Q25" s="23">
        <f>'클럭 정리'!O26</f>
        <v/>
      </c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25" t="n"/>
      <c r="BU25" s="25" t="n"/>
      <c r="BV25" s="25" t="n"/>
      <c r="BW25" s="25" t="n"/>
      <c r="BX25" s="25" t="n"/>
      <c r="BY25" s="25" t="n"/>
      <c r="BZ25" s="25" t="n"/>
      <c r="CA25" s="25" t="n"/>
      <c r="CB25" s="25" t="n"/>
      <c r="CC25" s="25" t="n"/>
      <c r="CD25" s="25" t="n"/>
      <c r="CE25" s="25" t="n"/>
      <c r="CF25" s="25" t="n"/>
      <c r="CG25" s="25" t="n"/>
      <c r="CH25" s="25" t="n"/>
      <c r="CI25" s="25" t="n"/>
      <c r="CJ25" s="25" t="n"/>
      <c r="CK25" s="25" t="n"/>
      <c r="CL25" s="25" t="n"/>
      <c r="CM25" s="25" t="n"/>
      <c r="CN25" s="25" t="n"/>
      <c r="CO25" s="25" t="n"/>
      <c r="CP25" s="25" t="n"/>
      <c r="CQ25" s="25" t="n"/>
      <c r="CR25" s="25" t="n"/>
      <c r="CS25" s="25" t="n"/>
      <c r="CT25" s="25" t="n"/>
      <c r="CU25" s="25" t="n"/>
      <c r="CV25" s="25" t="n"/>
      <c r="CW25" s="25" t="n"/>
      <c r="CX25" s="25" t="n"/>
      <c r="CY25" s="25" t="n"/>
      <c r="CZ25" s="25" t="n"/>
      <c r="DA25" s="25" t="n"/>
      <c r="DB25" s="25" t="n"/>
      <c r="DC25" s="25" t="n"/>
      <c r="DD25" s="25" t="n"/>
    </row>
    <row r="26">
      <c r="P26" s="24">
        <f>'클럭 정리'!A27</f>
        <v/>
      </c>
      <c r="Q26" s="23">
        <f>'클럭 정리'!O27</f>
        <v/>
      </c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25" t="n"/>
      <c r="BM26" s="25" t="n"/>
      <c r="BN26" s="25" t="n"/>
      <c r="BO26" s="25" t="n"/>
      <c r="BP26" s="25" t="n"/>
      <c r="BQ26" s="25" t="n"/>
      <c r="BR26" s="25" t="n"/>
      <c r="BS26" s="25" t="n"/>
      <c r="BT26" s="25" t="n"/>
      <c r="BU26" s="25" t="n"/>
      <c r="BV26" s="25" t="n"/>
      <c r="BW26" s="25" t="n"/>
      <c r="BX26" s="25" t="n"/>
      <c r="BY26" s="25" t="n"/>
      <c r="BZ26" s="25" t="n"/>
      <c r="CA26" s="25" t="n"/>
      <c r="CB26" s="25" t="n"/>
      <c r="CC26" s="25" t="n"/>
      <c r="CD26" s="25" t="n"/>
      <c r="CE26" s="25" t="n"/>
      <c r="CF26" s="25" t="n"/>
      <c r="CG26" s="25" t="n"/>
      <c r="CH26" s="25" t="n"/>
      <c r="CI26" s="25" t="n"/>
      <c r="CJ26" s="25" t="n"/>
      <c r="CK26" s="25" t="n"/>
      <c r="CL26" s="25" t="n"/>
      <c r="CM26" s="25" t="n"/>
      <c r="CN26" s="25" t="n"/>
      <c r="CO26" s="25" t="n"/>
      <c r="CP26" s="25" t="n"/>
      <c r="CQ26" s="25" t="n"/>
      <c r="CR26" s="25" t="n"/>
      <c r="CS26" s="25" t="n"/>
      <c r="CT26" s="25" t="n"/>
      <c r="CU26" s="25" t="n"/>
      <c r="CV26" s="25" t="n"/>
      <c r="CW26" s="25" t="n"/>
      <c r="CX26" s="25" t="n"/>
      <c r="CY26" s="25" t="n"/>
      <c r="CZ26" s="25" t="n"/>
      <c r="DA26" s="25" t="n"/>
      <c r="DB26" s="25" t="n"/>
      <c r="DC26" s="25" t="n"/>
      <c r="DD26" s="25" t="n"/>
    </row>
    <row r="27">
      <c r="A27" s="2" t="inlineStr">
        <is>
          <t>병렬도 12 분할 11 측정 1회차 (스레드별 클럭, GHz)</t>
        </is>
      </c>
      <c r="P27" s="24">
        <f>'클럭 정리'!A28</f>
        <v/>
      </c>
      <c r="Q27" s="23">
        <f>'클럭 정리'!O28</f>
        <v/>
      </c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25" t="n"/>
      <c r="BX27" s="25" t="n"/>
      <c r="BY27" s="25" t="n"/>
      <c r="BZ27" s="25" t="n"/>
      <c r="CA27" s="25" t="n"/>
      <c r="CB27" s="25" t="n"/>
      <c r="CC27" s="25" t="n"/>
      <c r="CD27" s="25" t="n"/>
      <c r="CE27" s="25" t="n"/>
      <c r="CF27" s="25" t="n"/>
      <c r="CG27" s="25" t="n"/>
      <c r="CH27" s="25" t="n"/>
      <c r="CI27" s="25" t="n"/>
      <c r="CJ27" s="25" t="n"/>
      <c r="CK27" s="25" t="n"/>
      <c r="CL27" s="25" t="n"/>
      <c r="CM27" s="25" t="n"/>
      <c r="CN27" s="25" t="n"/>
      <c r="CO27" s="25" t="n"/>
      <c r="CP27" s="25" t="n"/>
      <c r="CQ27" s="25" t="n"/>
      <c r="CR27" s="25" t="n"/>
      <c r="CS27" s="25" t="n"/>
      <c r="CT27" s="25" t="n"/>
      <c r="CU27" s="25" t="n"/>
      <c r="CV27" s="25" t="n"/>
      <c r="CW27" s="25" t="n"/>
      <c r="CX27" s="25" t="n"/>
      <c r="CY27" s="25" t="n"/>
      <c r="CZ27" s="25" t="n"/>
      <c r="DA27" s="25" t="n"/>
      <c r="DB27" s="25" t="n"/>
      <c r="DC27" s="25" t="n"/>
      <c r="DD27" s="25" t="n"/>
    </row>
    <row r="28">
      <c r="A28" s="21" t="inlineStr">
        <is>
          <t>시각</t>
        </is>
      </c>
      <c r="B28" s="21" t="inlineStr">
        <is>
          <t>ForkJoinPool-11-worker-1</t>
        </is>
      </c>
      <c r="C28" s="21" t="inlineStr">
        <is>
          <t>ForkJoinPool-11-worker-10</t>
        </is>
      </c>
      <c r="D28" s="21" t="inlineStr">
        <is>
          <t>ForkJoinPool-11-worker-11</t>
        </is>
      </c>
      <c r="E28" s="21" t="inlineStr">
        <is>
          <t>ForkJoinPool-11-worker-12</t>
        </is>
      </c>
      <c r="F28" s="21" t="inlineStr">
        <is>
          <t>ForkJoinPool-11-worker-2</t>
        </is>
      </c>
      <c r="G28" s="21" t="inlineStr">
        <is>
          <t>ForkJoinPool-11-worker-3</t>
        </is>
      </c>
      <c r="H28" s="21" t="inlineStr">
        <is>
          <t>ForkJoinPool-11-worker-4</t>
        </is>
      </c>
      <c r="I28" s="21" t="inlineStr">
        <is>
          <t>ForkJoinPool-11-worker-5</t>
        </is>
      </c>
      <c r="J28" s="21" t="inlineStr">
        <is>
          <t>ForkJoinPool-11-worker-6</t>
        </is>
      </c>
      <c r="K28" s="21" t="inlineStr">
        <is>
          <t>ForkJoinPool-11-worker-7</t>
        </is>
      </c>
      <c r="L28" s="21" t="inlineStr">
        <is>
          <t>ForkJoinPool-11-worker-8</t>
        </is>
      </c>
      <c r="M28" s="21" t="inlineStr">
        <is>
          <t>ForkJoinPool-11-worker-9</t>
        </is>
      </c>
      <c r="N28" s="21" t="inlineStr">
        <is>
          <t>main</t>
        </is>
      </c>
      <c r="P28" s="24">
        <f>'클럭 정리'!A29</f>
        <v/>
      </c>
      <c r="Q28" s="23">
        <f>'클럭 정리'!O29</f>
        <v/>
      </c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25" t="n"/>
      <c r="BU28" s="25" t="n"/>
      <c r="BV28" s="25" t="n"/>
      <c r="BW28" s="25" t="n"/>
      <c r="BX28" s="25" t="n"/>
      <c r="BY28" s="25" t="n"/>
      <c r="BZ28" s="25" t="n"/>
      <c r="CA28" s="25" t="n"/>
      <c r="CB28" s="25" t="n"/>
      <c r="CC28" s="25" t="n"/>
      <c r="CD28" s="25" t="n"/>
      <c r="CE28" s="25" t="n"/>
      <c r="CF28" s="25" t="n"/>
      <c r="CG28" s="25" t="n"/>
      <c r="CH28" s="25" t="n"/>
      <c r="CI28" s="25" t="n"/>
      <c r="CJ28" s="25" t="n"/>
      <c r="CK28" s="25" t="n"/>
      <c r="CL28" s="25" t="n"/>
      <c r="CM28" s="25" t="n"/>
      <c r="CN28" s="25" t="n"/>
      <c r="CO28" s="25" t="n"/>
      <c r="CP28" s="25" t="n"/>
      <c r="CQ28" s="25" t="n"/>
      <c r="CR28" s="25" t="n"/>
      <c r="CS28" s="25" t="n"/>
      <c r="CT28" s="25" t="n"/>
      <c r="CU28" s="25" t="n"/>
      <c r="CV28" s="25" t="n"/>
      <c r="CW28" s="25" t="n"/>
      <c r="CX28" s="25" t="n"/>
      <c r="CY28" s="25" t="n"/>
      <c r="CZ28" s="25" t="n"/>
      <c r="DA28" s="25" t="n"/>
      <c r="DB28" s="25" t="n"/>
      <c r="DC28" s="25" t="n"/>
      <c r="DD28" s="25" t="n"/>
    </row>
    <row r="29">
      <c r="A29" s="22">
        <f>'클럭 정리'!A55</f>
        <v/>
      </c>
      <c r="B29" s="23">
        <f>'클럭 정리'!O55</f>
        <v/>
      </c>
      <c r="C29" s="23">
        <f>'클럭 정리'!O55</f>
        <v/>
      </c>
      <c r="D29" s="25" t="n"/>
      <c r="E29" s="23">
        <f>'클럭 정리'!O55</f>
        <v/>
      </c>
      <c r="F29" s="23">
        <f>'클럭 정리'!O55</f>
        <v/>
      </c>
      <c r="G29" s="23">
        <f>'클럭 정리'!O55</f>
        <v/>
      </c>
      <c r="H29" s="23">
        <f>'클럭 정리'!O55</f>
        <v/>
      </c>
      <c r="I29" s="23">
        <f>'클럭 정리'!O55</f>
        <v/>
      </c>
      <c r="J29" s="23">
        <f>'클럭 정리'!O55</f>
        <v/>
      </c>
      <c r="K29" s="23">
        <f>'클럭 정리'!O55</f>
        <v/>
      </c>
      <c r="L29" s="23">
        <f>'클럭 정리'!O55</f>
        <v/>
      </c>
      <c r="M29" s="23">
        <f>'클럭 정리'!O55</f>
        <v/>
      </c>
      <c r="N29" s="23">
        <f>'클럭 정리'!O55</f>
        <v/>
      </c>
      <c r="P29" s="24">
        <f>'클럭 정리'!A30</f>
        <v/>
      </c>
      <c r="Q29" s="23">
        <f>'클럭 정리'!O30</f>
        <v/>
      </c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25" t="n"/>
      <c r="BX29" s="25" t="n"/>
      <c r="BY29" s="25" t="n"/>
      <c r="BZ29" s="25" t="n"/>
      <c r="CA29" s="25" t="n"/>
      <c r="CB29" s="25" t="n"/>
      <c r="CC29" s="25" t="n"/>
      <c r="CD29" s="25" t="n"/>
      <c r="CE29" s="25" t="n"/>
      <c r="CF29" s="25" t="n"/>
      <c r="CG29" s="25" t="n"/>
      <c r="CH29" s="25" t="n"/>
      <c r="CI29" s="25" t="n"/>
      <c r="CJ29" s="25" t="n"/>
      <c r="CK29" s="25" t="n"/>
      <c r="CL29" s="25" t="n"/>
      <c r="CM29" s="25" t="n"/>
      <c r="CN29" s="25" t="n"/>
      <c r="CO29" s="25" t="n"/>
      <c r="CP29" s="25" t="n"/>
      <c r="CQ29" s="25" t="n"/>
      <c r="CR29" s="25" t="n"/>
      <c r="CS29" s="25" t="n"/>
      <c r="CT29" s="25" t="n"/>
      <c r="CU29" s="25" t="n"/>
      <c r="CV29" s="25" t="n"/>
      <c r="CW29" s="25" t="n"/>
      <c r="CX29" s="25" t="n"/>
      <c r="CY29" s="25" t="n"/>
      <c r="CZ29" s="25" t="n"/>
      <c r="DA29" s="25" t="n"/>
      <c r="DB29" s="25" t="n"/>
      <c r="DC29" s="25" t="n"/>
      <c r="DD29" s="25" t="n"/>
    </row>
    <row r="30">
      <c r="P30" s="24">
        <f>'클럭 정리'!A31</f>
        <v/>
      </c>
      <c r="Q30" s="23">
        <f>'클럭 정리'!O31</f>
        <v/>
      </c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25" t="n"/>
      <c r="BU30" s="25" t="n"/>
      <c r="BV30" s="25" t="n"/>
      <c r="BW30" s="25" t="n"/>
      <c r="BX30" s="25" t="n"/>
      <c r="BY30" s="25" t="n"/>
      <c r="BZ30" s="25" t="n"/>
      <c r="CA30" s="25" t="n"/>
      <c r="CB30" s="25" t="n"/>
      <c r="CC30" s="25" t="n"/>
      <c r="CD30" s="25" t="n"/>
      <c r="CE30" s="25" t="n"/>
      <c r="CF30" s="25" t="n"/>
      <c r="CG30" s="25" t="n"/>
      <c r="CH30" s="25" t="n"/>
      <c r="CI30" s="25" t="n"/>
      <c r="CJ30" s="25" t="n"/>
      <c r="CK30" s="25" t="n"/>
      <c r="CL30" s="25" t="n"/>
      <c r="CM30" s="25" t="n"/>
      <c r="CN30" s="25" t="n"/>
      <c r="CO30" s="25" t="n"/>
      <c r="CP30" s="25" t="n"/>
      <c r="CQ30" s="25" t="n"/>
      <c r="CR30" s="25" t="n"/>
      <c r="CS30" s="25" t="n"/>
      <c r="CT30" s="25" t="n"/>
      <c r="CU30" s="25" t="n"/>
      <c r="CV30" s="25" t="n"/>
      <c r="CW30" s="25" t="n"/>
      <c r="CX30" s="25" t="n"/>
      <c r="CY30" s="25" t="n"/>
      <c r="CZ30" s="25" t="n"/>
      <c r="DA30" s="25" t="n"/>
      <c r="DB30" s="25" t="n"/>
      <c r="DC30" s="25" t="n"/>
      <c r="DD30" s="25" t="n"/>
    </row>
    <row r="31">
      <c r="A31" s="2" t="inlineStr">
        <is>
          <t>병렬도 12 분할 11 측정 2회차 (스레드별 클럭, GHz)</t>
        </is>
      </c>
      <c r="P31" s="24">
        <f>'클럭 정리'!A32</f>
        <v/>
      </c>
      <c r="Q31" s="23">
        <f>'클럭 정리'!O32</f>
        <v/>
      </c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25" t="n"/>
      <c r="CD31" s="25" t="n"/>
      <c r="CE31" s="25" t="n"/>
      <c r="CF31" s="25" t="n"/>
      <c r="CG31" s="25" t="n"/>
      <c r="CH31" s="25" t="n"/>
      <c r="CI31" s="25" t="n"/>
      <c r="CJ31" s="25" t="n"/>
      <c r="CK31" s="25" t="n"/>
      <c r="CL31" s="25" t="n"/>
      <c r="CM31" s="25" t="n"/>
      <c r="CN31" s="25" t="n"/>
      <c r="CO31" s="25" t="n"/>
      <c r="CP31" s="25" t="n"/>
      <c r="CQ31" s="25" t="n"/>
      <c r="CR31" s="25" t="n"/>
      <c r="CS31" s="25" t="n"/>
      <c r="CT31" s="25" t="n"/>
      <c r="CU31" s="25" t="n"/>
      <c r="CV31" s="25" t="n"/>
      <c r="CW31" s="25" t="n"/>
      <c r="CX31" s="25" t="n"/>
      <c r="CY31" s="25" t="n"/>
      <c r="CZ31" s="25" t="n"/>
      <c r="DA31" s="25" t="n"/>
      <c r="DB31" s="25" t="n"/>
      <c r="DC31" s="25" t="n"/>
      <c r="DD31" s="25" t="n"/>
    </row>
    <row r="32">
      <c r="A32" s="21" t="inlineStr">
        <is>
          <t>시각</t>
        </is>
      </c>
      <c r="B32" s="21" t="inlineStr">
        <is>
          <t>ForkJoinPool-12-worker-1</t>
        </is>
      </c>
      <c r="C32" s="21" t="inlineStr">
        <is>
          <t>ForkJoinPool-12-worker-10</t>
        </is>
      </c>
      <c r="D32" s="21" t="inlineStr">
        <is>
          <t>ForkJoinPool-12-worker-11</t>
        </is>
      </c>
      <c r="E32" s="21" t="inlineStr">
        <is>
          <t>ForkJoinPool-12-worker-12</t>
        </is>
      </c>
      <c r="F32" s="21" t="inlineStr">
        <is>
          <t>ForkJoinPool-12-worker-2</t>
        </is>
      </c>
      <c r="G32" s="21" t="inlineStr">
        <is>
          <t>ForkJoinPool-12-worker-3</t>
        </is>
      </c>
      <c r="H32" s="21" t="inlineStr">
        <is>
          <t>ForkJoinPool-12-worker-4</t>
        </is>
      </c>
      <c r="I32" s="21" t="inlineStr">
        <is>
          <t>ForkJoinPool-12-worker-5</t>
        </is>
      </c>
      <c r="J32" s="21" t="inlineStr">
        <is>
          <t>ForkJoinPool-12-worker-6</t>
        </is>
      </c>
      <c r="K32" s="21" t="inlineStr">
        <is>
          <t>ForkJoinPool-12-worker-7</t>
        </is>
      </c>
      <c r="L32" s="21" t="inlineStr">
        <is>
          <t>ForkJoinPool-12-worker-8</t>
        </is>
      </c>
      <c r="M32" s="21" t="inlineStr">
        <is>
          <t>ForkJoinPool-12-worker-9</t>
        </is>
      </c>
      <c r="N32" s="21" t="inlineStr">
        <is>
          <t>main</t>
        </is>
      </c>
      <c r="P32" s="24">
        <f>'클럭 정리'!A33</f>
        <v/>
      </c>
      <c r="Q32" s="23">
        <f>'클럭 정리'!O33</f>
        <v/>
      </c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25" t="n"/>
      <c r="BU32" s="25" t="n"/>
      <c r="BV32" s="25" t="n"/>
      <c r="BW32" s="25" t="n"/>
      <c r="BX32" s="25" t="n"/>
      <c r="BY32" s="25" t="n"/>
      <c r="BZ32" s="25" t="n"/>
      <c r="CA32" s="25" t="n"/>
      <c r="CB32" s="25" t="n"/>
      <c r="CC32" s="25" t="n"/>
      <c r="CD32" s="25" t="n"/>
      <c r="CE32" s="25" t="n"/>
      <c r="CF32" s="25" t="n"/>
      <c r="CG32" s="25" t="n"/>
      <c r="CH32" s="25" t="n"/>
      <c r="CI32" s="25" t="n"/>
      <c r="CJ32" s="25" t="n"/>
      <c r="CK32" s="25" t="n"/>
      <c r="CL32" s="25" t="n"/>
      <c r="CM32" s="25" t="n"/>
      <c r="CN32" s="25" t="n"/>
      <c r="CO32" s="25" t="n"/>
      <c r="CP32" s="25" t="n"/>
      <c r="CQ32" s="25" t="n"/>
      <c r="CR32" s="25" t="n"/>
      <c r="CS32" s="25" t="n"/>
      <c r="CT32" s="25" t="n"/>
      <c r="CU32" s="25" t="n"/>
      <c r="CV32" s="25" t="n"/>
      <c r="CW32" s="25" t="n"/>
      <c r="CX32" s="25" t="n"/>
      <c r="CY32" s="25" t="n"/>
      <c r="CZ32" s="25" t="n"/>
      <c r="DA32" s="25" t="n"/>
      <c r="DB32" s="25" t="n"/>
      <c r="DC32" s="25" t="n"/>
      <c r="DD32" s="25" t="n"/>
    </row>
    <row r="33">
      <c r="A33" s="22">
        <f>'클럭 정리'!A56</f>
        <v/>
      </c>
      <c r="B33" s="23">
        <f>'클럭 정리'!O56</f>
        <v/>
      </c>
      <c r="C33" s="23">
        <f>'클럭 정리'!O56</f>
        <v/>
      </c>
      <c r="D33" s="23">
        <f>'클럭 정리'!O56</f>
        <v/>
      </c>
      <c r="E33" s="25" t="n"/>
      <c r="F33" s="23">
        <f>'클럭 정리'!O56</f>
        <v/>
      </c>
      <c r="G33" s="23">
        <f>'클럭 정리'!O56</f>
        <v/>
      </c>
      <c r="H33" s="23">
        <f>'클럭 정리'!O56</f>
        <v/>
      </c>
      <c r="I33" s="23">
        <f>'클럭 정리'!O56</f>
        <v/>
      </c>
      <c r="J33" s="23">
        <f>'클럭 정리'!O56</f>
        <v/>
      </c>
      <c r="K33" s="23">
        <f>'클럭 정리'!O56</f>
        <v/>
      </c>
      <c r="L33" s="23">
        <f>'클럭 정리'!O56</f>
        <v/>
      </c>
      <c r="M33" s="23">
        <f>'클럭 정리'!O56</f>
        <v/>
      </c>
      <c r="N33" s="23">
        <f>'클럭 정리'!O56</f>
        <v/>
      </c>
      <c r="P33" s="24">
        <f>'클럭 정리'!A34</f>
        <v/>
      </c>
      <c r="Q33" s="23">
        <f>'클럭 정리'!O34</f>
        <v/>
      </c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25" t="n"/>
      <c r="BX33" s="25" t="n"/>
      <c r="BY33" s="25" t="n"/>
      <c r="BZ33" s="25" t="n"/>
      <c r="CA33" s="25" t="n"/>
      <c r="CB33" s="25" t="n"/>
      <c r="CC33" s="25" t="n"/>
      <c r="CD33" s="25" t="n"/>
      <c r="CE33" s="25" t="n"/>
      <c r="CF33" s="25" t="n"/>
      <c r="CG33" s="25" t="n"/>
      <c r="CH33" s="25" t="n"/>
      <c r="CI33" s="25" t="n"/>
      <c r="CJ33" s="25" t="n"/>
      <c r="CK33" s="25" t="n"/>
      <c r="CL33" s="25" t="n"/>
      <c r="CM33" s="25" t="n"/>
      <c r="CN33" s="25" t="n"/>
      <c r="CO33" s="25" t="n"/>
      <c r="CP33" s="25" t="n"/>
      <c r="CQ33" s="25" t="n"/>
      <c r="CR33" s="25" t="n"/>
      <c r="CS33" s="25" t="n"/>
      <c r="CT33" s="25" t="n"/>
      <c r="CU33" s="25" t="n"/>
      <c r="CV33" s="25" t="n"/>
      <c r="CW33" s="25" t="n"/>
      <c r="CX33" s="25" t="n"/>
      <c r="CY33" s="25" t="n"/>
      <c r="CZ33" s="25" t="n"/>
      <c r="DA33" s="25" t="n"/>
      <c r="DB33" s="25" t="n"/>
      <c r="DC33" s="25" t="n"/>
      <c r="DD33" s="25" t="n"/>
    </row>
    <row r="34">
      <c r="A34" s="22">
        <f>'클럭 정리'!A57</f>
        <v/>
      </c>
      <c r="B34" s="23">
        <f>'클럭 정리'!O57</f>
        <v/>
      </c>
      <c r="C34" s="23">
        <f>'클럭 정리'!O57</f>
        <v/>
      </c>
      <c r="D34" s="23">
        <f>'클럭 정리'!O57</f>
        <v/>
      </c>
      <c r="E34" s="25" t="n"/>
      <c r="F34" s="23">
        <f>'클럭 정리'!O57</f>
        <v/>
      </c>
      <c r="G34" s="25" t="n"/>
      <c r="H34" s="23">
        <f>'클럭 정리'!O57</f>
        <v/>
      </c>
      <c r="I34" s="23">
        <f>'클럭 정리'!O57</f>
        <v/>
      </c>
      <c r="J34" s="25" t="n"/>
      <c r="K34" s="23">
        <f>'클럭 정리'!O57</f>
        <v/>
      </c>
      <c r="L34" s="25" t="n"/>
      <c r="M34" s="25" t="n"/>
      <c r="N34" s="23">
        <f>'클럭 정리'!O57</f>
        <v/>
      </c>
      <c r="P34" s="24">
        <f>'클럭 정리'!A35</f>
        <v/>
      </c>
      <c r="Q34" s="23">
        <f>'클럭 정리'!O35</f>
        <v/>
      </c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25" t="n"/>
      <c r="BU34" s="25" t="n"/>
      <c r="BV34" s="25" t="n"/>
      <c r="BW34" s="25" t="n"/>
      <c r="BX34" s="25" t="n"/>
      <c r="BY34" s="25" t="n"/>
      <c r="BZ34" s="25" t="n"/>
      <c r="CA34" s="25" t="n"/>
      <c r="CB34" s="25" t="n"/>
      <c r="CC34" s="25" t="n"/>
      <c r="CD34" s="25" t="n"/>
      <c r="CE34" s="25" t="n"/>
      <c r="CF34" s="25" t="n"/>
      <c r="CG34" s="25" t="n"/>
      <c r="CH34" s="25" t="n"/>
      <c r="CI34" s="25" t="n"/>
      <c r="CJ34" s="25" t="n"/>
      <c r="CK34" s="25" t="n"/>
      <c r="CL34" s="25" t="n"/>
      <c r="CM34" s="25" t="n"/>
      <c r="CN34" s="25" t="n"/>
      <c r="CO34" s="25" t="n"/>
      <c r="CP34" s="25" t="n"/>
      <c r="CQ34" s="25" t="n"/>
      <c r="CR34" s="25" t="n"/>
      <c r="CS34" s="25" t="n"/>
      <c r="CT34" s="25" t="n"/>
      <c r="CU34" s="25" t="n"/>
      <c r="CV34" s="25" t="n"/>
      <c r="CW34" s="25" t="n"/>
      <c r="CX34" s="25" t="n"/>
      <c r="CY34" s="25" t="n"/>
      <c r="CZ34" s="25" t="n"/>
      <c r="DA34" s="25" t="n"/>
      <c r="DB34" s="25" t="n"/>
      <c r="DC34" s="25" t="n"/>
      <c r="DD34" s="25" t="n"/>
    </row>
    <row r="35">
      <c r="P35" s="24">
        <f>'클럭 정리'!A36</f>
        <v/>
      </c>
      <c r="Q35" s="23">
        <f>'클럭 정리'!O36</f>
        <v/>
      </c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25" t="n"/>
      <c r="BV35" s="25" t="n"/>
      <c r="BW35" s="25" t="n"/>
      <c r="BX35" s="25" t="n"/>
      <c r="BY35" s="25" t="n"/>
      <c r="BZ35" s="25" t="n"/>
      <c r="CA35" s="25" t="n"/>
      <c r="CB35" s="25" t="n"/>
      <c r="CC35" s="25" t="n"/>
      <c r="CD35" s="25" t="n"/>
      <c r="CE35" s="25" t="n"/>
      <c r="CF35" s="25" t="n"/>
      <c r="CG35" s="25" t="n"/>
      <c r="CH35" s="25" t="n"/>
      <c r="CI35" s="25" t="n"/>
      <c r="CJ35" s="25" t="n"/>
      <c r="CK35" s="25" t="n"/>
      <c r="CL35" s="25" t="n"/>
      <c r="CM35" s="25" t="n"/>
      <c r="CN35" s="25" t="n"/>
      <c r="CO35" s="25" t="n"/>
      <c r="CP35" s="25" t="n"/>
      <c r="CQ35" s="25" t="n"/>
      <c r="CR35" s="25" t="n"/>
      <c r="CS35" s="25" t="n"/>
      <c r="CT35" s="25" t="n"/>
      <c r="CU35" s="25" t="n"/>
      <c r="CV35" s="25" t="n"/>
      <c r="CW35" s="25" t="n"/>
      <c r="CX35" s="25" t="n"/>
      <c r="CY35" s="25" t="n"/>
      <c r="CZ35" s="25" t="n"/>
      <c r="DA35" s="25" t="n"/>
      <c r="DB35" s="25" t="n"/>
      <c r="DC35" s="25" t="n"/>
      <c r="DD35" s="25" t="n"/>
    </row>
    <row r="36">
      <c r="A36" s="2" t="inlineStr">
        <is>
          <t>병렬도 12 분할 11 측정 3회차 (스레드별 클럭, GHz)</t>
        </is>
      </c>
      <c r="P36" s="24">
        <f>'클럭 정리'!A37</f>
        <v/>
      </c>
      <c r="Q36" s="23">
        <f>'클럭 정리'!O37</f>
        <v/>
      </c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25" t="n"/>
      <c r="BU36" s="25" t="n"/>
      <c r="BV36" s="25" t="n"/>
      <c r="BW36" s="25" t="n"/>
      <c r="BX36" s="25" t="n"/>
      <c r="BY36" s="25" t="n"/>
      <c r="BZ36" s="25" t="n"/>
      <c r="CA36" s="25" t="n"/>
      <c r="CB36" s="25" t="n"/>
      <c r="CC36" s="25" t="n"/>
      <c r="CD36" s="25" t="n"/>
      <c r="CE36" s="25" t="n"/>
      <c r="CF36" s="25" t="n"/>
      <c r="CG36" s="25" t="n"/>
      <c r="CH36" s="25" t="n"/>
      <c r="CI36" s="25" t="n"/>
      <c r="CJ36" s="25" t="n"/>
      <c r="CK36" s="25" t="n"/>
      <c r="CL36" s="25" t="n"/>
      <c r="CM36" s="25" t="n"/>
      <c r="CN36" s="25" t="n"/>
      <c r="CO36" s="25" t="n"/>
      <c r="CP36" s="25" t="n"/>
      <c r="CQ36" s="25" t="n"/>
      <c r="CR36" s="25" t="n"/>
      <c r="CS36" s="25" t="n"/>
      <c r="CT36" s="25" t="n"/>
      <c r="CU36" s="25" t="n"/>
      <c r="CV36" s="25" t="n"/>
      <c r="CW36" s="25" t="n"/>
      <c r="CX36" s="25" t="n"/>
      <c r="CY36" s="25" t="n"/>
      <c r="CZ36" s="25" t="n"/>
      <c r="DA36" s="25" t="n"/>
      <c r="DB36" s="25" t="n"/>
      <c r="DC36" s="25" t="n"/>
      <c r="DD36" s="25" t="n"/>
    </row>
    <row r="37">
      <c r="A37" s="21" t="inlineStr">
        <is>
          <t>시각</t>
        </is>
      </c>
      <c r="B37" s="21" t="inlineStr">
        <is>
          <t>ForkJoinPool-13-worker-1</t>
        </is>
      </c>
      <c r="C37" s="21" t="inlineStr">
        <is>
          <t>ForkJoinPool-13-worker-10</t>
        </is>
      </c>
      <c r="D37" s="21" t="inlineStr">
        <is>
          <t>ForkJoinPool-13-worker-11</t>
        </is>
      </c>
      <c r="E37" s="21" t="inlineStr">
        <is>
          <t>ForkJoinPool-13-worker-12</t>
        </is>
      </c>
      <c r="F37" s="21" t="inlineStr">
        <is>
          <t>ForkJoinPool-13-worker-2</t>
        </is>
      </c>
      <c r="G37" s="21" t="inlineStr">
        <is>
          <t>ForkJoinPool-13-worker-3</t>
        </is>
      </c>
      <c r="H37" s="21" t="inlineStr">
        <is>
          <t>ForkJoinPool-13-worker-4</t>
        </is>
      </c>
      <c r="I37" s="21" t="inlineStr">
        <is>
          <t>ForkJoinPool-13-worker-5</t>
        </is>
      </c>
      <c r="J37" s="21" t="inlineStr">
        <is>
          <t>ForkJoinPool-13-worker-6</t>
        </is>
      </c>
      <c r="K37" s="21" t="inlineStr">
        <is>
          <t>ForkJoinPool-13-worker-7</t>
        </is>
      </c>
      <c r="L37" s="21" t="inlineStr">
        <is>
          <t>ForkJoinPool-13-worker-8</t>
        </is>
      </c>
      <c r="M37" s="21" t="inlineStr">
        <is>
          <t>ForkJoinPool-13-worker-9</t>
        </is>
      </c>
      <c r="N37" s="21" t="inlineStr">
        <is>
          <t>main</t>
        </is>
      </c>
      <c r="P37" s="24">
        <f>'클럭 정리'!A38</f>
        <v/>
      </c>
      <c r="Q37" s="23">
        <f>'클럭 정리'!O38</f>
        <v/>
      </c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25" t="n"/>
      <c r="BU37" s="25" t="n"/>
      <c r="BV37" s="25" t="n"/>
      <c r="BW37" s="25" t="n"/>
      <c r="BX37" s="25" t="n"/>
      <c r="BY37" s="25" t="n"/>
      <c r="BZ37" s="25" t="n"/>
      <c r="CA37" s="25" t="n"/>
      <c r="CB37" s="25" t="n"/>
      <c r="CC37" s="25" t="n"/>
      <c r="CD37" s="25" t="n"/>
      <c r="CE37" s="25" t="n"/>
      <c r="CF37" s="25" t="n"/>
      <c r="CG37" s="25" t="n"/>
      <c r="CH37" s="25" t="n"/>
      <c r="CI37" s="25" t="n"/>
      <c r="CJ37" s="25" t="n"/>
      <c r="CK37" s="25" t="n"/>
      <c r="CL37" s="25" t="n"/>
      <c r="CM37" s="25" t="n"/>
      <c r="CN37" s="25" t="n"/>
      <c r="CO37" s="25" t="n"/>
      <c r="CP37" s="25" t="n"/>
      <c r="CQ37" s="25" t="n"/>
      <c r="CR37" s="25" t="n"/>
      <c r="CS37" s="25" t="n"/>
      <c r="CT37" s="25" t="n"/>
      <c r="CU37" s="25" t="n"/>
      <c r="CV37" s="25" t="n"/>
      <c r="CW37" s="25" t="n"/>
      <c r="CX37" s="25" t="n"/>
      <c r="CY37" s="25" t="n"/>
      <c r="CZ37" s="25" t="n"/>
      <c r="DA37" s="25" t="n"/>
      <c r="DB37" s="25" t="n"/>
      <c r="DC37" s="25" t="n"/>
      <c r="DD37" s="25" t="n"/>
    </row>
    <row r="38">
      <c r="A38" s="22">
        <f>'클럭 정리'!A58</f>
        <v/>
      </c>
      <c r="B38" s="23">
        <f>'클럭 정리'!O58</f>
        <v/>
      </c>
      <c r="C38" s="23">
        <f>'클럭 정리'!O58</f>
        <v/>
      </c>
      <c r="D38" s="23">
        <f>'클럭 정리'!O58</f>
        <v/>
      </c>
      <c r="E38" s="23">
        <f>'클럭 정리'!O58</f>
        <v/>
      </c>
      <c r="F38" s="25" t="n"/>
      <c r="G38" s="23">
        <f>'클럭 정리'!O58</f>
        <v/>
      </c>
      <c r="H38" s="23">
        <f>'클럭 정리'!O58</f>
        <v/>
      </c>
      <c r="I38" s="23">
        <f>'클럭 정리'!O58</f>
        <v/>
      </c>
      <c r="J38" s="23">
        <f>'클럭 정리'!O58</f>
        <v/>
      </c>
      <c r="K38" s="23">
        <f>'클럭 정리'!O58</f>
        <v/>
      </c>
      <c r="L38" s="23">
        <f>'클럭 정리'!O58</f>
        <v/>
      </c>
      <c r="M38" s="23">
        <f>'클럭 정리'!O58</f>
        <v/>
      </c>
      <c r="N38" s="23">
        <f>'클럭 정리'!O58</f>
        <v/>
      </c>
      <c r="P38" s="24">
        <f>'클럭 정리'!A39</f>
        <v/>
      </c>
      <c r="Q38" s="23">
        <f>'클럭 정리'!O39</f>
        <v/>
      </c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5" t="n"/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25" t="n"/>
      <c r="BF38" s="25" t="n"/>
      <c r="BG38" s="25" t="n"/>
      <c r="BH38" s="25" t="n"/>
      <c r="BI38" s="25" t="n"/>
      <c r="BJ38" s="25" t="n"/>
      <c r="BK38" s="25" t="n"/>
      <c r="BL38" s="25" t="n"/>
      <c r="BM38" s="25" t="n"/>
      <c r="BN38" s="25" t="n"/>
      <c r="BO38" s="25" t="n"/>
      <c r="BP38" s="25" t="n"/>
      <c r="BQ38" s="25" t="n"/>
      <c r="BR38" s="25" t="n"/>
      <c r="BS38" s="25" t="n"/>
      <c r="BT38" s="25" t="n"/>
      <c r="BU38" s="25" t="n"/>
      <c r="BV38" s="25" t="n"/>
      <c r="BW38" s="25" t="n"/>
      <c r="BX38" s="25" t="n"/>
      <c r="BY38" s="25" t="n"/>
      <c r="BZ38" s="25" t="n"/>
      <c r="CA38" s="25" t="n"/>
      <c r="CB38" s="25" t="n"/>
      <c r="CC38" s="25" t="n"/>
      <c r="CD38" s="25" t="n"/>
      <c r="CE38" s="25" t="n"/>
      <c r="CF38" s="25" t="n"/>
      <c r="CG38" s="25" t="n"/>
      <c r="CH38" s="25" t="n"/>
      <c r="CI38" s="25" t="n"/>
      <c r="CJ38" s="25" t="n"/>
      <c r="CK38" s="25" t="n"/>
      <c r="CL38" s="25" t="n"/>
      <c r="CM38" s="25" t="n"/>
      <c r="CN38" s="25" t="n"/>
      <c r="CO38" s="25" t="n"/>
      <c r="CP38" s="25" t="n"/>
      <c r="CQ38" s="25" t="n"/>
      <c r="CR38" s="25" t="n"/>
      <c r="CS38" s="25" t="n"/>
      <c r="CT38" s="25" t="n"/>
      <c r="CU38" s="25" t="n"/>
      <c r="CV38" s="25" t="n"/>
      <c r="CW38" s="25" t="n"/>
      <c r="CX38" s="25" t="n"/>
      <c r="CY38" s="25" t="n"/>
      <c r="CZ38" s="25" t="n"/>
      <c r="DA38" s="25" t="n"/>
      <c r="DB38" s="25" t="n"/>
      <c r="DC38" s="25" t="n"/>
      <c r="DD38" s="25" t="n"/>
    </row>
    <row r="39">
      <c r="P39" s="24">
        <f>'클럭 정리'!A40</f>
        <v/>
      </c>
      <c r="Q39" s="23">
        <f>'클럭 정리'!O40</f>
        <v/>
      </c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25" t="n"/>
      <c r="BM39" s="25" t="n"/>
      <c r="BN39" s="25" t="n"/>
      <c r="BO39" s="25" t="n"/>
      <c r="BP39" s="25" t="n"/>
      <c r="BQ39" s="25" t="n"/>
      <c r="BR39" s="25" t="n"/>
      <c r="BS39" s="25" t="n"/>
      <c r="BT39" s="25" t="n"/>
      <c r="BU39" s="25" t="n"/>
      <c r="BV39" s="25" t="n"/>
      <c r="BW39" s="25" t="n"/>
      <c r="BX39" s="25" t="n"/>
      <c r="BY39" s="25" t="n"/>
      <c r="BZ39" s="25" t="n"/>
      <c r="CA39" s="25" t="n"/>
      <c r="CB39" s="25" t="n"/>
      <c r="CC39" s="25" t="n"/>
      <c r="CD39" s="25" t="n"/>
      <c r="CE39" s="25" t="n"/>
      <c r="CF39" s="25" t="n"/>
      <c r="CG39" s="25" t="n"/>
      <c r="CH39" s="25" t="n"/>
      <c r="CI39" s="25" t="n"/>
      <c r="CJ39" s="25" t="n"/>
      <c r="CK39" s="25" t="n"/>
      <c r="CL39" s="25" t="n"/>
      <c r="CM39" s="25" t="n"/>
      <c r="CN39" s="25" t="n"/>
      <c r="CO39" s="25" t="n"/>
      <c r="CP39" s="25" t="n"/>
      <c r="CQ39" s="25" t="n"/>
      <c r="CR39" s="25" t="n"/>
      <c r="CS39" s="25" t="n"/>
      <c r="CT39" s="25" t="n"/>
      <c r="CU39" s="25" t="n"/>
      <c r="CV39" s="25" t="n"/>
      <c r="CW39" s="25" t="n"/>
      <c r="CX39" s="25" t="n"/>
      <c r="CY39" s="25" t="n"/>
      <c r="CZ39" s="25" t="n"/>
      <c r="DA39" s="25" t="n"/>
      <c r="DB39" s="25" t="n"/>
      <c r="DC39" s="25" t="n"/>
      <c r="DD39" s="25" t="n"/>
    </row>
    <row r="40">
      <c r="A40" s="2" t="inlineStr">
        <is>
          <t>병렬도 12 분할 11 측정 4회차 (스레드별 클럭, GHz)</t>
        </is>
      </c>
      <c r="P40" s="24">
        <f>'클럭 정리'!A41</f>
        <v/>
      </c>
      <c r="Q40" s="23">
        <f>'클럭 정리'!O41</f>
        <v/>
      </c>
      <c r="R40" s="23">
        <f>'클럭 정리'!O41</f>
        <v/>
      </c>
      <c r="S40" s="23">
        <f>'클럭 정리'!O41</f>
        <v/>
      </c>
      <c r="T40" s="23">
        <f>'클럭 정리'!O41</f>
        <v/>
      </c>
      <c r="U40" s="23">
        <f>'클럭 정리'!O41</f>
        <v/>
      </c>
      <c r="V40" s="23">
        <f>'클럭 정리'!O41</f>
        <v/>
      </c>
      <c r="W40" s="23">
        <f>'클럭 정리'!O41</f>
        <v/>
      </c>
      <c r="X40" s="23">
        <f>'클럭 정리'!O41</f>
        <v/>
      </c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  <c r="BS40" s="25" t="n"/>
      <c r="BT40" s="25" t="n"/>
      <c r="BU40" s="25" t="n"/>
      <c r="BV40" s="25" t="n"/>
      <c r="BW40" s="25" t="n"/>
      <c r="BX40" s="25" t="n"/>
      <c r="BY40" s="25" t="n"/>
      <c r="BZ40" s="25" t="n"/>
      <c r="CA40" s="25" t="n"/>
      <c r="CB40" s="25" t="n"/>
      <c r="CC40" s="25" t="n"/>
      <c r="CD40" s="25" t="n"/>
      <c r="CE40" s="25" t="n"/>
      <c r="CF40" s="25" t="n"/>
      <c r="CG40" s="25" t="n"/>
      <c r="CH40" s="25" t="n"/>
      <c r="CI40" s="25" t="n"/>
      <c r="CJ40" s="25" t="n"/>
      <c r="CK40" s="25" t="n"/>
      <c r="CL40" s="25" t="n"/>
      <c r="CM40" s="25" t="n"/>
      <c r="CN40" s="25" t="n"/>
      <c r="CO40" s="25" t="n"/>
      <c r="CP40" s="25" t="n"/>
      <c r="CQ40" s="25" t="n"/>
      <c r="CR40" s="25" t="n"/>
      <c r="CS40" s="25" t="n"/>
      <c r="CT40" s="25" t="n"/>
      <c r="CU40" s="25" t="n"/>
      <c r="CV40" s="25" t="n"/>
      <c r="CW40" s="25" t="n"/>
      <c r="CX40" s="25" t="n"/>
      <c r="CY40" s="25" t="n"/>
      <c r="CZ40" s="25" t="n"/>
      <c r="DA40" s="25" t="n"/>
      <c r="DB40" s="25" t="n"/>
      <c r="DC40" s="25" t="n"/>
      <c r="DD40" s="25" t="n"/>
    </row>
    <row r="41">
      <c r="A41" s="21" t="inlineStr">
        <is>
          <t>시각</t>
        </is>
      </c>
      <c r="B41" s="21" t="inlineStr">
        <is>
          <t>ForkJoinPool-14-worker-1</t>
        </is>
      </c>
      <c r="C41" s="21" t="inlineStr">
        <is>
          <t>ForkJoinPool-14-worker-10</t>
        </is>
      </c>
      <c r="D41" s="21" t="inlineStr">
        <is>
          <t>ForkJoinPool-14-worker-11</t>
        </is>
      </c>
      <c r="E41" s="21" t="inlineStr">
        <is>
          <t>ForkJoinPool-14-worker-12</t>
        </is>
      </c>
      <c r="F41" s="21" t="inlineStr">
        <is>
          <t>ForkJoinPool-14-worker-2</t>
        </is>
      </c>
      <c r="G41" s="21" t="inlineStr">
        <is>
          <t>ForkJoinPool-14-worker-3</t>
        </is>
      </c>
      <c r="H41" s="21" t="inlineStr">
        <is>
          <t>ForkJoinPool-14-worker-4</t>
        </is>
      </c>
      <c r="I41" s="21" t="inlineStr">
        <is>
          <t>ForkJoinPool-14-worker-5</t>
        </is>
      </c>
      <c r="J41" s="21" t="inlineStr">
        <is>
          <t>ForkJoinPool-14-worker-6</t>
        </is>
      </c>
      <c r="K41" s="21" t="inlineStr">
        <is>
          <t>ForkJoinPool-14-worker-7</t>
        </is>
      </c>
      <c r="L41" s="21" t="inlineStr">
        <is>
          <t>ForkJoinPool-14-worker-8</t>
        </is>
      </c>
      <c r="M41" s="21" t="inlineStr">
        <is>
          <t>ForkJoinPool-14-worker-9</t>
        </is>
      </c>
      <c r="N41" s="21" t="inlineStr">
        <is>
          <t>main</t>
        </is>
      </c>
      <c r="P41" s="24">
        <f>'클럭 정리'!A42</f>
        <v/>
      </c>
      <c r="Q41" s="23">
        <f>'클럭 정리'!O42</f>
        <v/>
      </c>
      <c r="R41" s="23">
        <f>'클럭 정리'!O42</f>
        <v/>
      </c>
      <c r="S41" s="23">
        <f>'클럭 정리'!O42</f>
        <v/>
      </c>
      <c r="T41" s="23">
        <f>'클럭 정리'!O42</f>
        <v/>
      </c>
      <c r="U41" s="23">
        <f>'클럭 정리'!O42</f>
        <v/>
      </c>
      <c r="V41" s="23">
        <f>'클럭 정리'!O42</f>
        <v/>
      </c>
      <c r="W41" s="23">
        <f>'클럭 정리'!O42</f>
        <v/>
      </c>
      <c r="X41" s="23">
        <f>'클럭 정리'!O42</f>
        <v/>
      </c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  <c r="CQ41" s="25" t="n"/>
      <c r="CR41" s="25" t="n"/>
      <c r="CS41" s="25" t="n"/>
      <c r="CT41" s="25" t="n"/>
      <c r="CU41" s="25" t="n"/>
      <c r="CV41" s="25" t="n"/>
      <c r="CW41" s="25" t="n"/>
      <c r="CX41" s="25" t="n"/>
      <c r="CY41" s="25" t="n"/>
      <c r="CZ41" s="25" t="n"/>
      <c r="DA41" s="25" t="n"/>
      <c r="DB41" s="25" t="n"/>
      <c r="DC41" s="25" t="n"/>
      <c r="DD41" s="25" t="n"/>
    </row>
    <row r="42">
      <c r="A42" s="22">
        <f>'클럭 정리'!A59</f>
        <v/>
      </c>
      <c r="B42" s="23">
        <f>'클럭 정리'!O59</f>
        <v/>
      </c>
      <c r="C42" s="23">
        <f>'클럭 정리'!O59</f>
        <v/>
      </c>
      <c r="D42" s="23">
        <f>'클럭 정리'!O59</f>
        <v/>
      </c>
      <c r="E42" s="23">
        <f>'클럭 정리'!O59</f>
        <v/>
      </c>
      <c r="F42" s="23">
        <f>'클럭 정리'!O59</f>
        <v/>
      </c>
      <c r="G42" s="23">
        <f>'클럭 정리'!O59</f>
        <v/>
      </c>
      <c r="H42" s="23">
        <f>'클럭 정리'!O59</f>
        <v/>
      </c>
      <c r="I42" s="25" t="n"/>
      <c r="J42" s="23">
        <f>'클럭 정리'!O59</f>
        <v/>
      </c>
      <c r="K42" s="23">
        <f>'클럭 정리'!O59</f>
        <v/>
      </c>
      <c r="L42" s="23">
        <f>'클럭 정리'!O59</f>
        <v/>
      </c>
      <c r="M42" s="23">
        <f>'클럭 정리'!O59</f>
        <v/>
      </c>
      <c r="N42" s="23">
        <f>'클럭 정리'!O59</f>
        <v/>
      </c>
      <c r="P42" s="24">
        <f>'클럭 정리'!A43</f>
        <v/>
      </c>
      <c r="Q42" s="23">
        <f>'클럭 정리'!O43</f>
        <v/>
      </c>
      <c r="R42" s="25" t="n"/>
      <c r="S42" s="25" t="n"/>
      <c r="T42" s="25" t="n"/>
      <c r="U42" s="25" t="n"/>
      <c r="V42" s="25" t="n"/>
      <c r="W42" s="25" t="n"/>
      <c r="X42" s="23">
        <f>'클럭 정리'!O43</f>
        <v/>
      </c>
      <c r="Y42" s="23">
        <f>'클럭 정리'!O43</f>
        <v/>
      </c>
      <c r="Z42" s="23">
        <f>'클럭 정리'!O43</f>
        <v/>
      </c>
      <c r="AA42" s="23">
        <f>'클럭 정리'!O43</f>
        <v/>
      </c>
      <c r="AB42" s="23">
        <f>'클럭 정리'!O43</f>
        <v/>
      </c>
      <c r="AC42" s="23">
        <f>'클럭 정리'!O43</f>
        <v/>
      </c>
      <c r="AD42" s="23">
        <f>'클럭 정리'!O43</f>
        <v/>
      </c>
      <c r="AE42" s="25" t="n"/>
      <c r="AF42" s="25" t="n"/>
      <c r="AG42" s="25" t="n"/>
      <c r="AH42" s="25" t="n"/>
      <c r="AI42" s="25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25" t="n"/>
      <c r="BN42" s="25" t="n"/>
      <c r="BO42" s="25" t="n"/>
      <c r="BP42" s="25" t="n"/>
      <c r="BQ42" s="25" t="n"/>
      <c r="BR42" s="25" t="n"/>
      <c r="BS42" s="25" t="n"/>
      <c r="BT42" s="25" t="n"/>
      <c r="BU42" s="25" t="n"/>
      <c r="BV42" s="25" t="n"/>
      <c r="BW42" s="25" t="n"/>
      <c r="BX42" s="25" t="n"/>
      <c r="BY42" s="25" t="n"/>
      <c r="BZ42" s="25" t="n"/>
      <c r="CA42" s="25" t="n"/>
      <c r="CB42" s="25" t="n"/>
      <c r="CC42" s="25" t="n"/>
      <c r="CD42" s="25" t="n"/>
      <c r="CE42" s="25" t="n"/>
      <c r="CF42" s="25" t="n"/>
      <c r="CG42" s="25" t="n"/>
      <c r="CH42" s="25" t="n"/>
      <c r="CI42" s="25" t="n"/>
      <c r="CJ42" s="25" t="n"/>
      <c r="CK42" s="25" t="n"/>
      <c r="CL42" s="25" t="n"/>
      <c r="CM42" s="25" t="n"/>
      <c r="CN42" s="25" t="n"/>
      <c r="CO42" s="25" t="n"/>
      <c r="CP42" s="25" t="n"/>
      <c r="CQ42" s="25" t="n"/>
      <c r="CR42" s="25" t="n"/>
      <c r="CS42" s="25" t="n"/>
      <c r="CT42" s="25" t="n"/>
      <c r="CU42" s="25" t="n"/>
      <c r="CV42" s="25" t="n"/>
      <c r="CW42" s="25" t="n"/>
      <c r="CX42" s="25" t="n"/>
      <c r="CY42" s="25" t="n"/>
      <c r="CZ42" s="25" t="n"/>
      <c r="DA42" s="25" t="n"/>
      <c r="DB42" s="25" t="n"/>
      <c r="DC42" s="25" t="n"/>
      <c r="DD42" s="25" t="n"/>
    </row>
    <row r="43">
      <c r="P43" s="24">
        <f>'클럭 정리'!A44</f>
        <v/>
      </c>
      <c r="Q43" s="23">
        <f>'클럭 정리'!O44</f>
        <v/>
      </c>
      <c r="R43" s="25" t="n"/>
      <c r="S43" s="25" t="n"/>
      <c r="T43" s="25" t="n"/>
      <c r="U43" s="25" t="n"/>
      <c r="V43" s="25" t="n"/>
      <c r="W43" s="25" t="n"/>
      <c r="X43" s="23">
        <f>'클럭 정리'!O44</f>
        <v/>
      </c>
      <c r="Y43" s="23">
        <f>'클럭 정리'!O44</f>
        <v/>
      </c>
      <c r="Z43" s="23">
        <f>'클럭 정리'!O44</f>
        <v/>
      </c>
      <c r="AA43" s="23">
        <f>'클럭 정리'!O44</f>
        <v/>
      </c>
      <c r="AB43" s="23">
        <f>'클럭 정리'!O44</f>
        <v/>
      </c>
      <c r="AC43" s="23">
        <f>'클럭 정리'!O44</f>
        <v/>
      </c>
      <c r="AD43" s="23">
        <f>'클럭 정리'!O44</f>
        <v/>
      </c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25" t="n"/>
      <c r="BV43" s="25" t="n"/>
      <c r="BW43" s="25" t="n"/>
      <c r="BX43" s="25" t="n"/>
      <c r="BY43" s="25" t="n"/>
      <c r="BZ43" s="25" t="n"/>
      <c r="CA43" s="25" t="n"/>
      <c r="CB43" s="25" t="n"/>
      <c r="CC43" s="25" t="n"/>
      <c r="CD43" s="25" t="n"/>
      <c r="CE43" s="25" t="n"/>
      <c r="CF43" s="25" t="n"/>
      <c r="CG43" s="25" t="n"/>
      <c r="CH43" s="25" t="n"/>
      <c r="CI43" s="25" t="n"/>
      <c r="CJ43" s="25" t="n"/>
      <c r="CK43" s="25" t="n"/>
      <c r="CL43" s="25" t="n"/>
      <c r="CM43" s="25" t="n"/>
      <c r="CN43" s="25" t="n"/>
      <c r="CO43" s="25" t="n"/>
      <c r="CP43" s="25" t="n"/>
      <c r="CQ43" s="25" t="n"/>
      <c r="CR43" s="25" t="n"/>
      <c r="CS43" s="25" t="n"/>
      <c r="CT43" s="25" t="n"/>
      <c r="CU43" s="25" t="n"/>
      <c r="CV43" s="25" t="n"/>
      <c r="CW43" s="25" t="n"/>
      <c r="CX43" s="25" t="n"/>
      <c r="CY43" s="25" t="n"/>
      <c r="CZ43" s="25" t="n"/>
      <c r="DA43" s="25" t="n"/>
      <c r="DB43" s="25" t="n"/>
      <c r="DC43" s="25" t="n"/>
      <c r="DD43" s="25" t="n"/>
    </row>
    <row r="44">
      <c r="A44" s="2" t="inlineStr">
        <is>
          <t>병렬도 12 분할 11 측정 5회차 (스레드별 클럭, GHz)</t>
        </is>
      </c>
      <c r="P44" s="24">
        <f>'클럭 정리'!A45</f>
        <v/>
      </c>
      <c r="Q44" s="23">
        <f>'클럭 정리'!O45</f>
        <v/>
      </c>
      <c r="R44" s="25" t="n"/>
      <c r="S44" s="25" t="n"/>
      <c r="T44" s="25" t="n"/>
      <c r="U44" s="25" t="n"/>
      <c r="V44" s="25" t="n"/>
      <c r="W44" s="25" t="n"/>
      <c r="X44" s="23">
        <f>'클럭 정리'!O45</f>
        <v/>
      </c>
      <c r="Y44" s="25" t="n"/>
      <c r="Z44" s="25" t="n"/>
      <c r="AA44" s="25" t="n"/>
      <c r="AB44" s="25" t="n"/>
      <c r="AC44" s="25" t="n"/>
      <c r="AD44" s="25" t="n"/>
      <c r="AE44" s="23">
        <f>'클럭 정리'!O45</f>
        <v/>
      </c>
      <c r="AF44" s="23">
        <f>'클럭 정리'!O45</f>
        <v/>
      </c>
      <c r="AG44" s="23">
        <f>'클럭 정리'!O45</f>
        <v/>
      </c>
      <c r="AH44" s="23">
        <f>'클럭 정리'!O45</f>
        <v/>
      </c>
      <c r="AI44" s="23">
        <f>'클럭 정리'!O45</f>
        <v/>
      </c>
      <c r="AJ44" s="23">
        <f>'클럭 정리'!O45</f>
        <v/>
      </c>
      <c r="AK44" s="25" t="n"/>
      <c r="AL44" s="25" t="n"/>
      <c r="AM44" s="25" t="n"/>
      <c r="AN44" s="25" t="n"/>
      <c r="AO44" s="25" t="n"/>
      <c r="AP44" s="25" t="n"/>
      <c r="AQ44" s="25" t="n"/>
      <c r="AR44" s="25" t="n"/>
      <c r="AS44" s="25" t="n"/>
      <c r="AT44" s="25" t="n"/>
      <c r="AU44" s="25" t="n"/>
      <c r="AV44" s="25" t="n"/>
      <c r="AW44" s="25" t="n"/>
      <c r="AX44" s="25" t="n"/>
      <c r="AY44" s="25" t="n"/>
      <c r="AZ44" s="25" t="n"/>
      <c r="BA44" s="25" t="n"/>
      <c r="BB44" s="25" t="n"/>
      <c r="BC44" s="25" t="n"/>
      <c r="BD44" s="25" t="n"/>
      <c r="BE44" s="25" t="n"/>
      <c r="BF44" s="25" t="n"/>
      <c r="BG44" s="25" t="n"/>
      <c r="BH44" s="25" t="n"/>
      <c r="BI44" s="25" t="n"/>
      <c r="BJ44" s="25" t="n"/>
      <c r="BK44" s="25" t="n"/>
      <c r="BL44" s="25" t="n"/>
      <c r="BM44" s="25" t="n"/>
      <c r="BN44" s="25" t="n"/>
      <c r="BO44" s="25" t="n"/>
      <c r="BP44" s="25" t="n"/>
      <c r="BQ44" s="25" t="n"/>
      <c r="BR44" s="25" t="n"/>
      <c r="BS44" s="25" t="n"/>
      <c r="BT44" s="25" t="n"/>
      <c r="BU44" s="25" t="n"/>
      <c r="BV44" s="25" t="n"/>
      <c r="BW44" s="25" t="n"/>
      <c r="BX44" s="25" t="n"/>
      <c r="BY44" s="25" t="n"/>
      <c r="BZ44" s="25" t="n"/>
      <c r="CA44" s="25" t="n"/>
      <c r="CB44" s="25" t="n"/>
      <c r="CC44" s="25" t="n"/>
      <c r="CD44" s="25" t="n"/>
      <c r="CE44" s="25" t="n"/>
      <c r="CF44" s="25" t="n"/>
      <c r="CG44" s="25" t="n"/>
      <c r="CH44" s="25" t="n"/>
      <c r="CI44" s="25" t="n"/>
      <c r="CJ44" s="25" t="n"/>
      <c r="CK44" s="25" t="n"/>
      <c r="CL44" s="25" t="n"/>
      <c r="CM44" s="25" t="n"/>
      <c r="CN44" s="25" t="n"/>
      <c r="CO44" s="25" t="n"/>
      <c r="CP44" s="25" t="n"/>
      <c r="CQ44" s="25" t="n"/>
      <c r="CR44" s="25" t="n"/>
      <c r="CS44" s="25" t="n"/>
      <c r="CT44" s="25" t="n"/>
      <c r="CU44" s="25" t="n"/>
      <c r="CV44" s="25" t="n"/>
      <c r="CW44" s="25" t="n"/>
      <c r="CX44" s="25" t="n"/>
      <c r="CY44" s="25" t="n"/>
      <c r="CZ44" s="25" t="n"/>
      <c r="DA44" s="25" t="n"/>
      <c r="DB44" s="25" t="n"/>
      <c r="DC44" s="25" t="n"/>
      <c r="DD44" s="25" t="n"/>
    </row>
    <row r="45">
      <c r="A45" s="21" t="inlineStr">
        <is>
          <t>시각</t>
        </is>
      </c>
      <c r="B45" s="21" t="inlineStr">
        <is>
          <t>ForkJoinPool-15-worker-1</t>
        </is>
      </c>
      <c r="C45" s="21" t="inlineStr">
        <is>
          <t>ForkJoinPool-15-worker-10</t>
        </is>
      </c>
      <c r="D45" s="21" t="inlineStr">
        <is>
          <t>ForkJoinPool-15-worker-11</t>
        </is>
      </c>
      <c r="E45" s="21" t="inlineStr">
        <is>
          <t>ForkJoinPool-15-worker-12</t>
        </is>
      </c>
      <c r="F45" s="21" t="inlineStr">
        <is>
          <t>ForkJoinPool-15-worker-2</t>
        </is>
      </c>
      <c r="G45" s="21" t="inlineStr">
        <is>
          <t>ForkJoinPool-15-worker-3</t>
        </is>
      </c>
      <c r="H45" s="21" t="inlineStr">
        <is>
          <t>ForkJoinPool-15-worker-4</t>
        </is>
      </c>
      <c r="I45" s="21" t="inlineStr">
        <is>
          <t>ForkJoinPool-15-worker-5</t>
        </is>
      </c>
      <c r="J45" s="21" t="inlineStr">
        <is>
          <t>ForkJoinPool-15-worker-6</t>
        </is>
      </c>
      <c r="K45" s="21" t="inlineStr">
        <is>
          <t>ForkJoinPool-15-worker-7</t>
        </is>
      </c>
      <c r="L45" s="21" t="inlineStr">
        <is>
          <t>ForkJoinPool-15-worker-8</t>
        </is>
      </c>
      <c r="M45" s="21" t="inlineStr">
        <is>
          <t>ForkJoinPool-15-worker-9</t>
        </is>
      </c>
      <c r="N45" s="21" t="inlineStr">
        <is>
          <t>main</t>
        </is>
      </c>
      <c r="P45" s="24">
        <f>'클럭 정리'!A46</f>
        <v/>
      </c>
      <c r="Q45" s="23">
        <f>'클럭 정리'!O46</f>
        <v/>
      </c>
      <c r="R45" s="25" t="n"/>
      <c r="S45" s="25" t="n"/>
      <c r="T45" s="25" t="n"/>
      <c r="U45" s="25" t="n"/>
      <c r="V45" s="25" t="n"/>
      <c r="W45" s="25" t="n"/>
      <c r="X45" s="23">
        <f>'클럭 정리'!O46</f>
        <v/>
      </c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3">
        <f>'클럭 정리'!O46</f>
        <v/>
      </c>
      <c r="AL45" s="23">
        <f>'클럭 정리'!O46</f>
        <v/>
      </c>
      <c r="AM45" s="23">
        <f>'클럭 정리'!O46</f>
        <v/>
      </c>
      <c r="AN45" s="23">
        <f>'클럭 정리'!O46</f>
        <v/>
      </c>
      <c r="AO45" s="23">
        <f>'클럭 정리'!O46</f>
        <v/>
      </c>
      <c r="AP45" s="23">
        <f>'클럭 정리'!O46</f>
        <v/>
      </c>
      <c r="AQ45" s="25" t="n"/>
      <c r="AR45" s="25" t="n"/>
      <c r="AS45" s="25" t="n"/>
      <c r="AT45" s="25" t="n"/>
      <c r="AU45" s="25" t="n"/>
      <c r="AV45" s="25" t="n"/>
      <c r="AW45" s="25" t="n"/>
      <c r="AX45" s="25" t="n"/>
      <c r="AY45" s="25" t="n"/>
      <c r="AZ45" s="25" t="n"/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25" t="n"/>
      <c r="BM45" s="25" t="n"/>
      <c r="BN45" s="25" t="n"/>
      <c r="BO45" s="25" t="n"/>
      <c r="BP45" s="25" t="n"/>
      <c r="BQ45" s="25" t="n"/>
      <c r="BR45" s="25" t="n"/>
      <c r="BS45" s="25" t="n"/>
      <c r="BT45" s="25" t="n"/>
      <c r="BU45" s="25" t="n"/>
      <c r="BV45" s="25" t="n"/>
      <c r="BW45" s="25" t="n"/>
      <c r="BX45" s="25" t="n"/>
      <c r="BY45" s="25" t="n"/>
      <c r="BZ45" s="25" t="n"/>
      <c r="CA45" s="25" t="n"/>
      <c r="CB45" s="25" t="n"/>
      <c r="CC45" s="25" t="n"/>
      <c r="CD45" s="25" t="n"/>
      <c r="CE45" s="25" t="n"/>
      <c r="CF45" s="25" t="n"/>
      <c r="CG45" s="25" t="n"/>
      <c r="CH45" s="25" t="n"/>
      <c r="CI45" s="25" t="n"/>
      <c r="CJ45" s="25" t="n"/>
      <c r="CK45" s="25" t="n"/>
      <c r="CL45" s="25" t="n"/>
      <c r="CM45" s="25" t="n"/>
      <c r="CN45" s="25" t="n"/>
      <c r="CO45" s="25" t="n"/>
      <c r="CP45" s="25" t="n"/>
      <c r="CQ45" s="25" t="n"/>
      <c r="CR45" s="25" t="n"/>
      <c r="CS45" s="25" t="n"/>
      <c r="CT45" s="25" t="n"/>
      <c r="CU45" s="25" t="n"/>
      <c r="CV45" s="25" t="n"/>
      <c r="CW45" s="25" t="n"/>
      <c r="CX45" s="25" t="n"/>
      <c r="CY45" s="25" t="n"/>
      <c r="CZ45" s="25" t="n"/>
      <c r="DA45" s="25" t="n"/>
      <c r="DB45" s="25" t="n"/>
      <c r="DC45" s="25" t="n"/>
      <c r="DD45" s="25" t="n"/>
    </row>
    <row r="46">
      <c r="A46" s="22">
        <f>'클럭 정리'!A60</f>
        <v/>
      </c>
      <c r="B46" s="23">
        <f>'클럭 정리'!O60</f>
        <v/>
      </c>
      <c r="C46" s="23">
        <f>'클럭 정리'!O60</f>
        <v/>
      </c>
      <c r="D46" s="23">
        <f>'클럭 정리'!O60</f>
        <v/>
      </c>
      <c r="E46" s="23">
        <f>'클럭 정리'!O60</f>
        <v/>
      </c>
      <c r="F46" s="23">
        <f>'클럭 정리'!O60</f>
        <v/>
      </c>
      <c r="G46" s="23">
        <f>'클럭 정리'!O60</f>
        <v/>
      </c>
      <c r="H46" s="23">
        <f>'클럭 정리'!O60</f>
        <v/>
      </c>
      <c r="I46" s="23">
        <f>'클럭 정리'!O60</f>
        <v/>
      </c>
      <c r="J46" s="23">
        <f>'클럭 정리'!O60</f>
        <v/>
      </c>
      <c r="K46" s="23">
        <f>'클럭 정리'!O60</f>
        <v/>
      </c>
      <c r="L46" s="23">
        <f>'클럭 정리'!O60</f>
        <v/>
      </c>
      <c r="M46" s="23">
        <f>'클럭 정리'!O60</f>
        <v/>
      </c>
      <c r="N46" s="23">
        <f>'클럭 정리'!O60</f>
        <v/>
      </c>
      <c r="P46" s="24">
        <f>'클럭 정리'!A47</f>
        <v/>
      </c>
      <c r="Q46" s="23">
        <f>'클럭 정리'!O47</f>
        <v/>
      </c>
      <c r="R46" s="25" t="n"/>
      <c r="S46" s="25" t="n"/>
      <c r="T46" s="25" t="n"/>
      <c r="U46" s="25" t="n"/>
      <c r="V46" s="25" t="n"/>
      <c r="W46" s="25" t="n"/>
      <c r="X46" s="23">
        <f>'클럭 정리'!O47</f>
        <v/>
      </c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3">
        <f>'클럭 정리'!O47</f>
        <v/>
      </c>
      <c r="AL46" s="23">
        <f>'클럭 정리'!O47</f>
        <v/>
      </c>
      <c r="AM46" s="23">
        <f>'클럭 정리'!O47</f>
        <v/>
      </c>
      <c r="AN46" s="23">
        <f>'클럭 정리'!O47</f>
        <v/>
      </c>
      <c r="AO46" s="23">
        <f>'클럭 정리'!O47</f>
        <v/>
      </c>
      <c r="AP46" s="23">
        <f>'클럭 정리'!O47</f>
        <v/>
      </c>
      <c r="AQ46" s="25" t="n"/>
      <c r="AR46" s="25" t="n"/>
      <c r="AS46" s="25" t="n"/>
      <c r="AT46" s="25" t="n"/>
      <c r="AU46" s="25" t="n"/>
      <c r="AV46" s="25" t="n"/>
      <c r="AW46" s="25" t="n"/>
      <c r="AX46" s="25" t="n"/>
      <c r="AY46" s="25" t="n"/>
      <c r="AZ46" s="25" t="n"/>
      <c r="BA46" s="25" t="n"/>
      <c r="BB46" s="25" t="n"/>
      <c r="BC46" s="25" t="n"/>
      <c r="BD46" s="25" t="n"/>
      <c r="BE46" s="25" t="n"/>
      <c r="BF46" s="25" t="n"/>
      <c r="BG46" s="25" t="n"/>
      <c r="BH46" s="25" t="n"/>
      <c r="BI46" s="25" t="n"/>
      <c r="BJ46" s="25" t="n"/>
      <c r="BK46" s="25" t="n"/>
      <c r="BL46" s="25" t="n"/>
      <c r="BM46" s="25" t="n"/>
      <c r="BN46" s="25" t="n"/>
      <c r="BO46" s="25" t="n"/>
      <c r="BP46" s="25" t="n"/>
      <c r="BQ46" s="25" t="n"/>
      <c r="BR46" s="25" t="n"/>
      <c r="BS46" s="25" t="n"/>
      <c r="BT46" s="25" t="n"/>
      <c r="BU46" s="25" t="n"/>
      <c r="BV46" s="25" t="n"/>
      <c r="BW46" s="25" t="n"/>
      <c r="BX46" s="25" t="n"/>
      <c r="BY46" s="25" t="n"/>
      <c r="BZ46" s="25" t="n"/>
      <c r="CA46" s="25" t="n"/>
      <c r="CB46" s="25" t="n"/>
      <c r="CC46" s="25" t="n"/>
      <c r="CD46" s="25" t="n"/>
      <c r="CE46" s="25" t="n"/>
      <c r="CF46" s="25" t="n"/>
      <c r="CG46" s="25" t="n"/>
      <c r="CH46" s="25" t="n"/>
      <c r="CI46" s="25" t="n"/>
      <c r="CJ46" s="25" t="n"/>
      <c r="CK46" s="25" t="n"/>
      <c r="CL46" s="25" t="n"/>
      <c r="CM46" s="25" t="n"/>
      <c r="CN46" s="25" t="n"/>
      <c r="CO46" s="25" t="n"/>
      <c r="CP46" s="25" t="n"/>
      <c r="CQ46" s="25" t="n"/>
      <c r="CR46" s="25" t="n"/>
      <c r="CS46" s="25" t="n"/>
      <c r="CT46" s="25" t="n"/>
      <c r="CU46" s="25" t="n"/>
      <c r="CV46" s="25" t="n"/>
      <c r="CW46" s="25" t="n"/>
      <c r="CX46" s="25" t="n"/>
      <c r="CY46" s="25" t="n"/>
      <c r="CZ46" s="25" t="n"/>
      <c r="DA46" s="25" t="n"/>
      <c r="DB46" s="25" t="n"/>
      <c r="DC46" s="25" t="n"/>
      <c r="DD46" s="25" t="n"/>
    </row>
    <row r="47">
      <c r="A47" s="22">
        <f>'클럭 정리'!A61</f>
        <v/>
      </c>
      <c r="B47" s="23">
        <f>'클럭 정리'!O61</f>
        <v/>
      </c>
      <c r="C47" s="23">
        <f>'클럭 정리'!O61</f>
        <v/>
      </c>
      <c r="D47" s="23">
        <f>'클럭 정리'!O61</f>
        <v/>
      </c>
      <c r="E47" s="23">
        <f>'클럭 정리'!O61</f>
        <v/>
      </c>
      <c r="F47" s="23">
        <f>'클럭 정리'!O61</f>
        <v/>
      </c>
      <c r="G47" s="23">
        <f>'클럭 정리'!O61</f>
        <v/>
      </c>
      <c r="H47" s="23">
        <f>'클럭 정리'!O61</f>
        <v/>
      </c>
      <c r="I47" s="25" t="n"/>
      <c r="J47" s="23">
        <f>'클럭 정리'!O61</f>
        <v/>
      </c>
      <c r="K47" s="23">
        <f>'클럭 정리'!O61</f>
        <v/>
      </c>
      <c r="L47" s="23">
        <f>'클럭 정리'!O61</f>
        <v/>
      </c>
      <c r="M47" s="23">
        <f>'클럭 정리'!O61</f>
        <v/>
      </c>
      <c r="N47" s="23">
        <f>'클럭 정리'!O61</f>
        <v/>
      </c>
      <c r="P47" s="24">
        <f>'클럭 정리'!A48</f>
        <v/>
      </c>
      <c r="Q47" s="23">
        <f>'클럭 정리'!O48</f>
        <v/>
      </c>
      <c r="R47" s="25" t="n"/>
      <c r="S47" s="25" t="n"/>
      <c r="T47" s="25" t="n"/>
      <c r="U47" s="25" t="n"/>
      <c r="V47" s="25" t="n"/>
      <c r="W47" s="25" t="n"/>
      <c r="X47" s="23">
        <f>'클럭 정리'!O48</f>
        <v/>
      </c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  <c r="AL47" s="25" t="n"/>
      <c r="AM47" s="25" t="n"/>
      <c r="AN47" s="25" t="n"/>
      <c r="AO47" s="25" t="n"/>
      <c r="AP47" s="25" t="n"/>
      <c r="AQ47" s="23">
        <f>'클럭 정리'!O48</f>
        <v/>
      </c>
      <c r="AR47" s="23">
        <f>'클럭 정리'!O48</f>
        <v/>
      </c>
      <c r="AS47" s="23">
        <f>'클럭 정리'!O48</f>
        <v/>
      </c>
      <c r="AT47" s="23">
        <f>'클럭 정리'!O48</f>
        <v/>
      </c>
      <c r="AU47" s="23">
        <f>'클럭 정리'!O48</f>
        <v/>
      </c>
      <c r="AV47" s="23">
        <f>'클럭 정리'!O48</f>
        <v/>
      </c>
      <c r="AW47" s="25" t="n"/>
      <c r="AX47" s="25" t="n"/>
      <c r="AY47" s="25" t="n"/>
      <c r="AZ47" s="25" t="n"/>
      <c r="BA47" s="25" t="n"/>
      <c r="BB47" s="25" t="n"/>
      <c r="BC47" s="25" t="n"/>
      <c r="BD47" s="25" t="n"/>
      <c r="BE47" s="25" t="n"/>
      <c r="BF47" s="25" t="n"/>
      <c r="BG47" s="25" t="n"/>
      <c r="BH47" s="25" t="n"/>
      <c r="BI47" s="25" t="n"/>
      <c r="BJ47" s="25" t="n"/>
      <c r="BK47" s="25" t="n"/>
      <c r="BL47" s="25" t="n"/>
      <c r="BM47" s="25" t="n"/>
      <c r="BN47" s="25" t="n"/>
      <c r="BO47" s="25" t="n"/>
      <c r="BP47" s="25" t="n"/>
      <c r="BQ47" s="25" t="n"/>
      <c r="BR47" s="25" t="n"/>
      <c r="BS47" s="25" t="n"/>
      <c r="BT47" s="25" t="n"/>
      <c r="BU47" s="25" t="n"/>
      <c r="BV47" s="25" t="n"/>
      <c r="BW47" s="25" t="n"/>
      <c r="BX47" s="25" t="n"/>
      <c r="BY47" s="25" t="n"/>
      <c r="BZ47" s="25" t="n"/>
      <c r="CA47" s="25" t="n"/>
      <c r="CB47" s="25" t="n"/>
      <c r="CC47" s="25" t="n"/>
      <c r="CD47" s="25" t="n"/>
      <c r="CE47" s="25" t="n"/>
      <c r="CF47" s="25" t="n"/>
      <c r="CG47" s="25" t="n"/>
      <c r="CH47" s="25" t="n"/>
      <c r="CI47" s="25" t="n"/>
      <c r="CJ47" s="25" t="n"/>
      <c r="CK47" s="25" t="n"/>
      <c r="CL47" s="25" t="n"/>
      <c r="CM47" s="25" t="n"/>
      <c r="CN47" s="25" t="n"/>
      <c r="CO47" s="25" t="n"/>
      <c r="CP47" s="25" t="n"/>
      <c r="CQ47" s="25" t="n"/>
      <c r="CR47" s="25" t="n"/>
      <c r="CS47" s="25" t="n"/>
      <c r="CT47" s="25" t="n"/>
      <c r="CU47" s="25" t="n"/>
      <c r="CV47" s="25" t="n"/>
      <c r="CW47" s="25" t="n"/>
      <c r="CX47" s="25" t="n"/>
      <c r="CY47" s="25" t="n"/>
      <c r="CZ47" s="25" t="n"/>
      <c r="DA47" s="25" t="n"/>
      <c r="DB47" s="25" t="n"/>
      <c r="DC47" s="25" t="n"/>
      <c r="DD47" s="25" t="n"/>
    </row>
    <row r="48">
      <c r="P48" s="24">
        <f>'클럭 정리'!A49</f>
        <v/>
      </c>
      <c r="Q48" s="23">
        <f>'클럭 정리'!O49</f>
        <v/>
      </c>
      <c r="R48" s="25" t="n"/>
      <c r="S48" s="25" t="n"/>
      <c r="T48" s="25" t="n"/>
      <c r="U48" s="25" t="n"/>
      <c r="V48" s="25" t="n"/>
      <c r="W48" s="25" t="n"/>
      <c r="X48" s="23">
        <f>'클럭 정리'!O49</f>
        <v/>
      </c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  <c r="AL48" s="25" t="n"/>
      <c r="AM48" s="25" t="n"/>
      <c r="AN48" s="25" t="n"/>
      <c r="AO48" s="25" t="n"/>
      <c r="AP48" s="25" t="n"/>
      <c r="AQ48" s="23">
        <f>'클럭 정리'!O49</f>
        <v/>
      </c>
      <c r="AR48" s="23">
        <f>'클럭 정리'!O49</f>
        <v/>
      </c>
      <c r="AS48" s="23">
        <f>'클럭 정리'!O49</f>
        <v/>
      </c>
      <c r="AT48" s="23">
        <f>'클럭 정리'!O49</f>
        <v/>
      </c>
      <c r="AU48" s="23">
        <f>'클럭 정리'!O49</f>
        <v/>
      </c>
      <c r="AV48" s="23">
        <f>'클럭 정리'!O49</f>
        <v/>
      </c>
      <c r="AW48" s="25" t="n"/>
      <c r="AX48" s="25" t="n"/>
      <c r="AY48" s="25" t="n"/>
      <c r="AZ48" s="25" t="n"/>
      <c r="BA48" s="25" t="n"/>
      <c r="BB48" s="25" t="n"/>
      <c r="BC48" s="25" t="n"/>
      <c r="BD48" s="25" t="n"/>
      <c r="BE48" s="25" t="n"/>
      <c r="BF48" s="25" t="n"/>
      <c r="BG48" s="25" t="n"/>
      <c r="BH48" s="25" t="n"/>
      <c r="BI48" s="25" t="n"/>
      <c r="BJ48" s="25" t="n"/>
      <c r="BK48" s="25" t="n"/>
      <c r="BL48" s="25" t="n"/>
      <c r="BM48" s="25" t="n"/>
      <c r="BN48" s="25" t="n"/>
      <c r="BO48" s="25" t="n"/>
      <c r="BP48" s="25" t="n"/>
      <c r="BQ48" s="25" t="n"/>
      <c r="BR48" s="25" t="n"/>
      <c r="BS48" s="25" t="n"/>
      <c r="BT48" s="25" t="n"/>
      <c r="BU48" s="25" t="n"/>
      <c r="BV48" s="25" t="n"/>
      <c r="BW48" s="25" t="n"/>
      <c r="BX48" s="25" t="n"/>
      <c r="BY48" s="25" t="n"/>
      <c r="BZ48" s="25" t="n"/>
      <c r="CA48" s="25" t="n"/>
      <c r="CB48" s="25" t="n"/>
      <c r="CC48" s="25" t="n"/>
      <c r="CD48" s="25" t="n"/>
      <c r="CE48" s="25" t="n"/>
      <c r="CF48" s="25" t="n"/>
      <c r="CG48" s="25" t="n"/>
      <c r="CH48" s="25" t="n"/>
      <c r="CI48" s="25" t="n"/>
      <c r="CJ48" s="25" t="n"/>
      <c r="CK48" s="25" t="n"/>
      <c r="CL48" s="25" t="n"/>
      <c r="CM48" s="25" t="n"/>
      <c r="CN48" s="25" t="n"/>
      <c r="CO48" s="25" t="n"/>
      <c r="CP48" s="25" t="n"/>
      <c r="CQ48" s="25" t="n"/>
      <c r="CR48" s="25" t="n"/>
      <c r="CS48" s="25" t="n"/>
      <c r="CT48" s="25" t="n"/>
      <c r="CU48" s="25" t="n"/>
      <c r="CV48" s="25" t="n"/>
      <c r="CW48" s="25" t="n"/>
      <c r="CX48" s="25" t="n"/>
      <c r="CY48" s="25" t="n"/>
      <c r="CZ48" s="25" t="n"/>
      <c r="DA48" s="25" t="n"/>
      <c r="DB48" s="25" t="n"/>
      <c r="DC48" s="25" t="n"/>
      <c r="DD48" s="25" t="n"/>
    </row>
    <row r="49">
      <c r="P49" s="24">
        <f>'클럭 정리'!A50</f>
        <v/>
      </c>
      <c r="Q49" s="23">
        <f>'클럭 정리'!O50</f>
        <v/>
      </c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  <c r="AL49" s="25" t="n"/>
      <c r="AM49" s="25" t="n"/>
      <c r="AN49" s="25" t="n"/>
      <c r="AO49" s="25" t="n"/>
      <c r="AP49" s="25" t="n"/>
      <c r="AQ49" s="25" t="n"/>
      <c r="AR49" s="25" t="n"/>
      <c r="AS49" s="25" t="n"/>
      <c r="AT49" s="25" t="n"/>
      <c r="AU49" s="25" t="n"/>
      <c r="AV49" s="25" t="n"/>
      <c r="AW49" s="25" t="n"/>
      <c r="AX49" s="25" t="n"/>
      <c r="AY49" s="25" t="n"/>
      <c r="AZ49" s="25" t="n"/>
      <c r="BA49" s="25" t="n"/>
      <c r="BB49" s="25" t="n"/>
      <c r="BC49" s="25" t="n"/>
      <c r="BD49" s="25" t="n"/>
      <c r="BE49" s="25" t="n"/>
      <c r="BF49" s="25" t="n"/>
      <c r="BG49" s="25" t="n"/>
      <c r="BH49" s="25" t="n"/>
      <c r="BI49" s="25" t="n"/>
      <c r="BJ49" s="25" t="n"/>
      <c r="BK49" s="25" t="n"/>
      <c r="BL49" s="25" t="n"/>
      <c r="BM49" s="25" t="n"/>
      <c r="BN49" s="25" t="n"/>
      <c r="BO49" s="25" t="n"/>
      <c r="BP49" s="25" t="n"/>
      <c r="BQ49" s="25" t="n"/>
      <c r="BR49" s="25" t="n"/>
      <c r="BS49" s="25" t="n"/>
      <c r="BT49" s="25" t="n"/>
      <c r="BU49" s="25" t="n"/>
      <c r="BV49" s="25" t="n"/>
      <c r="BW49" s="25" t="n"/>
      <c r="BX49" s="25" t="n"/>
      <c r="BY49" s="25" t="n"/>
      <c r="BZ49" s="25" t="n"/>
      <c r="CA49" s="25" t="n"/>
      <c r="CB49" s="25" t="n"/>
      <c r="CC49" s="25" t="n"/>
      <c r="CD49" s="25" t="n"/>
      <c r="CE49" s="25" t="n"/>
      <c r="CF49" s="25" t="n"/>
      <c r="CG49" s="25" t="n"/>
      <c r="CH49" s="25" t="n"/>
      <c r="CI49" s="25" t="n"/>
      <c r="CJ49" s="25" t="n"/>
      <c r="CK49" s="25" t="n"/>
      <c r="CL49" s="25" t="n"/>
      <c r="CM49" s="25" t="n"/>
      <c r="CN49" s="25" t="n"/>
      <c r="CO49" s="25" t="n"/>
      <c r="CP49" s="25" t="n"/>
      <c r="CQ49" s="25" t="n"/>
      <c r="CR49" s="25" t="n"/>
      <c r="CS49" s="25" t="n"/>
      <c r="CT49" s="25" t="n"/>
      <c r="CU49" s="25" t="n"/>
      <c r="CV49" s="25" t="n"/>
      <c r="CW49" s="25" t="n"/>
      <c r="CX49" s="25" t="n"/>
      <c r="CY49" s="25" t="n"/>
      <c r="CZ49" s="25" t="n"/>
      <c r="DA49" s="25" t="n"/>
      <c r="DB49" s="25" t="n"/>
      <c r="DC49" s="25" t="n"/>
      <c r="DD49" s="25" t="n"/>
    </row>
    <row r="50">
      <c r="P50" s="24">
        <f>'클럭 정리'!A51</f>
        <v/>
      </c>
      <c r="Q50" s="23">
        <f>'클럭 정리'!O51</f>
        <v/>
      </c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  <c r="AL50" s="25" t="n"/>
      <c r="AM50" s="25" t="n"/>
      <c r="AN50" s="25" t="n"/>
      <c r="AO50" s="25" t="n"/>
      <c r="AP50" s="25" t="n"/>
      <c r="AQ50" s="25" t="n"/>
      <c r="AR50" s="25" t="n"/>
      <c r="AS50" s="25" t="n"/>
      <c r="AT50" s="25" t="n"/>
      <c r="AU50" s="25" t="n"/>
      <c r="AV50" s="25" t="n"/>
      <c r="AW50" s="25" t="n"/>
      <c r="AX50" s="25" t="n"/>
      <c r="AY50" s="25" t="n"/>
      <c r="AZ50" s="25" t="n"/>
      <c r="BA50" s="25" t="n"/>
      <c r="BB50" s="25" t="n"/>
      <c r="BC50" s="25" t="n"/>
      <c r="BD50" s="25" t="n"/>
      <c r="BE50" s="25" t="n"/>
      <c r="BF50" s="25" t="n"/>
      <c r="BG50" s="25" t="n"/>
      <c r="BH50" s="25" t="n"/>
      <c r="BI50" s="25" t="n"/>
      <c r="BJ50" s="25" t="n"/>
      <c r="BK50" s="25" t="n"/>
      <c r="BL50" s="25" t="n"/>
      <c r="BM50" s="25" t="n"/>
      <c r="BN50" s="25" t="n"/>
      <c r="BO50" s="25" t="n"/>
      <c r="BP50" s="25" t="n"/>
      <c r="BQ50" s="25" t="n"/>
      <c r="BR50" s="25" t="n"/>
      <c r="BS50" s="25" t="n"/>
      <c r="BT50" s="25" t="n"/>
      <c r="BU50" s="25" t="n"/>
      <c r="BV50" s="25" t="n"/>
      <c r="BW50" s="25" t="n"/>
      <c r="BX50" s="25" t="n"/>
      <c r="BY50" s="25" t="n"/>
      <c r="BZ50" s="25" t="n"/>
      <c r="CA50" s="25" t="n"/>
      <c r="CB50" s="25" t="n"/>
      <c r="CC50" s="25" t="n"/>
      <c r="CD50" s="25" t="n"/>
      <c r="CE50" s="25" t="n"/>
      <c r="CF50" s="25" t="n"/>
      <c r="CG50" s="25" t="n"/>
      <c r="CH50" s="25" t="n"/>
      <c r="CI50" s="25" t="n"/>
      <c r="CJ50" s="25" t="n"/>
      <c r="CK50" s="25" t="n"/>
      <c r="CL50" s="25" t="n"/>
      <c r="CM50" s="25" t="n"/>
      <c r="CN50" s="25" t="n"/>
      <c r="CO50" s="25" t="n"/>
      <c r="CP50" s="25" t="n"/>
      <c r="CQ50" s="25" t="n"/>
      <c r="CR50" s="25" t="n"/>
      <c r="CS50" s="25" t="n"/>
      <c r="CT50" s="25" t="n"/>
      <c r="CU50" s="25" t="n"/>
      <c r="CV50" s="25" t="n"/>
      <c r="CW50" s="25" t="n"/>
      <c r="CX50" s="25" t="n"/>
      <c r="CY50" s="25" t="n"/>
      <c r="CZ50" s="25" t="n"/>
      <c r="DA50" s="25" t="n"/>
      <c r="DB50" s="25" t="n"/>
      <c r="DC50" s="25" t="n"/>
      <c r="DD50" s="25" t="n"/>
    </row>
    <row r="51">
      <c r="P51" s="24">
        <f>'클럭 정리'!A52</f>
        <v/>
      </c>
      <c r="Q51" s="23">
        <f>'클럭 정리'!O52</f>
        <v/>
      </c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  <c r="AL51" s="25" t="n"/>
      <c r="AM51" s="25" t="n"/>
      <c r="AN51" s="25" t="n"/>
      <c r="AO51" s="25" t="n"/>
      <c r="AP51" s="25" t="n"/>
      <c r="AQ51" s="25" t="n"/>
      <c r="AR51" s="25" t="n"/>
      <c r="AS51" s="25" t="n"/>
      <c r="AT51" s="25" t="n"/>
      <c r="AU51" s="25" t="n"/>
      <c r="AV51" s="25" t="n"/>
      <c r="AW51" s="25" t="n"/>
      <c r="AX51" s="25" t="n"/>
      <c r="AY51" s="25" t="n"/>
      <c r="AZ51" s="25" t="n"/>
      <c r="BA51" s="25" t="n"/>
      <c r="BB51" s="25" t="n"/>
      <c r="BC51" s="25" t="n"/>
      <c r="BD51" s="25" t="n"/>
      <c r="BE51" s="25" t="n"/>
      <c r="BF51" s="25" t="n"/>
      <c r="BG51" s="25" t="n"/>
      <c r="BH51" s="25" t="n"/>
      <c r="BI51" s="25" t="n"/>
      <c r="BJ51" s="25" t="n"/>
      <c r="BK51" s="25" t="n"/>
      <c r="BL51" s="25" t="n"/>
      <c r="BM51" s="25" t="n"/>
      <c r="BN51" s="25" t="n"/>
      <c r="BO51" s="25" t="n"/>
      <c r="BP51" s="25" t="n"/>
      <c r="BQ51" s="25" t="n"/>
      <c r="BR51" s="25" t="n"/>
      <c r="BS51" s="25" t="n"/>
      <c r="BT51" s="25" t="n"/>
      <c r="BU51" s="25" t="n"/>
      <c r="BV51" s="25" t="n"/>
      <c r="BW51" s="25" t="n"/>
      <c r="BX51" s="25" t="n"/>
      <c r="BY51" s="25" t="n"/>
      <c r="BZ51" s="25" t="n"/>
      <c r="CA51" s="25" t="n"/>
      <c r="CB51" s="25" t="n"/>
      <c r="CC51" s="25" t="n"/>
      <c r="CD51" s="25" t="n"/>
      <c r="CE51" s="25" t="n"/>
      <c r="CF51" s="25" t="n"/>
      <c r="CG51" s="25" t="n"/>
      <c r="CH51" s="25" t="n"/>
      <c r="CI51" s="25" t="n"/>
      <c r="CJ51" s="25" t="n"/>
      <c r="CK51" s="25" t="n"/>
      <c r="CL51" s="25" t="n"/>
      <c r="CM51" s="25" t="n"/>
      <c r="CN51" s="25" t="n"/>
      <c r="CO51" s="25" t="n"/>
      <c r="CP51" s="25" t="n"/>
      <c r="CQ51" s="25" t="n"/>
      <c r="CR51" s="25" t="n"/>
      <c r="CS51" s="25" t="n"/>
      <c r="CT51" s="25" t="n"/>
      <c r="CU51" s="25" t="n"/>
      <c r="CV51" s="25" t="n"/>
      <c r="CW51" s="25" t="n"/>
      <c r="CX51" s="25" t="n"/>
      <c r="CY51" s="25" t="n"/>
      <c r="CZ51" s="25" t="n"/>
      <c r="DA51" s="25" t="n"/>
      <c r="DB51" s="25" t="n"/>
      <c r="DC51" s="25" t="n"/>
      <c r="DD51" s="25" t="n"/>
    </row>
    <row r="52">
      <c r="P52" s="24">
        <f>'클럭 정리'!A53</f>
        <v/>
      </c>
      <c r="Q52" s="23">
        <f>'클럭 정리'!O53</f>
        <v/>
      </c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  <c r="AL52" s="25" t="n"/>
      <c r="AM52" s="25" t="n"/>
      <c r="AN52" s="25" t="n"/>
      <c r="AO52" s="25" t="n"/>
      <c r="AP52" s="25" t="n"/>
      <c r="AQ52" s="25" t="n"/>
      <c r="AR52" s="25" t="n"/>
      <c r="AS52" s="25" t="n"/>
      <c r="AT52" s="25" t="n"/>
      <c r="AU52" s="25" t="n"/>
      <c r="AV52" s="25" t="n"/>
      <c r="AW52" s="25" t="n"/>
      <c r="AX52" s="25" t="n"/>
      <c r="AY52" s="25" t="n"/>
      <c r="AZ52" s="25" t="n"/>
      <c r="BA52" s="25" t="n"/>
      <c r="BB52" s="25" t="n"/>
      <c r="BC52" s="25" t="n"/>
      <c r="BD52" s="25" t="n"/>
      <c r="BE52" s="25" t="n"/>
      <c r="BF52" s="25" t="n"/>
      <c r="BG52" s="25" t="n"/>
      <c r="BH52" s="25" t="n"/>
      <c r="BI52" s="25" t="n"/>
      <c r="BJ52" s="25" t="n"/>
      <c r="BK52" s="25" t="n"/>
      <c r="BL52" s="25" t="n"/>
      <c r="BM52" s="25" t="n"/>
      <c r="BN52" s="25" t="n"/>
      <c r="BO52" s="25" t="n"/>
      <c r="BP52" s="25" t="n"/>
      <c r="BQ52" s="25" t="n"/>
      <c r="BR52" s="25" t="n"/>
      <c r="BS52" s="25" t="n"/>
      <c r="BT52" s="25" t="n"/>
      <c r="BU52" s="25" t="n"/>
      <c r="BV52" s="25" t="n"/>
      <c r="BW52" s="25" t="n"/>
      <c r="BX52" s="25" t="n"/>
      <c r="BY52" s="25" t="n"/>
      <c r="BZ52" s="25" t="n"/>
      <c r="CA52" s="25" t="n"/>
      <c r="CB52" s="25" t="n"/>
      <c r="CC52" s="25" t="n"/>
      <c r="CD52" s="25" t="n"/>
      <c r="CE52" s="25" t="n"/>
      <c r="CF52" s="25" t="n"/>
      <c r="CG52" s="25" t="n"/>
      <c r="CH52" s="25" t="n"/>
      <c r="CI52" s="25" t="n"/>
      <c r="CJ52" s="25" t="n"/>
      <c r="CK52" s="25" t="n"/>
      <c r="CL52" s="25" t="n"/>
      <c r="CM52" s="25" t="n"/>
      <c r="CN52" s="25" t="n"/>
      <c r="CO52" s="25" t="n"/>
      <c r="CP52" s="25" t="n"/>
      <c r="CQ52" s="25" t="n"/>
      <c r="CR52" s="25" t="n"/>
      <c r="CS52" s="25" t="n"/>
      <c r="CT52" s="25" t="n"/>
      <c r="CU52" s="25" t="n"/>
      <c r="CV52" s="25" t="n"/>
      <c r="CW52" s="25" t="n"/>
      <c r="CX52" s="25" t="n"/>
      <c r="CY52" s="25" t="n"/>
      <c r="CZ52" s="25" t="n"/>
      <c r="DA52" s="25" t="n"/>
      <c r="DB52" s="25" t="n"/>
      <c r="DC52" s="25" t="n"/>
      <c r="DD52" s="25" t="n"/>
    </row>
    <row r="53">
      <c r="P53" s="24">
        <f>'클럭 정리'!A54</f>
        <v/>
      </c>
      <c r="Q53" s="23">
        <f>'클럭 정리'!O54</f>
        <v/>
      </c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  <c r="AL53" s="25" t="n"/>
      <c r="AM53" s="25" t="n"/>
      <c r="AN53" s="25" t="n"/>
      <c r="AO53" s="25" t="n"/>
      <c r="AP53" s="25" t="n"/>
      <c r="AQ53" s="25" t="n"/>
      <c r="AR53" s="25" t="n"/>
      <c r="AS53" s="25" t="n"/>
      <c r="AT53" s="25" t="n"/>
      <c r="AU53" s="25" t="n"/>
      <c r="AV53" s="25" t="n"/>
      <c r="AW53" s="25" t="n"/>
      <c r="AX53" s="25" t="n"/>
      <c r="AY53" s="25" t="n"/>
      <c r="AZ53" s="25" t="n"/>
      <c r="BA53" s="25" t="n"/>
      <c r="BB53" s="25" t="n"/>
      <c r="BC53" s="25" t="n"/>
      <c r="BD53" s="25" t="n"/>
      <c r="BE53" s="25" t="n"/>
      <c r="BF53" s="25" t="n"/>
      <c r="BG53" s="25" t="n"/>
      <c r="BH53" s="25" t="n"/>
      <c r="BI53" s="25" t="n"/>
      <c r="BJ53" s="25" t="n"/>
      <c r="BK53" s="25" t="n"/>
      <c r="BL53" s="25" t="n"/>
      <c r="BM53" s="25" t="n"/>
      <c r="BN53" s="25" t="n"/>
      <c r="BO53" s="25" t="n"/>
      <c r="BP53" s="25" t="n"/>
      <c r="BQ53" s="25" t="n"/>
      <c r="BR53" s="25" t="n"/>
      <c r="BS53" s="25" t="n"/>
      <c r="BT53" s="25" t="n"/>
      <c r="BU53" s="25" t="n"/>
      <c r="BV53" s="25" t="n"/>
      <c r="BW53" s="25" t="n"/>
      <c r="BX53" s="25" t="n"/>
      <c r="BY53" s="25" t="n"/>
      <c r="BZ53" s="25" t="n"/>
      <c r="CA53" s="25" t="n"/>
      <c r="CB53" s="25" t="n"/>
      <c r="CC53" s="25" t="n"/>
      <c r="CD53" s="25" t="n"/>
      <c r="CE53" s="25" t="n"/>
      <c r="CF53" s="25" t="n"/>
      <c r="CG53" s="25" t="n"/>
      <c r="CH53" s="25" t="n"/>
      <c r="CI53" s="25" t="n"/>
      <c r="CJ53" s="25" t="n"/>
      <c r="CK53" s="25" t="n"/>
      <c r="CL53" s="25" t="n"/>
      <c r="CM53" s="25" t="n"/>
      <c r="CN53" s="25" t="n"/>
      <c r="CO53" s="25" t="n"/>
      <c r="CP53" s="25" t="n"/>
      <c r="CQ53" s="25" t="n"/>
      <c r="CR53" s="25" t="n"/>
      <c r="CS53" s="25" t="n"/>
      <c r="CT53" s="25" t="n"/>
      <c r="CU53" s="25" t="n"/>
      <c r="CV53" s="25" t="n"/>
      <c r="CW53" s="25" t="n"/>
      <c r="CX53" s="25" t="n"/>
      <c r="CY53" s="25" t="n"/>
      <c r="CZ53" s="25" t="n"/>
      <c r="DA53" s="25" t="n"/>
      <c r="DB53" s="25" t="n"/>
      <c r="DC53" s="25" t="n"/>
      <c r="DD53" s="25" t="n"/>
    </row>
    <row r="54">
      <c r="P54" s="24">
        <f>'클럭 정리'!A55</f>
        <v/>
      </c>
      <c r="Q54" s="23">
        <f>'클럭 정리'!O55</f>
        <v/>
      </c>
      <c r="R54" s="25" t="n"/>
      <c r="S54" s="25" t="n"/>
      <c r="T54" s="25" t="n"/>
      <c r="U54" s="25" t="n"/>
      <c r="V54" s="25" t="n"/>
      <c r="W54" s="25" t="n"/>
      <c r="X54" s="23">
        <f>'클럭 정리'!O55</f>
        <v/>
      </c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  <c r="AL54" s="25" t="n"/>
      <c r="AM54" s="25" t="n"/>
      <c r="AN54" s="25" t="n"/>
      <c r="AO54" s="25" t="n"/>
      <c r="AP54" s="25" t="n"/>
      <c r="AQ54" s="25" t="n"/>
      <c r="AR54" s="25" t="n"/>
      <c r="AS54" s="25" t="n"/>
      <c r="AT54" s="25" t="n"/>
      <c r="AU54" s="25" t="n"/>
      <c r="AV54" s="25" t="n"/>
      <c r="AW54" s="23">
        <f>'클럭 정리'!O55</f>
        <v/>
      </c>
      <c r="AX54" s="23">
        <f>'클럭 정리'!O55</f>
        <v/>
      </c>
      <c r="AY54" s="25" t="n"/>
      <c r="AZ54" s="23">
        <f>'클럭 정리'!O55</f>
        <v/>
      </c>
      <c r="BA54" s="23">
        <f>'클럭 정리'!O55</f>
        <v/>
      </c>
      <c r="BB54" s="23">
        <f>'클럭 정리'!O55</f>
        <v/>
      </c>
      <c r="BC54" s="23">
        <f>'클럭 정리'!O55</f>
        <v/>
      </c>
      <c r="BD54" s="23">
        <f>'클럭 정리'!O55</f>
        <v/>
      </c>
      <c r="BE54" s="23">
        <f>'클럭 정리'!O55</f>
        <v/>
      </c>
      <c r="BF54" s="23">
        <f>'클럭 정리'!O55</f>
        <v/>
      </c>
      <c r="BG54" s="23">
        <f>'클럭 정리'!O55</f>
        <v/>
      </c>
      <c r="BH54" s="23">
        <f>'클럭 정리'!O55</f>
        <v/>
      </c>
      <c r="BI54" s="25" t="n"/>
      <c r="BJ54" s="25" t="n"/>
      <c r="BK54" s="25" t="n"/>
      <c r="BL54" s="25" t="n"/>
      <c r="BM54" s="25" t="n"/>
      <c r="BN54" s="25" t="n"/>
      <c r="BO54" s="25" t="n"/>
      <c r="BP54" s="25" t="n"/>
      <c r="BQ54" s="25" t="n"/>
      <c r="BR54" s="25" t="n"/>
      <c r="BS54" s="25" t="n"/>
      <c r="BT54" s="25" t="n"/>
      <c r="BU54" s="25" t="n"/>
      <c r="BV54" s="25" t="n"/>
      <c r="BW54" s="25" t="n"/>
      <c r="BX54" s="25" t="n"/>
      <c r="BY54" s="25" t="n"/>
      <c r="BZ54" s="25" t="n"/>
      <c r="CA54" s="25" t="n"/>
      <c r="CB54" s="25" t="n"/>
      <c r="CC54" s="25" t="n"/>
      <c r="CD54" s="25" t="n"/>
      <c r="CE54" s="25" t="n"/>
      <c r="CF54" s="25" t="n"/>
      <c r="CG54" s="25" t="n"/>
      <c r="CH54" s="25" t="n"/>
      <c r="CI54" s="25" t="n"/>
      <c r="CJ54" s="25" t="n"/>
      <c r="CK54" s="25" t="n"/>
      <c r="CL54" s="25" t="n"/>
      <c r="CM54" s="25" t="n"/>
      <c r="CN54" s="25" t="n"/>
      <c r="CO54" s="25" t="n"/>
      <c r="CP54" s="25" t="n"/>
      <c r="CQ54" s="25" t="n"/>
      <c r="CR54" s="25" t="n"/>
      <c r="CS54" s="25" t="n"/>
      <c r="CT54" s="25" t="n"/>
      <c r="CU54" s="25" t="n"/>
      <c r="CV54" s="25" t="n"/>
      <c r="CW54" s="25" t="n"/>
      <c r="CX54" s="25" t="n"/>
      <c r="CY54" s="25" t="n"/>
      <c r="CZ54" s="25" t="n"/>
      <c r="DA54" s="25" t="n"/>
      <c r="DB54" s="25" t="n"/>
      <c r="DC54" s="25" t="n"/>
      <c r="DD54" s="25" t="n"/>
    </row>
    <row r="55">
      <c r="P55" s="24">
        <f>'클럭 정리'!A56</f>
        <v/>
      </c>
      <c r="Q55" s="23">
        <f>'클럭 정리'!O56</f>
        <v/>
      </c>
      <c r="R55" s="25" t="n"/>
      <c r="S55" s="25" t="n"/>
      <c r="T55" s="25" t="n"/>
      <c r="U55" s="25" t="n"/>
      <c r="V55" s="25" t="n"/>
      <c r="W55" s="25" t="n"/>
      <c r="X55" s="23">
        <f>'클럭 정리'!O56</f>
        <v/>
      </c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  <c r="AL55" s="25" t="n"/>
      <c r="AM55" s="25" t="n"/>
      <c r="AN55" s="25" t="n"/>
      <c r="AO55" s="25" t="n"/>
      <c r="AP55" s="25" t="n"/>
      <c r="AQ55" s="25" t="n"/>
      <c r="AR55" s="25" t="n"/>
      <c r="AS55" s="25" t="n"/>
      <c r="AT55" s="25" t="n"/>
      <c r="AU55" s="25" t="n"/>
      <c r="AV55" s="25" t="n"/>
      <c r="AW55" s="25" t="n"/>
      <c r="AX55" s="25" t="n"/>
      <c r="AY55" s="25" t="n"/>
      <c r="AZ55" s="25" t="n"/>
      <c r="BA55" s="25" t="n"/>
      <c r="BB55" s="25" t="n"/>
      <c r="BC55" s="25" t="n"/>
      <c r="BD55" s="25" t="n"/>
      <c r="BE55" s="25" t="n"/>
      <c r="BF55" s="25" t="n"/>
      <c r="BG55" s="25" t="n"/>
      <c r="BH55" s="25" t="n"/>
      <c r="BI55" s="23">
        <f>'클럭 정리'!O56</f>
        <v/>
      </c>
      <c r="BJ55" s="23">
        <f>'클럭 정리'!O56</f>
        <v/>
      </c>
      <c r="BK55" s="23">
        <f>'클럭 정리'!O56</f>
        <v/>
      </c>
      <c r="BL55" s="25" t="n"/>
      <c r="BM55" s="23">
        <f>'클럭 정리'!O56</f>
        <v/>
      </c>
      <c r="BN55" s="23">
        <f>'클럭 정리'!O56</f>
        <v/>
      </c>
      <c r="BO55" s="23">
        <f>'클럭 정리'!O56</f>
        <v/>
      </c>
      <c r="BP55" s="23">
        <f>'클럭 정리'!O56</f>
        <v/>
      </c>
      <c r="BQ55" s="23">
        <f>'클럭 정리'!O56</f>
        <v/>
      </c>
      <c r="BR55" s="23">
        <f>'클럭 정리'!O56</f>
        <v/>
      </c>
      <c r="BS55" s="23">
        <f>'클럭 정리'!O56</f>
        <v/>
      </c>
      <c r="BT55" s="23">
        <f>'클럭 정리'!O56</f>
        <v/>
      </c>
      <c r="BU55" s="25" t="n"/>
      <c r="BV55" s="25" t="n"/>
      <c r="BW55" s="25" t="n"/>
      <c r="BX55" s="25" t="n"/>
      <c r="BY55" s="25" t="n"/>
      <c r="BZ55" s="25" t="n"/>
      <c r="CA55" s="25" t="n"/>
      <c r="CB55" s="25" t="n"/>
      <c r="CC55" s="25" t="n"/>
      <c r="CD55" s="25" t="n"/>
      <c r="CE55" s="25" t="n"/>
      <c r="CF55" s="25" t="n"/>
      <c r="CG55" s="25" t="n"/>
      <c r="CH55" s="25" t="n"/>
      <c r="CI55" s="25" t="n"/>
      <c r="CJ55" s="25" t="n"/>
      <c r="CK55" s="25" t="n"/>
      <c r="CL55" s="25" t="n"/>
      <c r="CM55" s="25" t="n"/>
      <c r="CN55" s="25" t="n"/>
      <c r="CO55" s="25" t="n"/>
      <c r="CP55" s="25" t="n"/>
      <c r="CQ55" s="25" t="n"/>
      <c r="CR55" s="25" t="n"/>
      <c r="CS55" s="25" t="n"/>
      <c r="CT55" s="25" t="n"/>
      <c r="CU55" s="25" t="n"/>
      <c r="CV55" s="25" t="n"/>
      <c r="CW55" s="25" t="n"/>
      <c r="CX55" s="25" t="n"/>
      <c r="CY55" s="25" t="n"/>
      <c r="CZ55" s="25" t="n"/>
      <c r="DA55" s="25" t="n"/>
      <c r="DB55" s="25" t="n"/>
      <c r="DC55" s="25" t="n"/>
      <c r="DD55" s="25" t="n"/>
    </row>
    <row r="56">
      <c r="P56" s="24">
        <f>'클럭 정리'!A57</f>
        <v/>
      </c>
      <c r="Q56" s="23">
        <f>'클럭 정리'!O57</f>
        <v/>
      </c>
      <c r="R56" s="25" t="n"/>
      <c r="S56" s="25" t="n"/>
      <c r="T56" s="25" t="n"/>
      <c r="U56" s="25" t="n"/>
      <c r="V56" s="25" t="n"/>
      <c r="W56" s="25" t="n"/>
      <c r="X56" s="23">
        <f>'클럭 정리'!O57</f>
        <v/>
      </c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  <c r="AL56" s="25" t="n"/>
      <c r="AM56" s="25" t="n"/>
      <c r="AN56" s="25" t="n"/>
      <c r="AO56" s="25" t="n"/>
      <c r="AP56" s="25" t="n"/>
      <c r="AQ56" s="25" t="n"/>
      <c r="AR56" s="25" t="n"/>
      <c r="AS56" s="25" t="n"/>
      <c r="AT56" s="25" t="n"/>
      <c r="AU56" s="25" t="n"/>
      <c r="AV56" s="25" t="n"/>
      <c r="AW56" s="25" t="n"/>
      <c r="AX56" s="25" t="n"/>
      <c r="AY56" s="25" t="n"/>
      <c r="AZ56" s="25" t="n"/>
      <c r="BA56" s="25" t="n"/>
      <c r="BB56" s="25" t="n"/>
      <c r="BC56" s="25" t="n"/>
      <c r="BD56" s="25" t="n"/>
      <c r="BE56" s="25" t="n"/>
      <c r="BF56" s="25" t="n"/>
      <c r="BG56" s="25" t="n"/>
      <c r="BH56" s="25" t="n"/>
      <c r="BI56" s="23">
        <f>'클럭 정리'!O57</f>
        <v/>
      </c>
      <c r="BJ56" s="23">
        <f>'클럭 정리'!O57</f>
        <v/>
      </c>
      <c r="BK56" s="23">
        <f>'클럭 정리'!O57</f>
        <v/>
      </c>
      <c r="BL56" s="25" t="n"/>
      <c r="BM56" s="23">
        <f>'클럭 정리'!O57</f>
        <v/>
      </c>
      <c r="BN56" s="25" t="n"/>
      <c r="BO56" s="23">
        <f>'클럭 정리'!O57</f>
        <v/>
      </c>
      <c r="BP56" s="23">
        <f>'클럭 정리'!O57</f>
        <v/>
      </c>
      <c r="BQ56" s="25" t="n"/>
      <c r="BR56" s="23">
        <f>'클럭 정리'!O57</f>
        <v/>
      </c>
      <c r="BS56" s="25" t="n"/>
      <c r="BT56" s="25" t="n"/>
      <c r="BU56" s="25" t="n"/>
      <c r="BV56" s="25" t="n"/>
      <c r="BW56" s="25" t="n"/>
      <c r="BX56" s="25" t="n"/>
      <c r="BY56" s="25" t="n"/>
      <c r="BZ56" s="25" t="n"/>
      <c r="CA56" s="25" t="n"/>
      <c r="CB56" s="25" t="n"/>
      <c r="CC56" s="25" t="n"/>
      <c r="CD56" s="25" t="n"/>
      <c r="CE56" s="25" t="n"/>
      <c r="CF56" s="25" t="n"/>
      <c r="CG56" s="25" t="n"/>
      <c r="CH56" s="25" t="n"/>
      <c r="CI56" s="25" t="n"/>
      <c r="CJ56" s="25" t="n"/>
      <c r="CK56" s="25" t="n"/>
      <c r="CL56" s="25" t="n"/>
      <c r="CM56" s="25" t="n"/>
      <c r="CN56" s="25" t="n"/>
      <c r="CO56" s="25" t="n"/>
      <c r="CP56" s="25" t="n"/>
      <c r="CQ56" s="25" t="n"/>
      <c r="CR56" s="25" t="n"/>
      <c r="CS56" s="25" t="n"/>
      <c r="CT56" s="25" t="n"/>
      <c r="CU56" s="25" t="n"/>
      <c r="CV56" s="25" t="n"/>
      <c r="CW56" s="25" t="n"/>
      <c r="CX56" s="25" t="n"/>
      <c r="CY56" s="25" t="n"/>
      <c r="CZ56" s="25" t="n"/>
      <c r="DA56" s="25" t="n"/>
      <c r="DB56" s="25" t="n"/>
      <c r="DC56" s="25" t="n"/>
      <c r="DD56" s="25" t="n"/>
    </row>
    <row r="57">
      <c r="P57" s="24">
        <f>'클럭 정리'!A58</f>
        <v/>
      </c>
      <c r="Q57" s="23">
        <f>'클럭 정리'!O58</f>
        <v/>
      </c>
      <c r="R57" s="25" t="n"/>
      <c r="S57" s="25" t="n"/>
      <c r="T57" s="25" t="n"/>
      <c r="U57" s="25" t="n"/>
      <c r="V57" s="25" t="n"/>
      <c r="W57" s="25" t="n"/>
      <c r="X57" s="23">
        <f>'클럭 정리'!O58</f>
        <v/>
      </c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  <c r="AL57" s="25" t="n"/>
      <c r="AM57" s="25" t="n"/>
      <c r="AN57" s="25" t="n"/>
      <c r="AO57" s="25" t="n"/>
      <c r="AP57" s="25" t="n"/>
      <c r="AQ57" s="25" t="n"/>
      <c r="AR57" s="25" t="n"/>
      <c r="AS57" s="25" t="n"/>
      <c r="AT57" s="25" t="n"/>
      <c r="AU57" s="25" t="n"/>
      <c r="AV57" s="25" t="n"/>
      <c r="AW57" s="25" t="n"/>
      <c r="AX57" s="25" t="n"/>
      <c r="AY57" s="25" t="n"/>
      <c r="AZ57" s="25" t="n"/>
      <c r="BA57" s="25" t="n"/>
      <c r="BB57" s="25" t="n"/>
      <c r="BC57" s="25" t="n"/>
      <c r="BD57" s="25" t="n"/>
      <c r="BE57" s="25" t="n"/>
      <c r="BF57" s="25" t="n"/>
      <c r="BG57" s="25" t="n"/>
      <c r="BH57" s="25" t="n"/>
      <c r="BI57" s="25" t="n"/>
      <c r="BJ57" s="25" t="n"/>
      <c r="BK57" s="25" t="n"/>
      <c r="BL57" s="25" t="n"/>
      <c r="BM57" s="25" t="n"/>
      <c r="BN57" s="25" t="n"/>
      <c r="BO57" s="25" t="n"/>
      <c r="BP57" s="25" t="n"/>
      <c r="BQ57" s="25" t="n"/>
      <c r="BR57" s="25" t="n"/>
      <c r="BS57" s="25" t="n"/>
      <c r="BT57" s="25" t="n"/>
      <c r="BU57" s="23">
        <f>'클럭 정리'!O58</f>
        <v/>
      </c>
      <c r="BV57" s="23">
        <f>'클럭 정리'!O58</f>
        <v/>
      </c>
      <c r="BW57" s="23">
        <f>'클럭 정리'!O58</f>
        <v/>
      </c>
      <c r="BX57" s="23">
        <f>'클럭 정리'!O58</f>
        <v/>
      </c>
      <c r="BY57" s="25" t="n"/>
      <c r="BZ57" s="23">
        <f>'클럭 정리'!O58</f>
        <v/>
      </c>
      <c r="CA57" s="23">
        <f>'클럭 정리'!O58</f>
        <v/>
      </c>
      <c r="CB57" s="23">
        <f>'클럭 정리'!O58</f>
        <v/>
      </c>
      <c r="CC57" s="23">
        <f>'클럭 정리'!O58</f>
        <v/>
      </c>
      <c r="CD57" s="23">
        <f>'클럭 정리'!O58</f>
        <v/>
      </c>
      <c r="CE57" s="23">
        <f>'클럭 정리'!O58</f>
        <v/>
      </c>
      <c r="CF57" s="23">
        <f>'클럭 정리'!O58</f>
        <v/>
      </c>
      <c r="CG57" s="25" t="n"/>
      <c r="CH57" s="25" t="n"/>
      <c r="CI57" s="25" t="n"/>
      <c r="CJ57" s="25" t="n"/>
      <c r="CK57" s="25" t="n"/>
      <c r="CL57" s="25" t="n"/>
      <c r="CM57" s="25" t="n"/>
      <c r="CN57" s="25" t="n"/>
      <c r="CO57" s="25" t="n"/>
      <c r="CP57" s="25" t="n"/>
      <c r="CQ57" s="25" t="n"/>
      <c r="CR57" s="25" t="n"/>
      <c r="CS57" s="25" t="n"/>
      <c r="CT57" s="25" t="n"/>
      <c r="CU57" s="25" t="n"/>
      <c r="CV57" s="25" t="n"/>
      <c r="CW57" s="25" t="n"/>
      <c r="CX57" s="25" t="n"/>
      <c r="CY57" s="25" t="n"/>
      <c r="CZ57" s="25" t="n"/>
      <c r="DA57" s="25" t="n"/>
      <c r="DB57" s="25" t="n"/>
      <c r="DC57" s="25" t="n"/>
      <c r="DD57" s="25" t="n"/>
    </row>
    <row r="58">
      <c r="P58" s="24">
        <f>'클럭 정리'!A59</f>
        <v/>
      </c>
      <c r="Q58" s="23">
        <f>'클럭 정리'!O59</f>
        <v/>
      </c>
      <c r="R58" s="25" t="n"/>
      <c r="S58" s="25" t="n"/>
      <c r="T58" s="25" t="n"/>
      <c r="U58" s="25" t="n"/>
      <c r="V58" s="25" t="n"/>
      <c r="W58" s="25" t="n"/>
      <c r="X58" s="23">
        <f>'클럭 정리'!O59</f>
        <v/>
      </c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  <c r="AS58" s="25" t="n"/>
      <c r="AT58" s="25" t="n"/>
      <c r="AU58" s="25" t="n"/>
      <c r="AV58" s="25" t="n"/>
      <c r="AW58" s="25" t="n"/>
      <c r="AX58" s="25" t="n"/>
      <c r="AY58" s="25" t="n"/>
      <c r="AZ58" s="25" t="n"/>
      <c r="BA58" s="25" t="n"/>
      <c r="BB58" s="25" t="n"/>
      <c r="BC58" s="25" t="n"/>
      <c r="BD58" s="25" t="n"/>
      <c r="BE58" s="25" t="n"/>
      <c r="BF58" s="25" t="n"/>
      <c r="BG58" s="25" t="n"/>
      <c r="BH58" s="25" t="n"/>
      <c r="BI58" s="25" t="n"/>
      <c r="BJ58" s="25" t="n"/>
      <c r="BK58" s="25" t="n"/>
      <c r="BL58" s="25" t="n"/>
      <c r="BM58" s="25" t="n"/>
      <c r="BN58" s="25" t="n"/>
      <c r="BO58" s="25" t="n"/>
      <c r="BP58" s="25" t="n"/>
      <c r="BQ58" s="25" t="n"/>
      <c r="BR58" s="25" t="n"/>
      <c r="BS58" s="25" t="n"/>
      <c r="BT58" s="25" t="n"/>
      <c r="BU58" s="25" t="n"/>
      <c r="BV58" s="25" t="n"/>
      <c r="BW58" s="25" t="n"/>
      <c r="BX58" s="25" t="n"/>
      <c r="BY58" s="25" t="n"/>
      <c r="BZ58" s="25" t="n"/>
      <c r="CA58" s="25" t="n"/>
      <c r="CB58" s="25" t="n"/>
      <c r="CC58" s="25" t="n"/>
      <c r="CD58" s="25" t="n"/>
      <c r="CE58" s="25" t="n"/>
      <c r="CF58" s="25" t="n"/>
      <c r="CG58" s="23">
        <f>'클럭 정리'!O59</f>
        <v/>
      </c>
      <c r="CH58" s="23">
        <f>'클럭 정리'!O59</f>
        <v/>
      </c>
      <c r="CI58" s="23">
        <f>'클럭 정리'!O59</f>
        <v/>
      </c>
      <c r="CJ58" s="23">
        <f>'클럭 정리'!O59</f>
        <v/>
      </c>
      <c r="CK58" s="23">
        <f>'클럭 정리'!O59</f>
        <v/>
      </c>
      <c r="CL58" s="23">
        <f>'클럭 정리'!O59</f>
        <v/>
      </c>
      <c r="CM58" s="23">
        <f>'클럭 정리'!O59</f>
        <v/>
      </c>
      <c r="CN58" s="25" t="n"/>
      <c r="CO58" s="23">
        <f>'클럭 정리'!O59</f>
        <v/>
      </c>
      <c r="CP58" s="23">
        <f>'클럭 정리'!O59</f>
        <v/>
      </c>
      <c r="CQ58" s="23">
        <f>'클럭 정리'!O59</f>
        <v/>
      </c>
      <c r="CR58" s="23">
        <f>'클럭 정리'!O59</f>
        <v/>
      </c>
      <c r="CS58" s="25" t="n"/>
      <c r="CT58" s="25" t="n"/>
      <c r="CU58" s="25" t="n"/>
      <c r="CV58" s="25" t="n"/>
      <c r="CW58" s="25" t="n"/>
      <c r="CX58" s="25" t="n"/>
      <c r="CY58" s="25" t="n"/>
      <c r="CZ58" s="25" t="n"/>
      <c r="DA58" s="25" t="n"/>
      <c r="DB58" s="25" t="n"/>
      <c r="DC58" s="25" t="n"/>
      <c r="DD58" s="25" t="n"/>
    </row>
    <row r="59">
      <c r="P59" s="24">
        <f>'클럭 정리'!A60</f>
        <v/>
      </c>
      <c r="Q59" s="23">
        <f>'클럭 정리'!O60</f>
        <v/>
      </c>
      <c r="R59" s="25" t="n"/>
      <c r="S59" s="25" t="n"/>
      <c r="T59" s="25" t="n"/>
      <c r="U59" s="25" t="n"/>
      <c r="V59" s="25" t="n"/>
      <c r="W59" s="25" t="n"/>
      <c r="X59" s="23">
        <f>'클럭 정리'!O60</f>
        <v/>
      </c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  <c r="AL59" s="25" t="n"/>
      <c r="AM59" s="25" t="n"/>
      <c r="AN59" s="25" t="n"/>
      <c r="AO59" s="25" t="n"/>
      <c r="AP59" s="25" t="n"/>
      <c r="AQ59" s="25" t="n"/>
      <c r="AR59" s="25" t="n"/>
      <c r="AS59" s="25" t="n"/>
      <c r="AT59" s="25" t="n"/>
      <c r="AU59" s="25" t="n"/>
      <c r="AV59" s="25" t="n"/>
      <c r="AW59" s="25" t="n"/>
      <c r="AX59" s="25" t="n"/>
      <c r="AY59" s="25" t="n"/>
      <c r="AZ59" s="25" t="n"/>
      <c r="BA59" s="25" t="n"/>
      <c r="BB59" s="25" t="n"/>
      <c r="BC59" s="25" t="n"/>
      <c r="BD59" s="25" t="n"/>
      <c r="BE59" s="25" t="n"/>
      <c r="BF59" s="25" t="n"/>
      <c r="BG59" s="25" t="n"/>
      <c r="BH59" s="25" t="n"/>
      <c r="BI59" s="25" t="n"/>
      <c r="BJ59" s="25" t="n"/>
      <c r="BK59" s="25" t="n"/>
      <c r="BL59" s="25" t="n"/>
      <c r="BM59" s="25" t="n"/>
      <c r="BN59" s="25" t="n"/>
      <c r="BO59" s="25" t="n"/>
      <c r="BP59" s="25" t="n"/>
      <c r="BQ59" s="25" t="n"/>
      <c r="BR59" s="25" t="n"/>
      <c r="BS59" s="25" t="n"/>
      <c r="BT59" s="25" t="n"/>
      <c r="BU59" s="25" t="n"/>
      <c r="BV59" s="25" t="n"/>
      <c r="BW59" s="25" t="n"/>
      <c r="BX59" s="25" t="n"/>
      <c r="BY59" s="25" t="n"/>
      <c r="BZ59" s="25" t="n"/>
      <c r="CA59" s="25" t="n"/>
      <c r="CB59" s="25" t="n"/>
      <c r="CC59" s="25" t="n"/>
      <c r="CD59" s="25" t="n"/>
      <c r="CE59" s="25" t="n"/>
      <c r="CF59" s="25" t="n"/>
      <c r="CG59" s="25" t="n"/>
      <c r="CH59" s="25" t="n"/>
      <c r="CI59" s="25" t="n"/>
      <c r="CJ59" s="25" t="n"/>
      <c r="CK59" s="25" t="n"/>
      <c r="CL59" s="25" t="n"/>
      <c r="CM59" s="25" t="n"/>
      <c r="CN59" s="25" t="n"/>
      <c r="CO59" s="25" t="n"/>
      <c r="CP59" s="25" t="n"/>
      <c r="CQ59" s="25" t="n"/>
      <c r="CR59" s="25" t="n"/>
      <c r="CS59" s="23">
        <f>'클럭 정리'!O60</f>
        <v/>
      </c>
      <c r="CT59" s="23">
        <f>'클럭 정리'!O60</f>
        <v/>
      </c>
      <c r="CU59" s="23">
        <f>'클럭 정리'!O60</f>
        <v/>
      </c>
      <c r="CV59" s="23">
        <f>'클럭 정리'!O60</f>
        <v/>
      </c>
      <c r="CW59" s="23">
        <f>'클럭 정리'!O60</f>
        <v/>
      </c>
      <c r="CX59" s="23">
        <f>'클럭 정리'!O60</f>
        <v/>
      </c>
      <c r="CY59" s="23">
        <f>'클럭 정리'!O60</f>
        <v/>
      </c>
      <c r="CZ59" s="23">
        <f>'클럭 정리'!O60</f>
        <v/>
      </c>
      <c r="DA59" s="23">
        <f>'클럭 정리'!O60</f>
        <v/>
      </c>
      <c r="DB59" s="23">
        <f>'클럭 정리'!O60</f>
        <v/>
      </c>
      <c r="DC59" s="23">
        <f>'클럭 정리'!O60</f>
        <v/>
      </c>
      <c r="DD59" s="23">
        <f>'클럭 정리'!O60</f>
        <v/>
      </c>
    </row>
    <row r="60">
      <c r="P60" s="24">
        <f>'클럭 정리'!A61</f>
        <v/>
      </c>
      <c r="Q60" s="23">
        <f>'클럭 정리'!O61</f>
        <v/>
      </c>
      <c r="R60" s="25" t="n"/>
      <c r="S60" s="25" t="n"/>
      <c r="T60" s="25" t="n"/>
      <c r="U60" s="25" t="n"/>
      <c r="V60" s="25" t="n"/>
      <c r="W60" s="25" t="n"/>
      <c r="X60" s="23">
        <f>'클럭 정리'!O61</f>
        <v/>
      </c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  <c r="AL60" s="25" t="n"/>
      <c r="AM60" s="25" t="n"/>
      <c r="AN60" s="25" t="n"/>
      <c r="AO60" s="25" t="n"/>
      <c r="AP60" s="25" t="n"/>
      <c r="AQ60" s="25" t="n"/>
      <c r="AR60" s="25" t="n"/>
      <c r="AS60" s="25" t="n"/>
      <c r="AT60" s="25" t="n"/>
      <c r="AU60" s="25" t="n"/>
      <c r="AV60" s="25" t="n"/>
      <c r="AW60" s="25" t="n"/>
      <c r="AX60" s="25" t="n"/>
      <c r="AY60" s="25" t="n"/>
      <c r="AZ60" s="25" t="n"/>
      <c r="BA60" s="25" t="n"/>
      <c r="BB60" s="25" t="n"/>
      <c r="BC60" s="25" t="n"/>
      <c r="BD60" s="25" t="n"/>
      <c r="BE60" s="25" t="n"/>
      <c r="BF60" s="25" t="n"/>
      <c r="BG60" s="25" t="n"/>
      <c r="BH60" s="25" t="n"/>
      <c r="BI60" s="25" t="n"/>
      <c r="BJ60" s="25" t="n"/>
      <c r="BK60" s="25" t="n"/>
      <c r="BL60" s="25" t="n"/>
      <c r="BM60" s="25" t="n"/>
      <c r="BN60" s="25" t="n"/>
      <c r="BO60" s="25" t="n"/>
      <c r="BP60" s="25" t="n"/>
      <c r="BQ60" s="25" t="n"/>
      <c r="BR60" s="25" t="n"/>
      <c r="BS60" s="25" t="n"/>
      <c r="BT60" s="25" t="n"/>
      <c r="BU60" s="25" t="n"/>
      <c r="BV60" s="25" t="n"/>
      <c r="BW60" s="25" t="n"/>
      <c r="BX60" s="25" t="n"/>
      <c r="BY60" s="25" t="n"/>
      <c r="BZ60" s="25" t="n"/>
      <c r="CA60" s="25" t="n"/>
      <c r="CB60" s="25" t="n"/>
      <c r="CC60" s="25" t="n"/>
      <c r="CD60" s="25" t="n"/>
      <c r="CE60" s="25" t="n"/>
      <c r="CF60" s="25" t="n"/>
      <c r="CG60" s="25" t="n"/>
      <c r="CH60" s="25" t="n"/>
      <c r="CI60" s="25" t="n"/>
      <c r="CJ60" s="25" t="n"/>
      <c r="CK60" s="25" t="n"/>
      <c r="CL60" s="25" t="n"/>
      <c r="CM60" s="25" t="n"/>
      <c r="CN60" s="25" t="n"/>
      <c r="CO60" s="25" t="n"/>
      <c r="CP60" s="25" t="n"/>
      <c r="CQ60" s="25" t="n"/>
      <c r="CR60" s="25" t="n"/>
      <c r="CS60" s="23">
        <f>'클럭 정리'!O61</f>
        <v/>
      </c>
      <c r="CT60" s="23">
        <f>'클럭 정리'!O61</f>
        <v/>
      </c>
      <c r="CU60" s="23">
        <f>'클럭 정리'!O61</f>
        <v/>
      </c>
      <c r="CV60" s="23">
        <f>'클럭 정리'!O61</f>
        <v/>
      </c>
      <c r="CW60" s="23">
        <f>'클럭 정리'!O61</f>
        <v/>
      </c>
      <c r="CX60" s="23">
        <f>'클럭 정리'!O61</f>
        <v/>
      </c>
      <c r="CY60" s="23">
        <f>'클럭 정리'!O61</f>
        <v/>
      </c>
      <c r="CZ60" s="25" t="n"/>
      <c r="DA60" s="23">
        <f>'클럭 정리'!O61</f>
        <v/>
      </c>
      <c r="DB60" s="23">
        <f>'클럭 정리'!O61</f>
        <v/>
      </c>
      <c r="DC60" s="23">
        <f>'클럭 정리'!O61</f>
        <v/>
      </c>
      <c r="DD60" s="23">
        <f>'클럭 정리'!O61</f>
        <v/>
      </c>
    </row>
    <row r="61">
      <c r="P61" s="24">
        <f>'클럭 정리'!A62</f>
        <v/>
      </c>
      <c r="Q61" s="23">
        <f>'클럭 정리'!O62</f>
        <v/>
      </c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  <c r="AJ61" s="25" t="n"/>
      <c r="AK61" s="25" t="n"/>
      <c r="AL61" s="25" t="n"/>
      <c r="AM61" s="25" t="n"/>
      <c r="AN61" s="25" t="n"/>
      <c r="AO61" s="25" t="n"/>
      <c r="AP61" s="25" t="n"/>
      <c r="AQ61" s="25" t="n"/>
      <c r="AR61" s="25" t="n"/>
      <c r="AS61" s="25" t="n"/>
      <c r="AT61" s="25" t="n"/>
      <c r="AU61" s="25" t="n"/>
      <c r="AV61" s="25" t="n"/>
      <c r="AW61" s="25" t="n"/>
      <c r="AX61" s="25" t="n"/>
      <c r="AY61" s="25" t="n"/>
      <c r="AZ61" s="25" t="n"/>
      <c r="BA61" s="25" t="n"/>
      <c r="BB61" s="25" t="n"/>
      <c r="BC61" s="25" t="n"/>
      <c r="BD61" s="25" t="n"/>
      <c r="BE61" s="25" t="n"/>
      <c r="BF61" s="25" t="n"/>
      <c r="BG61" s="25" t="n"/>
      <c r="BH61" s="25" t="n"/>
      <c r="BI61" s="25" t="n"/>
      <c r="BJ61" s="25" t="n"/>
      <c r="BK61" s="25" t="n"/>
      <c r="BL61" s="25" t="n"/>
      <c r="BM61" s="25" t="n"/>
      <c r="BN61" s="25" t="n"/>
      <c r="BO61" s="25" t="n"/>
      <c r="BP61" s="25" t="n"/>
      <c r="BQ61" s="25" t="n"/>
      <c r="BR61" s="25" t="n"/>
      <c r="BS61" s="25" t="n"/>
      <c r="BT61" s="25" t="n"/>
      <c r="BU61" s="25" t="n"/>
      <c r="BV61" s="25" t="n"/>
      <c r="BW61" s="25" t="n"/>
      <c r="BX61" s="25" t="n"/>
      <c r="BY61" s="25" t="n"/>
      <c r="BZ61" s="25" t="n"/>
      <c r="CA61" s="25" t="n"/>
      <c r="CB61" s="25" t="n"/>
      <c r="CC61" s="25" t="n"/>
      <c r="CD61" s="25" t="n"/>
      <c r="CE61" s="25" t="n"/>
      <c r="CF61" s="25" t="n"/>
      <c r="CG61" s="25" t="n"/>
      <c r="CH61" s="25" t="n"/>
      <c r="CI61" s="25" t="n"/>
      <c r="CJ61" s="25" t="n"/>
      <c r="CK61" s="25" t="n"/>
      <c r="CL61" s="25" t="n"/>
      <c r="CM61" s="25" t="n"/>
      <c r="CN61" s="25" t="n"/>
      <c r="CO61" s="25" t="n"/>
      <c r="CP61" s="25" t="n"/>
      <c r="CQ61" s="25" t="n"/>
      <c r="CR61" s="25" t="n"/>
      <c r="CS61" s="25" t="n"/>
      <c r="CT61" s="25" t="n"/>
      <c r="CU61" s="25" t="n"/>
      <c r="CV61" s="25" t="n"/>
      <c r="CW61" s="25" t="n"/>
      <c r="CX61" s="25" t="n"/>
      <c r="CY61" s="25" t="n"/>
      <c r="CZ61" s="25" t="n"/>
      <c r="DA61" s="25" t="n"/>
      <c r="DB61" s="25" t="n"/>
      <c r="DC61" s="25" t="n"/>
      <c r="DD61" s="25" t="n"/>
    </row>
    <row r="62">
      <c r="P62" s="24">
        <f>'클럭 정리'!A63</f>
        <v/>
      </c>
      <c r="Q62" s="23">
        <f>'클럭 정리'!O63</f>
        <v/>
      </c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  <c r="AL62" s="25" t="n"/>
      <c r="AM62" s="25" t="n"/>
      <c r="AN62" s="25" t="n"/>
      <c r="AO62" s="25" t="n"/>
      <c r="AP62" s="25" t="n"/>
      <c r="AQ62" s="25" t="n"/>
      <c r="AR62" s="25" t="n"/>
      <c r="AS62" s="25" t="n"/>
      <c r="AT62" s="25" t="n"/>
      <c r="AU62" s="25" t="n"/>
      <c r="AV62" s="25" t="n"/>
      <c r="AW62" s="25" t="n"/>
      <c r="AX62" s="25" t="n"/>
      <c r="AY62" s="25" t="n"/>
      <c r="AZ62" s="25" t="n"/>
      <c r="BA62" s="25" t="n"/>
      <c r="BB62" s="25" t="n"/>
      <c r="BC62" s="25" t="n"/>
      <c r="BD62" s="25" t="n"/>
      <c r="BE62" s="25" t="n"/>
      <c r="BF62" s="25" t="n"/>
      <c r="BG62" s="25" t="n"/>
      <c r="BH62" s="25" t="n"/>
      <c r="BI62" s="25" t="n"/>
      <c r="BJ62" s="25" t="n"/>
      <c r="BK62" s="25" t="n"/>
      <c r="BL62" s="25" t="n"/>
      <c r="BM62" s="25" t="n"/>
      <c r="BN62" s="25" t="n"/>
      <c r="BO62" s="25" t="n"/>
      <c r="BP62" s="25" t="n"/>
      <c r="BQ62" s="25" t="n"/>
      <c r="BR62" s="25" t="n"/>
      <c r="BS62" s="25" t="n"/>
      <c r="BT62" s="25" t="n"/>
      <c r="BU62" s="25" t="n"/>
      <c r="BV62" s="25" t="n"/>
      <c r="BW62" s="25" t="n"/>
      <c r="BX62" s="25" t="n"/>
      <c r="BY62" s="25" t="n"/>
      <c r="BZ62" s="25" t="n"/>
      <c r="CA62" s="25" t="n"/>
      <c r="CB62" s="25" t="n"/>
      <c r="CC62" s="25" t="n"/>
      <c r="CD62" s="25" t="n"/>
      <c r="CE62" s="25" t="n"/>
      <c r="CF62" s="25" t="n"/>
      <c r="CG62" s="25" t="n"/>
      <c r="CH62" s="25" t="n"/>
      <c r="CI62" s="25" t="n"/>
      <c r="CJ62" s="25" t="n"/>
      <c r="CK62" s="25" t="n"/>
      <c r="CL62" s="25" t="n"/>
      <c r="CM62" s="25" t="n"/>
      <c r="CN62" s="25" t="n"/>
      <c r="CO62" s="25" t="n"/>
      <c r="CP62" s="25" t="n"/>
      <c r="CQ62" s="25" t="n"/>
      <c r="CR62" s="25" t="n"/>
      <c r="CS62" s="25" t="n"/>
      <c r="CT62" s="25" t="n"/>
      <c r="CU62" s="25" t="n"/>
      <c r="CV62" s="25" t="n"/>
      <c r="CW62" s="25" t="n"/>
      <c r="CX62" s="25" t="n"/>
      <c r="CY62" s="25" t="n"/>
      <c r="CZ62" s="25" t="n"/>
      <c r="DA62" s="25" t="n"/>
      <c r="DB62" s="25" t="n"/>
      <c r="DC62" s="25" t="n"/>
      <c r="DD62" s="25" t="n"/>
    </row>
    <row r="63">
      <c r="P63" s="24">
        <f>'클럭 정리'!A64</f>
        <v/>
      </c>
      <c r="Q63" s="23">
        <f>'클럭 정리'!O64</f>
        <v/>
      </c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  <c r="AD63" s="25" t="n"/>
      <c r="AE63" s="25" t="n"/>
      <c r="AF63" s="25" t="n"/>
      <c r="AG63" s="25" t="n"/>
      <c r="AH63" s="25" t="n"/>
      <c r="AI63" s="25" t="n"/>
      <c r="AJ63" s="25" t="n"/>
      <c r="AK63" s="25" t="n"/>
      <c r="AL63" s="25" t="n"/>
      <c r="AM63" s="25" t="n"/>
      <c r="AN63" s="25" t="n"/>
      <c r="AO63" s="25" t="n"/>
      <c r="AP63" s="25" t="n"/>
      <c r="AQ63" s="25" t="n"/>
      <c r="AR63" s="25" t="n"/>
      <c r="AS63" s="25" t="n"/>
      <c r="AT63" s="25" t="n"/>
      <c r="AU63" s="25" t="n"/>
      <c r="AV63" s="25" t="n"/>
      <c r="AW63" s="25" t="n"/>
      <c r="AX63" s="25" t="n"/>
      <c r="AY63" s="25" t="n"/>
      <c r="AZ63" s="25" t="n"/>
      <c r="BA63" s="25" t="n"/>
      <c r="BB63" s="25" t="n"/>
      <c r="BC63" s="25" t="n"/>
      <c r="BD63" s="25" t="n"/>
      <c r="BE63" s="25" t="n"/>
      <c r="BF63" s="25" t="n"/>
      <c r="BG63" s="25" t="n"/>
      <c r="BH63" s="25" t="n"/>
      <c r="BI63" s="25" t="n"/>
      <c r="BJ63" s="25" t="n"/>
      <c r="BK63" s="25" t="n"/>
      <c r="BL63" s="25" t="n"/>
      <c r="BM63" s="25" t="n"/>
      <c r="BN63" s="25" t="n"/>
      <c r="BO63" s="25" t="n"/>
      <c r="BP63" s="25" t="n"/>
      <c r="BQ63" s="25" t="n"/>
      <c r="BR63" s="25" t="n"/>
      <c r="BS63" s="25" t="n"/>
      <c r="BT63" s="25" t="n"/>
      <c r="BU63" s="25" t="n"/>
      <c r="BV63" s="25" t="n"/>
      <c r="BW63" s="25" t="n"/>
      <c r="BX63" s="25" t="n"/>
      <c r="BY63" s="25" t="n"/>
      <c r="BZ63" s="25" t="n"/>
      <c r="CA63" s="25" t="n"/>
      <c r="CB63" s="25" t="n"/>
      <c r="CC63" s="25" t="n"/>
      <c r="CD63" s="25" t="n"/>
      <c r="CE63" s="25" t="n"/>
      <c r="CF63" s="25" t="n"/>
      <c r="CG63" s="25" t="n"/>
      <c r="CH63" s="25" t="n"/>
      <c r="CI63" s="25" t="n"/>
      <c r="CJ63" s="25" t="n"/>
      <c r="CK63" s="25" t="n"/>
      <c r="CL63" s="25" t="n"/>
      <c r="CM63" s="25" t="n"/>
      <c r="CN63" s="25" t="n"/>
      <c r="CO63" s="25" t="n"/>
      <c r="CP63" s="25" t="n"/>
      <c r="CQ63" s="25" t="n"/>
      <c r="CR63" s="25" t="n"/>
      <c r="CS63" s="25" t="n"/>
      <c r="CT63" s="25" t="n"/>
      <c r="CU63" s="25" t="n"/>
      <c r="CV63" s="25" t="n"/>
      <c r="CW63" s="25" t="n"/>
      <c r="CX63" s="25" t="n"/>
      <c r="CY63" s="25" t="n"/>
      <c r="CZ63" s="25" t="n"/>
      <c r="DA63" s="25" t="n"/>
      <c r="DB63" s="25" t="n"/>
      <c r="DC63" s="25" t="n"/>
      <c r="DD63" s="25" t="n"/>
    </row>
    <row r="64">
      <c r="P64" s="24">
        <f>'클럭 정리'!A65</f>
        <v/>
      </c>
      <c r="Q64" s="23">
        <f>'클럭 정리'!O65</f>
        <v/>
      </c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  <c r="AL64" s="25" t="n"/>
      <c r="AM64" s="25" t="n"/>
      <c r="AN64" s="25" t="n"/>
      <c r="AO64" s="25" t="n"/>
      <c r="AP64" s="25" t="n"/>
      <c r="AQ64" s="25" t="n"/>
      <c r="AR64" s="25" t="n"/>
      <c r="AS64" s="25" t="n"/>
      <c r="AT64" s="25" t="n"/>
      <c r="AU64" s="25" t="n"/>
      <c r="AV64" s="25" t="n"/>
      <c r="AW64" s="25" t="n"/>
      <c r="AX64" s="25" t="n"/>
      <c r="AY64" s="25" t="n"/>
      <c r="AZ64" s="25" t="n"/>
      <c r="BA64" s="25" t="n"/>
      <c r="BB64" s="25" t="n"/>
      <c r="BC64" s="25" t="n"/>
      <c r="BD64" s="25" t="n"/>
      <c r="BE64" s="25" t="n"/>
      <c r="BF64" s="25" t="n"/>
      <c r="BG64" s="25" t="n"/>
      <c r="BH64" s="25" t="n"/>
      <c r="BI64" s="25" t="n"/>
      <c r="BJ64" s="25" t="n"/>
      <c r="BK64" s="25" t="n"/>
      <c r="BL64" s="25" t="n"/>
      <c r="BM64" s="25" t="n"/>
      <c r="BN64" s="25" t="n"/>
      <c r="BO64" s="25" t="n"/>
      <c r="BP64" s="25" t="n"/>
      <c r="BQ64" s="25" t="n"/>
      <c r="BR64" s="25" t="n"/>
      <c r="BS64" s="25" t="n"/>
      <c r="BT64" s="25" t="n"/>
      <c r="BU64" s="25" t="n"/>
      <c r="BV64" s="25" t="n"/>
      <c r="BW64" s="25" t="n"/>
      <c r="BX64" s="25" t="n"/>
      <c r="BY64" s="25" t="n"/>
      <c r="BZ64" s="25" t="n"/>
      <c r="CA64" s="25" t="n"/>
      <c r="CB64" s="25" t="n"/>
      <c r="CC64" s="25" t="n"/>
      <c r="CD64" s="25" t="n"/>
      <c r="CE64" s="25" t="n"/>
      <c r="CF64" s="25" t="n"/>
      <c r="CG64" s="25" t="n"/>
      <c r="CH64" s="25" t="n"/>
      <c r="CI64" s="25" t="n"/>
      <c r="CJ64" s="25" t="n"/>
      <c r="CK64" s="25" t="n"/>
      <c r="CL64" s="25" t="n"/>
      <c r="CM64" s="25" t="n"/>
      <c r="CN64" s="25" t="n"/>
      <c r="CO64" s="25" t="n"/>
      <c r="CP64" s="25" t="n"/>
      <c r="CQ64" s="25" t="n"/>
      <c r="CR64" s="25" t="n"/>
      <c r="CS64" s="25" t="n"/>
      <c r="CT64" s="25" t="n"/>
      <c r="CU64" s="25" t="n"/>
      <c r="CV64" s="25" t="n"/>
      <c r="CW64" s="25" t="n"/>
      <c r="CX64" s="25" t="n"/>
      <c r="CY64" s="25" t="n"/>
      <c r="CZ64" s="25" t="n"/>
      <c r="DA64" s="25" t="n"/>
      <c r="DB64" s="25" t="n"/>
      <c r="DC64" s="25" t="n"/>
      <c r="DD64" s="25" t="n"/>
    </row>
    <row r="65">
      <c r="P65" s="24">
        <f>'클럭 정리'!A66</f>
        <v/>
      </c>
      <c r="Q65" s="23">
        <f>'클럭 정리'!O66</f>
        <v/>
      </c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  <c r="AJ65" s="25" t="n"/>
      <c r="AK65" s="25" t="n"/>
      <c r="AL65" s="25" t="n"/>
      <c r="AM65" s="25" t="n"/>
      <c r="AN65" s="25" t="n"/>
      <c r="AO65" s="25" t="n"/>
      <c r="AP65" s="25" t="n"/>
      <c r="AQ65" s="25" t="n"/>
      <c r="AR65" s="25" t="n"/>
      <c r="AS65" s="25" t="n"/>
      <c r="AT65" s="25" t="n"/>
      <c r="AU65" s="25" t="n"/>
      <c r="AV65" s="25" t="n"/>
      <c r="AW65" s="25" t="n"/>
      <c r="AX65" s="25" t="n"/>
      <c r="AY65" s="25" t="n"/>
      <c r="AZ65" s="25" t="n"/>
      <c r="BA65" s="25" t="n"/>
      <c r="BB65" s="25" t="n"/>
      <c r="BC65" s="25" t="n"/>
      <c r="BD65" s="25" t="n"/>
      <c r="BE65" s="25" t="n"/>
      <c r="BF65" s="25" t="n"/>
      <c r="BG65" s="25" t="n"/>
      <c r="BH65" s="25" t="n"/>
      <c r="BI65" s="25" t="n"/>
      <c r="BJ65" s="25" t="n"/>
      <c r="BK65" s="25" t="n"/>
      <c r="BL65" s="25" t="n"/>
      <c r="BM65" s="25" t="n"/>
      <c r="BN65" s="25" t="n"/>
      <c r="BO65" s="25" t="n"/>
      <c r="BP65" s="25" t="n"/>
      <c r="BQ65" s="25" t="n"/>
      <c r="BR65" s="25" t="n"/>
      <c r="BS65" s="25" t="n"/>
      <c r="BT65" s="25" t="n"/>
      <c r="BU65" s="25" t="n"/>
      <c r="BV65" s="25" t="n"/>
      <c r="BW65" s="25" t="n"/>
      <c r="BX65" s="25" t="n"/>
      <c r="BY65" s="25" t="n"/>
      <c r="BZ65" s="25" t="n"/>
      <c r="CA65" s="25" t="n"/>
      <c r="CB65" s="25" t="n"/>
      <c r="CC65" s="25" t="n"/>
      <c r="CD65" s="25" t="n"/>
      <c r="CE65" s="25" t="n"/>
      <c r="CF65" s="25" t="n"/>
      <c r="CG65" s="25" t="n"/>
      <c r="CH65" s="25" t="n"/>
      <c r="CI65" s="25" t="n"/>
      <c r="CJ65" s="25" t="n"/>
      <c r="CK65" s="25" t="n"/>
      <c r="CL65" s="25" t="n"/>
      <c r="CM65" s="25" t="n"/>
      <c r="CN65" s="25" t="n"/>
      <c r="CO65" s="25" t="n"/>
      <c r="CP65" s="25" t="n"/>
      <c r="CQ65" s="25" t="n"/>
      <c r="CR65" s="25" t="n"/>
      <c r="CS65" s="25" t="n"/>
      <c r="CT65" s="25" t="n"/>
      <c r="CU65" s="25" t="n"/>
      <c r="CV65" s="25" t="n"/>
      <c r="CW65" s="25" t="n"/>
      <c r="CX65" s="25" t="n"/>
      <c r="CY65" s="25" t="n"/>
      <c r="CZ65" s="25" t="n"/>
      <c r="DA65" s="25" t="n"/>
      <c r="DB65" s="25" t="n"/>
      <c r="DC65" s="25" t="n"/>
      <c r="DD65" s="25" t="n"/>
    </row>
    <row r="66">
      <c r="P66" s="24">
        <f>'클럭 정리'!A67</f>
        <v/>
      </c>
      <c r="Q66" s="23">
        <f>'클럭 정리'!O67</f>
        <v/>
      </c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  <c r="AL66" s="25" t="n"/>
      <c r="AM66" s="25" t="n"/>
      <c r="AN66" s="25" t="n"/>
      <c r="AO66" s="25" t="n"/>
      <c r="AP66" s="25" t="n"/>
      <c r="AQ66" s="25" t="n"/>
      <c r="AR66" s="25" t="n"/>
      <c r="AS66" s="25" t="n"/>
      <c r="AT66" s="25" t="n"/>
      <c r="AU66" s="25" t="n"/>
      <c r="AV66" s="25" t="n"/>
      <c r="AW66" s="25" t="n"/>
      <c r="AX66" s="25" t="n"/>
      <c r="AY66" s="25" t="n"/>
      <c r="AZ66" s="25" t="n"/>
      <c r="BA66" s="25" t="n"/>
      <c r="BB66" s="25" t="n"/>
      <c r="BC66" s="25" t="n"/>
      <c r="BD66" s="25" t="n"/>
      <c r="BE66" s="25" t="n"/>
      <c r="BF66" s="25" t="n"/>
      <c r="BG66" s="25" t="n"/>
      <c r="BH66" s="25" t="n"/>
      <c r="BI66" s="25" t="n"/>
      <c r="BJ66" s="25" t="n"/>
      <c r="BK66" s="25" t="n"/>
      <c r="BL66" s="25" t="n"/>
      <c r="BM66" s="25" t="n"/>
      <c r="BN66" s="25" t="n"/>
      <c r="BO66" s="25" t="n"/>
      <c r="BP66" s="25" t="n"/>
      <c r="BQ66" s="25" t="n"/>
      <c r="BR66" s="25" t="n"/>
      <c r="BS66" s="25" t="n"/>
      <c r="BT66" s="25" t="n"/>
      <c r="BU66" s="25" t="n"/>
      <c r="BV66" s="25" t="n"/>
      <c r="BW66" s="25" t="n"/>
      <c r="BX66" s="25" t="n"/>
      <c r="BY66" s="25" t="n"/>
      <c r="BZ66" s="25" t="n"/>
      <c r="CA66" s="25" t="n"/>
      <c r="CB66" s="25" t="n"/>
      <c r="CC66" s="25" t="n"/>
      <c r="CD66" s="25" t="n"/>
      <c r="CE66" s="25" t="n"/>
      <c r="CF66" s="25" t="n"/>
      <c r="CG66" s="25" t="n"/>
      <c r="CH66" s="25" t="n"/>
      <c r="CI66" s="25" t="n"/>
      <c r="CJ66" s="25" t="n"/>
      <c r="CK66" s="25" t="n"/>
      <c r="CL66" s="25" t="n"/>
      <c r="CM66" s="25" t="n"/>
      <c r="CN66" s="25" t="n"/>
      <c r="CO66" s="25" t="n"/>
      <c r="CP66" s="25" t="n"/>
      <c r="CQ66" s="25" t="n"/>
      <c r="CR66" s="25" t="n"/>
      <c r="CS66" s="25" t="n"/>
      <c r="CT66" s="25" t="n"/>
      <c r="CU66" s="25" t="n"/>
      <c r="CV66" s="25" t="n"/>
      <c r="CW66" s="25" t="n"/>
      <c r="CX66" s="25" t="n"/>
      <c r="CY66" s="25" t="n"/>
      <c r="CZ66" s="25" t="n"/>
      <c r="DA66" s="25" t="n"/>
      <c r="DB66" s="25" t="n"/>
      <c r="DC66" s="25" t="n"/>
      <c r="DD66" s="25" t="n"/>
    </row>
    <row r="67">
      <c r="P67" s="24">
        <f>'클럭 정리'!A68</f>
        <v/>
      </c>
      <c r="Q67" s="23">
        <f>'클럭 정리'!O68</f>
        <v/>
      </c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  <c r="AD67" s="25" t="n"/>
      <c r="AE67" s="25" t="n"/>
      <c r="AF67" s="25" t="n"/>
      <c r="AG67" s="25" t="n"/>
      <c r="AH67" s="25" t="n"/>
      <c r="AI67" s="25" t="n"/>
      <c r="AJ67" s="25" t="n"/>
      <c r="AK67" s="25" t="n"/>
      <c r="AL67" s="25" t="n"/>
      <c r="AM67" s="25" t="n"/>
      <c r="AN67" s="25" t="n"/>
      <c r="AO67" s="25" t="n"/>
      <c r="AP67" s="25" t="n"/>
      <c r="AQ67" s="25" t="n"/>
      <c r="AR67" s="25" t="n"/>
      <c r="AS67" s="25" t="n"/>
      <c r="AT67" s="25" t="n"/>
      <c r="AU67" s="25" t="n"/>
      <c r="AV67" s="25" t="n"/>
      <c r="AW67" s="25" t="n"/>
      <c r="AX67" s="25" t="n"/>
      <c r="AY67" s="25" t="n"/>
      <c r="AZ67" s="25" t="n"/>
      <c r="BA67" s="25" t="n"/>
      <c r="BB67" s="25" t="n"/>
      <c r="BC67" s="25" t="n"/>
      <c r="BD67" s="25" t="n"/>
      <c r="BE67" s="25" t="n"/>
      <c r="BF67" s="25" t="n"/>
      <c r="BG67" s="25" t="n"/>
      <c r="BH67" s="25" t="n"/>
      <c r="BI67" s="25" t="n"/>
      <c r="BJ67" s="25" t="n"/>
      <c r="BK67" s="25" t="n"/>
      <c r="BL67" s="25" t="n"/>
      <c r="BM67" s="25" t="n"/>
      <c r="BN67" s="25" t="n"/>
      <c r="BO67" s="25" t="n"/>
      <c r="BP67" s="25" t="n"/>
      <c r="BQ67" s="25" t="n"/>
      <c r="BR67" s="25" t="n"/>
      <c r="BS67" s="25" t="n"/>
      <c r="BT67" s="25" t="n"/>
      <c r="BU67" s="25" t="n"/>
      <c r="BV67" s="25" t="n"/>
      <c r="BW67" s="25" t="n"/>
      <c r="BX67" s="25" t="n"/>
      <c r="BY67" s="25" t="n"/>
      <c r="BZ67" s="25" t="n"/>
      <c r="CA67" s="25" t="n"/>
      <c r="CB67" s="25" t="n"/>
      <c r="CC67" s="25" t="n"/>
      <c r="CD67" s="25" t="n"/>
      <c r="CE67" s="25" t="n"/>
      <c r="CF67" s="25" t="n"/>
      <c r="CG67" s="25" t="n"/>
      <c r="CH67" s="25" t="n"/>
      <c r="CI67" s="25" t="n"/>
      <c r="CJ67" s="25" t="n"/>
      <c r="CK67" s="25" t="n"/>
      <c r="CL67" s="25" t="n"/>
      <c r="CM67" s="25" t="n"/>
      <c r="CN67" s="25" t="n"/>
      <c r="CO67" s="25" t="n"/>
      <c r="CP67" s="25" t="n"/>
      <c r="CQ67" s="25" t="n"/>
      <c r="CR67" s="25" t="n"/>
      <c r="CS67" s="25" t="n"/>
      <c r="CT67" s="25" t="n"/>
      <c r="CU67" s="25" t="n"/>
      <c r="CV67" s="25" t="n"/>
      <c r="CW67" s="25" t="n"/>
      <c r="CX67" s="25" t="n"/>
      <c r="CY67" s="25" t="n"/>
      <c r="CZ67" s="25" t="n"/>
      <c r="DA67" s="25" t="n"/>
      <c r="DB67" s="25" t="n"/>
      <c r="DC67" s="25" t="n"/>
      <c r="DD67" s="25" t="n"/>
    </row>
    <row r="68">
      <c r="P68" s="24">
        <f>'클럭 정리'!A69</f>
        <v/>
      </c>
      <c r="Q68" s="23">
        <f>'클럭 정리'!O69</f>
        <v/>
      </c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  <c r="AL68" s="25" t="n"/>
      <c r="AM68" s="25" t="n"/>
      <c r="AN68" s="25" t="n"/>
      <c r="AO68" s="25" t="n"/>
      <c r="AP68" s="25" t="n"/>
      <c r="AQ68" s="25" t="n"/>
      <c r="AR68" s="25" t="n"/>
      <c r="AS68" s="25" t="n"/>
      <c r="AT68" s="25" t="n"/>
      <c r="AU68" s="25" t="n"/>
      <c r="AV68" s="25" t="n"/>
      <c r="AW68" s="25" t="n"/>
      <c r="AX68" s="25" t="n"/>
      <c r="AY68" s="25" t="n"/>
      <c r="AZ68" s="25" t="n"/>
      <c r="BA68" s="25" t="n"/>
      <c r="BB68" s="25" t="n"/>
      <c r="BC68" s="25" t="n"/>
      <c r="BD68" s="25" t="n"/>
      <c r="BE68" s="25" t="n"/>
      <c r="BF68" s="25" t="n"/>
      <c r="BG68" s="25" t="n"/>
      <c r="BH68" s="25" t="n"/>
      <c r="BI68" s="25" t="n"/>
      <c r="BJ68" s="25" t="n"/>
      <c r="BK68" s="25" t="n"/>
      <c r="BL68" s="25" t="n"/>
      <c r="BM68" s="25" t="n"/>
      <c r="BN68" s="25" t="n"/>
      <c r="BO68" s="25" t="n"/>
      <c r="BP68" s="25" t="n"/>
      <c r="BQ68" s="25" t="n"/>
      <c r="BR68" s="25" t="n"/>
      <c r="BS68" s="25" t="n"/>
      <c r="BT68" s="25" t="n"/>
      <c r="BU68" s="25" t="n"/>
      <c r="BV68" s="25" t="n"/>
      <c r="BW68" s="25" t="n"/>
      <c r="BX68" s="25" t="n"/>
      <c r="BY68" s="25" t="n"/>
      <c r="BZ68" s="25" t="n"/>
      <c r="CA68" s="25" t="n"/>
      <c r="CB68" s="25" t="n"/>
      <c r="CC68" s="25" t="n"/>
      <c r="CD68" s="25" t="n"/>
      <c r="CE68" s="25" t="n"/>
      <c r="CF68" s="25" t="n"/>
      <c r="CG68" s="25" t="n"/>
      <c r="CH68" s="25" t="n"/>
      <c r="CI68" s="25" t="n"/>
      <c r="CJ68" s="25" t="n"/>
      <c r="CK68" s="25" t="n"/>
      <c r="CL68" s="25" t="n"/>
      <c r="CM68" s="25" t="n"/>
      <c r="CN68" s="25" t="n"/>
      <c r="CO68" s="25" t="n"/>
      <c r="CP68" s="25" t="n"/>
      <c r="CQ68" s="25" t="n"/>
      <c r="CR68" s="25" t="n"/>
      <c r="CS68" s="25" t="n"/>
      <c r="CT68" s="25" t="n"/>
      <c r="CU68" s="25" t="n"/>
      <c r="CV68" s="25" t="n"/>
      <c r="CW68" s="25" t="n"/>
      <c r="CX68" s="25" t="n"/>
      <c r="CY68" s="25" t="n"/>
      <c r="CZ68" s="25" t="n"/>
      <c r="DA68" s="25" t="n"/>
      <c r="DB68" s="25" t="n"/>
      <c r="DC68" s="25" t="n"/>
      <c r="DD68" s="25" t="n"/>
    </row>
    <row r="69">
      <c r="P69" s="24">
        <f>'클럭 정리'!A70</f>
        <v/>
      </c>
      <c r="Q69" s="23">
        <f>'클럭 정리'!O70</f>
        <v/>
      </c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  <c r="AD69" s="25" t="n"/>
      <c r="AE69" s="25" t="n"/>
      <c r="AF69" s="25" t="n"/>
      <c r="AG69" s="25" t="n"/>
      <c r="AH69" s="25" t="n"/>
      <c r="AI69" s="25" t="n"/>
      <c r="AJ69" s="25" t="n"/>
      <c r="AK69" s="25" t="n"/>
      <c r="AL69" s="25" t="n"/>
      <c r="AM69" s="25" t="n"/>
      <c r="AN69" s="25" t="n"/>
      <c r="AO69" s="25" t="n"/>
      <c r="AP69" s="25" t="n"/>
      <c r="AQ69" s="25" t="n"/>
      <c r="AR69" s="25" t="n"/>
      <c r="AS69" s="25" t="n"/>
      <c r="AT69" s="25" t="n"/>
      <c r="AU69" s="25" t="n"/>
      <c r="AV69" s="25" t="n"/>
      <c r="AW69" s="25" t="n"/>
      <c r="AX69" s="25" t="n"/>
      <c r="AY69" s="25" t="n"/>
      <c r="AZ69" s="25" t="n"/>
      <c r="BA69" s="25" t="n"/>
      <c r="BB69" s="25" t="n"/>
      <c r="BC69" s="25" t="n"/>
      <c r="BD69" s="25" t="n"/>
      <c r="BE69" s="25" t="n"/>
      <c r="BF69" s="25" t="n"/>
      <c r="BG69" s="25" t="n"/>
      <c r="BH69" s="25" t="n"/>
      <c r="BI69" s="25" t="n"/>
      <c r="BJ69" s="25" t="n"/>
      <c r="BK69" s="25" t="n"/>
      <c r="BL69" s="25" t="n"/>
      <c r="BM69" s="25" t="n"/>
      <c r="BN69" s="25" t="n"/>
      <c r="BO69" s="25" t="n"/>
      <c r="BP69" s="25" t="n"/>
      <c r="BQ69" s="25" t="n"/>
      <c r="BR69" s="25" t="n"/>
      <c r="BS69" s="25" t="n"/>
      <c r="BT69" s="25" t="n"/>
      <c r="BU69" s="25" t="n"/>
      <c r="BV69" s="25" t="n"/>
      <c r="BW69" s="25" t="n"/>
      <c r="BX69" s="25" t="n"/>
      <c r="BY69" s="25" t="n"/>
      <c r="BZ69" s="25" t="n"/>
      <c r="CA69" s="25" t="n"/>
      <c r="CB69" s="25" t="n"/>
      <c r="CC69" s="25" t="n"/>
      <c r="CD69" s="25" t="n"/>
      <c r="CE69" s="25" t="n"/>
      <c r="CF69" s="25" t="n"/>
      <c r="CG69" s="25" t="n"/>
      <c r="CH69" s="25" t="n"/>
      <c r="CI69" s="25" t="n"/>
      <c r="CJ69" s="25" t="n"/>
      <c r="CK69" s="25" t="n"/>
      <c r="CL69" s="25" t="n"/>
      <c r="CM69" s="25" t="n"/>
      <c r="CN69" s="25" t="n"/>
      <c r="CO69" s="25" t="n"/>
      <c r="CP69" s="25" t="n"/>
      <c r="CQ69" s="25" t="n"/>
      <c r="CR69" s="25" t="n"/>
      <c r="CS69" s="25" t="n"/>
      <c r="CT69" s="25" t="n"/>
      <c r="CU69" s="25" t="n"/>
      <c r="CV69" s="25" t="n"/>
      <c r="CW69" s="25" t="n"/>
      <c r="CX69" s="25" t="n"/>
      <c r="CY69" s="25" t="n"/>
      <c r="CZ69" s="25" t="n"/>
      <c r="DA69" s="25" t="n"/>
      <c r="DB69" s="25" t="n"/>
      <c r="DC69" s="25" t="n"/>
      <c r="DD69" s="25" t="n"/>
    </row>
    <row r="70">
      <c r="P70" s="24">
        <f>'클럭 정리'!A71</f>
        <v/>
      </c>
      <c r="Q70" s="23">
        <f>'클럭 정리'!O71</f>
        <v/>
      </c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  <c r="AE70" s="25" t="n"/>
      <c r="AF70" s="25" t="n"/>
      <c r="AG70" s="25" t="n"/>
      <c r="AH70" s="25" t="n"/>
      <c r="AI70" s="25" t="n"/>
      <c r="AJ70" s="25" t="n"/>
      <c r="AK70" s="25" t="n"/>
      <c r="AL70" s="25" t="n"/>
      <c r="AM70" s="25" t="n"/>
      <c r="AN70" s="25" t="n"/>
      <c r="AO70" s="25" t="n"/>
      <c r="AP70" s="25" t="n"/>
      <c r="AQ70" s="25" t="n"/>
      <c r="AR70" s="25" t="n"/>
      <c r="AS70" s="25" t="n"/>
      <c r="AT70" s="25" t="n"/>
      <c r="AU70" s="25" t="n"/>
      <c r="AV70" s="25" t="n"/>
      <c r="AW70" s="25" t="n"/>
      <c r="AX70" s="25" t="n"/>
      <c r="AY70" s="25" t="n"/>
      <c r="AZ70" s="25" t="n"/>
      <c r="BA70" s="25" t="n"/>
      <c r="BB70" s="25" t="n"/>
      <c r="BC70" s="25" t="n"/>
      <c r="BD70" s="25" t="n"/>
      <c r="BE70" s="25" t="n"/>
      <c r="BF70" s="25" t="n"/>
      <c r="BG70" s="25" t="n"/>
      <c r="BH70" s="25" t="n"/>
      <c r="BI70" s="25" t="n"/>
      <c r="BJ70" s="25" t="n"/>
      <c r="BK70" s="25" t="n"/>
      <c r="BL70" s="25" t="n"/>
      <c r="BM70" s="25" t="n"/>
      <c r="BN70" s="25" t="n"/>
      <c r="BO70" s="25" t="n"/>
      <c r="BP70" s="25" t="n"/>
      <c r="BQ70" s="25" t="n"/>
      <c r="BR70" s="25" t="n"/>
      <c r="BS70" s="25" t="n"/>
      <c r="BT70" s="25" t="n"/>
      <c r="BU70" s="25" t="n"/>
      <c r="BV70" s="25" t="n"/>
      <c r="BW70" s="25" t="n"/>
      <c r="BX70" s="25" t="n"/>
      <c r="BY70" s="25" t="n"/>
      <c r="BZ70" s="25" t="n"/>
      <c r="CA70" s="25" t="n"/>
      <c r="CB70" s="25" t="n"/>
      <c r="CC70" s="25" t="n"/>
      <c r="CD70" s="25" t="n"/>
      <c r="CE70" s="25" t="n"/>
      <c r="CF70" s="25" t="n"/>
      <c r="CG70" s="25" t="n"/>
      <c r="CH70" s="25" t="n"/>
      <c r="CI70" s="25" t="n"/>
      <c r="CJ70" s="25" t="n"/>
      <c r="CK70" s="25" t="n"/>
      <c r="CL70" s="25" t="n"/>
      <c r="CM70" s="25" t="n"/>
      <c r="CN70" s="25" t="n"/>
      <c r="CO70" s="25" t="n"/>
      <c r="CP70" s="25" t="n"/>
      <c r="CQ70" s="25" t="n"/>
      <c r="CR70" s="25" t="n"/>
      <c r="CS70" s="25" t="n"/>
      <c r="CT70" s="25" t="n"/>
      <c r="CU70" s="25" t="n"/>
      <c r="CV70" s="25" t="n"/>
      <c r="CW70" s="25" t="n"/>
      <c r="CX70" s="25" t="n"/>
      <c r="CY70" s="25" t="n"/>
      <c r="CZ70" s="25" t="n"/>
      <c r="DA70" s="25" t="n"/>
      <c r="DB70" s="25" t="n"/>
      <c r="DC70" s="25" t="n"/>
      <c r="DD70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2026-08-04T03:13:01Z</dcterms:created>
  <dcterms:modified xmlns:dcterms="http://purl.org/dc/terms/" xmlns:xsi="http://www.w3.org/2001/XMLSchema-instance" xsi:type="dcterms:W3CDTF">2026-08-04T03:13:01Z</dcterms:modified>
</cp:coreProperties>
</file>