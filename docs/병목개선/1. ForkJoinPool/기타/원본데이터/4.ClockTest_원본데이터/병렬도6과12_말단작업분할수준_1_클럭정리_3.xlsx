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클럭 정리" sheetId="1" state="visible" r:id="rId1"/>
    <sheet xmlns:r="http://schemas.openxmlformats.org/officeDocument/2006/relationships" name="구간과 스레드 매핑" sheetId="2" state="visible" r:id="rId2"/>
    <sheet xmlns:r="http://schemas.openxmlformats.org/officeDocument/2006/relationships" name="스레드별 클럭" sheetId="3" state="visible" r:id="rId3"/>
    <sheet xmlns:r="http://schemas.openxmlformats.org/officeDocument/2006/relationships" name="회차별 측정값" sheetId="4" state="visible" r:id="rId4"/>
    <sheet xmlns:r="http://schemas.openxmlformats.org/officeDocument/2006/relationships" name="차트" sheetId="5" state="visible" r:id="rId5"/>
    <sheet xmlns:r="http://schemas.openxmlformats.org/officeDocument/2006/relationships" name="차트 데이터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hh:mm:ss.000"/>
    <numFmt numFmtId="166" formatCode="0.0"/>
    <numFmt numFmtId="167" formatCode="hh:mm:ss"/>
  </numFmts>
  <fonts count="9">
    <font>
      <name val="Calibri"/>
      <family val="2"/>
      <color theme="1"/>
      <sz val="11"/>
      <scheme val="minor"/>
    </font>
    <font>
      <name val="Arial"/>
      <b val="1"/>
      <color rgb="00000000"/>
      <sz val="11"/>
    </font>
    <font>
      <name val="Arial"/>
      <b val="1"/>
      <color rgb="00000000"/>
      <sz val="10"/>
    </font>
    <font>
      <name val="Arial"/>
      <color rgb="000000FF"/>
      <sz val="10"/>
    </font>
    <font>
      <name val="Arial"/>
      <color rgb="00000000"/>
      <sz val="9"/>
    </font>
    <font>
      <name val="Arial"/>
      <color rgb="00000000"/>
      <sz val="10"/>
    </font>
    <font>
      <name val="Arial"/>
      <color rgb="00008000"/>
      <sz val="10"/>
    </font>
    <font>
      <name val="Arial"/>
      <b val="1"/>
      <color rgb="00000000"/>
      <sz val="9"/>
    </font>
    <font>
      <name val="Arial"/>
      <color rgb="00008000"/>
      <sz val="9"/>
    </font>
  </fonts>
  <fills count="4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2" fillId="3" borderId="1" pivotButton="0" quotePrefix="0" xfId="0"/>
    <xf numFmtId="165" fontId="5" fillId="0" borderId="0" pivotButton="0" quotePrefix="0" xfId="0"/>
    <xf numFmtId="166" fontId="5" fillId="0" borderId="0" pivotButton="0" quotePrefix="0" xfId="0"/>
    <xf numFmtId="2" fontId="5" fillId="0" borderId="0" pivotButton="0" quotePrefix="0" xfId="0"/>
    <xf numFmtId="0" fontId="2" fillId="0" borderId="1" pivotButton="0" quotePrefix="0" xfId="0"/>
    <xf numFmtId="165" fontId="5" fillId="0" borderId="1" pivotButton="0" quotePrefix="0" xfId="0"/>
    <xf numFmtId="2" fontId="5" fillId="0" borderId="1" pivotButton="0" quotePrefix="0" xfId="0"/>
    <xf numFmtId="0" fontId="4" fillId="0" borderId="1" pivotButton="0" quotePrefix="0" xfId="0"/>
    <xf numFmtId="0" fontId="5" fillId="0" borderId="1" pivotButton="0" quotePrefix="0" xfId="0"/>
    <xf numFmtId="166" fontId="5" fillId="0" borderId="1" pivotButton="0" quotePrefix="0" xfId="0"/>
    <xf numFmtId="2" fontId="6" fillId="0" borderId="1" pivotButton="0" quotePrefix="0" xfId="0"/>
    <xf numFmtId="165" fontId="6" fillId="0" borderId="1" pivotButton="0" quotePrefix="0" xfId="0"/>
    <xf numFmtId="166" fontId="6" fillId="0" borderId="1" pivotButton="0" quotePrefix="0" xfId="0"/>
    <xf numFmtId="0" fontId="5" fillId="0" borderId="0" pivotButton="0" quotePrefix="0" xfId="0"/>
    <xf numFmtId="0" fontId="2" fillId="3" borderId="0" pivotButton="0" quotePrefix="0" xfId="0"/>
    <xf numFmtId="2" fontId="6" fillId="0" borderId="0" pivotButton="0" quotePrefix="0" xfId="0"/>
    <xf numFmtId="0" fontId="7" fillId="3" borderId="1" pivotButton="0" quotePrefix="0" xfId="0"/>
    <xf numFmtId="165" fontId="8" fillId="0" borderId="1" pivotButton="0" quotePrefix="0" xfId="0"/>
    <xf numFmtId="2" fontId="8" fillId="0" borderId="1" pivotButton="0" quotePrefix="0" xfId="0"/>
    <xf numFmtId="167" fontId="8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전체 평균 클럭 추이 (전체 평균 + 스레드별)</a:t>
            </a:r>
          </a:p>
        </rich>
      </tx>
    </title>
    <plotArea>
      <lineChart>
        <grouping val="standard"/>
        <varyColors val="0"/>
        <ser>
          <idx val="0"/>
          <order val="0"/>
          <tx>
            <strRef>
              <f>'차트 데이터'!F4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데이터'!$E$5:$E$836</f>
            </numRef>
          </cat>
          <val>
            <numRef>
              <f>'차트 데이터'!$F$5:$F$836</f>
            </numRef>
          </val>
        </ser>
        <ser>
          <idx val="1"/>
          <order val="1"/>
          <tx>
            <strRef>
              <f>'차트 데이터'!G4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데이터'!$E$5:$E$836</f>
            </numRef>
          </cat>
          <val>
            <numRef>
              <f>'차트 데이터'!$G$5:$G$836</f>
            </numRef>
          </val>
        </ser>
        <ser>
          <idx val="2"/>
          <order val="2"/>
          <tx>
            <strRef>
              <f>'차트 데이터'!H4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데이터'!$E$5:$E$836</f>
            </numRef>
          </cat>
          <val>
            <numRef>
              <f>'차트 데이터'!$H$5:$H$836</f>
            </numRef>
          </val>
        </ser>
        <ser>
          <idx val="3"/>
          <order val="3"/>
          <tx>
            <strRef>
              <f>'차트 데이터'!I4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데이터'!$E$5:$E$836</f>
            </numRef>
          </cat>
          <val>
            <numRef>
              <f>'차트 데이터'!$I$5:$I$836</f>
            </numRef>
          </val>
        </ser>
        <ser>
          <idx val="4"/>
          <order val="4"/>
          <tx>
            <strRef>
              <f>'차트 데이터'!J4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데이터'!$E$5:$E$836</f>
            </numRef>
          </cat>
          <val>
            <numRef>
              <f>'차트 데이터'!$J$5:$J$836</f>
            </numRef>
          </val>
        </ser>
        <ser>
          <idx val="5"/>
          <order val="5"/>
          <tx>
            <strRef>
              <f>'차트 데이터'!K4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데이터'!$E$5:$E$836</f>
            </numRef>
          </cat>
          <val>
            <numRef>
              <f>'차트 데이터'!$K$5:$K$836</f>
            </numRef>
          </val>
        </ser>
        <ser>
          <idx val="6"/>
          <order val="6"/>
          <tx>
            <strRef>
              <f>'차트 데이터'!L4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데이터'!$E$5:$E$836</f>
            </numRef>
          </cat>
          <val>
            <numRef>
              <f>'차트 데이터'!$L$5:$L$836</f>
            </numRef>
          </val>
        </ser>
        <ser>
          <idx val="7"/>
          <order val="7"/>
          <tx>
            <strRef>
              <f>'차트 데이터'!M4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데이터'!$E$5:$E$836</f>
            </numRef>
          </cat>
          <val>
            <numRef>
              <f>'차트 데이터'!$M$5:$M$836</f>
            </numRef>
          </val>
        </ser>
        <ser>
          <idx val="8"/>
          <order val="8"/>
          <tx>
            <strRef>
              <f>'차트 데이터'!N4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데이터'!$E$5:$E$836</f>
            </numRef>
          </cat>
          <val>
            <numRef>
              <f>'차트 데이터'!$N$5:$N$836</f>
            </numRef>
          </val>
        </ser>
        <ser>
          <idx val="9"/>
          <order val="9"/>
          <tx>
            <strRef>
              <f>'차트 데이터'!O4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데이터'!$E$5:$E$836</f>
            </numRef>
          </cat>
          <val>
            <numRef>
              <f>'차트 데이터'!$O$5:$O$836</f>
            </numRef>
          </val>
        </ser>
        <ser>
          <idx val="10"/>
          <order val="10"/>
          <tx>
            <strRef>
              <f>'차트 데이터'!P4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데이터'!$E$5:$E$836</f>
            </numRef>
          </cat>
          <val>
            <numRef>
              <f>'차트 데이터'!$P$5:$P$836</f>
            </numRef>
          </val>
        </ser>
        <ser>
          <idx val="11"/>
          <order val="11"/>
          <tx>
            <strRef>
              <f>'차트 데이터'!Q4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데이터'!$E$5:$E$836</f>
            </numRef>
          </cat>
          <val>
            <numRef>
              <f>'차트 데이터'!$Q$5:$Q$836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시간</a:t>
                </a:r>
              </a:p>
            </rich>
          </tx>
        </title>
        <majorTickMark val="out"/>
        <minorTickMark val="none"/>
        <tickLblPos val="low"/>
        <crossAx val="100"/>
        <lblOffset val="100"/>
        <tickLblSkip val="10"/>
        <tickMarkSkip val="10"/>
      </catAx>
      <valAx>
        <axId val="100"/>
        <scaling>
          <orientation val="minMax"/>
          <max val="4.6"/>
          <min val="3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클럭(GHz)</a:t>
                </a:r>
              </a:p>
            </rich>
          </tx>
        </title>
        <numFmt formatCode="0.0" sourceLinked="0"/>
        <majorTickMark val="out"/>
        <minorTickMark val="none"/>
        <tickLblPos val="nextTo"/>
        <crossAx val="10"/>
        <majorUnit val="0.2"/>
      </valAx>
    </plotArea>
    <legend>
      <legendPos val="r"/>
      <overlay val="0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구간별 평균 클럭</a:t>
            </a:r>
          </a:p>
        </rich>
      </tx>
    </title>
    <plotArea>
      <barChart>
        <barDir val="col"/>
        <grouping val="clustered"/>
        <varyColors val="0"/>
        <ser>
          <idx val="0"/>
          <order val="0"/>
          <tx>
            <strRef>
              <f>'차트'!B3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'차트'!$A$4:$A$11</f>
            </numRef>
          </cat>
          <val>
            <numRef>
              <f>'차트'!$B$4:$B$11</f>
            </numRef>
          </val>
        </ser>
        <ser>
          <idx val="1"/>
          <order val="1"/>
          <tx>
            <strRef>
              <f>'차트'!C3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'차트'!$A$4:$A$11</f>
            </numRef>
          </cat>
          <val>
            <numRef>
              <f>'차트'!$C$4:$C$11</f>
            </numRef>
          </val>
        </ser>
        <ser>
          <idx val="2"/>
          <order val="2"/>
          <tx>
            <strRef>
              <f>'차트'!D3</f>
            </strRef>
          </tx>
          <spPr>
            <a:ln xmlns:a="http://schemas.openxmlformats.org/drawingml/2006/main">
              <a:prstDash val="solid"/>
            </a:ln>
          </spPr>
          <cat>
            <numRef>
              <f>'차트'!$A$4:$A$11</f>
            </numRef>
          </cat>
          <val>
            <numRef>
              <f>'차트'!$D$4:$D$11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구간 종류</a:t>
                </a:r>
              </a:p>
            </rich>
          </tx>
        </title>
        <majorTickMark val="out"/>
        <minorTickMark val="none"/>
        <tickLblPos val="low"/>
        <crossAx val="100"/>
        <lblOffset val="100"/>
      </catAx>
      <valAx>
        <axId val="100"/>
        <scaling>
          <orientation val="minMax"/>
          <max val="4.6"/>
          <min val="3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클럭(GHz)</a:t>
                </a:r>
              </a:p>
            </rich>
          </tx>
        </title>
        <numFmt formatCode="0.0" sourceLinked="0"/>
        <majorTickMark val="out"/>
        <minorTickMark val="none"/>
        <tickLblPos val="nextTo"/>
        <crossAx val="10"/>
        <majorUnit val="0.2"/>
      </valAx>
    </plotArea>
    <legend>
      <legendPos val="r"/>
      <overlay val="0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병렬도 6 분할 1 측정 1회차 스레드별 클럭</a:t>
            </a:r>
          </a:p>
        </rich>
      </tx>
    </title>
    <plotArea>
      <lineChart>
        <grouping val="standard"/>
        <varyColors val="0"/>
        <ser>
          <idx val="0"/>
          <order val="0"/>
          <tx>
            <strRef>
              <f>'차트 데이터'!B4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데이터'!$A$5:$A$8</f>
            </numRef>
          </cat>
          <val>
            <numRef>
              <f>'차트 데이터'!$B$5:$B$8</f>
            </numRef>
          </val>
        </ser>
        <ser>
          <idx val="1"/>
          <order val="1"/>
          <tx>
            <strRef>
              <f>'차트 데이터'!C4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데이터'!$A$5:$A$8</f>
            </numRef>
          </cat>
          <val>
            <numRef>
              <f>'차트 데이터'!$C$5:$C$8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시간</a:t>
                </a:r>
              </a:p>
            </rich>
          </tx>
        </title>
        <majorTickMark val="out"/>
        <minorTickMark val="none"/>
        <tickLblPos val="low"/>
        <crossAx val="100"/>
        <lblOffset val="100"/>
      </catAx>
      <valAx>
        <axId val="100"/>
        <scaling>
          <orientation val="minMax"/>
          <max val="4.6"/>
          <min val="3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클럭(GHz)</a:t>
                </a:r>
              </a:p>
            </rich>
          </tx>
        </title>
        <numFmt formatCode="0.0" sourceLinked="0"/>
        <majorTickMark val="out"/>
        <minorTickMark val="none"/>
        <tickLblPos val="nextTo"/>
        <crossAx val="10"/>
        <majorUnit val="0.2"/>
      </valAx>
    </plotArea>
    <legend>
      <legendPos val="r"/>
      <overlay val="0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병렬도 6 분할 1 측정 2회차 스레드별 클럭</a:t>
            </a:r>
          </a:p>
        </rich>
      </tx>
    </title>
    <plotArea>
      <lineChart>
        <grouping val="standard"/>
        <varyColors val="0"/>
        <ser>
          <idx val="0"/>
          <order val="0"/>
          <tx>
            <strRef>
              <f>'차트 데이터'!B11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데이터'!$A$12:$A$15</f>
            </numRef>
          </cat>
          <val>
            <numRef>
              <f>'차트 데이터'!$B$12:$B$15</f>
            </numRef>
          </val>
        </ser>
        <ser>
          <idx val="1"/>
          <order val="1"/>
          <tx>
            <strRef>
              <f>'차트 데이터'!C11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데이터'!$A$12:$A$15</f>
            </numRef>
          </cat>
          <val>
            <numRef>
              <f>'차트 데이터'!$C$12:$C$15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시간</a:t>
                </a:r>
              </a:p>
            </rich>
          </tx>
        </title>
        <majorTickMark val="out"/>
        <minorTickMark val="none"/>
        <tickLblPos val="low"/>
        <crossAx val="100"/>
        <lblOffset val="100"/>
      </catAx>
      <valAx>
        <axId val="100"/>
        <scaling>
          <orientation val="minMax"/>
          <max val="4.6"/>
          <min val="3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클럭(GHz)</a:t>
                </a:r>
              </a:p>
            </rich>
          </tx>
        </title>
        <numFmt formatCode="0.0" sourceLinked="0"/>
        <majorTickMark val="out"/>
        <minorTickMark val="none"/>
        <tickLblPos val="nextTo"/>
        <crossAx val="10"/>
        <majorUnit val="0.2"/>
      </valAx>
    </plotArea>
    <legend>
      <legendPos val="r"/>
      <overlay val="0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병렬도 6 분할 1 측정 3회차 스레드별 클럭</a:t>
            </a:r>
          </a:p>
        </rich>
      </tx>
    </title>
    <plotArea>
      <lineChart>
        <grouping val="standard"/>
        <varyColors val="0"/>
        <ser>
          <idx val="0"/>
          <order val="0"/>
          <tx>
            <strRef>
              <f>'차트 데이터'!B18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데이터'!$A$19:$A$23</f>
            </numRef>
          </cat>
          <val>
            <numRef>
              <f>'차트 데이터'!$B$19:$B$23</f>
            </numRef>
          </val>
        </ser>
        <ser>
          <idx val="1"/>
          <order val="1"/>
          <tx>
            <strRef>
              <f>'차트 데이터'!C18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데이터'!$A$19:$A$23</f>
            </numRef>
          </cat>
          <val>
            <numRef>
              <f>'차트 데이터'!$C$19:$C$23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시간</a:t>
                </a:r>
              </a:p>
            </rich>
          </tx>
        </title>
        <majorTickMark val="out"/>
        <minorTickMark val="none"/>
        <tickLblPos val="low"/>
        <crossAx val="100"/>
        <lblOffset val="100"/>
      </catAx>
      <valAx>
        <axId val="100"/>
        <scaling>
          <orientation val="minMax"/>
          <max val="4.6"/>
          <min val="3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클럭(GHz)</a:t>
                </a:r>
              </a:p>
            </rich>
          </tx>
        </title>
        <numFmt formatCode="0.0" sourceLinked="0"/>
        <majorTickMark val="out"/>
        <minorTickMark val="none"/>
        <tickLblPos val="nextTo"/>
        <crossAx val="10"/>
        <majorUnit val="0.2"/>
      </valAx>
    </plotArea>
    <legend>
      <legendPos val="r"/>
      <overlay val="0"/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병렬도 6 분할 1 측정 4회차 스레드별 클럭</a:t>
            </a:r>
          </a:p>
        </rich>
      </tx>
    </title>
    <plotArea>
      <lineChart>
        <grouping val="standard"/>
        <varyColors val="0"/>
        <ser>
          <idx val="0"/>
          <order val="0"/>
          <tx>
            <strRef>
              <f>'차트 데이터'!B26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데이터'!$A$27:$A$30</f>
            </numRef>
          </cat>
          <val>
            <numRef>
              <f>'차트 데이터'!$B$27:$B$30</f>
            </numRef>
          </val>
        </ser>
        <ser>
          <idx val="1"/>
          <order val="1"/>
          <tx>
            <strRef>
              <f>'차트 데이터'!C26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데이터'!$A$27:$A$30</f>
            </numRef>
          </cat>
          <val>
            <numRef>
              <f>'차트 데이터'!$C$27:$C$30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시간</a:t>
                </a:r>
              </a:p>
            </rich>
          </tx>
        </title>
        <majorTickMark val="out"/>
        <minorTickMark val="none"/>
        <tickLblPos val="low"/>
        <crossAx val="100"/>
        <lblOffset val="100"/>
      </catAx>
      <valAx>
        <axId val="100"/>
        <scaling>
          <orientation val="minMax"/>
          <max val="4.6"/>
          <min val="3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클럭(GHz)</a:t>
                </a:r>
              </a:p>
            </rich>
          </tx>
        </title>
        <numFmt formatCode="0.0" sourceLinked="0"/>
        <majorTickMark val="out"/>
        <minorTickMark val="none"/>
        <tickLblPos val="nextTo"/>
        <crossAx val="10"/>
        <majorUnit val="0.2"/>
      </valAx>
    </plotArea>
    <legend>
      <legendPos val="r"/>
      <overlay val="0"/>
    </legend>
    <plotVisOnly val="1"/>
    <dispBlanksAs val="gap"/>
  </chart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병렬도 6 분할 1 측정 5회차 스레드별 클럭</a:t>
            </a:r>
          </a:p>
        </rich>
      </tx>
    </title>
    <plotArea>
      <lineChart>
        <grouping val="standard"/>
        <varyColors val="0"/>
        <ser>
          <idx val="0"/>
          <order val="0"/>
          <tx>
            <strRef>
              <f>'차트 데이터'!B33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데이터'!$A$34:$A$37</f>
            </numRef>
          </cat>
          <val>
            <numRef>
              <f>'차트 데이터'!$B$34:$B$37</f>
            </numRef>
          </val>
        </ser>
        <ser>
          <idx val="1"/>
          <order val="1"/>
          <tx>
            <strRef>
              <f>'차트 데이터'!C33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데이터'!$A$34:$A$37</f>
            </numRef>
          </cat>
          <val>
            <numRef>
              <f>'차트 데이터'!$C$34:$C$37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시간</a:t>
                </a:r>
              </a:p>
            </rich>
          </tx>
        </title>
        <majorTickMark val="out"/>
        <minorTickMark val="none"/>
        <tickLblPos val="low"/>
        <crossAx val="100"/>
        <lblOffset val="100"/>
      </catAx>
      <valAx>
        <axId val="100"/>
        <scaling>
          <orientation val="minMax"/>
          <max val="4.6"/>
          <min val="3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클럭(GHz)</a:t>
                </a:r>
              </a:p>
            </rich>
          </tx>
        </title>
        <numFmt formatCode="0.0" sourceLinked="0"/>
        <majorTickMark val="out"/>
        <minorTickMark val="none"/>
        <tickLblPos val="nextTo"/>
        <crossAx val="10"/>
        <majorUnit val="0.2"/>
      </valAx>
    </plotArea>
    <legend>
      <legendPos val="r"/>
      <overlay val="0"/>
    </legend>
    <plotVisOnly val="1"/>
    <dispBlanksAs val="gap"/>
  </chart>
</chartSpace>
</file>

<file path=xl/charts/chart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병렬도 12 분할 1 측정 1회차 스레드별 클럭</a:t>
            </a:r>
          </a:p>
        </rich>
      </tx>
    </title>
    <plotArea>
      <lineChart>
        <grouping val="standard"/>
        <varyColors val="0"/>
        <ser>
          <idx val="0"/>
          <order val="0"/>
          <tx>
            <strRef>
              <f>'차트 데이터'!B40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데이터'!$A$41:$A$44</f>
            </numRef>
          </cat>
          <val>
            <numRef>
              <f>'차트 데이터'!$B$41:$B$44</f>
            </numRef>
          </val>
        </ser>
        <ser>
          <idx val="1"/>
          <order val="1"/>
          <tx>
            <strRef>
              <f>'차트 데이터'!C40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데이터'!$A$41:$A$44</f>
            </numRef>
          </cat>
          <val>
            <numRef>
              <f>'차트 데이터'!$C$41:$C$44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시간</a:t>
                </a:r>
              </a:p>
            </rich>
          </tx>
        </title>
        <majorTickMark val="out"/>
        <minorTickMark val="none"/>
        <tickLblPos val="low"/>
        <crossAx val="100"/>
        <lblOffset val="100"/>
      </catAx>
      <valAx>
        <axId val="100"/>
        <scaling>
          <orientation val="minMax"/>
          <max val="4.6"/>
          <min val="3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클럭(GHz)</a:t>
                </a:r>
              </a:p>
            </rich>
          </tx>
        </title>
        <numFmt formatCode="0.0" sourceLinked="0"/>
        <majorTickMark val="out"/>
        <minorTickMark val="none"/>
        <tickLblPos val="nextTo"/>
        <crossAx val="10"/>
        <majorUnit val="0.2"/>
      </valAx>
    </plotArea>
    <legend>
      <legendPos val="r"/>
      <overlay val="0"/>
    </legend>
    <plotVisOnly val="1"/>
    <dispBlanksAs val="gap"/>
  </chart>
</chartSpace>
</file>

<file path=xl/charts/chart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병렬도 12 분할 1 측정 2회차 스레드별 클럭</a:t>
            </a:r>
          </a:p>
        </rich>
      </tx>
    </title>
    <plotArea>
      <lineChart>
        <grouping val="standard"/>
        <varyColors val="0"/>
        <ser>
          <idx val="0"/>
          <order val="0"/>
          <tx>
            <strRef>
              <f>'차트 데이터'!B47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데이터'!$A$48:$A$52</f>
            </numRef>
          </cat>
          <val>
            <numRef>
              <f>'차트 데이터'!$B$48:$B$52</f>
            </numRef>
          </val>
        </ser>
        <ser>
          <idx val="1"/>
          <order val="1"/>
          <tx>
            <strRef>
              <f>'차트 데이터'!C47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데이터'!$A$48:$A$52</f>
            </numRef>
          </cat>
          <val>
            <numRef>
              <f>'차트 데이터'!$C$48:$C$52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시간</a:t>
                </a:r>
              </a:p>
            </rich>
          </tx>
        </title>
        <majorTickMark val="out"/>
        <minorTickMark val="none"/>
        <tickLblPos val="low"/>
        <crossAx val="100"/>
        <lblOffset val="100"/>
      </catAx>
      <valAx>
        <axId val="100"/>
        <scaling>
          <orientation val="minMax"/>
          <max val="4.6"/>
          <min val="3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클럭(GHz)</a:t>
                </a:r>
              </a:p>
            </rich>
          </tx>
        </title>
        <numFmt formatCode="0.0" sourceLinked="0"/>
        <majorTickMark val="out"/>
        <minorTickMark val="none"/>
        <tickLblPos val="nextTo"/>
        <crossAx val="10"/>
        <majorUnit val="0.2"/>
      </valAx>
    </plotArea>
    <legend>
      <legendPos val="r"/>
      <overlay val="0"/>
    </legend>
    <plotVisOnly val="1"/>
    <dispBlanksAs val="gap"/>
  </chart>
</chartSpace>
</file>

<file path=xl/charts/chart1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병렬도 12 분할 1 측정 3회차 스레드별 클럭</a:t>
            </a:r>
          </a:p>
        </rich>
      </tx>
    </title>
    <plotArea>
      <lineChart>
        <grouping val="standard"/>
        <varyColors val="0"/>
        <ser>
          <idx val="0"/>
          <order val="0"/>
          <tx>
            <strRef>
              <f>'차트 데이터'!B55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데이터'!$A$56:$A$59</f>
            </numRef>
          </cat>
          <val>
            <numRef>
              <f>'차트 데이터'!$B$56:$B$59</f>
            </numRef>
          </val>
        </ser>
        <ser>
          <idx val="1"/>
          <order val="1"/>
          <tx>
            <strRef>
              <f>'차트 데이터'!C55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데이터'!$A$56:$A$59</f>
            </numRef>
          </cat>
          <val>
            <numRef>
              <f>'차트 데이터'!$C$56:$C$59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시간</a:t>
                </a:r>
              </a:p>
            </rich>
          </tx>
        </title>
        <majorTickMark val="out"/>
        <minorTickMark val="none"/>
        <tickLblPos val="low"/>
        <crossAx val="100"/>
        <lblOffset val="100"/>
      </catAx>
      <valAx>
        <axId val="100"/>
        <scaling>
          <orientation val="minMax"/>
          <max val="4.6"/>
          <min val="3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클럭(GHz)</a:t>
                </a:r>
              </a:p>
            </rich>
          </tx>
        </title>
        <numFmt formatCode="0.0" sourceLinked="0"/>
        <majorTickMark val="out"/>
        <minorTickMark val="none"/>
        <tickLblPos val="nextTo"/>
        <crossAx val="10"/>
        <majorUnit val="0.2"/>
      </valAx>
    </plotArea>
    <legend>
      <legendPos val="r"/>
      <overlay val="0"/>
    </legend>
    <plotVisOnly val="1"/>
    <dispBlanksAs val="gap"/>
  </chart>
</chartSpace>
</file>

<file path=xl/charts/chart1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병렬도 12 분할 1 측정 4회차 스레드별 클럭</a:t>
            </a:r>
          </a:p>
        </rich>
      </tx>
    </title>
    <plotArea>
      <lineChart>
        <grouping val="standard"/>
        <varyColors val="0"/>
        <ser>
          <idx val="0"/>
          <order val="0"/>
          <tx>
            <strRef>
              <f>'차트 데이터'!B62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데이터'!$A$63:$A$66</f>
            </numRef>
          </cat>
          <val>
            <numRef>
              <f>'차트 데이터'!$B$63:$B$66</f>
            </numRef>
          </val>
        </ser>
        <ser>
          <idx val="1"/>
          <order val="1"/>
          <tx>
            <strRef>
              <f>'차트 데이터'!C62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데이터'!$A$63:$A$66</f>
            </numRef>
          </cat>
          <val>
            <numRef>
              <f>'차트 데이터'!$C$63:$C$66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시간</a:t>
                </a:r>
              </a:p>
            </rich>
          </tx>
        </title>
        <majorTickMark val="out"/>
        <minorTickMark val="none"/>
        <tickLblPos val="low"/>
        <crossAx val="100"/>
        <lblOffset val="100"/>
      </catAx>
      <valAx>
        <axId val="100"/>
        <scaling>
          <orientation val="minMax"/>
          <max val="4.6"/>
          <min val="3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클럭(GHz)</a:t>
                </a:r>
              </a:p>
            </rich>
          </tx>
        </title>
        <numFmt formatCode="0.0" sourceLinked="0"/>
        <majorTickMark val="out"/>
        <minorTickMark val="none"/>
        <tickLblPos val="nextTo"/>
        <crossAx val="10"/>
        <majorUnit val="0.2"/>
      </valAx>
    </plotArea>
    <legend>
      <legendPos val="r"/>
      <overlay val="0"/>
    </legend>
    <plotVisOnly val="1"/>
    <dispBlanksAs val="gap"/>
  </chart>
</chartSpace>
</file>

<file path=xl/charts/chart1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병렬도 12 분할 1 측정 5회차 스레드별 클럭</a:t>
            </a:r>
          </a:p>
        </rich>
      </tx>
    </title>
    <plotArea>
      <lineChart>
        <grouping val="standard"/>
        <varyColors val="0"/>
        <ser>
          <idx val="0"/>
          <order val="0"/>
          <tx>
            <strRef>
              <f>'차트 데이터'!B69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데이터'!$A$70:$A$74</f>
            </numRef>
          </cat>
          <val>
            <numRef>
              <f>'차트 데이터'!$B$70:$B$74</f>
            </numRef>
          </val>
        </ser>
        <ser>
          <idx val="1"/>
          <order val="1"/>
          <tx>
            <strRef>
              <f>'차트 데이터'!C69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데이터'!$A$70:$A$74</f>
            </numRef>
          </cat>
          <val>
            <numRef>
              <f>'차트 데이터'!$C$70:$C$74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시간</a:t>
                </a:r>
              </a:p>
            </rich>
          </tx>
        </title>
        <majorTickMark val="out"/>
        <minorTickMark val="none"/>
        <tickLblPos val="low"/>
        <crossAx val="100"/>
        <lblOffset val="100"/>
      </catAx>
      <valAx>
        <axId val="100"/>
        <scaling>
          <orientation val="minMax"/>
          <max val="4.6"/>
          <min val="3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클럭(GHz)</a:t>
                </a:r>
              </a:p>
            </rich>
          </tx>
        </title>
        <numFmt formatCode="0.0" sourceLinked="0"/>
        <majorTickMark val="out"/>
        <minorTickMark val="none"/>
        <tickLblPos val="nextTo"/>
        <crossAx val="10"/>
        <majorUnit val="0.2"/>
      </valAx>
    </plotArea>
    <legend>
      <legendPos val="r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Relationship Type="http://schemas.openxmlformats.org/officeDocument/2006/relationships/chart" Target="/xl/charts/chart7.xml" Id="rId7"/><Relationship Type="http://schemas.openxmlformats.org/officeDocument/2006/relationships/chart" Target="/xl/charts/chart8.xml" Id="rId8"/><Relationship Type="http://schemas.openxmlformats.org/officeDocument/2006/relationships/chart" Target="/xl/charts/chart9.xml" Id="rId9"/><Relationship Type="http://schemas.openxmlformats.org/officeDocument/2006/relationships/chart" Target="/xl/charts/chart10.xml" Id="rId10"/><Relationship Type="http://schemas.openxmlformats.org/officeDocument/2006/relationships/chart" Target="/xl/charts/chart11.xml" Id="rId11"/><Relationship Type="http://schemas.openxmlformats.org/officeDocument/2006/relationships/chart" Target="/xl/charts/chart12.xml" Id="rId12"/></Relationships>
</file>

<file path=xl/drawings/drawing1.xml><?xml version="1.0" encoding="utf-8"?>
<wsDr xmlns="http://schemas.openxmlformats.org/drawingml/2006/spreadsheetDrawing">
  <oneCellAnchor>
    <from>
      <col>0</col>
      <colOff>0</colOff>
      <row>12</row>
      <rowOff>0</rowOff>
    </from>
    <ext cx="108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30</row>
      <rowOff>0</rowOff>
    </from>
    <ext cx="720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47</row>
      <rowOff>0</rowOff>
    </from>
    <ext cx="576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0</col>
      <colOff>0</colOff>
      <row>62</row>
      <rowOff>0</rowOff>
    </from>
    <ext cx="5760000" cy="252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77</row>
      <rowOff>0</rowOff>
    </from>
    <ext cx="5760000" cy="252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0</col>
      <colOff>0</colOff>
      <row>92</row>
      <rowOff>0</rowOff>
    </from>
    <ext cx="5760000" cy="252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0</col>
      <colOff>0</colOff>
      <row>107</row>
      <rowOff>0</rowOff>
    </from>
    <ext cx="5760000" cy="252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0</col>
      <colOff>0</colOff>
      <row>122</row>
      <rowOff>0</rowOff>
    </from>
    <ext cx="5760000" cy="252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0</col>
      <colOff>0</colOff>
      <row>137</row>
      <rowOff>0</rowOff>
    </from>
    <ext cx="5760000" cy="252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0</col>
      <colOff>0</colOff>
      <row>152</row>
      <rowOff>0</rowOff>
    </from>
    <ext cx="5760000" cy="252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0</col>
      <colOff>0</colOff>
      <row>167</row>
      <rowOff>0</rowOff>
    </from>
    <ext cx="5760000" cy="252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0</col>
      <colOff>0</colOff>
      <row>182</row>
      <rowOff>0</rowOff>
    </from>
    <ext cx="5760000" cy="252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37"/>
  <sheetViews>
    <sheetView workbookViewId="0">
      <selection activeCell="A1" sqref="A1"/>
    </sheetView>
  </sheetViews>
  <sheetFormatPr baseColWidth="8" defaultRowHeight="15"/>
  <cols>
    <col width="13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</cols>
  <sheetData>
    <row r="1">
      <c r="A1" s="1" t="inlineStr">
        <is>
          <t>논리 프로세서별 CPU 클럭, 표본 간격은 기록 도구 설정 (typeperf % Processor Performance)</t>
        </is>
      </c>
    </row>
    <row r="2">
      <c r="A2" s="2" t="inlineStr">
        <is>
          <t>기본 클럭(GHz)</t>
        </is>
      </c>
      <c r="B2" s="3" t="n">
        <v>2.69</v>
      </c>
      <c r="C2" s="4" t="inlineStr">
        <is>
          <t>출처: 작업 관리자 성능 탭의 기본 속도. GHz = 백분율 × 기본 클럭 ÷ 100</t>
        </is>
      </c>
    </row>
    <row r="3">
      <c r="A3" s="4" t="inlineStr">
        <is>
          <t>각 표본은 그 시각까지의 직전 표본 간격 구간의 평균이다. 백분율은 기본 클럭 대비 값이라 터보 구간에서 100을 넘는다.</t>
        </is>
      </c>
    </row>
    <row r="5">
      <c r="A5" s="5" t="inlineStr">
        <is>
          <t>시각</t>
        </is>
      </c>
      <c r="B5" s="5" t="inlineStr">
        <is>
          <t>논리 0(%)</t>
        </is>
      </c>
      <c r="C5" s="5" t="inlineStr">
        <is>
          <t>논리 1(%)</t>
        </is>
      </c>
      <c r="D5" s="5" t="inlineStr">
        <is>
          <t>논리 2(%)</t>
        </is>
      </c>
      <c r="E5" s="5" t="inlineStr">
        <is>
          <t>논리 3(%)</t>
        </is>
      </c>
      <c r="F5" s="5" t="inlineStr">
        <is>
          <t>논리 4(%)</t>
        </is>
      </c>
      <c r="G5" s="5" t="inlineStr">
        <is>
          <t>논리 5(%)</t>
        </is>
      </c>
      <c r="H5" s="5" t="inlineStr">
        <is>
          <t>논리 6(%)</t>
        </is>
      </c>
      <c r="I5" s="5" t="inlineStr">
        <is>
          <t>논리 7(%)</t>
        </is>
      </c>
      <c r="J5" s="5" t="inlineStr">
        <is>
          <t>논리 8(%)</t>
        </is>
      </c>
      <c r="K5" s="5" t="inlineStr">
        <is>
          <t>논리 9(%)</t>
        </is>
      </c>
      <c r="L5" s="5" t="inlineStr">
        <is>
          <t>논리 10(%)</t>
        </is>
      </c>
      <c r="M5" s="5" t="inlineStr">
        <is>
          <t>논리 11(%)</t>
        </is>
      </c>
      <c r="N5" s="5" t="inlineStr">
        <is>
          <t>전체 평균(%)</t>
        </is>
      </c>
      <c r="O5" s="5" t="inlineStr">
        <is>
          <t>전체 평균(GHz)</t>
        </is>
      </c>
    </row>
    <row r="6">
      <c r="A6" s="6" t="n">
        <v>46238.46369027778</v>
      </c>
      <c r="B6" s="7" t="n">
        <v>143.5623303677586</v>
      </c>
      <c r="C6" s="7" t="n">
        <v>161.8459482774222</v>
      </c>
      <c r="D6" s="7" t="n">
        <v>156.8412282506307</v>
      </c>
      <c r="E6" s="7" t="n">
        <v>154.6457126689302</v>
      </c>
      <c r="F6" s="7" t="n">
        <v>140.5591637330268</v>
      </c>
      <c r="G6" s="7" t="n">
        <v>136.5204998695786</v>
      </c>
      <c r="H6" s="7" t="n">
        <v>153.8548008256424</v>
      </c>
      <c r="I6" s="7" t="n">
        <v>154.8759620931191</v>
      </c>
      <c r="J6" s="7" t="n">
        <v>146.7637700548624</v>
      </c>
      <c r="K6" s="7" t="n">
        <v>141.7953023213139</v>
      </c>
      <c r="L6" s="7" t="n">
        <v>137.8788303374114</v>
      </c>
      <c r="M6" s="7" t="n">
        <v>130.2534989895966</v>
      </c>
      <c r="N6" s="7" t="n">
        <v>150.1539453561891</v>
      </c>
      <c r="O6" s="8">
        <f>N6*$B$2/100</f>
        <v/>
      </c>
    </row>
    <row r="7">
      <c r="A7" s="6" t="n">
        <v>46238.46370197917</v>
      </c>
      <c r="B7" s="7" t="n">
        <v>150.8856521903944</v>
      </c>
      <c r="C7" s="7" t="n">
        <v>151.822122019362</v>
      </c>
      <c r="D7" s="7" t="n">
        <v>151.9036425163232</v>
      </c>
      <c r="E7" s="7" t="n">
        <v>152.0135264695323</v>
      </c>
      <c r="F7" s="7" t="n">
        <v>151.7228098998494</v>
      </c>
      <c r="G7" s="7" t="n">
        <v>151.7162320794749</v>
      </c>
      <c r="H7" s="7" t="n">
        <v>151.6083007275204</v>
      </c>
      <c r="I7" s="7" t="n">
        <v>151.9238421265638</v>
      </c>
      <c r="J7" s="7" t="n">
        <v>151.5086077733359</v>
      </c>
      <c r="K7" s="7" t="n">
        <v>151.745486083927</v>
      </c>
      <c r="L7" s="7" t="n">
        <v>152.1738000825496</v>
      </c>
      <c r="M7" s="7" t="n">
        <v>151.7677198101015</v>
      </c>
      <c r="N7" s="7" t="n">
        <v>151.7368828636765</v>
      </c>
      <c r="O7" s="8">
        <f>N7*$B$2/100</f>
        <v/>
      </c>
    </row>
    <row r="8">
      <c r="A8" s="6" t="n">
        <v>46238.46371364583</v>
      </c>
      <c r="B8" s="7" t="n">
        <v>148.4311765716317</v>
      </c>
      <c r="C8" s="7" t="n">
        <v>151.1954543666662</v>
      </c>
      <c r="D8" s="7" t="n">
        <v>150.3009026928561</v>
      </c>
      <c r="E8" s="7" t="n">
        <v>151.7358932445284</v>
      </c>
      <c r="F8" s="7" t="n">
        <v>150.0301765387817</v>
      </c>
      <c r="G8" s="7" t="n">
        <v>150.0055775214337</v>
      </c>
      <c r="H8" s="7" t="n">
        <v>153.2050974199045</v>
      </c>
      <c r="I8" s="7" t="n">
        <v>150.107984145711</v>
      </c>
      <c r="J8" s="7" t="n">
        <v>151.0731611020513</v>
      </c>
      <c r="K8" s="7" t="n">
        <v>149.947727433022</v>
      </c>
      <c r="L8" s="7" t="n">
        <v>150.9655618109109</v>
      </c>
      <c r="M8" s="7" t="n">
        <v>146.0280664439538</v>
      </c>
      <c r="N8" s="7" t="n">
        <v>150.7589013314135</v>
      </c>
      <c r="O8" s="8">
        <f>N8*$B$2/100</f>
        <v/>
      </c>
    </row>
    <row r="9">
      <c r="A9" s="6" t="n">
        <v>46238.46372525463</v>
      </c>
      <c r="B9" s="7" t="n">
        <v>152.819603313586</v>
      </c>
      <c r="C9" s="7" t="n">
        <v>152.4997824134145</v>
      </c>
      <c r="D9" s="7" t="n">
        <v>152.9957808521114</v>
      </c>
      <c r="E9" s="7" t="n">
        <v>153.1551434789023</v>
      </c>
      <c r="F9" s="7" t="n">
        <v>149.7208553268098</v>
      </c>
      <c r="G9" s="7" t="n">
        <v>148.2123776543031</v>
      </c>
      <c r="H9" s="7" t="n">
        <v>150.4034630283141</v>
      </c>
      <c r="I9" s="7" t="n">
        <v>149.9761048186009</v>
      </c>
      <c r="J9" s="7" t="n">
        <v>152.3409225724719</v>
      </c>
      <c r="K9" s="7" t="n">
        <v>152.2090152967935</v>
      </c>
      <c r="L9" s="7" t="n">
        <v>153.8911563717544</v>
      </c>
      <c r="M9" s="7" t="n">
        <v>153.5250949097389</v>
      </c>
      <c r="N9" s="7" t="n">
        <v>152.1480074871823</v>
      </c>
      <c r="O9" s="8">
        <f>N9*$B$2/100</f>
        <v/>
      </c>
    </row>
    <row r="10">
      <c r="A10" s="6" t="n">
        <v>46238.46373696759</v>
      </c>
      <c r="B10" s="7" t="n">
        <v>158.4051369744706</v>
      </c>
      <c r="C10" s="7" t="n">
        <v>160.3420799810588</v>
      </c>
      <c r="D10" s="7" t="n">
        <v>158.1702013435573</v>
      </c>
      <c r="E10" s="7" t="n">
        <v>155.4911450414374</v>
      </c>
      <c r="F10" s="7" t="n">
        <v>146.1282839778203</v>
      </c>
      <c r="G10" s="7" t="n">
        <v>151.2079247757279</v>
      </c>
      <c r="H10" s="7" t="n">
        <v>155.3124024575752</v>
      </c>
      <c r="I10" s="7" t="n">
        <v>150.8071793209626</v>
      </c>
      <c r="J10" s="7" t="n">
        <v>145.5407246195278</v>
      </c>
      <c r="K10" s="7" t="n">
        <v>158.5386757267665</v>
      </c>
      <c r="L10" s="7" t="n">
        <v>160.3239203472083</v>
      </c>
      <c r="M10" s="7" t="n">
        <v>157.5640856705556</v>
      </c>
      <c r="N10" s="7" t="n">
        <v>156.4632869541259</v>
      </c>
      <c r="O10" s="8">
        <f>N10*$B$2/100</f>
        <v/>
      </c>
    </row>
    <row r="11">
      <c r="A11" s="6" t="n">
        <v>46238.46374871528</v>
      </c>
      <c r="B11" s="7" t="n">
        <v>147.7672713411216</v>
      </c>
      <c r="C11" s="7" t="n">
        <v>159.6260633072149</v>
      </c>
      <c r="D11" s="7" t="n">
        <v>154.3508017837549</v>
      </c>
      <c r="E11" s="7" t="n">
        <v>149.6510538035317</v>
      </c>
      <c r="F11" s="7" t="n">
        <v>145.9132551553028</v>
      </c>
      <c r="G11" s="7" t="n">
        <v>148.141312327929</v>
      </c>
      <c r="H11" s="7" t="n">
        <v>156.2323376577823</v>
      </c>
      <c r="I11" s="7" t="n">
        <v>148.4718500326422</v>
      </c>
      <c r="J11" s="7" t="n">
        <v>139.7964944832842</v>
      </c>
      <c r="K11" s="7" t="n">
        <v>144.9793292428665</v>
      </c>
      <c r="L11" s="7" t="n">
        <v>159.2172794557737</v>
      </c>
      <c r="M11" s="7" t="n">
        <v>159.3292674862043</v>
      </c>
      <c r="N11" s="7" t="n">
        <v>155.2739947307044</v>
      </c>
      <c r="O11" s="8">
        <f>N11*$B$2/100</f>
        <v/>
      </c>
    </row>
    <row r="12">
      <c r="A12" s="6" t="n">
        <v>46238.46376046296</v>
      </c>
      <c r="B12" s="7" t="n">
        <v>151.2986816938133</v>
      </c>
      <c r="C12" s="7" t="n">
        <v>162.3723008474374</v>
      </c>
      <c r="D12" s="7" t="n">
        <v>157.4377502761668</v>
      </c>
      <c r="E12" s="7" t="n">
        <v>161.8987200819957</v>
      </c>
      <c r="F12" s="7" t="n">
        <v>144.7351194404118</v>
      </c>
      <c r="G12" s="7" t="n">
        <v>152.8134863701578</v>
      </c>
      <c r="H12" s="7" t="n">
        <v>148.275120440468</v>
      </c>
      <c r="I12" s="7" t="n">
        <v>137.7261593118923</v>
      </c>
      <c r="J12" s="7" t="n">
        <v>160.2856712154872</v>
      </c>
      <c r="K12" s="7" t="n">
        <v>156.955404854904</v>
      </c>
      <c r="L12" s="7" t="n">
        <v>159.68541953759</v>
      </c>
      <c r="M12" s="7" t="n">
        <v>156.1491132655474</v>
      </c>
      <c r="N12" s="7" t="n">
        <v>157.916961818923</v>
      </c>
      <c r="O12" s="8">
        <f>N12*$B$2/100</f>
        <v/>
      </c>
    </row>
    <row r="13">
      <c r="A13" s="6" t="n">
        <v>46238.46377222223</v>
      </c>
      <c r="B13" s="7" t="n">
        <v>155.8697073689938</v>
      </c>
      <c r="C13" s="7" t="n">
        <v>155.4748243160265</v>
      </c>
      <c r="D13" s="7" t="n">
        <v>158.1127542443332</v>
      </c>
      <c r="E13" s="7" t="n">
        <v>158.3187724633674</v>
      </c>
      <c r="F13" s="7" t="n">
        <v>153.7743827539614</v>
      </c>
      <c r="G13" s="7" t="n">
        <v>150.8868238887677</v>
      </c>
      <c r="H13" s="7" t="n">
        <v>153.2525854013905</v>
      </c>
      <c r="I13" s="7" t="n">
        <v>160.4860653990955</v>
      </c>
      <c r="J13" s="7" t="n">
        <v>158.816080115356</v>
      </c>
      <c r="K13" s="7" t="n">
        <v>141.8938022284123</v>
      </c>
      <c r="L13" s="7" t="n">
        <v>160.2831974805484</v>
      </c>
      <c r="M13" s="7" t="n">
        <v>157.4689006298188</v>
      </c>
      <c r="N13" s="7" t="n">
        <v>157.4188172192682</v>
      </c>
      <c r="O13" s="8">
        <f>N13*$B$2/100</f>
        <v/>
      </c>
    </row>
    <row r="14">
      <c r="A14" s="6" t="n">
        <v>46238.46378396991</v>
      </c>
      <c r="B14" s="7" t="n">
        <v>157.998177119099</v>
      </c>
      <c r="C14" s="7" t="n">
        <v>163.619252281717</v>
      </c>
      <c r="D14" s="7" t="n">
        <v>149.286907124769</v>
      </c>
      <c r="E14" s="7" t="n">
        <v>158.941297037237</v>
      </c>
      <c r="F14" s="7" t="n">
        <v>140.8163501238646</v>
      </c>
      <c r="G14" s="7" t="n">
        <v>151.6305969276813</v>
      </c>
      <c r="H14" s="7" t="n">
        <v>162.5863840231096</v>
      </c>
      <c r="I14" s="7" t="n">
        <v>157.3173721158903</v>
      </c>
      <c r="J14" s="7" t="n">
        <v>160.5145259208435</v>
      </c>
      <c r="K14" s="7" t="n">
        <v>157.9533068198556</v>
      </c>
      <c r="L14" s="7" t="n">
        <v>160.7640419747142</v>
      </c>
      <c r="M14" s="7" t="n">
        <v>159.1312425444793</v>
      </c>
      <c r="N14" s="7" t="n">
        <v>159.5052680239613</v>
      </c>
      <c r="O14" s="8">
        <f>N14*$B$2/100</f>
        <v/>
      </c>
    </row>
    <row r="15">
      <c r="A15" s="6" t="n">
        <v>46238.46379559028</v>
      </c>
      <c r="B15" s="7" t="n">
        <v>156.8116674827926</v>
      </c>
      <c r="C15" s="7" t="n">
        <v>163.3909248451057</v>
      </c>
      <c r="D15" s="7" t="n">
        <v>158.3618008076446</v>
      </c>
      <c r="E15" s="7" t="n">
        <v>135.8877516494671</v>
      </c>
      <c r="F15" s="7" t="n">
        <v>153.9757315896666</v>
      </c>
      <c r="G15" s="7" t="n">
        <v>140.936852783296</v>
      </c>
      <c r="H15" s="7" t="n">
        <v>158.7741357274229</v>
      </c>
      <c r="I15" s="7" t="n">
        <v>156.1966037529804</v>
      </c>
      <c r="J15" s="7" t="n">
        <v>159.8565239943684</v>
      </c>
      <c r="K15" s="7" t="n">
        <v>147.2681235431236</v>
      </c>
      <c r="L15" s="7" t="n">
        <v>159.6937135183615</v>
      </c>
      <c r="M15" s="7" t="n">
        <v>160.2915149386091</v>
      </c>
      <c r="N15" s="7" t="n">
        <v>158.5286738176974</v>
      </c>
      <c r="O15" s="8">
        <f>N15*$B$2/100</f>
        <v/>
      </c>
    </row>
    <row r="16">
      <c r="A16" s="6" t="n">
        <v>46238.46380732639</v>
      </c>
      <c r="B16" s="7" t="n">
        <v>160.2967289939345</v>
      </c>
      <c r="C16" s="7" t="n">
        <v>164.0335332981579</v>
      </c>
      <c r="D16" s="7" t="n">
        <v>156.9242558445393</v>
      </c>
      <c r="E16" s="7" t="n">
        <v>157.8132575831274</v>
      </c>
      <c r="F16" s="7" t="n">
        <v>157.2263835263835</v>
      </c>
      <c r="G16" s="7" t="n">
        <v>145.0202002272082</v>
      </c>
      <c r="H16" s="7" t="n">
        <v>158.514462337959</v>
      </c>
      <c r="I16" s="7" t="n">
        <v>162.1893371558841</v>
      </c>
      <c r="J16" s="7" t="n">
        <v>157.4391520680004</v>
      </c>
      <c r="K16" s="7" t="n">
        <v>154.8840471474494</v>
      </c>
      <c r="L16" s="7" t="n">
        <v>159.6713128213826</v>
      </c>
      <c r="M16" s="7" t="n">
        <v>158.1583404814384</v>
      </c>
      <c r="N16" s="7" t="n">
        <v>159.6846009036145</v>
      </c>
      <c r="O16" s="8">
        <f>N16*$B$2/100</f>
        <v/>
      </c>
    </row>
    <row r="17">
      <c r="A17" s="6" t="n">
        <v>46238.46381902778</v>
      </c>
      <c r="B17" s="7" t="n">
        <v>154.4548612654723</v>
      </c>
      <c r="C17" s="7" t="n">
        <v>160.2502846599456</v>
      </c>
      <c r="D17" s="7" t="n">
        <v>161.3647514328242</v>
      </c>
      <c r="E17" s="7" t="n">
        <v>155.3215790917479</v>
      </c>
      <c r="F17" s="7" t="n">
        <v>159.3523574775995</v>
      </c>
      <c r="G17" s="7" t="n">
        <v>154.3728600596828</v>
      </c>
      <c r="H17" s="7" t="n">
        <v>152.706598933877</v>
      </c>
      <c r="I17" s="7" t="n">
        <v>159.8778226335828</v>
      </c>
      <c r="J17" s="7" t="n">
        <v>162.7713745843729</v>
      </c>
      <c r="K17" s="7" t="n">
        <v>157.0991569887402</v>
      </c>
      <c r="L17" s="7" t="n">
        <v>159.73755947881</v>
      </c>
      <c r="M17" s="7" t="n">
        <v>156.3783750656628</v>
      </c>
      <c r="N17" s="7" t="n">
        <v>159.0729176010477</v>
      </c>
      <c r="O17" s="8">
        <f>N17*$B$2/100</f>
        <v/>
      </c>
    </row>
    <row r="18">
      <c r="A18" s="6" t="n">
        <v>46238.46383071759</v>
      </c>
      <c r="B18" s="7" t="n">
        <v>145.9385343343367</v>
      </c>
      <c r="C18" s="7" t="n">
        <v>163.6247598893049</v>
      </c>
      <c r="D18" s="7" t="n">
        <v>161.6759895322211</v>
      </c>
      <c r="E18" s="7" t="n">
        <v>163.1203142582123</v>
      </c>
      <c r="F18" s="7" t="n">
        <v>136.6844682048396</v>
      </c>
      <c r="G18" s="7" t="n">
        <v>150.9810498389236</v>
      </c>
      <c r="H18" s="7" t="n">
        <v>153.6528809043355</v>
      </c>
      <c r="I18" s="7" t="n">
        <v>161.486411732081</v>
      </c>
      <c r="J18" s="7" t="n">
        <v>161.6881349284173</v>
      </c>
      <c r="K18" s="7" t="n">
        <v>162.1408677789588</v>
      </c>
      <c r="L18" s="7" t="n">
        <v>156.6170856806525</v>
      </c>
      <c r="M18" s="7" t="n">
        <v>158.7745723960917</v>
      </c>
      <c r="N18" s="7" t="n">
        <v>159.4051936310211</v>
      </c>
      <c r="O18" s="8">
        <f>N18*$B$2/100</f>
        <v/>
      </c>
    </row>
    <row r="19">
      <c r="A19" s="6" t="n">
        <v>46238.46384231481</v>
      </c>
      <c r="B19" s="7" t="n">
        <v>159.2459908087795</v>
      </c>
      <c r="C19" s="7" t="n">
        <v>159.8052067183463</v>
      </c>
      <c r="D19" s="7" t="n">
        <v>161.3533661518226</v>
      </c>
      <c r="E19" s="7" t="n">
        <v>162.0727163575469</v>
      </c>
      <c r="F19" s="7" t="n">
        <v>157.2679419030251</v>
      </c>
      <c r="G19" s="7" t="n">
        <v>159.7428830579851</v>
      </c>
      <c r="H19" s="7" t="n">
        <v>150.4026158458545</v>
      </c>
      <c r="I19" s="7" t="n">
        <v>151.8701361867704</v>
      </c>
      <c r="J19" s="7" t="n">
        <v>133.6443140045061</v>
      </c>
      <c r="K19" s="7" t="n">
        <v>154.7671568627451</v>
      </c>
      <c r="L19" s="7" t="n">
        <v>162.2074282505694</v>
      </c>
      <c r="M19" s="7" t="n">
        <v>162.0753825797123</v>
      </c>
      <c r="N19" s="7" t="n">
        <v>159.84069272932</v>
      </c>
      <c r="O19" s="8">
        <f>N19*$B$2/100</f>
        <v/>
      </c>
    </row>
    <row r="20">
      <c r="A20" s="6" t="n">
        <v>46238.46385402778</v>
      </c>
      <c r="B20" s="7" t="n">
        <v>160.6545682946775</v>
      </c>
      <c r="C20" s="7" t="n">
        <v>160.4541067815078</v>
      </c>
      <c r="D20" s="7" t="n">
        <v>156.857885850686</v>
      </c>
      <c r="E20" s="7" t="n">
        <v>161.7924079310879</v>
      </c>
      <c r="F20" s="7" t="n">
        <v>152.2965231877049</v>
      </c>
      <c r="G20" s="7" t="n">
        <v>162.5330940915832</v>
      </c>
      <c r="H20" s="7" t="n">
        <v>162.5552583328508</v>
      </c>
      <c r="I20" s="7" t="n">
        <v>139.9129325737607</v>
      </c>
      <c r="J20" s="7" t="n">
        <v>154.1229323161951</v>
      </c>
      <c r="K20" s="7" t="n">
        <v>123.807663221578</v>
      </c>
      <c r="L20" s="7" t="n">
        <v>155.2226394762193</v>
      </c>
      <c r="M20" s="7" t="n">
        <v>161.587173530889</v>
      </c>
      <c r="N20" s="7" t="n">
        <v>159.4777358641199</v>
      </c>
      <c r="O20" s="8">
        <f>N20*$B$2/100</f>
        <v/>
      </c>
    </row>
    <row r="21">
      <c r="A21" s="6" t="n">
        <v>46238.463865625</v>
      </c>
      <c r="B21" s="7" t="n">
        <v>157.0828127030891</v>
      </c>
      <c r="C21" s="7" t="n">
        <v>156.8423237686399</v>
      </c>
      <c r="D21" s="7" t="n">
        <v>142.1925220790502</v>
      </c>
      <c r="E21" s="7" t="n">
        <v>129.8162656400385</v>
      </c>
      <c r="F21" s="7" t="n">
        <v>158.3267116621193</v>
      </c>
      <c r="G21" s="7" t="n">
        <v>161.0304732384356</v>
      </c>
      <c r="H21" s="7" t="n">
        <v>156.4473562412342</v>
      </c>
      <c r="I21" s="7" t="n">
        <v>154.0044829565645</v>
      </c>
      <c r="J21" s="7" t="n">
        <v>161.7279428422061</v>
      </c>
      <c r="K21" s="7" t="n">
        <v>159.1505868177964</v>
      </c>
      <c r="L21" s="7" t="n">
        <v>158.5744826832238</v>
      </c>
      <c r="M21" s="7" t="n">
        <v>160.7955703626783</v>
      </c>
      <c r="N21" s="7" t="n">
        <v>158.432226017984</v>
      </c>
      <c r="O21" s="8">
        <f>N21*$B$2/100</f>
        <v/>
      </c>
    </row>
    <row r="22">
      <c r="A22" s="6" t="n">
        <v>46238.46387723379</v>
      </c>
      <c r="B22" s="7" t="n">
        <v>161.2705692289072</v>
      </c>
      <c r="C22" s="7" t="n">
        <v>157.9887929347978</v>
      </c>
      <c r="D22" s="7" t="n">
        <v>160.5237451614501</v>
      </c>
      <c r="E22" s="7" t="n">
        <v>146.1628464987056</v>
      </c>
      <c r="F22" s="7" t="n">
        <v>161.4668052251119</v>
      </c>
      <c r="G22" s="7" t="n">
        <v>137.6151734654975</v>
      </c>
      <c r="H22" s="7" t="n">
        <v>151.2441616480911</v>
      </c>
      <c r="I22" s="7" t="n">
        <v>161.1422476959651</v>
      </c>
      <c r="J22" s="7" t="n">
        <v>155.1355714260891</v>
      </c>
      <c r="K22" s="7" t="n">
        <v>139.9956831081621</v>
      </c>
      <c r="L22" s="7" t="n">
        <v>159.5563920459858</v>
      </c>
      <c r="M22" s="7" t="n">
        <v>162.0114574919578</v>
      </c>
      <c r="N22" s="7" t="n">
        <v>159.5504627990491</v>
      </c>
      <c r="O22" s="8">
        <f>N22*$B$2/100</f>
        <v/>
      </c>
    </row>
    <row r="23">
      <c r="A23" s="6" t="n">
        <v>46238.46388899306</v>
      </c>
      <c r="B23" s="7" t="n">
        <v>139.1625752855659</v>
      </c>
      <c r="C23" s="7" t="n">
        <v>155.6912530581595</v>
      </c>
      <c r="D23" s="7" t="n">
        <v>159.998067822529</v>
      </c>
      <c r="E23" s="7" t="n">
        <v>159.8845514674112</v>
      </c>
      <c r="F23" s="7" t="n">
        <v>159.854198885355</v>
      </c>
      <c r="G23" s="7" t="n">
        <v>139.2197259042912</v>
      </c>
      <c r="H23" s="7" t="n">
        <v>157.2712611979143</v>
      </c>
      <c r="I23" s="7" t="n">
        <v>161.9949652080824</v>
      </c>
      <c r="J23" s="7" t="n">
        <v>160.3106375691148</v>
      </c>
      <c r="K23" s="7" t="n">
        <v>155.7275245378455</v>
      </c>
      <c r="L23" s="7" t="n">
        <v>157.6275256952395</v>
      </c>
      <c r="M23" s="7" t="n">
        <v>161.4824071164068</v>
      </c>
      <c r="N23" s="7" t="n">
        <v>158.8913738945537</v>
      </c>
      <c r="O23" s="8">
        <f>N23*$B$2/100</f>
        <v/>
      </c>
    </row>
    <row r="24">
      <c r="A24" s="6" t="n">
        <v>46238.46390075231</v>
      </c>
      <c r="B24" s="7" t="n">
        <v>153.349520620848</v>
      </c>
      <c r="C24" s="7" t="n">
        <v>152.7231467673182</v>
      </c>
      <c r="D24" s="7" t="n">
        <v>152.5438675077066</v>
      </c>
      <c r="E24" s="7" t="n">
        <v>151.845560165593</v>
      </c>
      <c r="F24" s="7" t="n">
        <v>154.2620834494935</v>
      </c>
      <c r="G24" s="7" t="n">
        <v>156.5780340691488</v>
      </c>
      <c r="H24" s="7" t="n">
        <v>155.0477835271967</v>
      </c>
      <c r="I24" s="7" t="n">
        <v>151.4563800797757</v>
      </c>
      <c r="J24" s="7" t="n">
        <v>153.0605231081973</v>
      </c>
      <c r="K24" s="7" t="n">
        <v>153.8755944181123</v>
      </c>
      <c r="L24" s="7" t="n">
        <v>152.3646069502842</v>
      </c>
      <c r="M24" s="7" t="n">
        <v>156.547921306399</v>
      </c>
      <c r="N24" s="7" t="n">
        <v>153.8471225804504</v>
      </c>
      <c r="O24" s="8">
        <f>N24*$B$2/100</f>
        <v/>
      </c>
    </row>
    <row r="25">
      <c r="A25" s="6" t="n">
        <v>46238.46391265046</v>
      </c>
      <c r="B25" s="7" t="n">
        <v>154.4241305501889</v>
      </c>
      <c r="C25" s="7" t="n">
        <v>151.0232099876128</v>
      </c>
      <c r="D25" s="7" t="n">
        <v>150.4994473370371</v>
      </c>
      <c r="E25" s="7" t="n">
        <v>153.1902807506759</v>
      </c>
      <c r="F25" s="7" t="n">
        <v>151.1889099905784</v>
      </c>
      <c r="G25" s="7" t="n">
        <v>150.8328343011354</v>
      </c>
      <c r="H25" s="7" t="n">
        <v>150.484486808218</v>
      </c>
      <c r="I25" s="7" t="n">
        <v>150.4630424603471</v>
      </c>
      <c r="J25" s="7" t="n">
        <v>150.5802236525116</v>
      </c>
      <c r="K25" s="7" t="n">
        <v>150.6610923211825</v>
      </c>
      <c r="L25" s="7" t="n">
        <v>154.5433215624129</v>
      </c>
      <c r="M25" s="7" t="n">
        <v>154.0640732217087</v>
      </c>
      <c r="N25" s="7" t="n">
        <v>152.2358670866477</v>
      </c>
      <c r="O25" s="8">
        <f>N25*$B$2/100</f>
        <v/>
      </c>
    </row>
    <row r="26">
      <c r="A26" s="6" t="n">
        <v>46238.4639244213</v>
      </c>
      <c r="B26" s="7" t="n">
        <v>155.0841678188852</v>
      </c>
      <c r="C26" s="7" t="n">
        <v>163.3252010033477</v>
      </c>
      <c r="D26" s="7" t="n">
        <v>152.8784583761562</v>
      </c>
      <c r="E26" s="7" t="n">
        <v>159.6200370425564</v>
      </c>
      <c r="F26" s="7" t="n">
        <v>141.387009227429</v>
      </c>
      <c r="G26" s="7" t="n">
        <v>146.812351543943</v>
      </c>
      <c r="H26" s="7" t="n">
        <v>161.9084389072542</v>
      </c>
      <c r="I26" s="7" t="n">
        <v>161.7737531154994</v>
      </c>
      <c r="J26" s="7" t="n">
        <v>116.4801376872267</v>
      </c>
      <c r="K26" s="7" t="n">
        <v>113.9282456673761</v>
      </c>
      <c r="L26" s="7" t="n">
        <v>159.4709252703894</v>
      </c>
      <c r="M26" s="7" t="n">
        <v>160.9591082781475</v>
      </c>
      <c r="N26" s="7" t="n">
        <v>158.3195262736475</v>
      </c>
      <c r="O26" s="8">
        <f>N26*$B$2/100</f>
        <v/>
      </c>
    </row>
    <row r="27">
      <c r="A27" s="6" t="n">
        <v>46238.46393612269</v>
      </c>
      <c r="B27" s="7" t="n">
        <v>157.9665763370751</v>
      </c>
      <c r="C27" s="7" t="n">
        <v>164.5620817147938</v>
      </c>
      <c r="D27" s="7" t="n">
        <v>161.0314042285705</v>
      </c>
      <c r="E27" s="7" t="n">
        <v>128.9661226786719</v>
      </c>
      <c r="F27" s="7" t="n">
        <v>151.6317331047292</v>
      </c>
      <c r="G27" s="7" t="n">
        <v>161.0884953838836</v>
      </c>
      <c r="H27" s="7" t="n">
        <v>160.6009424517555</v>
      </c>
      <c r="I27" s="7" t="n">
        <v>161.8923090937699</v>
      </c>
      <c r="J27" s="7" t="n">
        <v>162.5229691554152</v>
      </c>
      <c r="K27" s="7" t="n">
        <v>129.2421144495699</v>
      </c>
      <c r="L27" s="7" t="n">
        <v>134.6970495258167</v>
      </c>
      <c r="M27" s="7" t="n">
        <v>160.6802197802198</v>
      </c>
      <c r="N27" s="7" t="n">
        <v>160.078210147462</v>
      </c>
      <c r="O27" s="8">
        <f>N27*$B$2/100</f>
        <v/>
      </c>
    </row>
    <row r="28">
      <c r="A28" s="6" t="n">
        <v>46238.46394787037</v>
      </c>
      <c r="B28" s="7" t="n">
        <v>161.8899189192884</v>
      </c>
      <c r="C28" s="7" t="n">
        <v>164.5199048109642</v>
      </c>
      <c r="D28" s="7" t="n">
        <v>156.5414064963734</v>
      </c>
      <c r="E28" s="7" t="n">
        <v>160.3261788890754</v>
      </c>
      <c r="F28" s="7" t="n">
        <v>139.0493667614371</v>
      </c>
      <c r="G28" s="7" t="n">
        <v>149.5684572118833</v>
      </c>
      <c r="H28" s="7" t="n">
        <v>151.0478310789997</v>
      </c>
      <c r="I28" s="7" t="n">
        <v>162.5495819172466</v>
      </c>
      <c r="J28" s="7" t="n">
        <v>155.7200446791227</v>
      </c>
      <c r="K28" s="7" t="n">
        <v>157.2714542879065</v>
      </c>
      <c r="L28" s="7" t="n">
        <v>149.111656920078</v>
      </c>
      <c r="M28" s="7" t="n">
        <v>154.9170259623438</v>
      </c>
      <c r="N28" s="7" t="n">
        <v>159.6636746987952</v>
      </c>
      <c r="O28" s="8">
        <f>N28*$B$2/100</f>
        <v/>
      </c>
    </row>
    <row r="29">
      <c r="A29" s="6" t="n">
        <v>46238.46395960648</v>
      </c>
      <c r="B29" s="7" t="n">
        <v>133.7084694015575</v>
      </c>
      <c r="C29" s="7" t="n">
        <v>163.9196013289037</v>
      </c>
      <c r="D29" s="7" t="n">
        <v>157.121798254765</v>
      </c>
      <c r="E29" s="7" t="n">
        <v>143.1545807405582</v>
      </c>
      <c r="F29" s="7" t="n">
        <v>146.7727292472091</v>
      </c>
      <c r="G29" s="7" t="n">
        <v>152.4103848000549</v>
      </c>
      <c r="H29" s="7" t="n">
        <v>163.4985359228909</v>
      </c>
      <c r="I29" s="7" t="n">
        <v>161.2636340468909</v>
      </c>
      <c r="J29" s="7" t="n">
        <v>160.2411638938999</v>
      </c>
      <c r="K29" s="7" t="n">
        <v>129.6804591901098</v>
      </c>
      <c r="L29" s="7" t="n">
        <v>153.1531225235819</v>
      </c>
      <c r="M29" s="7" t="n">
        <v>160.7589363915043</v>
      </c>
      <c r="N29" s="7" t="n">
        <v>159.0032080189056</v>
      </c>
      <c r="O29" s="8">
        <f>N29*$B$2/100</f>
        <v/>
      </c>
    </row>
    <row r="30">
      <c r="A30" s="6" t="n">
        <v>46238.46397135417</v>
      </c>
      <c r="B30" s="7" t="n">
        <v>159.5564329551279</v>
      </c>
      <c r="C30" s="7" t="n">
        <v>164.084603708121</v>
      </c>
      <c r="D30" s="7" t="n">
        <v>157.4653251442857</v>
      </c>
      <c r="E30" s="7" t="n">
        <v>163.1819707378468</v>
      </c>
      <c r="F30" s="7" t="n">
        <v>160.5178035648231</v>
      </c>
      <c r="G30" s="7" t="n">
        <v>164.3604622980891</v>
      </c>
      <c r="H30" s="7" t="n">
        <v>160.1719014684779</v>
      </c>
      <c r="I30" s="7" t="n">
        <v>160.3447375239675</v>
      </c>
      <c r="J30" s="7" t="n">
        <v>147.9710527229183</v>
      </c>
      <c r="K30" s="7" t="n">
        <v>154.8786548742657</v>
      </c>
      <c r="L30" s="7" t="n">
        <v>158.0982271202683</v>
      </c>
      <c r="M30" s="7" t="n">
        <v>159.9751453923624</v>
      </c>
      <c r="N30" s="7" t="n">
        <v>160.7988989865443</v>
      </c>
      <c r="O30" s="8">
        <f>N30*$B$2/100</f>
        <v/>
      </c>
    </row>
    <row r="31">
      <c r="A31" s="6" t="n">
        <v>46238.46398310185</v>
      </c>
      <c r="B31" s="7" t="n">
        <v>150.0295947791774</v>
      </c>
      <c r="C31" s="7" t="n">
        <v>164.3483428557446</v>
      </c>
      <c r="D31" s="7" t="n">
        <v>136.2830252289712</v>
      </c>
      <c r="E31" s="7" t="n">
        <v>161.327022801045</v>
      </c>
      <c r="F31" s="7" t="n">
        <v>152.8948063587905</v>
      </c>
      <c r="G31" s="7" t="n">
        <v>160.5211094426672</v>
      </c>
      <c r="H31" s="7" t="n">
        <v>161.7469460814011</v>
      </c>
      <c r="I31" s="7" t="n">
        <v>149.5224128965159</v>
      </c>
      <c r="J31" s="7" t="n">
        <v>160.242852397864</v>
      </c>
      <c r="K31" s="7" t="n">
        <v>161.3203243345596</v>
      </c>
      <c r="L31" s="7" t="n">
        <v>160.4743289246052</v>
      </c>
      <c r="M31" s="7" t="n">
        <v>159.1450252951096</v>
      </c>
      <c r="N31" s="7" t="n">
        <v>159.5905799194931</v>
      </c>
      <c r="O31" s="8">
        <f>N31*$B$2/100</f>
        <v/>
      </c>
    </row>
    <row r="32">
      <c r="A32" s="6" t="n">
        <v>46238.46399484954</v>
      </c>
      <c r="B32" s="7" t="n">
        <v>157.7415593547642</v>
      </c>
      <c r="C32" s="7" t="n">
        <v>163.7365334594467</v>
      </c>
      <c r="D32" s="7" t="n">
        <v>131.4087791495199</v>
      </c>
      <c r="E32" s="7" t="n">
        <v>145.7833137485311</v>
      </c>
      <c r="F32" s="7" t="n">
        <v>139.8470847740551</v>
      </c>
      <c r="G32" s="7" t="n">
        <v>153.2175264713125</v>
      </c>
      <c r="H32" s="7" t="n">
        <v>146.7044813842714</v>
      </c>
      <c r="I32" s="7" t="n">
        <v>162.5142799540159</v>
      </c>
      <c r="J32" s="7" t="n">
        <v>162.0505521783181</v>
      </c>
      <c r="K32" s="7" t="n">
        <v>154.4495765641203</v>
      </c>
      <c r="L32" s="7" t="n">
        <v>161.0287428200852</v>
      </c>
      <c r="M32" s="7" t="n">
        <v>161.4107090732892</v>
      </c>
      <c r="N32" s="7" t="n">
        <v>159.87445135241</v>
      </c>
      <c r="O32" s="8">
        <f>N32*$B$2/100</f>
        <v/>
      </c>
    </row>
    <row r="33">
      <c r="A33" s="6" t="n">
        <v>46238.4640066088</v>
      </c>
      <c r="B33" s="7" t="n">
        <v>151.0767741651634</v>
      </c>
      <c r="C33" s="7" t="n">
        <v>165.1349944993616</v>
      </c>
      <c r="D33" s="7" t="n">
        <v>159.1054168993514</v>
      </c>
      <c r="E33" s="7" t="n">
        <v>163.2052942420643</v>
      </c>
      <c r="F33" s="7" t="n">
        <v>162.6393131918573</v>
      </c>
      <c r="G33" s="7" t="n">
        <v>143.7380062619937</v>
      </c>
      <c r="H33" s="7" t="n">
        <v>154.1212357932788</v>
      </c>
      <c r="I33" s="7" t="n">
        <v>163.5857746873314</v>
      </c>
      <c r="J33" s="7" t="n">
        <v>156.4074954002251</v>
      </c>
      <c r="K33" s="7" t="n">
        <v>157.3549383481777</v>
      </c>
      <c r="L33" s="7" t="n">
        <v>159.6617343076744</v>
      </c>
      <c r="M33" s="7" t="n">
        <v>121.9419597626285</v>
      </c>
      <c r="N33" s="7" t="n">
        <v>160.2962321993671</v>
      </c>
      <c r="O33" s="8">
        <f>N33*$B$2/100</f>
        <v/>
      </c>
    </row>
    <row r="34">
      <c r="A34" s="6" t="n">
        <v>46238.46401836805</v>
      </c>
      <c r="B34" s="7" t="n">
        <v>149.4622716371588</v>
      </c>
      <c r="C34" s="7" t="n">
        <v>164.0953492759776</v>
      </c>
      <c r="D34" s="7" t="n">
        <v>157.6704867720757</v>
      </c>
      <c r="E34" s="7" t="n">
        <v>164.6726875390242</v>
      </c>
      <c r="F34" s="7" t="n">
        <v>154.8282211416588</v>
      </c>
      <c r="G34" s="7" t="n">
        <v>162.5770379392038</v>
      </c>
      <c r="H34" s="7" t="n">
        <v>158.3574340943231</v>
      </c>
      <c r="I34" s="7" t="n">
        <v>162.6113131670009</v>
      </c>
      <c r="J34" s="7" t="n">
        <v>161.219578436195</v>
      </c>
      <c r="K34" s="7" t="n">
        <v>127.9656095276328</v>
      </c>
      <c r="L34" s="7" t="n">
        <v>149.6943019255146</v>
      </c>
      <c r="M34" s="7" t="n">
        <v>116.0180288461538</v>
      </c>
      <c r="N34" s="7" t="n">
        <v>160.1661791167808</v>
      </c>
      <c r="O34" s="8">
        <f>N34*$B$2/100</f>
        <v/>
      </c>
    </row>
    <row r="35">
      <c r="A35" s="6" t="n">
        <v>46238.46403008102</v>
      </c>
      <c r="B35" s="7" t="n">
        <v>156.0965971385183</v>
      </c>
      <c r="C35" s="7" t="n">
        <v>165.2530422684251</v>
      </c>
      <c r="D35" s="7" t="n">
        <v>157.4859667821299</v>
      </c>
      <c r="E35" s="7" t="n">
        <v>135.9657333227572</v>
      </c>
      <c r="F35" s="7" t="n">
        <v>152.8403621634501</v>
      </c>
      <c r="G35" s="7" t="n">
        <v>160.4213861745419</v>
      </c>
      <c r="H35" s="7" t="n">
        <v>157.1839484750426</v>
      </c>
      <c r="I35" s="7" t="n">
        <v>162.9174870304906</v>
      </c>
      <c r="J35" s="7" t="n">
        <v>163.2540787486354</v>
      </c>
      <c r="K35" s="7" t="n">
        <v>162.7383004182539</v>
      </c>
      <c r="L35" s="7" t="n">
        <v>153.992234479775</v>
      </c>
      <c r="M35" s="7" t="n">
        <v>154.7947961938312</v>
      </c>
      <c r="N35" s="7" t="n">
        <v>160.5380894084196</v>
      </c>
      <c r="O35" s="8">
        <f>N35*$B$2/100</f>
        <v/>
      </c>
    </row>
    <row r="36">
      <c r="A36" s="6" t="n">
        <v>46238.46404167824</v>
      </c>
      <c r="B36" s="7" t="n">
        <v>161.369476271822</v>
      </c>
      <c r="C36" s="7" t="n">
        <v>163.1166787702736</v>
      </c>
      <c r="D36" s="7" t="n">
        <v>158.9248911701644</v>
      </c>
      <c r="E36" s="7" t="n">
        <v>150.5525592216582</v>
      </c>
      <c r="F36" s="7" t="n">
        <v>160.8866540704171</v>
      </c>
      <c r="G36" s="7" t="n">
        <v>160.1500603092218</v>
      </c>
      <c r="H36" s="7" t="n">
        <v>156.5923744378998</v>
      </c>
      <c r="I36" s="7" t="n">
        <v>156.1293833906047</v>
      </c>
      <c r="J36" s="7" t="n">
        <v>155.2645797598628</v>
      </c>
      <c r="K36" s="7" t="n">
        <v>158.633140138522</v>
      </c>
      <c r="L36" s="7" t="n">
        <v>153.2694403134977</v>
      </c>
      <c r="M36" s="7" t="n">
        <v>160.8199244543665</v>
      </c>
      <c r="N36" s="7" t="n">
        <v>159.3948393292195</v>
      </c>
      <c r="O36" s="8">
        <f>N36*$B$2/100</f>
        <v/>
      </c>
    </row>
    <row r="37">
      <c r="A37" s="6" t="n">
        <v>46238.46405341435</v>
      </c>
      <c r="B37" s="7" t="n">
        <v>153.8482076504209</v>
      </c>
      <c r="C37" s="7" t="n">
        <v>160.7856093979442</v>
      </c>
      <c r="D37" s="7" t="n">
        <v>161.0648438635104</v>
      </c>
      <c r="E37" s="7" t="n">
        <v>160.0141786775945</v>
      </c>
      <c r="F37" s="7" t="n">
        <v>156.9534853420195</v>
      </c>
      <c r="G37" s="7" t="n">
        <v>153.9028307388632</v>
      </c>
      <c r="H37" s="7" t="n">
        <v>158.0378865368723</v>
      </c>
      <c r="I37" s="7" t="n">
        <v>150.7021116575065</v>
      </c>
      <c r="J37" s="7" t="n">
        <v>152.3780236109965</v>
      </c>
      <c r="K37" s="7" t="n">
        <v>152.6269841269841</v>
      </c>
      <c r="L37" s="7" t="n">
        <v>158.468092266367</v>
      </c>
      <c r="M37" s="7" t="n">
        <v>161.4034075751558</v>
      </c>
      <c r="N37" s="7" t="n">
        <v>158.4429802204414</v>
      </c>
      <c r="O37" s="8">
        <f>N37*$B$2/100</f>
        <v/>
      </c>
    </row>
    <row r="38">
      <c r="A38" s="6" t="n">
        <v>46238.46406515046</v>
      </c>
      <c r="B38" s="7" t="n">
        <v>158.5138248349031</v>
      </c>
      <c r="C38" s="7" t="n">
        <v>161.5434781021098</v>
      </c>
      <c r="D38" s="7" t="n">
        <v>159.3639612660663</v>
      </c>
      <c r="E38" s="7" t="n">
        <v>162.68635561313</v>
      </c>
      <c r="F38" s="7" t="n">
        <v>152.6912223377395</v>
      </c>
      <c r="G38" s="7" t="n">
        <v>158.8010643923814</v>
      </c>
      <c r="H38" s="7" t="n">
        <v>152.8292429329579</v>
      </c>
      <c r="I38" s="7" t="n">
        <v>160.9448623318115</v>
      </c>
      <c r="J38" s="7" t="n">
        <v>160.1013778904023</v>
      </c>
      <c r="K38" s="7" t="n">
        <v>132.1874310915105</v>
      </c>
      <c r="L38" s="7" t="n">
        <v>150.2459824947949</v>
      </c>
      <c r="M38" s="7" t="n">
        <v>163.0014484784271</v>
      </c>
      <c r="N38" s="7" t="n">
        <v>159.1080888113206</v>
      </c>
      <c r="O38" s="8">
        <f>N38*$B$2/100</f>
        <v/>
      </c>
    </row>
    <row r="39">
      <c r="A39" s="6" t="n">
        <v>46238.46407692129</v>
      </c>
      <c r="B39" s="7" t="n">
        <v>153.0256785738395</v>
      </c>
      <c r="C39" s="7" t="n">
        <v>153.1074110306859</v>
      </c>
      <c r="D39" s="7" t="n">
        <v>152.2528749404108</v>
      </c>
      <c r="E39" s="7" t="n">
        <v>152.2600220206268</v>
      </c>
      <c r="F39" s="7" t="n">
        <v>152.7318312359401</v>
      </c>
      <c r="G39" s="7" t="n">
        <v>153.3634329587351</v>
      </c>
      <c r="H39" s="7" t="n">
        <v>151.3010596905989</v>
      </c>
      <c r="I39" s="7" t="n">
        <v>151.2569931358073</v>
      </c>
      <c r="J39" s="7" t="n">
        <v>151.2011258001793</v>
      </c>
      <c r="K39" s="7" t="n">
        <v>151.6645387239829</v>
      </c>
      <c r="L39" s="7" t="n">
        <v>150.3720030935808</v>
      </c>
      <c r="M39" s="7" t="n">
        <v>153.0177464885253</v>
      </c>
      <c r="N39" s="7" t="n">
        <v>152.1404158794293</v>
      </c>
      <c r="O39" s="8">
        <f>N39*$B$2/100</f>
        <v/>
      </c>
    </row>
    <row r="40">
      <c r="A40" s="6" t="n">
        <v>46238.46408863426</v>
      </c>
      <c r="B40" s="7" t="n">
        <v>152.8822262464773</v>
      </c>
      <c r="C40" s="7" t="n">
        <v>160.8139295928211</v>
      </c>
      <c r="D40" s="7" t="n">
        <v>156.1045846878153</v>
      </c>
      <c r="E40" s="7" t="n">
        <v>158.611716631898</v>
      </c>
      <c r="F40" s="7" t="n">
        <v>154.5170354368855</v>
      </c>
      <c r="G40" s="7" t="n">
        <v>155.4525052845558</v>
      </c>
      <c r="H40" s="7" t="n">
        <v>155.4991579317799</v>
      </c>
      <c r="I40" s="7" t="n">
        <v>156.6824952558659</v>
      </c>
      <c r="J40" s="7" t="n">
        <v>159.8002966773105</v>
      </c>
      <c r="K40" s="7" t="n">
        <v>156.9664728511673</v>
      </c>
      <c r="L40" s="7" t="n">
        <v>143.2039660680842</v>
      </c>
      <c r="M40" s="7" t="n">
        <v>161.6996914245366</v>
      </c>
      <c r="N40" s="7" t="n">
        <v>157.0651759961916</v>
      </c>
      <c r="O40" s="8">
        <f>N40*$B$2/100</f>
        <v/>
      </c>
    </row>
    <row r="41">
      <c r="A41" s="6" t="n">
        <v>46238.46410038194</v>
      </c>
      <c r="B41" s="7" t="n">
        <v>155.7827388113571</v>
      </c>
      <c r="C41" s="7" t="n">
        <v>162.5242841037204</v>
      </c>
      <c r="D41" s="7" t="n">
        <v>135.6887636932707</v>
      </c>
      <c r="E41" s="7" t="n">
        <v>161.9655766662358</v>
      </c>
      <c r="F41" s="7" t="n">
        <v>162.4846760507138</v>
      </c>
      <c r="G41" s="7" t="n">
        <v>162.516459672706</v>
      </c>
      <c r="H41" s="7" t="n">
        <v>152.5490888985047</v>
      </c>
      <c r="I41" s="7" t="n">
        <v>161.0177355708772</v>
      </c>
      <c r="J41" s="7" t="n">
        <v>154.3873056158992</v>
      </c>
      <c r="K41" s="7" t="n">
        <v>116.4135737009544</v>
      </c>
      <c r="L41" s="7" t="n">
        <v>159.0434956466629</v>
      </c>
      <c r="M41" s="7" t="n">
        <v>161.0232752523629</v>
      </c>
      <c r="N41" s="7" t="n">
        <v>160.0181356263436</v>
      </c>
      <c r="O41" s="8">
        <f>N41*$B$2/100</f>
        <v/>
      </c>
    </row>
    <row r="42">
      <c r="A42" s="6" t="n">
        <v>46238.46411210649</v>
      </c>
      <c r="B42" s="7" t="n">
        <v>159.163916104944</v>
      </c>
      <c r="C42" s="7" t="n">
        <v>156.4838045497916</v>
      </c>
      <c r="D42" s="7" t="n">
        <v>151.9372892457728</v>
      </c>
      <c r="E42" s="7" t="n">
        <v>162.6921943906224</v>
      </c>
      <c r="F42" s="7" t="n">
        <v>158.9471223302487</v>
      </c>
      <c r="G42" s="7" t="n">
        <v>157.3982194608758</v>
      </c>
      <c r="H42" s="7" t="n">
        <v>157.3121729701407</v>
      </c>
      <c r="I42" s="7" t="n">
        <v>158.6275330663754</v>
      </c>
      <c r="J42" s="7" t="n">
        <v>150.6056063515721</v>
      </c>
      <c r="K42" s="7" t="n">
        <v>147.4142086163581</v>
      </c>
      <c r="L42" s="7" t="n">
        <v>161.753664381653</v>
      </c>
      <c r="M42" s="7" t="n">
        <v>143.5965083200187</v>
      </c>
      <c r="N42" s="7" t="n">
        <v>157.6872128563465</v>
      </c>
      <c r="O42" s="8">
        <f>N42*$B$2/100</f>
        <v/>
      </c>
    </row>
    <row r="43">
      <c r="A43" s="6" t="n">
        <v>46238.46412380787</v>
      </c>
      <c r="B43" s="7" t="n">
        <v>152.7916588311498</v>
      </c>
      <c r="C43" s="7" t="n">
        <v>160.9450921128382</v>
      </c>
      <c r="D43" s="7" t="n">
        <v>157.9250085839698</v>
      </c>
      <c r="E43" s="7" t="n">
        <v>160.5336454694104</v>
      </c>
      <c r="F43" s="7" t="n">
        <v>159.7378630346293</v>
      </c>
      <c r="G43" s="7" t="n">
        <v>152.7607413647852</v>
      </c>
      <c r="H43" s="7" t="n">
        <v>160.6301224200453</v>
      </c>
      <c r="I43" s="7" t="n">
        <v>152.9768708315487</v>
      </c>
      <c r="J43" s="7" t="n">
        <v>124.3818329278183</v>
      </c>
      <c r="K43" s="7" t="n">
        <v>158.7284799620583</v>
      </c>
      <c r="L43" s="7" t="n">
        <v>162.3679823105736</v>
      </c>
      <c r="M43" s="7" t="n">
        <v>155.5114845048531</v>
      </c>
      <c r="N43" s="7" t="n">
        <v>158.7760967934246</v>
      </c>
      <c r="O43" s="8">
        <f>N43*$B$2/100</f>
        <v/>
      </c>
    </row>
    <row r="44">
      <c r="A44" s="6" t="n">
        <v>46238.46413542824</v>
      </c>
      <c r="B44" s="7" t="n">
        <v>152.9418821096174</v>
      </c>
      <c r="C44" s="7" t="n">
        <v>162.3445968956899</v>
      </c>
      <c r="D44" s="7" t="n">
        <v>137.4349528076204</v>
      </c>
      <c r="E44" s="7" t="n">
        <v>147.0624578657255</v>
      </c>
      <c r="F44" s="7" t="n">
        <v>157.7084662576687</v>
      </c>
      <c r="G44" s="7" t="n">
        <v>150.3457871863171</v>
      </c>
      <c r="H44" s="7" t="n">
        <v>160.5134192480492</v>
      </c>
      <c r="I44" s="7" t="n">
        <v>160.590927470479</v>
      </c>
      <c r="J44" s="7" t="n">
        <v>162.272736268797</v>
      </c>
      <c r="K44" s="7" t="n">
        <v>160.7067543566568</v>
      </c>
      <c r="L44" s="7" t="n">
        <v>157.7748883278306</v>
      </c>
      <c r="M44" s="7" t="n">
        <v>155.5803676013362</v>
      </c>
      <c r="N44" s="7" t="n">
        <v>158.7970432683095</v>
      </c>
      <c r="O44" s="8">
        <f>N44*$B$2/100</f>
        <v/>
      </c>
    </row>
    <row r="45">
      <c r="A45" s="6" t="n">
        <v>46238.46414716436</v>
      </c>
      <c r="B45" s="7" t="n">
        <v>160.3693816589979</v>
      </c>
      <c r="C45" s="7" t="n">
        <v>156.5084242597849</v>
      </c>
      <c r="D45" s="7" t="n">
        <v>159.6867647638516</v>
      </c>
      <c r="E45" s="7" t="n">
        <v>161.726988707577</v>
      </c>
      <c r="F45" s="7" t="n">
        <v>158.6999734900367</v>
      </c>
      <c r="G45" s="7" t="n">
        <v>161.2942201943461</v>
      </c>
      <c r="H45" s="7" t="n">
        <v>161.2528764118168</v>
      </c>
      <c r="I45" s="7" t="n">
        <v>160.1994053469628</v>
      </c>
      <c r="J45" s="7" t="n">
        <v>154.2302523697156</v>
      </c>
      <c r="K45" s="7" t="n">
        <v>130.4667579812454</v>
      </c>
      <c r="L45" s="7" t="n">
        <v>159.1971082600163</v>
      </c>
      <c r="M45" s="7" t="n">
        <v>147.9474579305407</v>
      </c>
      <c r="N45" s="7" t="n">
        <v>158.8280555871967</v>
      </c>
      <c r="O45" s="8">
        <f>N45*$B$2/100</f>
        <v/>
      </c>
    </row>
    <row r="46">
      <c r="A46" s="6" t="n">
        <v>46238.46415891204</v>
      </c>
      <c r="B46" s="7" t="n">
        <v>159.9392722710163</v>
      </c>
      <c r="C46" s="7" t="n">
        <v>160.0214270068996</v>
      </c>
      <c r="D46" s="7" t="n">
        <v>160.5849812068813</v>
      </c>
      <c r="E46" s="7" t="n">
        <v>139.2322182037372</v>
      </c>
      <c r="F46" s="7" t="n">
        <v>156.13298791019</v>
      </c>
      <c r="G46" s="7" t="n">
        <v>161.0628156021027</v>
      </c>
      <c r="H46" s="7" t="n">
        <v>157.9517787076992</v>
      </c>
      <c r="I46" s="7" t="n">
        <v>156.861938875572</v>
      </c>
      <c r="J46" s="7" t="n">
        <v>155.1036177801757</v>
      </c>
      <c r="K46" s="7" t="n">
        <v>115.0683930942895</v>
      </c>
      <c r="L46" s="7" t="n">
        <v>160.851037538239</v>
      </c>
      <c r="M46" s="7" t="n">
        <v>154.5925536129227</v>
      </c>
      <c r="N46" s="7" t="n">
        <v>158.2632415150983</v>
      </c>
      <c r="O46" s="8">
        <f>N46*$B$2/100</f>
        <v/>
      </c>
    </row>
    <row r="47">
      <c r="A47" s="6" t="n">
        <v>46238.46417067129</v>
      </c>
      <c r="B47" s="7" t="n">
        <v>157.8839722934057</v>
      </c>
      <c r="C47" s="7" t="n">
        <v>162.0337622428742</v>
      </c>
      <c r="D47" s="7" t="n">
        <v>162.5939832089552</v>
      </c>
      <c r="E47" s="7" t="n">
        <v>152.8240963855422</v>
      </c>
      <c r="F47" s="7" t="n">
        <v>153.039780142556</v>
      </c>
      <c r="G47" s="7" t="n">
        <v>155.9590526957859</v>
      </c>
      <c r="H47" s="7" t="n">
        <v>163.449158217591</v>
      </c>
      <c r="I47" s="7" t="n">
        <v>160.0243384676145</v>
      </c>
      <c r="J47" s="7" t="n">
        <v>161.9132321537959</v>
      </c>
      <c r="K47" s="7" t="n">
        <v>154.4422630428845</v>
      </c>
      <c r="L47" s="7" t="n">
        <v>159.2002946923348</v>
      </c>
      <c r="M47" s="7" t="n">
        <v>120.2059414688018</v>
      </c>
      <c r="N47" s="7" t="n">
        <v>159.3343199436223</v>
      </c>
      <c r="O47" s="8">
        <f>N47*$B$2/100</f>
        <v/>
      </c>
    </row>
    <row r="48">
      <c r="A48" s="6" t="n">
        <v>46238.46418240741</v>
      </c>
      <c r="B48" s="7" t="n">
        <v>161.7019902117993</v>
      </c>
      <c r="C48" s="7" t="n">
        <v>161.9351428868817</v>
      </c>
      <c r="D48" s="7" t="n">
        <v>157.1173486254864</v>
      </c>
      <c r="E48" s="7" t="n">
        <v>154.8200032578596</v>
      </c>
      <c r="F48" s="7" t="n">
        <v>161.5593729694607</v>
      </c>
      <c r="G48" s="7" t="n">
        <v>141.9056089173485</v>
      </c>
      <c r="H48" s="7" t="n">
        <v>160.6957820833787</v>
      </c>
      <c r="I48" s="7" t="n">
        <v>157.5177169450803</v>
      </c>
      <c r="J48" s="7" t="n">
        <v>155.6862112469235</v>
      </c>
      <c r="K48" s="7" t="n">
        <v>158.9317873068133</v>
      </c>
      <c r="L48" s="7" t="n">
        <v>160.2533138076215</v>
      </c>
      <c r="M48" s="7" t="n">
        <v>156.2361178426437</v>
      </c>
      <c r="N48" s="7" t="n">
        <v>159.2300582896487</v>
      </c>
      <c r="O48" s="8">
        <f>N48*$B$2/100</f>
        <v/>
      </c>
    </row>
    <row r="49">
      <c r="A49" s="6" t="n">
        <v>46238.46419400463</v>
      </c>
      <c r="B49" s="7" t="n">
        <v>161.2476020027468</v>
      </c>
      <c r="C49" s="7" t="n">
        <v>142.9315201554153</v>
      </c>
      <c r="D49" s="7" t="n">
        <v>161.5938385424434</v>
      </c>
      <c r="E49" s="7" t="n">
        <v>157.1382792905769</v>
      </c>
      <c r="F49" s="7" t="n">
        <v>153.6098786961762</v>
      </c>
      <c r="G49" s="7" t="n">
        <v>128.8451856513531</v>
      </c>
      <c r="H49" s="7" t="n">
        <v>162.2722110142763</v>
      </c>
      <c r="I49" s="7" t="n">
        <v>152.0087950747581</v>
      </c>
      <c r="J49" s="7" t="n">
        <v>159.1638803043278</v>
      </c>
      <c r="K49" s="7" t="n">
        <v>157.8708145864923</v>
      </c>
      <c r="L49" s="7" t="n">
        <v>162.5458200690997</v>
      </c>
      <c r="M49" s="7" t="n">
        <v>159.0463785948474</v>
      </c>
      <c r="N49" s="7" t="n">
        <v>159.83326608429</v>
      </c>
      <c r="O49" s="8">
        <f>N49*$B$2/100</f>
        <v/>
      </c>
    </row>
    <row r="50">
      <c r="A50" s="6" t="n">
        <v>46238.464205625</v>
      </c>
      <c r="B50" s="7" t="n">
        <v>156.19895201095</v>
      </c>
      <c r="C50" s="7" t="n">
        <v>161.0207508179783</v>
      </c>
      <c r="D50" s="7" t="n">
        <v>157.5320943910141</v>
      </c>
      <c r="E50" s="7" t="n">
        <v>150.1536903039074</v>
      </c>
      <c r="F50" s="7" t="n">
        <v>153.2961663805757</v>
      </c>
      <c r="G50" s="7" t="n">
        <v>158.3188229087285</v>
      </c>
      <c r="H50" s="7" t="n">
        <v>160.623843108466</v>
      </c>
      <c r="I50" s="7" t="n">
        <v>141.6084359560504</v>
      </c>
      <c r="J50" s="7" t="n">
        <v>161.6121265733744</v>
      </c>
      <c r="K50" s="7" t="n">
        <v>145.144690781797</v>
      </c>
      <c r="L50" s="7" t="n">
        <v>160.5615028607438</v>
      </c>
      <c r="M50" s="7" t="n">
        <v>148.5306607565283</v>
      </c>
      <c r="N50" s="7" t="n">
        <v>158.4427296700303</v>
      </c>
      <c r="O50" s="8">
        <f>N50*$B$2/100</f>
        <v/>
      </c>
    </row>
    <row r="51">
      <c r="A51" s="6" t="n">
        <v>46238.46421738426</v>
      </c>
      <c r="B51" s="7" t="n">
        <v>154.6754800255739</v>
      </c>
      <c r="C51" s="7" t="n">
        <v>160.7442014766295</v>
      </c>
      <c r="D51" s="7" t="n">
        <v>162.3985464765033</v>
      </c>
      <c r="E51" s="7" t="n">
        <v>154.9995161170252</v>
      </c>
      <c r="F51" s="7" t="n">
        <v>138.1937088666632</v>
      </c>
      <c r="G51" s="7" t="n">
        <v>121.070650887574</v>
      </c>
      <c r="H51" s="7" t="n">
        <v>161.4518413415027</v>
      </c>
      <c r="I51" s="7" t="n">
        <v>153.6193964648162</v>
      </c>
      <c r="J51" s="7" t="n">
        <v>160.6342836290654</v>
      </c>
      <c r="K51" s="7" t="n">
        <v>159.9702935222672</v>
      </c>
      <c r="L51" s="7" t="n">
        <v>162.2274763428416</v>
      </c>
      <c r="M51" s="7" t="n">
        <v>151.2324659251901</v>
      </c>
      <c r="N51" s="7" t="n">
        <v>159.165357940051</v>
      </c>
      <c r="O51" s="8">
        <f>N51*$B$2/100</f>
        <v/>
      </c>
    </row>
    <row r="52">
      <c r="A52" s="6" t="n">
        <v>46238.46422909722</v>
      </c>
      <c r="B52" s="7" t="n">
        <v>155.1337470009101</v>
      </c>
      <c r="C52" s="7" t="n">
        <v>161.4322474280531</v>
      </c>
      <c r="D52" s="7" t="n">
        <v>149.8685678159362</v>
      </c>
      <c r="E52" s="7" t="n">
        <v>159.6503911552035</v>
      </c>
      <c r="F52" s="7" t="n">
        <v>153.1370730986124</v>
      </c>
      <c r="G52" s="7" t="n">
        <v>134.2071525988786</v>
      </c>
      <c r="H52" s="7" t="n">
        <v>159.2330191478728</v>
      </c>
      <c r="I52" s="7" t="n">
        <v>157.7563845768653</v>
      </c>
      <c r="J52" s="7" t="n">
        <v>156.4971433064262</v>
      </c>
      <c r="K52" s="7" t="n">
        <v>121.3464708526899</v>
      </c>
      <c r="L52" s="7" t="n">
        <v>161.3445569696182</v>
      </c>
      <c r="M52" s="7" t="n">
        <v>155.5063399645986</v>
      </c>
      <c r="N52" s="7" t="n">
        <v>157.9346212456373</v>
      </c>
      <c r="O52" s="8">
        <f>N52*$B$2/100</f>
        <v/>
      </c>
    </row>
    <row r="53">
      <c r="A53" s="6" t="n">
        <v>46238.46424084491</v>
      </c>
      <c r="B53" s="7" t="n">
        <v>156.9302775984506</v>
      </c>
      <c r="C53" s="7" t="n">
        <v>149.5272539046676</v>
      </c>
      <c r="D53" s="7" t="n">
        <v>158.0549527783879</v>
      </c>
      <c r="E53" s="7" t="n">
        <v>143.0359968867558</v>
      </c>
      <c r="F53" s="7" t="n">
        <v>156.4416017147311</v>
      </c>
      <c r="G53" s="7" t="n">
        <v>161.9786926224596</v>
      </c>
      <c r="H53" s="7" t="n">
        <v>160.3440109938824</v>
      </c>
      <c r="I53" s="7" t="n">
        <v>124.3936705508475</v>
      </c>
      <c r="J53" s="7" t="n">
        <v>161.496057185443</v>
      </c>
      <c r="K53" s="7" t="n">
        <v>135.5398241050415</v>
      </c>
      <c r="L53" s="7" t="n">
        <v>160.7379767443208</v>
      </c>
      <c r="M53" s="7" t="n">
        <v>158.4957103886348</v>
      </c>
      <c r="N53" s="7" t="n">
        <v>158.97537603227</v>
      </c>
      <c r="O53" s="8">
        <f>N53*$B$2/100</f>
        <v/>
      </c>
    </row>
    <row r="54">
      <c r="A54" s="6" t="n">
        <v>46238.46425256944</v>
      </c>
      <c r="B54" s="7" t="n">
        <v>152.4999548549036</v>
      </c>
      <c r="C54" s="7" t="n">
        <v>152.2579498238537</v>
      </c>
      <c r="D54" s="7" t="n">
        <v>151.4148047257956</v>
      </c>
      <c r="E54" s="7" t="n">
        <v>152.9804315219622</v>
      </c>
      <c r="F54" s="7" t="n">
        <v>151.5766478067774</v>
      </c>
      <c r="G54" s="7" t="n">
        <v>152.5947488736194</v>
      </c>
      <c r="H54" s="7" t="n">
        <v>152.4657079551567</v>
      </c>
      <c r="I54" s="7" t="n">
        <v>151.5276274060131</v>
      </c>
      <c r="J54" s="7" t="n">
        <v>151.3675430517664</v>
      </c>
      <c r="K54" s="7" t="n">
        <v>151.3789818718278</v>
      </c>
      <c r="L54" s="7" t="n">
        <v>152.5619642768387</v>
      </c>
      <c r="M54" s="7" t="n">
        <v>151.0287639395296</v>
      </c>
      <c r="N54" s="7" t="n">
        <v>151.9921077151582</v>
      </c>
      <c r="O54" s="8">
        <f>N54*$B$2/100</f>
        <v/>
      </c>
    </row>
    <row r="55">
      <c r="A55" s="6" t="n">
        <v>46238.46426429398</v>
      </c>
      <c r="B55" s="7" t="n">
        <v>154.4602482032336</v>
      </c>
      <c r="C55" s="7" t="n">
        <v>156.7474519605297</v>
      </c>
      <c r="D55" s="7" t="n">
        <v>159.2973539827044</v>
      </c>
      <c r="E55" s="7" t="n">
        <v>156.7023450605915</v>
      </c>
      <c r="F55" s="7" t="n">
        <v>150.637314004454</v>
      </c>
      <c r="G55" s="7" t="n">
        <v>156.0360475477916</v>
      </c>
      <c r="H55" s="7" t="n">
        <v>153.896981261524</v>
      </c>
      <c r="I55" s="7" t="n">
        <v>156.1968967806173</v>
      </c>
      <c r="J55" s="7" t="n">
        <v>137.7380829529669</v>
      </c>
      <c r="K55" s="7" t="n">
        <v>146.8454575828448</v>
      </c>
      <c r="L55" s="7" t="n">
        <v>160.2741211197068</v>
      </c>
      <c r="M55" s="7" t="n">
        <v>155.7119822925233</v>
      </c>
      <c r="N55" s="7" t="n">
        <v>156.0003095825473</v>
      </c>
      <c r="O55" s="8">
        <f>N55*$B$2/100</f>
        <v/>
      </c>
    </row>
    <row r="56">
      <c r="A56" s="6" t="n">
        <v>46238.46427603009</v>
      </c>
      <c r="B56" s="7" t="n">
        <v>156.8660356362369</v>
      </c>
      <c r="C56" s="7" t="n">
        <v>161.2911642482458</v>
      </c>
      <c r="D56" s="7" t="n">
        <v>153.2028423997081</v>
      </c>
      <c r="E56" s="7" t="n">
        <v>146.859793052476</v>
      </c>
      <c r="F56" s="7" t="n">
        <v>154.2480758830137</v>
      </c>
      <c r="G56" s="7" t="n">
        <v>161.0100324124093</v>
      </c>
      <c r="H56" s="7" t="n">
        <v>160.9340376471125</v>
      </c>
      <c r="I56" s="7" t="n">
        <v>159.7388862005849</v>
      </c>
      <c r="J56" s="7" t="n">
        <v>160.418701977595</v>
      </c>
      <c r="K56" s="7" t="n">
        <v>126.6601105540558</v>
      </c>
      <c r="L56" s="7" t="n">
        <v>159.9957131262963</v>
      </c>
      <c r="M56" s="7" t="n">
        <v>152.3046828418108</v>
      </c>
      <c r="N56" s="7" t="n">
        <v>158.2697733580019</v>
      </c>
      <c r="O56" s="8">
        <f>N56*$B$2/100</f>
        <v/>
      </c>
    </row>
    <row r="57">
      <c r="A57" s="6" t="n">
        <v>46238.46428777778</v>
      </c>
      <c r="B57" s="7" t="n">
        <v>157.06876724931</v>
      </c>
      <c r="C57" s="7" t="n">
        <v>162.6819907755014</v>
      </c>
      <c r="D57" s="7" t="n">
        <v>151.5482867479319</v>
      </c>
      <c r="E57" s="7" t="n">
        <v>135.0258592200925</v>
      </c>
      <c r="F57" s="7" t="n">
        <v>159.444407983405</v>
      </c>
      <c r="G57" s="7" t="n">
        <v>162.80349426315</v>
      </c>
      <c r="H57" s="7" t="n">
        <v>153.3295793729757</v>
      </c>
      <c r="I57" s="7" t="n">
        <v>124.9120988198963</v>
      </c>
      <c r="J57" s="7" t="n">
        <v>162.4574008474708</v>
      </c>
      <c r="K57" s="7" t="n">
        <v>158.3337789757412</v>
      </c>
      <c r="L57" s="7" t="n">
        <v>162.1222805735476</v>
      </c>
      <c r="M57" s="7" t="n">
        <v>155.6273566506306</v>
      </c>
      <c r="N57" s="7" t="n">
        <v>159.5914126869851</v>
      </c>
      <c r="O57" s="8">
        <f>N57*$B$2/100</f>
        <v/>
      </c>
    </row>
    <row r="58">
      <c r="A58" s="6" t="n">
        <v>46238.46429953704</v>
      </c>
      <c r="B58" s="7" t="n">
        <v>161.651774319655</v>
      </c>
      <c r="C58" s="7" t="n">
        <v>164.0261691148192</v>
      </c>
      <c r="D58" s="7" t="n">
        <v>160.4965884339437</v>
      </c>
      <c r="E58" s="7" t="n">
        <v>158.5823117760618</v>
      </c>
      <c r="F58" s="7" t="n">
        <v>145.4859963731614</v>
      </c>
      <c r="G58" s="7" t="n">
        <v>161.447050785698</v>
      </c>
      <c r="H58" s="7" t="n">
        <v>152.1193308904012</v>
      </c>
      <c r="I58" s="7" t="n">
        <v>121.7179101019462</v>
      </c>
      <c r="J58" s="7" t="n">
        <v>152.4720951509607</v>
      </c>
      <c r="K58" s="7" t="n">
        <v>159.2979421482813</v>
      </c>
      <c r="L58" s="7" t="n">
        <v>161.112090966822</v>
      </c>
      <c r="M58" s="7" t="n">
        <v>155.6178038461736</v>
      </c>
      <c r="N58" s="7" t="n">
        <v>159.2124698099848</v>
      </c>
      <c r="O58" s="8">
        <f>N58*$B$2/100</f>
        <v/>
      </c>
    </row>
    <row r="59">
      <c r="A59" s="6" t="n">
        <v>46238.46431129629</v>
      </c>
      <c r="B59" s="7" t="n">
        <v>155.404921553519</v>
      </c>
      <c r="C59" s="7" t="n">
        <v>159.1490815192521</v>
      </c>
      <c r="D59" s="7" t="n">
        <v>161.6813044869389</v>
      </c>
      <c r="E59" s="7" t="n">
        <v>159.9941270784918</v>
      </c>
      <c r="F59" s="7" t="n">
        <v>158.3108688816686</v>
      </c>
      <c r="G59" s="7" t="n">
        <v>156.2037682809664</v>
      </c>
      <c r="H59" s="7" t="n">
        <v>158.8487916662862</v>
      </c>
      <c r="I59" s="7" t="n">
        <v>150.6343375294782</v>
      </c>
      <c r="J59" s="7" t="n">
        <v>160.9287155495444</v>
      </c>
      <c r="K59" s="7" t="n">
        <v>125.5294028263182</v>
      </c>
      <c r="L59" s="7" t="n">
        <v>162.5185933244538</v>
      </c>
      <c r="M59" s="7" t="n">
        <v>151.760012462471</v>
      </c>
      <c r="N59" s="7" t="n">
        <v>159.251629675617</v>
      </c>
      <c r="O59" s="8">
        <f>N59*$B$2/100</f>
        <v/>
      </c>
    </row>
    <row r="60">
      <c r="A60" s="6" t="n">
        <v>46238.46432306713</v>
      </c>
      <c r="B60" s="7" t="n">
        <v>154.4299063891071</v>
      </c>
      <c r="C60" s="7" t="n">
        <v>161.256914828306</v>
      </c>
      <c r="D60" s="7" t="n">
        <v>162.0692835416447</v>
      </c>
      <c r="E60" s="7" t="n">
        <v>159.6761596749836</v>
      </c>
      <c r="F60" s="7" t="n">
        <v>135.0646369160886</v>
      </c>
      <c r="G60" s="7" t="n">
        <v>149.8871438108289</v>
      </c>
      <c r="H60" s="7" t="n">
        <v>160.1896555558026</v>
      </c>
      <c r="I60" s="7" t="n">
        <v>159.8038014541707</v>
      </c>
      <c r="J60" s="7" t="n">
        <v>160.7575424102752</v>
      </c>
      <c r="K60" s="7" t="n">
        <v>134.0695287495861</v>
      </c>
      <c r="L60" s="7" t="n">
        <v>161.2405832651949</v>
      </c>
      <c r="M60" s="7" t="n">
        <v>144.7178426013721</v>
      </c>
      <c r="N60" s="7" t="n">
        <v>158.6587380437535</v>
      </c>
      <c r="O60" s="8">
        <f>N60*$B$2/100</f>
        <v/>
      </c>
    </row>
    <row r="61">
      <c r="A61" s="6" t="n">
        <v>46238.46433481482</v>
      </c>
      <c r="B61" s="7" t="n">
        <v>160.4435953841998</v>
      </c>
      <c r="C61" s="7" t="n">
        <v>162.5960167278204</v>
      </c>
      <c r="D61" s="7" t="n">
        <v>162.8830872296093</v>
      </c>
      <c r="E61" s="7" t="n">
        <v>161.8024056603774</v>
      </c>
      <c r="F61" s="7" t="n">
        <v>138.6662883087401</v>
      </c>
      <c r="G61" s="7" t="n">
        <v>126.7345944396675</v>
      </c>
      <c r="H61" s="7" t="n">
        <v>154.128285681998</v>
      </c>
      <c r="I61" s="7" t="n">
        <v>162.7673666865337</v>
      </c>
      <c r="J61" s="7" t="n">
        <v>135.9320561941252</v>
      </c>
      <c r="K61" s="7" t="n">
        <v>126.7496406059936</v>
      </c>
      <c r="L61" s="7" t="n">
        <v>162.0612537108803</v>
      </c>
      <c r="M61" s="7" t="n">
        <v>148.1025133684414</v>
      </c>
      <c r="N61" s="7" t="n">
        <v>159.4625351945116</v>
      </c>
      <c r="O61" s="8">
        <f>N61*$B$2/100</f>
        <v/>
      </c>
    </row>
    <row r="62">
      <c r="A62" s="6" t="n">
        <v>46238.46434655093</v>
      </c>
      <c r="B62" s="7" t="n">
        <v>159.5426884688185</v>
      </c>
      <c r="C62" s="7" t="n">
        <v>160.9852142712875</v>
      </c>
      <c r="D62" s="7" t="n">
        <v>156.589723606507</v>
      </c>
      <c r="E62" s="7" t="n">
        <v>149.5815564455028</v>
      </c>
      <c r="F62" s="7" t="n">
        <v>154.625306308531</v>
      </c>
      <c r="G62" s="7" t="n">
        <v>135.9534477379095</v>
      </c>
      <c r="H62" s="7" t="n">
        <v>161.3552553326983</v>
      </c>
      <c r="I62" s="7" t="n">
        <v>161.1387346078468</v>
      </c>
      <c r="J62" s="7" t="n">
        <v>143.6507375195132</v>
      </c>
      <c r="K62" s="7" t="n">
        <v>108.0176814011676</v>
      </c>
      <c r="L62" s="7" t="n">
        <v>161.5106340954141</v>
      </c>
      <c r="M62" s="7" t="n">
        <v>152.094709358252</v>
      </c>
      <c r="N62" s="7" t="n">
        <v>158.3165237090247</v>
      </c>
      <c r="O62" s="8">
        <f>N62*$B$2/100</f>
        <v/>
      </c>
    </row>
    <row r="63">
      <c r="A63" s="6" t="n">
        <v>46238.46435828703</v>
      </c>
      <c r="B63" s="7" t="n">
        <v>144.466335317575</v>
      </c>
      <c r="C63" s="7" t="n">
        <v>122.9628882161677</v>
      </c>
      <c r="D63" s="7" t="n">
        <v>155.7900500854226</v>
      </c>
      <c r="E63" s="7" t="n">
        <v>161.1135636387383</v>
      </c>
      <c r="F63" s="7" t="n">
        <v>152.5524357552228</v>
      </c>
      <c r="G63" s="7" t="n">
        <v>137.8857189171665</v>
      </c>
      <c r="H63" s="7" t="n">
        <v>158.6670431883335</v>
      </c>
      <c r="I63" s="7" t="n">
        <v>160.2291687068028</v>
      </c>
      <c r="J63" s="7" t="n">
        <v>161.6324313783362</v>
      </c>
      <c r="K63" s="7" t="n">
        <v>155.5447610911088</v>
      </c>
      <c r="L63" s="7" t="n">
        <v>161.6090624456427</v>
      </c>
      <c r="M63" s="7" t="n">
        <v>139.5786077639891</v>
      </c>
      <c r="N63" s="7" t="n">
        <v>158.046863075778</v>
      </c>
      <c r="O63" s="8">
        <f>N63*$B$2/100</f>
        <v/>
      </c>
    </row>
    <row r="64">
      <c r="A64" s="6" t="n">
        <v>46238.46437002315</v>
      </c>
      <c r="B64" s="7" t="n">
        <v>161.0792281643346</v>
      </c>
      <c r="C64" s="7" t="n">
        <v>160.8592032793246</v>
      </c>
      <c r="D64" s="7" t="n">
        <v>160.704147575059</v>
      </c>
      <c r="E64" s="7" t="n">
        <v>160.6550172623704</v>
      </c>
      <c r="F64" s="7" t="n">
        <v>157.2338933415536</v>
      </c>
      <c r="G64" s="7" t="n">
        <v>158.5243730808598</v>
      </c>
      <c r="H64" s="7" t="n">
        <v>153.6631138115099</v>
      </c>
      <c r="I64" s="7" t="n">
        <v>158.9126225471453</v>
      </c>
      <c r="J64" s="7" t="n">
        <v>146.4024285578054</v>
      </c>
      <c r="K64" s="7" t="n">
        <v>118.5194570135747</v>
      </c>
      <c r="L64" s="7" t="n">
        <v>162.0054754366708</v>
      </c>
      <c r="M64" s="7" t="n">
        <v>144.480399891362</v>
      </c>
      <c r="N64" s="7" t="n">
        <v>158.4660008619236</v>
      </c>
      <c r="O64" s="8">
        <f>N64*$B$2/100</f>
        <v/>
      </c>
    </row>
    <row r="65">
      <c r="A65" s="6" t="n">
        <v>46238.46438177083</v>
      </c>
      <c r="B65" s="7" t="n">
        <v>157.5833761072936</v>
      </c>
      <c r="C65" s="7" t="n">
        <v>162.8324569486363</v>
      </c>
      <c r="D65" s="7" t="n">
        <v>161.191533065485</v>
      </c>
      <c r="E65" s="7" t="n">
        <v>164.112342611205</v>
      </c>
      <c r="F65" s="7" t="n">
        <v>154.0053420345933</v>
      </c>
      <c r="G65" s="7" t="n">
        <v>156.6835157844515</v>
      </c>
      <c r="H65" s="7" t="n">
        <v>161.658349681569</v>
      </c>
      <c r="I65" s="7" t="n">
        <v>139.4751067961165</v>
      </c>
      <c r="J65" s="7" t="n">
        <v>150.1284015932379</v>
      </c>
      <c r="K65" s="7" t="n">
        <v>147.8251573976915</v>
      </c>
      <c r="L65" s="7" t="n">
        <v>160.7442144414881</v>
      </c>
      <c r="M65" s="7" t="n">
        <v>145.8095176348548</v>
      </c>
      <c r="N65" s="7" t="n">
        <v>159.6890551014869</v>
      </c>
      <c r="O65" s="8">
        <f>N65*$B$2/100</f>
        <v/>
      </c>
    </row>
    <row r="66">
      <c r="A66" s="6" t="n">
        <v>46238.46439354167</v>
      </c>
      <c r="B66" s="7" t="n">
        <v>148.9985607951607</v>
      </c>
      <c r="C66" s="7" t="n">
        <v>159.799211135222</v>
      </c>
      <c r="D66" s="7" t="n">
        <v>146.0531023784902</v>
      </c>
      <c r="E66" s="7" t="n">
        <v>159.9438867573008</v>
      </c>
      <c r="F66" s="7" t="n">
        <v>160.9056094737779</v>
      </c>
      <c r="G66" s="7" t="n">
        <v>161.3475295335566</v>
      </c>
      <c r="H66" s="7" t="n">
        <v>156.6089659603942</v>
      </c>
      <c r="I66" s="7" t="n">
        <v>159.7057343685222</v>
      </c>
      <c r="J66" s="7" t="n">
        <v>158.9199573391644</v>
      </c>
      <c r="K66" s="7" t="n">
        <v>140.7330167726124</v>
      </c>
      <c r="L66" s="7" t="n">
        <v>159.0065022924253</v>
      </c>
      <c r="M66" s="7" t="n">
        <v>121.1841202724924</v>
      </c>
      <c r="N66" s="7" t="n">
        <v>157.4944631680308</v>
      </c>
      <c r="O66" s="8">
        <f>N66*$B$2/100</f>
        <v/>
      </c>
    </row>
    <row r="67">
      <c r="A67" s="6" t="n">
        <v>46238.4644052662</v>
      </c>
      <c r="B67" s="7" t="n">
        <v>161.2185708076051</v>
      </c>
      <c r="C67" s="7" t="n">
        <v>135.5873094436745</v>
      </c>
      <c r="D67" s="7" t="n">
        <v>162.8011995290666</v>
      </c>
      <c r="E67" s="7" t="n">
        <v>157.8485123966942</v>
      </c>
      <c r="F67" s="7" t="n">
        <v>161.3716974918466</v>
      </c>
      <c r="G67" s="7" t="n">
        <v>161.1807857212991</v>
      </c>
      <c r="H67" s="7" t="n">
        <v>156.6571659680859</v>
      </c>
      <c r="I67" s="7" t="n">
        <v>158.0132849475327</v>
      </c>
      <c r="J67" s="7" t="n">
        <v>158.5372643082251</v>
      </c>
      <c r="K67" s="7" t="n">
        <v>145.3624791318865</v>
      </c>
      <c r="L67" s="7" t="n">
        <v>160.7077276884418</v>
      </c>
      <c r="M67" s="7" t="n">
        <v>157.5509986285999</v>
      </c>
      <c r="N67" s="7" t="n">
        <v>159.5903629068933</v>
      </c>
      <c r="O67" s="8">
        <f>N67*$B$2/100</f>
        <v/>
      </c>
    </row>
    <row r="68">
      <c r="A68" s="6" t="n">
        <v>46238.46441700232</v>
      </c>
      <c r="B68" s="7" t="n">
        <v>154.3141438407053</v>
      </c>
      <c r="C68" s="7" t="n">
        <v>161.5602642213685</v>
      </c>
      <c r="D68" s="7" t="n">
        <v>155.5773450978459</v>
      </c>
      <c r="E68" s="7" t="n">
        <v>152.5842441966734</v>
      </c>
      <c r="F68" s="7" t="n">
        <v>159.9028829412479</v>
      </c>
      <c r="G68" s="7" t="n">
        <v>159.4026523872348</v>
      </c>
      <c r="H68" s="7" t="n">
        <v>157.6419105697045</v>
      </c>
      <c r="I68" s="7" t="n">
        <v>155.1348487236054</v>
      </c>
      <c r="J68" s="7" t="n">
        <v>150.4094614889509</v>
      </c>
      <c r="K68" s="7" t="n">
        <v>144.8725113671478</v>
      </c>
      <c r="L68" s="7" t="n">
        <v>159.1234375800719</v>
      </c>
      <c r="M68" s="7" t="n">
        <v>156.1549238794847</v>
      </c>
      <c r="N68" s="7" t="n">
        <v>157.5254299122763</v>
      </c>
      <c r="O68" s="8">
        <f>N68*$B$2/100</f>
        <v/>
      </c>
    </row>
    <row r="69">
      <c r="A69" s="6" t="n">
        <v>46238.46442871528</v>
      </c>
      <c r="B69" s="7" t="n">
        <v>151.2395100616148</v>
      </c>
      <c r="C69" s="7" t="n">
        <v>150.7488385252248</v>
      </c>
      <c r="D69" s="7" t="n">
        <v>152.6973894499461</v>
      </c>
      <c r="E69" s="7" t="n">
        <v>152.9464977238876</v>
      </c>
      <c r="F69" s="7" t="n">
        <v>150.701882156678</v>
      </c>
      <c r="G69" s="7" t="n">
        <v>153.554721846466</v>
      </c>
      <c r="H69" s="7" t="n">
        <v>151.9799004598443</v>
      </c>
      <c r="I69" s="7" t="n">
        <v>151.2586974377998</v>
      </c>
      <c r="J69" s="7" t="n">
        <v>151.7796151127007</v>
      </c>
      <c r="K69" s="7" t="n">
        <v>151.8129108904741</v>
      </c>
      <c r="L69" s="7" t="n">
        <v>151.6303188858519</v>
      </c>
      <c r="M69" s="7" t="n">
        <v>149.5697602666181</v>
      </c>
      <c r="N69" s="7" t="n">
        <v>151.7208453200419</v>
      </c>
      <c r="O69" s="8">
        <f>N69*$B$2/100</f>
        <v/>
      </c>
    </row>
    <row r="70">
      <c r="A70" s="6" t="n">
        <v>46238.46444041667</v>
      </c>
      <c r="B70" s="7" t="n">
        <v>159.4631591000172</v>
      </c>
      <c r="C70" s="7" t="n">
        <v>152.4271547502449</v>
      </c>
      <c r="D70" s="7" t="n">
        <v>145.9168925722252</v>
      </c>
      <c r="E70" s="7" t="n">
        <v>162.1037588973049</v>
      </c>
      <c r="F70" s="7" t="n">
        <v>147.3999940982059</v>
      </c>
      <c r="G70" s="7" t="n">
        <v>157.1497039676374</v>
      </c>
      <c r="H70" s="7" t="n">
        <v>150.17946885518</v>
      </c>
      <c r="I70" s="7" t="n">
        <v>157.3462629079137</v>
      </c>
      <c r="J70" s="7" t="n">
        <v>157.2113127200396</v>
      </c>
      <c r="K70" s="7" t="n">
        <v>152.270459913853</v>
      </c>
      <c r="L70" s="7" t="n">
        <v>160.9340670277084</v>
      </c>
      <c r="M70" s="7" t="n">
        <v>159.4725422943695</v>
      </c>
      <c r="N70" s="7" t="n">
        <v>158.1459923846699</v>
      </c>
      <c r="O70" s="8">
        <f>N70*$B$2/100</f>
        <v/>
      </c>
    </row>
    <row r="71">
      <c r="A71" s="6" t="n">
        <v>46238.46445216435</v>
      </c>
      <c r="B71" s="7" t="n">
        <v>153.0479115184376</v>
      </c>
      <c r="C71" s="7" t="n">
        <v>160.5121314758637</v>
      </c>
      <c r="D71" s="7" t="n">
        <v>153.00174277931</v>
      </c>
      <c r="E71" s="7" t="n">
        <v>159.5703117365387</v>
      </c>
      <c r="F71" s="7" t="n">
        <v>155.9160916312284</v>
      </c>
      <c r="G71" s="7" t="n">
        <v>159.5714349449013</v>
      </c>
      <c r="H71" s="7" t="n">
        <v>160.7707235549791</v>
      </c>
      <c r="I71" s="7" t="n">
        <v>160.8671628185757</v>
      </c>
      <c r="J71" s="7" t="n">
        <v>162.6957782278883</v>
      </c>
      <c r="K71" s="7" t="n">
        <v>158.9801755191838</v>
      </c>
      <c r="L71" s="7" t="n">
        <v>149.1336957357881</v>
      </c>
      <c r="M71" s="7" t="n">
        <v>158.0530987963398</v>
      </c>
      <c r="N71" s="7" t="n">
        <v>159.547076993479</v>
      </c>
      <c r="O71" s="8">
        <f>N71*$B$2/100</f>
        <v/>
      </c>
    </row>
    <row r="72">
      <c r="A72" s="6" t="n">
        <v>46238.46446388889</v>
      </c>
      <c r="B72" s="7" t="n">
        <v>155.4048674402776</v>
      </c>
      <c r="C72" s="7" t="n">
        <v>160.7559792882387</v>
      </c>
      <c r="D72" s="7" t="n">
        <v>141.3454938521821</v>
      </c>
      <c r="E72" s="7" t="n">
        <v>126.6338668247382</v>
      </c>
      <c r="F72" s="7" t="n">
        <v>152.2497056283853</v>
      </c>
      <c r="G72" s="7" t="n">
        <v>151.5727328710273</v>
      </c>
      <c r="H72" s="7" t="n">
        <v>162.2014095393989</v>
      </c>
      <c r="I72" s="7" t="n">
        <v>160.4472424494432</v>
      </c>
      <c r="J72" s="7" t="n">
        <v>161.6318465879986</v>
      </c>
      <c r="K72" s="7" t="n">
        <v>161.5489160067506</v>
      </c>
      <c r="L72" s="7" t="n">
        <v>140.979887947134</v>
      </c>
      <c r="M72" s="7" t="n">
        <v>151.7775305895439</v>
      </c>
      <c r="N72" s="7" t="n">
        <v>158.905295535137</v>
      </c>
      <c r="O72" s="8">
        <f>N72*$B$2/100</f>
        <v/>
      </c>
    </row>
    <row r="73">
      <c r="A73" s="6" t="n">
        <v>46238.46447563657</v>
      </c>
      <c r="B73" s="7" t="n">
        <v>162.3834764413017</v>
      </c>
      <c r="C73" s="7" t="n">
        <v>158.822562348383</v>
      </c>
      <c r="D73" s="7" t="n">
        <v>161.9637969192147</v>
      </c>
      <c r="E73" s="7" t="n">
        <v>159.6594703619318</v>
      </c>
      <c r="F73" s="7" t="n">
        <v>147.5866093781717</v>
      </c>
      <c r="G73" s="7" t="n">
        <v>136.1591708174626</v>
      </c>
      <c r="H73" s="7" t="n">
        <v>161.6688875166564</v>
      </c>
      <c r="I73" s="7" t="n">
        <v>158.2975091822519</v>
      </c>
      <c r="J73" s="7" t="n">
        <v>159.5021021798908</v>
      </c>
      <c r="K73" s="7" t="n">
        <v>135.2050170616988</v>
      </c>
      <c r="L73" s="7" t="n">
        <v>158.1181274900399</v>
      </c>
      <c r="M73" s="7" t="n">
        <v>158.7995048866655</v>
      </c>
      <c r="N73" s="7" t="n">
        <v>159.3245177501198</v>
      </c>
      <c r="O73" s="8">
        <f>N73*$B$2/100</f>
        <v/>
      </c>
    </row>
    <row r="74">
      <c r="A74" s="6" t="n">
        <v>46238.46448737269</v>
      </c>
      <c r="B74" s="7" t="n">
        <v>151.448192364005</v>
      </c>
      <c r="C74" s="7" t="n">
        <v>160.3667712185175</v>
      </c>
      <c r="D74" s="7" t="n">
        <v>152.5589891696751</v>
      </c>
      <c r="E74" s="7" t="n">
        <v>161.0242046303811</v>
      </c>
      <c r="F74" s="7" t="n">
        <v>143.9019635196875</v>
      </c>
      <c r="G74" s="7" t="n">
        <v>155.8362021728861</v>
      </c>
      <c r="H74" s="7" t="n">
        <v>162.5135490468191</v>
      </c>
      <c r="I74" s="7" t="n">
        <v>158.8675255619825</v>
      </c>
      <c r="J74" s="7" t="n">
        <v>160.7381591465975</v>
      </c>
      <c r="K74" s="7" t="n">
        <v>153.7660792435136</v>
      </c>
      <c r="L74" s="7" t="n">
        <v>154.2805251414042</v>
      </c>
      <c r="M74" s="7" t="n">
        <v>156.9308876131812</v>
      </c>
      <c r="N74" s="7" t="n">
        <v>158.5554001711273</v>
      </c>
      <c r="O74" s="8">
        <f>N74*$B$2/100</f>
        <v/>
      </c>
    </row>
    <row r="75">
      <c r="A75" s="6" t="n">
        <v>46238.46449909722</v>
      </c>
      <c r="B75" s="7" t="n">
        <v>159.8732512326893</v>
      </c>
      <c r="C75" s="7" t="n">
        <v>162.7342393199289</v>
      </c>
      <c r="D75" s="7" t="n">
        <v>147.781566171293</v>
      </c>
      <c r="E75" s="7" t="n">
        <v>158.4845784294465</v>
      </c>
      <c r="F75" s="7" t="n">
        <v>140.4419073203492</v>
      </c>
      <c r="G75" s="7" t="n">
        <v>137.9128039121152</v>
      </c>
      <c r="H75" s="7" t="n">
        <v>163.3274153890657</v>
      </c>
      <c r="I75" s="7" t="n">
        <v>160.1052902904682</v>
      </c>
      <c r="J75" s="7" t="n">
        <v>161.9389668027694</v>
      </c>
      <c r="K75" s="7" t="n">
        <v>157.172726417166</v>
      </c>
      <c r="L75" s="7" t="n">
        <v>156.098673103927</v>
      </c>
      <c r="M75" s="7" t="n">
        <v>126.1522878099895</v>
      </c>
      <c r="N75" s="7" t="n">
        <v>159.9204834605598</v>
      </c>
      <c r="O75" s="8">
        <f>N75*$B$2/100</f>
        <v/>
      </c>
    </row>
    <row r="76">
      <c r="A76" s="6" t="n">
        <v>46238.46451083334</v>
      </c>
      <c r="B76" s="7" t="n">
        <v>160.6738209294286</v>
      </c>
      <c r="C76" s="7" t="n">
        <v>157.2212105380999</v>
      </c>
      <c r="D76" s="7" t="n">
        <v>158.1877205064364</v>
      </c>
      <c r="E76" s="7" t="n">
        <v>161.0033303015462</v>
      </c>
      <c r="F76" s="7" t="n">
        <v>134.9789989499475</v>
      </c>
      <c r="G76" s="7" t="n">
        <v>147.6582861038906</v>
      </c>
      <c r="H76" s="7" t="n">
        <v>162.9090488886885</v>
      </c>
      <c r="I76" s="7" t="n">
        <v>134.0668092030576</v>
      </c>
      <c r="J76" s="7" t="n">
        <v>142.653148581263</v>
      </c>
      <c r="K76" s="7" t="n">
        <v>160.0781082847973</v>
      </c>
      <c r="L76" s="7" t="n">
        <v>157.8495260853957</v>
      </c>
      <c r="M76" s="7" t="n">
        <v>159.1921643468099</v>
      </c>
      <c r="N76" s="7" t="n">
        <v>158.1607721079588</v>
      </c>
      <c r="O76" s="8">
        <f>N76*$B$2/100</f>
        <v/>
      </c>
    </row>
    <row r="77">
      <c r="A77" s="6" t="n">
        <v>46238.46452259259</v>
      </c>
      <c r="B77" s="7" t="n">
        <v>156.2214345556486</v>
      </c>
      <c r="C77" s="7" t="n">
        <v>163.754710499194</v>
      </c>
      <c r="D77" s="7" t="n">
        <v>138.9321735632762</v>
      </c>
      <c r="E77" s="7" t="n">
        <v>131.8896661070696</v>
      </c>
      <c r="F77" s="7" t="n">
        <v>159.874894493641</v>
      </c>
      <c r="G77" s="7" t="n">
        <v>158.6763321664722</v>
      </c>
      <c r="H77" s="7" t="n">
        <v>163.635198662813</v>
      </c>
      <c r="I77" s="7" t="n">
        <v>159.142562655419</v>
      </c>
      <c r="J77" s="7" t="n">
        <v>163.2115508916011</v>
      </c>
      <c r="K77" s="7" t="n">
        <v>160.8749811017944</v>
      </c>
      <c r="L77" s="7" t="n">
        <v>149.1764548494983</v>
      </c>
      <c r="M77" s="7" t="n">
        <v>158.9587871223649</v>
      </c>
      <c r="N77" s="7" t="n">
        <v>160.3780863418329</v>
      </c>
      <c r="O77" s="8">
        <f>N77*$B$2/100</f>
        <v/>
      </c>
    </row>
    <row r="78">
      <c r="A78" s="6" t="n">
        <v>46238.4645343287</v>
      </c>
      <c r="B78" s="7" t="n">
        <v>150.253287330808</v>
      </c>
      <c r="C78" s="7" t="n">
        <v>158.5926824393707</v>
      </c>
      <c r="D78" s="7" t="n">
        <v>155.3972099611305</v>
      </c>
      <c r="E78" s="7" t="n">
        <v>156.689465515833</v>
      </c>
      <c r="F78" s="7" t="n">
        <v>135.3225956121164</v>
      </c>
      <c r="G78" s="7" t="n">
        <v>158.3917496180379</v>
      </c>
      <c r="H78" s="7" t="n">
        <v>162.1785760350832</v>
      </c>
      <c r="I78" s="7" t="n">
        <v>151.213526945767</v>
      </c>
      <c r="J78" s="7" t="n">
        <v>161.9581752756408</v>
      </c>
      <c r="K78" s="7" t="n">
        <v>162.1216745638881</v>
      </c>
      <c r="L78" s="7" t="n">
        <v>159.5469614247568</v>
      </c>
      <c r="M78" s="7" t="n">
        <v>152.4289427441792</v>
      </c>
      <c r="N78" s="7" t="n">
        <v>158.6265685257326</v>
      </c>
      <c r="O78" s="8">
        <f>N78*$B$2/100</f>
        <v/>
      </c>
    </row>
    <row r="79">
      <c r="A79" s="6" t="n">
        <v>46238.46454607639</v>
      </c>
      <c r="B79" s="7" t="n">
        <v>155.7233384191989</v>
      </c>
      <c r="C79" s="7" t="n">
        <v>162.6997605452201</v>
      </c>
      <c r="D79" s="7" t="n">
        <v>139.3695289499509</v>
      </c>
      <c r="E79" s="7" t="n">
        <v>160.8166723180605</v>
      </c>
      <c r="F79" s="7" t="n">
        <v>152.2410051540036</v>
      </c>
      <c r="G79" s="7" t="n">
        <v>127.7657938487116</v>
      </c>
      <c r="H79" s="7" t="n">
        <v>162.6788566992329</v>
      </c>
      <c r="I79" s="7" t="n">
        <v>160.8607789714415</v>
      </c>
      <c r="J79" s="7" t="n">
        <v>153.6015500639336</v>
      </c>
      <c r="K79" s="7" t="n">
        <v>161.7084763936259</v>
      </c>
      <c r="L79" s="7" t="n">
        <v>157.392740485191</v>
      </c>
      <c r="M79" s="7" t="n">
        <v>156.4107514971746</v>
      </c>
      <c r="N79" s="7" t="n">
        <v>159.2898200135388</v>
      </c>
      <c r="O79" s="8">
        <f>N79*$B$2/100</f>
        <v/>
      </c>
    </row>
    <row r="80">
      <c r="A80" s="6" t="n">
        <v>46238.4645578125</v>
      </c>
      <c r="B80" s="7" t="n">
        <v>159.6515928499665</v>
      </c>
      <c r="C80" s="7" t="n">
        <v>161.4520638313312</v>
      </c>
      <c r="D80" s="7" t="n">
        <v>155.4369682108249</v>
      </c>
      <c r="E80" s="7" t="n">
        <v>161.7920515337915</v>
      </c>
      <c r="F80" s="7" t="n">
        <v>161.2611581829748</v>
      </c>
      <c r="G80" s="7" t="n">
        <v>160.6854406097383</v>
      </c>
      <c r="H80" s="7" t="n">
        <v>164.3557293663944</v>
      </c>
      <c r="I80" s="7" t="n">
        <v>150.860180943536</v>
      </c>
      <c r="J80" s="7" t="n">
        <v>160.1571011825719</v>
      </c>
      <c r="K80" s="7" t="n">
        <v>157.834165645906</v>
      </c>
      <c r="L80" s="7" t="n">
        <v>144.3718886736963</v>
      </c>
      <c r="M80" s="7" t="n">
        <v>156.6321414245602</v>
      </c>
      <c r="N80" s="7" t="n">
        <v>159.8687247547605</v>
      </c>
      <c r="O80" s="8">
        <f>N80*$B$2/100</f>
        <v/>
      </c>
    </row>
    <row r="81">
      <c r="A81" s="6" t="n">
        <v>46238.46456956019</v>
      </c>
      <c r="B81" s="7" t="n">
        <v>152.6894682498709</v>
      </c>
      <c r="C81" s="7" t="n">
        <v>160.6991861429317</v>
      </c>
      <c r="D81" s="7" t="n">
        <v>123.6028018129378</v>
      </c>
      <c r="E81" s="7" t="n">
        <v>120.442534263044</v>
      </c>
      <c r="F81" s="7" t="n">
        <v>124.487012987013</v>
      </c>
      <c r="G81" s="7" t="n">
        <v>118.2622332118688</v>
      </c>
      <c r="H81" s="7" t="n">
        <v>159.1720908615581</v>
      </c>
      <c r="I81" s="7" t="n">
        <v>155.8757224308163</v>
      </c>
      <c r="J81" s="7" t="n">
        <v>161.8564885653493</v>
      </c>
      <c r="K81" s="7" t="n">
        <v>158.2342510121458</v>
      </c>
      <c r="L81" s="7" t="n">
        <v>159.8615070850418</v>
      </c>
      <c r="M81" s="7" t="n">
        <v>159.9618744025032</v>
      </c>
      <c r="N81" s="7" t="n">
        <v>158.1173183799128</v>
      </c>
      <c r="O81" s="8">
        <f>N81*$B$2/100</f>
        <v/>
      </c>
    </row>
    <row r="82">
      <c r="A82" s="6" t="n">
        <v>46238.46458128472</v>
      </c>
      <c r="B82" s="7" t="n">
        <v>162.1954743600654</v>
      </c>
      <c r="C82" s="7" t="n">
        <v>160.1798693552968</v>
      </c>
      <c r="D82" s="7" t="n">
        <v>144.6148542503055</v>
      </c>
      <c r="E82" s="7" t="n">
        <v>162.7516554701215</v>
      </c>
      <c r="F82" s="7" t="n">
        <v>151.5676045459561</v>
      </c>
      <c r="G82" s="7" t="n">
        <v>161.5299399451927</v>
      </c>
      <c r="H82" s="7" t="n">
        <v>161.9664147371886</v>
      </c>
      <c r="I82" s="7" t="n">
        <v>149.7289739241399</v>
      </c>
      <c r="J82" s="7" t="n">
        <v>150.6437362920913</v>
      </c>
      <c r="K82" s="7" t="n">
        <v>137.2733806936899</v>
      </c>
      <c r="L82" s="7" t="n">
        <v>156.0865945969944</v>
      </c>
      <c r="M82" s="7" t="n">
        <v>160.9844651830581</v>
      </c>
      <c r="N82" s="7" t="n">
        <v>159.0980804396507</v>
      </c>
      <c r="O82" s="8">
        <f>N82*$B$2/100</f>
        <v/>
      </c>
    </row>
    <row r="83">
      <c r="A83" s="6" t="n">
        <v>46238.46459306713</v>
      </c>
      <c r="B83" s="7" t="n">
        <v>156.2034081456547</v>
      </c>
      <c r="C83" s="7" t="n">
        <v>156.7128608764359</v>
      </c>
      <c r="D83" s="7" t="n">
        <v>157.9478939515666</v>
      </c>
      <c r="E83" s="7" t="n">
        <v>152.1546494349243</v>
      </c>
      <c r="F83" s="7" t="n">
        <v>157.6744796115083</v>
      </c>
      <c r="G83" s="7" t="n">
        <v>153.3747089727806</v>
      </c>
      <c r="H83" s="7" t="n">
        <v>159.5543334702982</v>
      </c>
      <c r="I83" s="7" t="n">
        <v>156.9276168307062</v>
      </c>
      <c r="J83" s="7" t="n">
        <v>146.2756716391991</v>
      </c>
      <c r="K83" s="7" t="n">
        <v>149.091149825784</v>
      </c>
      <c r="L83" s="7" t="n">
        <v>155.424882073728</v>
      </c>
      <c r="M83" s="7" t="n">
        <v>156.6394685622408</v>
      </c>
      <c r="N83" s="7" t="n">
        <v>156.2437579229729</v>
      </c>
      <c r="O83" s="8">
        <f>N83*$B$2/100</f>
        <v/>
      </c>
    </row>
    <row r="84">
      <c r="A84" s="6" t="n">
        <v>46238.4646047338</v>
      </c>
      <c r="B84" s="7" t="n">
        <v>150.7989123093164</v>
      </c>
      <c r="C84" s="7" t="n">
        <v>151.2301105724428</v>
      </c>
      <c r="D84" s="7" t="n">
        <v>152.4726571509678</v>
      </c>
      <c r="E84" s="7" t="n">
        <v>151.0408331794588</v>
      </c>
      <c r="F84" s="7" t="n">
        <v>151.7001660718703</v>
      </c>
      <c r="G84" s="7" t="n">
        <v>152.3990271902018</v>
      </c>
      <c r="H84" s="7" t="n">
        <v>152.9915025418161</v>
      </c>
      <c r="I84" s="7" t="n">
        <v>150.2764024679406</v>
      </c>
      <c r="J84" s="7" t="n">
        <v>151.9896649803945</v>
      </c>
      <c r="K84" s="7" t="n">
        <v>151.9042681939952</v>
      </c>
      <c r="L84" s="7" t="n">
        <v>152.1002534641465</v>
      </c>
      <c r="M84" s="7" t="n">
        <v>151.6749946751342</v>
      </c>
      <c r="N84" s="7" t="n">
        <v>151.7714417381703</v>
      </c>
      <c r="O84" s="8">
        <f>N84*$B$2/100</f>
        <v/>
      </c>
    </row>
    <row r="85">
      <c r="A85" s="6" t="n">
        <v>46238.46461646991</v>
      </c>
      <c r="B85" s="7" t="n">
        <v>161.5085156644409</v>
      </c>
      <c r="C85" s="7" t="n">
        <v>156.9552018300529</v>
      </c>
      <c r="D85" s="7" t="n">
        <v>160.6142977988157</v>
      </c>
      <c r="E85" s="7" t="n">
        <v>150.5655239700208</v>
      </c>
      <c r="F85" s="7" t="n">
        <v>156.5591389812773</v>
      </c>
      <c r="G85" s="7" t="n">
        <v>155.6257864900222</v>
      </c>
      <c r="H85" s="7" t="n">
        <v>161.8809252840299</v>
      </c>
      <c r="I85" s="7" t="n">
        <v>157.8172211432032</v>
      </c>
      <c r="J85" s="7" t="n">
        <v>150.4016004587634</v>
      </c>
      <c r="K85" s="7" t="n">
        <v>145.4818705696364</v>
      </c>
      <c r="L85" s="7" t="n">
        <v>153.2797248980893</v>
      </c>
      <c r="M85" s="7" t="n">
        <v>156.8218753546517</v>
      </c>
      <c r="N85" s="7" t="n">
        <v>158.8994522070498</v>
      </c>
      <c r="O85" s="8">
        <f>N85*$B$2/100</f>
        <v/>
      </c>
    </row>
    <row r="86">
      <c r="A86" s="6" t="n">
        <v>46238.46462810185</v>
      </c>
      <c r="B86" s="7" t="n">
        <v>160.674452149792</v>
      </c>
      <c r="C86" s="7" t="n">
        <v>163.5245636828369</v>
      </c>
      <c r="D86" s="7" t="n">
        <v>155.073398005192</v>
      </c>
      <c r="E86" s="7" t="n">
        <v>161.3235759586416</v>
      </c>
      <c r="F86" s="7" t="n">
        <v>138.541315077217</v>
      </c>
      <c r="G86" s="7" t="n">
        <v>146.0021911343334</v>
      </c>
      <c r="H86" s="7" t="n">
        <v>160.3455578260422</v>
      </c>
      <c r="I86" s="7" t="n">
        <v>153.9637763693916</v>
      </c>
      <c r="J86" s="7" t="n">
        <v>144.8572918722336</v>
      </c>
      <c r="K86" s="7" t="n">
        <v>146.0849412407762</v>
      </c>
      <c r="L86" s="7" t="n">
        <v>158.3283196917278</v>
      </c>
      <c r="M86" s="7" t="n">
        <v>159.8859644560035</v>
      </c>
      <c r="N86" s="7" t="n">
        <v>158.5185645951472</v>
      </c>
      <c r="O86" s="8">
        <f>N86*$B$2/100</f>
        <v/>
      </c>
    </row>
    <row r="87">
      <c r="A87" s="6" t="n">
        <v>46238.46463982639</v>
      </c>
      <c r="B87" s="7" t="n">
        <v>161.8574498672417</v>
      </c>
      <c r="C87" s="7" t="n">
        <v>163.6484708128281</v>
      </c>
      <c r="D87" s="7" t="n">
        <v>159.5275007978955</v>
      </c>
      <c r="E87" s="7" t="n">
        <v>161.6345448115988</v>
      </c>
      <c r="F87" s="7" t="n">
        <v>136.1547850034424</v>
      </c>
      <c r="G87" s="7" t="n">
        <v>129.0469915033813</v>
      </c>
      <c r="H87" s="7" t="n">
        <v>162.6415478489795</v>
      </c>
      <c r="I87" s="7" t="n">
        <v>154.2817389645083</v>
      </c>
      <c r="J87" s="7" t="n">
        <v>160.8805577846784</v>
      </c>
      <c r="K87" s="7" t="n">
        <v>129.041755888651</v>
      </c>
      <c r="L87" s="7" t="n">
        <v>142.1207617735348</v>
      </c>
      <c r="M87" s="7" t="n">
        <v>156.43275427502</v>
      </c>
      <c r="N87" s="7" t="n">
        <v>159.5510979032524</v>
      </c>
      <c r="O87" s="8">
        <f>N87*$B$2/100</f>
        <v/>
      </c>
    </row>
    <row r="88">
      <c r="A88" s="6" t="n">
        <v>46238.46465157408</v>
      </c>
      <c r="B88" s="7" t="n">
        <v>156.0126279936592</v>
      </c>
      <c r="C88" s="7" t="n">
        <v>161.6890889382606</v>
      </c>
      <c r="D88" s="7" t="n">
        <v>159.705536790474</v>
      </c>
      <c r="E88" s="7" t="n">
        <v>156.3831355283308</v>
      </c>
      <c r="F88" s="7" t="n">
        <v>162.5718421671361</v>
      </c>
      <c r="G88" s="7" t="n">
        <v>142.0188298587761</v>
      </c>
      <c r="H88" s="7" t="n">
        <v>158.1387764454288</v>
      </c>
      <c r="I88" s="7" t="n">
        <v>154.2236955745316</v>
      </c>
      <c r="J88" s="7" t="n">
        <v>158.0534568116955</v>
      </c>
      <c r="K88" s="7" t="n">
        <v>158.5542437150666</v>
      </c>
      <c r="L88" s="7" t="n">
        <v>158.6510336766747</v>
      </c>
      <c r="M88" s="7" t="n">
        <v>153.7678059844023</v>
      </c>
      <c r="N88" s="7" t="n">
        <v>158.4971391747544</v>
      </c>
      <c r="O88" s="8">
        <f>N88*$B$2/100</f>
        <v/>
      </c>
    </row>
    <row r="89">
      <c r="A89" s="6" t="n">
        <v>46238.46466333333</v>
      </c>
      <c r="B89" s="7" t="n">
        <v>160.6388626612997</v>
      </c>
      <c r="C89" s="7" t="n">
        <v>162.4951767941702</v>
      </c>
      <c r="D89" s="7" t="n">
        <v>154.6655086549661</v>
      </c>
      <c r="E89" s="7" t="n">
        <v>163.419053331334</v>
      </c>
      <c r="F89" s="7" t="n">
        <v>153.3301597594765</v>
      </c>
      <c r="G89" s="7" t="n">
        <v>160.6574365557219</v>
      </c>
      <c r="H89" s="7" t="n">
        <v>163.2079616562375</v>
      </c>
      <c r="I89" s="7" t="n">
        <v>150.3369077161852</v>
      </c>
      <c r="J89" s="7" t="n">
        <v>161.0985890678451</v>
      </c>
      <c r="K89" s="7" t="n">
        <v>140.0798027573715</v>
      </c>
      <c r="L89" s="7" t="n">
        <v>155.1831417888588</v>
      </c>
      <c r="M89" s="7" t="n">
        <v>157.0988692119656</v>
      </c>
      <c r="N89" s="7" t="n">
        <v>159.4975932850664</v>
      </c>
      <c r="O89" s="8">
        <f>N89*$B$2/100</f>
        <v/>
      </c>
    </row>
    <row r="90">
      <c r="A90" s="6" t="n">
        <v>46238.46467508102</v>
      </c>
      <c r="B90" s="7" t="n">
        <v>152.5963238142188</v>
      </c>
      <c r="C90" s="7" t="n">
        <v>147.4428487804878</v>
      </c>
      <c r="D90" s="7" t="n">
        <v>158.7919674027663</v>
      </c>
      <c r="E90" s="7" t="n">
        <v>139.7057476359338</v>
      </c>
      <c r="F90" s="7" t="n">
        <v>157.6365527102561</v>
      </c>
      <c r="G90" s="7" t="n">
        <v>159.5972612992197</v>
      </c>
      <c r="H90" s="7" t="n">
        <v>160.2613387495585</v>
      </c>
      <c r="I90" s="7" t="n">
        <v>159.4976752795653</v>
      </c>
      <c r="J90" s="7" t="n">
        <v>163.5426451244082</v>
      </c>
      <c r="K90" s="7" t="n">
        <v>160.7160445841669</v>
      </c>
      <c r="L90" s="7" t="n">
        <v>149.4368496743084</v>
      </c>
      <c r="M90" s="7" t="n">
        <v>158.8636025636486</v>
      </c>
      <c r="N90" s="7" t="n">
        <v>159.5224982568746</v>
      </c>
      <c r="O90" s="8">
        <f>N90*$B$2/100</f>
        <v/>
      </c>
    </row>
    <row r="91">
      <c r="A91" s="6" t="n">
        <v>46238.4646868287</v>
      </c>
      <c r="B91" s="7" t="n">
        <v>161.4382846593652</v>
      </c>
      <c r="C91" s="7" t="n">
        <v>162.0329459159103</v>
      </c>
      <c r="D91" s="7" t="n">
        <v>161.8063342063073</v>
      </c>
      <c r="E91" s="7" t="n">
        <v>163.2722647755211</v>
      </c>
      <c r="F91" s="7" t="n">
        <v>158.6722580133081</v>
      </c>
      <c r="G91" s="7" t="n">
        <v>158.6338395732817</v>
      </c>
      <c r="H91" s="7" t="n">
        <v>162.4877626810243</v>
      </c>
      <c r="I91" s="7" t="n">
        <v>155.9355030672128</v>
      </c>
      <c r="J91" s="7" t="n">
        <v>144.8780558668493</v>
      </c>
      <c r="K91" s="7" t="n">
        <v>149.0530910245219</v>
      </c>
      <c r="L91" s="7" t="n">
        <v>146.9981301558203</v>
      </c>
      <c r="M91" s="7" t="n">
        <v>134.4891631071033</v>
      </c>
      <c r="N91" s="7" t="n">
        <v>159.644466239004</v>
      </c>
      <c r="O91" s="8">
        <f>N91*$B$2/100</f>
        <v/>
      </c>
    </row>
    <row r="92">
      <c r="A92" s="6" t="n">
        <v>46238.46469854167</v>
      </c>
      <c r="B92" s="7" t="n">
        <v>161.1483737720851</v>
      </c>
      <c r="C92" s="7" t="n">
        <v>159.2118811767608</v>
      </c>
      <c r="D92" s="7" t="n">
        <v>140.3700331441198</v>
      </c>
      <c r="E92" s="7" t="n">
        <v>133.8023919753086</v>
      </c>
      <c r="F92" s="7" t="n">
        <v>151.3694514062935</v>
      </c>
      <c r="G92" s="7" t="n">
        <v>153.8169741371701</v>
      </c>
      <c r="H92" s="7" t="n">
        <v>161.3876310163988</v>
      </c>
      <c r="I92" s="7" t="n">
        <v>157.1331315369855</v>
      </c>
      <c r="J92" s="7" t="n">
        <v>151.7591561063919</v>
      </c>
      <c r="K92" s="7" t="n">
        <v>150.0763318137956</v>
      </c>
      <c r="L92" s="7" t="n">
        <v>156.8839053752424</v>
      </c>
      <c r="M92" s="7" t="n">
        <v>158.1118530394592</v>
      </c>
      <c r="N92" s="7" t="n">
        <v>157.5550168428841</v>
      </c>
      <c r="O92" s="8">
        <f>N92*$B$2/100</f>
        <v/>
      </c>
    </row>
    <row r="93">
      <c r="A93" s="6" t="n">
        <v>46238.46471030093</v>
      </c>
      <c r="B93" s="7" t="n">
        <v>156.6181773774119</v>
      </c>
      <c r="C93" s="7" t="n">
        <v>162.8501454092231</v>
      </c>
      <c r="D93" s="7" t="n">
        <v>151.7156451214648</v>
      </c>
      <c r="E93" s="7" t="n">
        <v>117.1204580152672</v>
      </c>
      <c r="F93" s="7" t="n">
        <v>158.6016288507398</v>
      </c>
      <c r="G93" s="7" t="n">
        <v>155.3710779059748</v>
      </c>
      <c r="H93" s="7" t="n">
        <v>162.9864124104595</v>
      </c>
      <c r="I93" s="7" t="n">
        <v>144.4958724651552</v>
      </c>
      <c r="J93" s="7" t="n">
        <v>161.8797231564292</v>
      </c>
      <c r="K93" s="7" t="n">
        <v>118.5301842057268</v>
      </c>
      <c r="L93" s="7" t="n">
        <v>158.2801340492234</v>
      </c>
      <c r="M93" s="7" t="n">
        <v>157.002008559086</v>
      </c>
      <c r="N93" s="7" t="n">
        <v>158.9568475218922</v>
      </c>
      <c r="O93" s="8">
        <f>N93*$B$2/100</f>
        <v/>
      </c>
    </row>
    <row r="94">
      <c r="A94" s="6" t="n">
        <v>46238.46472204861</v>
      </c>
      <c r="B94" s="7" t="n">
        <v>157.0757838088201</v>
      </c>
      <c r="C94" s="7" t="n">
        <v>159.2139357128233</v>
      </c>
      <c r="D94" s="7" t="n">
        <v>161.1596729297147</v>
      </c>
      <c r="E94" s="7" t="n">
        <v>149.7911189015483</v>
      </c>
      <c r="F94" s="7" t="n">
        <v>149.6964799704243</v>
      </c>
      <c r="G94" s="7" t="n">
        <v>139.5153239670401</v>
      </c>
      <c r="H94" s="7" t="n">
        <v>161.6218277379338</v>
      </c>
      <c r="I94" s="7" t="n">
        <v>155.9492292580562</v>
      </c>
      <c r="J94" s="7" t="n">
        <v>150.1273599666215</v>
      </c>
      <c r="K94" s="7" t="n">
        <v>151.0037593984962</v>
      </c>
      <c r="L94" s="7" t="n">
        <v>159.044645257655</v>
      </c>
      <c r="M94" s="7" t="n">
        <v>159.7566148046388</v>
      </c>
      <c r="N94" s="7" t="n">
        <v>158.0982482346551</v>
      </c>
      <c r="O94" s="8">
        <f>N94*$B$2/100</f>
        <v/>
      </c>
    </row>
    <row r="95">
      <c r="A95" s="6" t="n">
        <v>46238.46473377315</v>
      </c>
      <c r="B95" s="7" t="n">
        <v>154.7767838011571</v>
      </c>
      <c r="C95" s="7" t="n">
        <v>160.3550119735364</v>
      </c>
      <c r="D95" s="7" t="n">
        <v>151.9104526568992</v>
      </c>
      <c r="E95" s="7" t="n">
        <v>160.37112358817</v>
      </c>
      <c r="F95" s="7" t="n">
        <v>157.7049233357055</v>
      </c>
      <c r="G95" s="7" t="n">
        <v>150.5899371069182</v>
      </c>
      <c r="H95" s="7" t="n">
        <v>162.7318092807323</v>
      </c>
      <c r="I95" s="7" t="n">
        <v>157.4802647170348</v>
      </c>
      <c r="J95" s="7" t="n">
        <v>161.0909152146578</v>
      </c>
      <c r="K95" s="7" t="n">
        <v>133.8737090587194</v>
      </c>
      <c r="L95" s="7" t="n">
        <v>153.4872980293266</v>
      </c>
      <c r="M95" s="7" t="n">
        <v>159.2293342726312</v>
      </c>
      <c r="N95" s="7" t="n">
        <v>159.1089624469597</v>
      </c>
      <c r="O95" s="8">
        <f>N95*$B$2/100</f>
        <v/>
      </c>
    </row>
    <row r="96">
      <c r="A96" s="6" t="n">
        <v>46238.46474548611</v>
      </c>
      <c r="B96" s="7" t="n">
        <v>156.4835765661737</v>
      </c>
      <c r="C96" s="7" t="n">
        <v>162.9244641320093</v>
      </c>
      <c r="D96" s="7" t="n">
        <v>148.3124898489524</v>
      </c>
      <c r="E96" s="7" t="n">
        <v>150.4010566037736</v>
      </c>
      <c r="F96" s="7" t="n">
        <v>152.1985713254925</v>
      </c>
      <c r="G96" s="7" t="n">
        <v>158.7254893165269</v>
      </c>
      <c r="H96" s="7" t="n">
        <v>162.8063397189648</v>
      </c>
      <c r="I96" s="7" t="n">
        <v>160.1183044315992</v>
      </c>
      <c r="J96" s="7" t="n">
        <v>157.1637180431606</v>
      </c>
      <c r="K96" s="7" t="n">
        <v>156.1437708314566</v>
      </c>
      <c r="L96" s="7" t="n">
        <v>149.4477764572566</v>
      </c>
      <c r="M96" s="7" t="n">
        <v>158.144298947516</v>
      </c>
      <c r="N96" s="7" t="n">
        <v>159.195636413512</v>
      </c>
      <c r="O96" s="8">
        <f>N96*$B$2/100</f>
        <v/>
      </c>
    </row>
    <row r="97">
      <c r="A97" s="6" t="n">
        <v>46238.46475724537</v>
      </c>
      <c r="B97" s="7" t="n">
        <v>155.833911225219</v>
      </c>
      <c r="C97" s="7" t="n">
        <v>161.4438597251097</v>
      </c>
      <c r="D97" s="7" t="n">
        <v>161.7764283251588</v>
      </c>
      <c r="E97" s="7" t="n">
        <v>162.4369612409636</v>
      </c>
      <c r="F97" s="7" t="n">
        <v>157.5645502074305</v>
      </c>
      <c r="G97" s="7" t="n">
        <v>159.9221517724522</v>
      </c>
      <c r="H97" s="7" t="n">
        <v>163.0591665220995</v>
      </c>
      <c r="I97" s="7" t="n">
        <v>158.3617263569802</v>
      </c>
      <c r="J97" s="7" t="n">
        <v>159.682216613748</v>
      </c>
      <c r="K97" s="7" t="n">
        <v>161.7637024971771</v>
      </c>
      <c r="L97" s="7" t="n">
        <v>151.7116290811175</v>
      </c>
      <c r="M97" s="7" t="n">
        <v>98.60527772651781</v>
      </c>
      <c r="N97" s="7" t="n">
        <v>159.7512255382564</v>
      </c>
      <c r="O97" s="8">
        <f>N97*$B$2/100</f>
        <v/>
      </c>
    </row>
    <row r="98">
      <c r="A98" s="6" t="n">
        <v>46238.46476898148</v>
      </c>
      <c r="B98" s="7" t="n">
        <v>154.1884643153194</v>
      </c>
      <c r="C98" s="7" t="n">
        <v>153.7780257141024</v>
      </c>
      <c r="D98" s="7" t="n">
        <v>152.8125278768956</v>
      </c>
      <c r="E98" s="7" t="n">
        <v>153.1344765940541</v>
      </c>
      <c r="F98" s="7" t="n">
        <v>151.2523112559703</v>
      </c>
      <c r="G98" s="7" t="n">
        <v>155.037440167554</v>
      </c>
      <c r="H98" s="7" t="n">
        <v>158.8742379403164</v>
      </c>
      <c r="I98" s="7" t="n">
        <v>153.7851102578168</v>
      </c>
      <c r="J98" s="7" t="n">
        <v>155.7262625722402</v>
      </c>
      <c r="K98" s="7" t="n">
        <v>153.4476799043375</v>
      </c>
      <c r="L98" s="7" t="n">
        <v>151.8659177954227</v>
      </c>
      <c r="M98" s="7" t="n">
        <v>151.2303846825351</v>
      </c>
      <c r="N98" s="7" t="n">
        <v>154.2869718164477</v>
      </c>
      <c r="O98" s="8">
        <f>N98*$B$2/100</f>
        <v/>
      </c>
    </row>
    <row r="99">
      <c r="A99" s="6" t="n">
        <v>46238.46478091435</v>
      </c>
      <c r="B99" s="7" t="n">
        <v>150.9711729745603</v>
      </c>
      <c r="C99" s="7" t="n">
        <v>150.5841003080919</v>
      </c>
      <c r="D99" s="7" t="n">
        <v>152.824849428041</v>
      </c>
      <c r="E99" s="7" t="n">
        <v>153.3453682142613</v>
      </c>
      <c r="F99" s="7" t="n">
        <v>151.0779724028864</v>
      </c>
      <c r="G99" s="7" t="n">
        <v>153.1728729743816</v>
      </c>
      <c r="H99" s="7" t="n">
        <v>153.565532101761</v>
      </c>
      <c r="I99" s="7" t="n">
        <v>149.7434496786867</v>
      </c>
      <c r="J99" s="7" t="n">
        <v>154.3231187669991</v>
      </c>
      <c r="K99" s="7" t="n">
        <v>153.6497423270142</v>
      </c>
      <c r="L99" s="7" t="n">
        <v>152.2509867987486</v>
      </c>
      <c r="M99" s="7" t="n">
        <v>151.5632914986654</v>
      </c>
      <c r="N99" s="7" t="n">
        <v>152.4365134551242</v>
      </c>
      <c r="O99" s="8">
        <f>N99*$B$2/100</f>
        <v/>
      </c>
    </row>
    <row r="100">
      <c r="A100" s="6" t="n">
        <v>46238.46479266204</v>
      </c>
      <c r="B100" s="7" t="n">
        <v>134.3471396550044</v>
      </c>
      <c r="C100" s="7" t="n">
        <v>124.3766652789342</v>
      </c>
      <c r="D100" s="7" t="n">
        <v>134.169913483609</v>
      </c>
      <c r="E100" s="7" t="n">
        <v>158.5508313491667</v>
      </c>
      <c r="F100" s="7" t="n">
        <v>144.9119237502431</v>
      </c>
      <c r="G100" s="7" t="n">
        <v>152.3245457784111</v>
      </c>
      <c r="H100" s="7" t="n">
        <v>159.117602254551</v>
      </c>
      <c r="I100" s="7" t="n">
        <v>156.7720368849477</v>
      </c>
      <c r="J100" s="7" t="n">
        <v>161.4291940879891</v>
      </c>
      <c r="K100" s="7" t="n">
        <v>163.2100040695542</v>
      </c>
      <c r="L100" s="7" t="n">
        <v>158.4438339859585</v>
      </c>
      <c r="M100" s="7" t="n">
        <v>152.2992335690824</v>
      </c>
      <c r="N100" s="7" t="n">
        <v>157.4407378769469</v>
      </c>
      <c r="O100" s="8">
        <f>N100*$B$2/100</f>
        <v/>
      </c>
    </row>
    <row r="101">
      <c r="A101" s="6" t="n">
        <v>46238.46480443287</v>
      </c>
      <c r="B101" s="7" t="n">
        <v>160.8739589079802</v>
      </c>
      <c r="C101" s="7" t="n">
        <v>158.5630596494027</v>
      </c>
      <c r="D101" s="7" t="n">
        <v>159.0291780620497</v>
      </c>
      <c r="E101" s="7" t="n">
        <v>155.8610763933172</v>
      </c>
      <c r="F101" s="7" t="n">
        <v>155.1343038887796</v>
      </c>
      <c r="G101" s="7" t="n">
        <v>161.2321128084606</v>
      </c>
      <c r="H101" s="7" t="n">
        <v>160.5935175231133</v>
      </c>
      <c r="I101" s="7" t="n">
        <v>154.8173356169484</v>
      </c>
      <c r="J101" s="7" t="n">
        <v>147.9656469226875</v>
      </c>
      <c r="K101" s="7" t="n">
        <v>150.038214527903</v>
      </c>
      <c r="L101" s="7" t="n">
        <v>156.8064004507654</v>
      </c>
      <c r="M101" s="7" t="n">
        <v>157.7158004883153</v>
      </c>
      <c r="N101" s="7" t="n">
        <v>157.7555048430448</v>
      </c>
      <c r="O101" s="8">
        <f>N101*$B$2/100</f>
        <v/>
      </c>
    </row>
    <row r="102">
      <c r="A102" s="6" t="n">
        <v>46238.46481619213</v>
      </c>
      <c r="B102" s="7" t="n">
        <v>162.4388751343019</v>
      </c>
      <c r="C102" s="7" t="n">
        <v>162.1071711377639</v>
      </c>
      <c r="D102" s="7" t="n">
        <v>159.0992340224174</v>
      </c>
      <c r="E102" s="7" t="n">
        <v>160.9787145112852</v>
      </c>
      <c r="F102" s="7" t="n">
        <v>145.7083562095092</v>
      </c>
      <c r="G102" s="7" t="n">
        <v>151.7886492556653</v>
      </c>
      <c r="H102" s="7" t="n">
        <v>161.6586264537468</v>
      </c>
      <c r="I102" s="7" t="n">
        <v>145.1040052801612</v>
      </c>
      <c r="J102" s="7" t="n">
        <v>155.6747331205163</v>
      </c>
      <c r="K102" s="7" t="n">
        <v>148.0597570191246</v>
      </c>
      <c r="L102" s="7" t="n">
        <v>157.3328797521353</v>
      </c>
      <c r="M102" s="7" t="n">
        <v>159.9020028846784</v>
      </c>
      <c r="N102" s="7" t="n">
        <v>158.3028069455986</v>
      </c>
      <c r="O102" s="8">
        <f>N102*$B$2/100</f>
        <v/>
      </c>
    </row>
    <row r="103">
      <c r="A103" s="6" t="n">
        <v>46238.46482793982</v>
      </c>
      <c r="B103" s="7" t="n">
        <v>157.689544659482</v>
      </c>
      <c r="C103" s="7" t="n">
        <v>159.7732738531194</v>
      </c>
      <c r="D103" s="7" t="n">
        <v>145.4408689409782</v>
      </c>
      <c r="E103" s="7" t="n">
        <v>160.7099625034663</v>
      </c>
      <c r="F103" s="7" t="n">
        <v>140.4068717718392</v>
      </c>
      <c r="G103" s="7" t="n">
        <v>159.165359599166</v>
      </c>
      <c r="H103" s="7" t="n">
        <v>151.1647058823529</v>
      </c>
      <c r="I103" s="7" t="n">
        <v>150.2540946016771</v>
      </c>
      <c r="J103" s="7" t="n">
        <v>131.1937826185614</v>
      </c>
      <c r="K103" s="7" t="n">
        <v>150.7361889910083</v>
      </c>
      <c r="L103" s="7" t="n">
        <v>161.5803827304758</v>
      </c>
      <c r="M103" s="7" t="n">
        <v>157.4559578275171</v>
      </c>
      <c r="N103" s="7" t="n">
        <v>157.2152013905864</v>
      </c>
      <c r="O103" s="8">
        <f>N103*$B$2/100</f>
        <v/>
      </c>
    </row>
    <row r="104">
      <c r="A104" s="6" t="n">
        <v>46238.46483969907</v>
      </c>
      <c r="B104" s="7" t="n">
        <v>144.1261339900863</v>
      </c>
      <c r="C104" s="7" t="n">
        <v>148.648981945615</v>
      </c>
      <c r="D104" s="7" t="n">
        <v>155.0961764530076</v>
      </c>
      <c r="E104" s="7" t="n">
        <v>159.5155728240177</v>
      </c>
      <c r="F104" s="7" t="n">
        <v>158.7853952845611</v>
      </c>
      <c r="G104" s="7" t="n">
        <v>163.9423449753439</v>
      </c>
      <c r="H104" s="7" t="n">
        <v>130.4982365907421</v>
      </c>
      <c r="I104" s="7" t="n">
        <v>144.8697098291088</v>
      </c>
      <c r="J104" s="7" t="n">
        <v>160.5224108863198</v>
      </c>
      <c r="K104" s="7" t="n">
        <v>160.5628144716876</v>
      </c>
      <c r="L104" s="7" t="n">
        <v>154.2821235320984</v>
      </c>
      <c r="M104" s="7" t="n">
        <v>160.4317232920012</v>
      </c>
      <c r="N104" s="7" t="n">
        <v>158.0042887980005</v>
      </c>
      <c r="O104" s="8">
        <f>N104*$B$2/100</f>
        <v/>
      </c>
    </row>
    <row r="105">
      <c r="A105" s="6" t="n">
        <v>46238.46485131945</v>
      </c>
      <c r="B105" s="7" t="n">
        <v>137.3236592650305</v>
      </c>
      <c r="C105" s="7" t="n">
        <v>142.8250132828201</v>
      </c>
      <c r="D105" s="7" t="n">
        <v>141.49589443203</v>
      </c>
      <c r="E105" s="7" t="n">
        <v>140.3591227742604</v>
      </c>
      <c r="F105" s="7" t="n">
        <v>154.4406970630211</v>
      </c>
      <c r="G105" s="7" t="n">
        <v>148.2043181142914</v>
      </c>
      <c r="H105" s="7" t="n">
        <v>143.7802601216698</v>
      </c>
      <c r="I105" s="7" t="n">
        <v>144.763556743538</v>
      </c>
      <c r="J105" s="7" t="n">
        <v>125.7258489461358</v>
      </c>
      <c r="K105" s="7" t="n">
        <v>147.854155986818</v>
      </c>
      <c r="L105" s="7" t="n">
        <v>148.6180886967068</v>
      </c>
      <c r="M105" s="7" t="n">
        <v>139.3163733741393</v>
      </c>
      <c r="N105" s="7" t="n">
        <v>144.9076172359606</v>
      </c>
      <c r="O105" s="8">
        <f>N105*$B$2/100</f>
        <v/>
      </c>
    </row>
    <row r="106">
      <c r="A106" s="6" t="n">
        <v>46238.46486296297</v>
      </c>
      <c r="B106" s="7" t="n">
        <v>147.362119178909</v>
      </c>
      <c r="C106" s="7" t="n">
        <v>150.2000684060561</v>
      </c>
      <c r="D106" s="7" t="n">
        <v>149.5426945628921</v>
      </c>
      <c r="E106" s="7" t="n">
        <v>150.3588518981281</v>
      </c>
      <c r="F106" s="7" t="n">
        <v>150.6451226810293</v>
      </c>
      <c r="G106" s="7" t="n">
        <v>152.5504362126153</v>
      </c>
      <c r="H106" s="7" t="n">
        <v>152.0614292632726</v>
      </c>
      <c r="I106" s="7" t="n">
        <v>150.1161891901949</v>
      </c>
      <c r="J106" s="7" t="n">
        <v>149.4770499906257</v>
      </c>
      <c r="K106" s="7" t="n">
        <v>152.5646821997601</v>
      </c>
      <c r="L106" s="7" t="n">
        <v>148.5465131030983</v>
      </c>
      <c r="M106" s="7" t="n">
        <v>149.5740851315638</v>
      </c>
      <c r="N106" s="7" t="n">
        <v>150.4151022684531</v>
      </c>
      <c r="O106" s="8">
        <f>N106*$B$2/100</f>
        <v/>
      </c>
    </row>
    <row r="107">
      <c r="A107" s="6" t="n">
        <v>46238.46487460648</v>
      </c>
      <c r="B107" s="7" t="n">
        <v>153.7556202611011</v>
      </c>
      <c r="C107" s="7" t="n">
        <v>158.2226402441069</v>
      </c>
      <c r="D107" s="7" t="n">
        <v>131.6666386483988</v>
      </c>
      <c r="E107" s="7" t="n">
        <v>109.3455407644404</v>
      </c>
      <c r="F107" s="7" t="n">
        <v>119.1986814169181</v>
      </c>
      <c r="G107" s="7" t="n">
        <v>118.6200795141771</v>
      </c>
      <c r="H107" s="7" t="n">
        <v>152.2573971518987</v>
      </c>
      <c r="I107" s="7" t="n">
        <v>129.2362865947612</v>
      </c>
      <c r="J107" s="7" t="n">
        <v>134.7457935846377</v>
      </c>
      <c r="K107" s="7" t="n">
        <v>75.34210005932371</v>
      </c>
      <c r="L107" s="7" t="n">
        <v>111.9064857732517</v>
      </c>
      <c r="M107" s="7" t="n">
        <v>102.9252619728068</v>
      </c>
      <c r="N107" s="7" t="n">
        <v>143.952124969563</v>
      </c>
      <c r="O107" s="8">
        <f>N107*$B$2/100</f>
        <v/>
      </c>
    </row>
    <row r="108">
      <c r="A108" s="6" t="n">
        <v>46238.46488631945</v>
      </c>
      <c r="B108" s="7" t="n">
        <v>121.1098744332547</v>
      </c>
      <c r="C108" s="7" t="n">
        <v>152.9572659524918</v>
      </c>
      <c r="D108" s="7" t="n">
        <v>158.6547152795671</v>
      </c>
      <c r="E108" s="7" t="n">
        <v>104.6036163522013</v>
      </c>
      <c r="F108" s="7" t="n">
        <v>96.50007586102261</v>
      </c>
      <c r="G108" s="7" t="n">
        <v>109.9461823862527</v>
      </c>
      <c r="H108" s="7" t="n">
        <v>124.5194306687961</v>
      </c>
      <c r="I108" s="7" t="n">
        <v>70.97450185748058</v>
      </c>
      <c r="J108" s="7" t="n">
        <v>155.6231876154044</v>
      </c>
      <c r="K108" s="7" t="n">
        <v>116.4815020476157</v>
      </c>
      <c r="L108" s="7" t="n">
        <v>147.4374653005602</v>
      </c>
      <c r="M108" s="7" t="n">
        <v>97.76537379421222</v>
      </c>
      <c r="N108" s="7" t="n">
        <v>142.407872771984</v>
      </c>
      <c r="O108" s="8">
        <f>N108*$B$2/100</f>
        <v/>
      </c>
    </row>
    <row r="109">
      <c r="A109" s="6" t="n">
        <v>46238.46489796296</v>
      </c>
      <c r="B109" s="7" t="n">
        <v>117.5622344263609</v>
      </c>
      <c r="C109" s="7" t="n">
        <v>154.5762259649303</v>
      </c>
      <c r="D109" s="7" t="n">
        <v>138.6883568470244</v>
      </c>
      <c r="E109" s="7" t="n">
        <v>93.19093963047129</v>
      </c>
      <c r="F109" s="7" t="n">
        <v>141.0434869873553</v>
      </c>
      <c r="G109" s="7" t="n">
        <v>115.8144765384176</v>
      </c>
      <c r="H109" s="7" t="n">
        <v>157.3993869411069</v>
      </c>
      <c r="I109" s="7" t="n">
        <v>107.3711572586447</v>
      </c>
      <c r="J109" s="7" t="n">
        <v>147.7928938560005</v>
      </c>
      <c r="K109" s="7" t="n">
        <v>133.1415141430948</v>
      </c>
      <c r="L109" s="7" t="n">
        <v>109.3610027855153</v>
      </c>
      <c r="M109" s="7" t="n">
        <v>88.97633722209993</v>
      </c>
      <c r="N109" s="7" t="n">
        <v>142.3352569747616</v>
      </c>
      <c r="O109" s="8">
        <f>N109*$B$2/100</f>
        <v/>
      </c>
    </row>
    <row r="110">
      <c r="A110" s="6" t="n">
        <v>46238.46490966436</v>
      </c>
      <c r="B110" s="7" t="n">
        <v>120.7264672256098</v>
      </c>
      <c r="C110" s="7" t="n">
        <v>157.0942354438392</v>
      </c>
      <c r="D110" s="7" t="n">
        <v>159.2196150732368</v>
      </c>
      <c r="E110" s="7" t="n">
        <v>141.520325203252</v>
      </c>
      <c r="F110" s="7" t="n">
        <v>124.5579493708074</v>
      </c>
      <c r="G110" s="7" t="n">
        <v>96.70473650646414</v>
      </c>
      <c r="H110" s="7" t="n">
        <v>146.3135533528649</v>
      </c>
      <c r="I110" s="7" t="n">
        <v>104.2786840550734</v>
      </c>
      <c r="J110" s="7" t="n">
        <v>133.2477876106195</v>
      </c>
      <c r="K110" s="7" t="n">
        <v>85.40463626083678</v>
      </c>
      <c r="L110" s="7" t="n">
        <v>72.07441747964202</v>
      </c>
      <c r="M110" s="7" t="n">
        <v>76.47999635468878</v>
      </c>
      <c r="N110" s="7" t="n">
        <v>141.6990300930075</v>
      </c>
      <c r="O110" s="8">
        <f>N110*$B$2/100</f>
        <v/>
      </c>
    </row>
    <row r="111">
      <c r="A111" s="6" t="n">
        <v>46238.46492131944</v>
      </c>
      <c r="B111" s="7" t="n">
        <v>128.3229414601515</v>
      </c>
      <c r="C111" s="7" t="n">
        <v>148.1751670879402</v>
      </c>
      <c r="D111" s="7" t="n">
        <v>135.2423331328924</v>
      </c>
      <c r="E111" s="7" t="n">
        <v>122.3979097387173</v>
      </c>
      <c r="F111" s="7" t="n">
        <v>156.3830805663324</v>
      </c>
      <c r="G111" s="7" t="n">
        <v>125.6338774744348</v>
      </c>
      <c r="H111" s="7" t="n">
        <v>132.8520398912058</v>
      </c>
      <c r="I111" s="7" t="n">
        <v>136.5730731061859</v>
      </c>
      <c r="J111" s="7" t="n">
        <v>160.6321618470812</v>
      </c>
      <c r="K111" s="7" t="n">
        <v>87.09107520677053</v>
      </c>
      <c r="L111" s="7" t="n">
        <v>96.94206354321068</v>
      </c>
      <c r="M111" s="7" t="n">
        <v>93.61814159292035</v>
      </c>
      <c r="N111" s="7" t="n">
        <v>143.8386499790132</v>
      </c>
      <c r="O111" s="8">
        <f>N111*$B$2/100</f>
        <v/>
      </c>
    </row>
    <row r="112">
      <c r="A112" s="6" t="n">
        <v>46238.46493296296</v>
      </c>
      <c r="B112" s="7" t="n">
        <v>121.9677140883978</v>
      </c>
      <c r="C112" s="7" t="n">
        <v>156.9273899603211</v>
      </c>
      <c r="D112" s="7" t="n">
        <v>92.18027117311848</v>
      </c>
      <c r="E112" s="7" t="n">
        <v>96.37237808075511</v>
      </c>
      <c r="F112" s="7" t="n">
        <v>138.9433940511875</v>
      </c>
      <c r="G112" s="7" t="n">
        <v>84.4603685288096</v>
      </c>
      <c r="H112" s="7" t="n">
        <v>159.4803163869098</v>
      </c>
      <c r="I112" s="7" t="n">
        <v>93.07554753506685</v>
      </c>
      <c r="J112" s="7" t="n">
        <v>145.2077463871892</v>
      </c>
      <c r="K112" s="7" t="n">
        <v>99.72580138277813</v>
      </c>
      <c r="L112" s="7" t="n">
        <v>103.0396863807957</v>
      </c>
      <c r="M112" s="7" t="n">
        <v>120.6712775330396</v>
      </c>
      <c r="N112" s="7" t="n">
        <v>142.2262004550353</v>
      </c>
      <c r="O112" s="8">
        <f>N112*$B$2/100</f>
        <v/>
      </c>
    </row>
    <row r="113">
      <c r="A113" s="6" t="n">
        <v>46238.46494469907</v>
      </c>
      <c r="B113" s="7" t="n">
        <v>148.878539837613</v>
      </c>
      <c r="C113" s="7" t="n">
        <v>155.250098256825</v>
      </c>
      <c r="D113" s="7" t="n">
        <v>150.120033091371</v>
      </c>
      <c r="E113" s="7" t="n">
        <v>149.9280714245714</v>
      </c>
      <c r="F113" s="7" t="n">
        <v>148.8221219926898</v>
      </c>
      <c r="G113" s="7" t="n">
        <v>149.8250848989281</v>
      </c>
      <c r="H113" s="7" t="n">
        <v>148.296307040335</v>
      </c>
      <c r="I113" s="7" t="n">
        <v>151.4001076793309</v>
      </c>
      <c r="J113" s="7" t="n">
        <v>150.455020631751</v>
      </c>
      <c r="K113" s="7" t="n">
        <v>151.4854460093897</v>
      </c>
      <c r="L113" s="7" t="n">
        <v>150.3027034904904</v>
      </c>
      <c r="M113" s="7" t="n">
        <v>150.4265491192081</v>
      </c>
      <c r="N113" s="7" t="n">
        <v>150.4834736624841</v>
      </c>
      <c r="O113" s="8">
        <f>N113*$B$2/100</f>
        <v/>
      </c>
    </row>
    <row r="114">
      <c r="A114" s="6" t="n">
        <v>46238.46495641203</v>
      </c>
      <c r="B114" s="7" t="n">
        <v>150.344071695425</v>
      </c>
      <c r="C114" s="7" t="n">
        <v>152.1670398753807</v>
      </c>
      <c r="D114" s="7" t="n">
        <v>152.2324708842092</v>
      </c>
      <c r="E114" s="7" t="n">
        <v>157.099991219738</v>
      </c>
      <c r="F114" s="7" t="n">
        <v>147.6561056851882</v>
      </c>
      <c r="G114" s="7" t="n">
        <v>147.0154194738531</v>
      </c>
      <c r="H114" s="7" t="n">
        <v>152.4025818435106</v>
      </c>
      <c r="I114" s="7" t="n">
        <v>153.0421924290221</v>
      </c>
      <c r="J114" s="7" t="n">
        <v>155.7028790353407</v>
      </c>
      <c r="K114" s="7" t="n">
        <v>147.8304882122326</v>
      </c>
      <c r="L114" s="7" t="n">
        <v>149.1103821551583</v>
      </c>
      <c r="M114" s="7" t="n">
        <v>149.3556879437425</v>
      </c>
      <c r="N114" s="7" t="n">
        <v>151.8313331943659</v>
      </c>
      <c r="O114" s="8">
        <f>N114*$B$2/100</f>
        <v/>
      </c>
    </row>
    <row r="115">
      <c r="A115" s="6" t="n">
        <v>46238.4649680787</v>
      </c>
      <c r="B115" s="7" t="n">
        <v>136.7575778508469</v>
      </c>
      <c r="C115" s="7" t="n">
        <v>159.0675176408874</v>
      </c>
      <c r="D115" s="7" t="n">
        <v>109.3696876782658</v>
      </c>
      <c r="E115" s="7" t="n">
        <v>105.1104723819045</v>
      </c>
      <c r="F115" s="7" t="n">
        <v>115.4548923896161</v>
      </c>
      <c r="G115" s="7" t="n">
        <v>97.76213620320546</v>
      </c>
      <c r="H115" s="7" t="n">
        <v>158.166178619712</v>
      </c>
      <c r="I115" s="7" t="n">
        <v>98.45025387676685</v>
      </c>
      <c r="J115" s="7" t="n">
        <v>124.5494490698144</v>
      </c>
      <c r="K115" s="7" t="n">
        <v>99.71118349619978</v>
      </c>
      <c r="L115" s="7" t="n">
        <v>106.5988435964152</v>
      </c>
      <c r="M115" s="7" t="n">
        <v>110.6232291771325</v>
      </c>
      <c r="N115" s="7" t="n">
        <v>141.7142216327964</v>
      </c>
      <c r="O115" s="8">
        <f>N115*$B$2/100</f>
        <v/>
      </c>
    </row>
    <row r="116">
      <c r="A116" s="6" t="n">
        <v>46238.46497971065</v>
      </c>
      <c r="B116" s="7" t="n">
        <v>157.5309239880374</v>
      </c>
      <c r="C116" s="7" t="n">
        <v>160.1632764481076</v>
      </c>
      <c r="D116" s="7" t="n">
        <v>111.7220105391163</v>
      </c>
      <c r="E116" s="7" t="n">
        <v>98.60655219635521</v>
      </c>
      <c r="F116" s="7" t="n">
        <v>106.2672701286327</v>
      </c>
      <c r="G116" s="7" t="n">
        <v>117.0656114879607</v>
      </c>
      <c r="H116" s="7" t="n">
        <v>138.3141258389525</v>
      </c>
      <c r="I116" s="7" t="n">
        <v>123.8605053437944</v>
      </c>
      <c r="J116" s="7" t="n">
        <v>149.8787486568331</v>
      </c>
      <c r="K116" s="7" t="n">
        <v>113.6032582654528</v>
      </c>
      <c r="L116" s="7" t="n">
        <v>104.3073403241182</v>
      </c>
      <c r="M116" s="7" t="n">
        <v>82.56695069993914</v>
      </c>
      <c r="N116" s="7" t="n">
        <v>144.9644232902406</v>
      </c>
      <c r="O116" s="8">
        <f>N116*$B$2/100</f>
        <v/>
      </c>
    </row>
    <row r="117">
      <c r="A117" s="6" t="n">
        <v>46238.46499141204</v>
      </c>
      <c r="B117" s="7" t="n">
        <v>136.1623420881612</v>
      </c>
      <c r="C117" s="7" t="n">
        <v>141.4167223022594</v>
      </c>
      <c r="D117" s="7" t="n">
        <v>155.3992507535335</v>
      </c>
      <c r="E117" s="7" t="n">
        <v>112.9326294620412</v>
      </c>
      <c r="F117" s="7" t="n">
        <v>112.3573504434799</v>
      </c>
      <c r="G117" s="7" t="n">
        <v>112.7002361190612</v>
      </c>
      <c r="H117" s="7" t="n">
        <v>127.8871276447662</v>
      </c>
      <c r="I117" s="7" t="n">
        <v>90.81825252787141</v>
      </c>
      <c r="J117" s="7" t="n">
        <v>159.9550342461127</v>
      </c>
      <c r="K117" s="7" t="n">
        <v>112.8915771768663</v>
      </c>
      <c r="L117" s="7" t="n">
        <v>111.7215206923258</v>
      </c>
      <c r="M117" s="7" t="n">
        <v>135.5556678116791</v>
      </c>
      <c r="N117" s="7" t="n">
        <v>140.9653680493578</v>
      </c>
      <c r="O117" s="8">
        <f>N117*$B$2/100</f>
        <v/>
      </c>
    </row>
    <row r="118">
      <c r="A118" s="6" t="n">
        <v>46238.46500310185</v>
      </c>
      <c r="B118" s="7" t="n">
        <v>125.9094388751465</v>
      </c>
      <c r="C118" s="7" t="n">
        <v>135.8110814887571</v>
      </c>
      <c r="D118" s="7" t="n">
        <v>118.8364121846221</v>
      </c>
      <c r="E118" s="7" t="n">
        <v>87.91713436777815</v>
      </c>
      <c r="F118" s="7" t="n">
        <v>110.9196134008643</v>
      </c>
      <c r="G118" s="7" t="n">
        <v>129.3120629108263</v>
      </c>
      <c r="H118" s="7" t="n">
        <v>159.082274564054</v>
      </c>
      <c r="I118" s="7" t="n">
        <v>98.17361111111111</v>
      </c>
      <c r="J118" s="7" t="n">
        <v>159.1213487574184</v>
      </c>
      <c r="K118" s="7" t="n">
        <v>99.22477114811956</v>
      </c>
      <c r="L118" s="7" t="n">
        <v>110.4082530621953</v>
      </c>
      <c r="M118" s="7" t="n">
        <v>103.5426836979891</v>
      </c>
      <c r="N118" s="7" t="n">
        <v>141.0689596167009</v>
      </c>
      <c r="O118" s="8">
        <f>N118*$B$2/100</f>
        <v/>
      </c>
    </row>
    <row r="119">
      <c r="A119" s="6" t="n">
        <v>46238.46501476852</v>
      </c>
      <c r="B119" s="7" t="n">
        <v>102.4561866799535</v>
      </c>
      <c r="C119" s="7" t="n">
        <v>160.9181168995474</v>
      </c>
      <c r="D119" s="7" t="n">
        <v>159.0570670009228</v>
      </c>
      <c r="E119" s="7" t="n">
        <v>102.1911810776942</v>
      </c>
      <c r="F119" s="7" t="n">
        <v>102.1188764044944</v>
      </c>
      <c r="G119" s="7" t="n">
        <v>114.0505410154444</v>
      </c>
      <c r="H119" s="7" t="n">
        <v>137.7016541453582</v>
      </c>
      <c r="I119" s="7" t="n">
        <v>87.9339104849205</v>
      </c>
      <c r="J119" s="7" t="n">
        <v>138.1625353736506</v>
      </c>
      <c r="K119" s="7" t="n">
        <v>90.20143752303723</v>
      </c>
      <c r="L119" s="7" t="n">
        <v>94.03330872854771</v>
      </c>
      <c r="M119" s="7" t="n">
        <v>133.2473124059342</v>
      </c>
      <c r="N119" s="7" t="n">
        <v>141.3806273426711</v>
      </c>
      <c r="O119" s="8">
        <f>N119*$B$2/100</f>
        <v/>
      </c>
    </row>
    <row r="120">
      <c r="A120" s="6" t="n">
        <v>46238.46502646991</v>
      </c>
      <c r="B120" s="7" t="n">
        <v>139.5686563648838</v>
      </c>
      <c r="C120" s="7" t="n">
        <v>128.15060149231</v>
      </c>
      <c r="D120" s="7" t="n">
        <v>158.0402563668753</v>
      </c>
      <c r="E120" s="7" t="n">
        <v>106.0798659185309</v>
      </c>
      <c r="F120" s="7" t="n">
        <v>107.7702226952677</v>
      </c>
      <c r="G120" s="7" t="n">
        <v>132.963454206214</v>
      </c>
      <c r="H120" s="7" t="n">
        <v>144.8531913769418</v>
      </c>
      <c r="I120" s="7" t="n">
        <v>88.61396622546782</v>
      </c>
      <c r="J120" s="7" t="n">
        <v>158.3701376612085</v>
      </c>
      <c r="K120" s="7" t="n">
        <v>125.1305413887799</v>
      </c>
      <c r="L120" s="7" t="n">
        <v>102.0053568012244</v>
      </c>
      <c r="M120" s="7" t="n">
        <v>116.5359477124183</v>
      </c>
      <c r="N120" s="7" t="n">
        <v>146.1356037853459</v>
      </c>
      <c r="O120" s="8">
        <f>N120*$B$2/100</f>
        <v/>
      </c>
    </row>
    <row r="121">
      <c r="A121" s="6" t="n">
        <v>46238.46503813657</v>
      </c>
      <c r="B121" s="7" t="n">
        <v>154.4067043590303</v>
      </c>
      <c r="C121" s="7" t="n">
        <v>149.5651304169635</v>
      </c>
      <c r="D121" s="7" t="n">
        <v>100.1918860595598</v>
      </c>
      <c r="E121" s="7" t="n">
        <v>99.64744117916324</v>
      </c>
      <c r="F121" s="7" t="n">
        <v>100.7575995807128</v>
      </c>
      <c r="G121" s="7" t="n">
        <v>97.68789533437855</v>
      </c>
      <c r="H121" s="7" t="n">
        <v>160.4074204886608</v>
      </c>
      <c r="I121" s="7" t="n">
        <v>95.48046875</v>
      </c>
      <c r="J121" s="7" t="n">
        <v>131.0753691362864</v>
      </c>
      <c r="K121" s="7" t="n">
        <v>98.27574138883773</v>
      </c>
      <c r="L121" s="7" t="n">
        <v>83.74354477248367</v>
      </c>
      <c r="M121" s="7" t="n">
        <v>84.04091310987863</v>
      </c>
      <c r="N121" s="7" t="n">
        <v>141.2606910427231</v>
      </c>
      <c r="O121" s="8">
        <f>N121*$B$2/100</f>
        <v/>
      </c>
    </row>
    <row r="122">
      <c r="A122" s="6" t="n">
        <v>46238.46504982639</v>
      </c>
      <c r="B122" s="7" t="n">
        <v>153.2984599967701</v>
      </c>
      <c r="C122" s="7" t="n">
        <v>152.0287198040631</v>
      </c>
      <c r="D122" s="7" t="n">
        <v>145.528074053606</v>
      </c>
      <c r="E122" s="7" t="n">
        <v>84.66909118176365</v>
      </c>
      <c r="F122" s="7" t="n">
        <v>116.1771398849192</v>
      </c>
      <c r="G122" s="7" t="n">
        <v>102.7058246715042</v>
      </c>
      <c r="H122" s="7" t="n">
        <v>154.4516957743883</v>
      </c>
      <c r="I122" s="7" t="n">
        <v>102.1372243029546</v>
      </c>
      <c r="J122" s="7" t="n">
        <v>102.4694748888596</v>
      </c>
      <c r="K122" s="7" t="n">
        <v>85.1330145235565</v>
      </c>
      <c r="L122" s="7" t="n">
        <v>87.03353828954724</v>
      </c>
      <c r="M122" s="7" t="n">
        <v>76.53090234857849</v>
      </c>
      <c r="N122" s="7" t="n">
        <v>141.7762317606533</v>
      </c>
      <c r="O122" s="8">
        <f>N122*$B$2/100</f>
        <v/>
      </c>
    </row>
    <row r="123">
      <c r="A123" s="6" t="n">
        <v>46238.46506155092</v>
      </c>
      <c r="B123" s="7" t="n">
        <v>133.3564378304505</v>
      </c>
      <c r="C123" s="7" t="n">
        <v>160.8488457760314</v>
      </c>
      <c r="D123" s="7" t="n">
        <v>130.3650807661753</v>
      </c>
      <c r="E123" s="7" t="n">
        <v>115.1260085429521</v>
      </c>
      <c r="F123" s="7" t="n">
        <v>106.6553456648048</v>
      </c>
      <c r="G123" s="7" t="n">
        <v>109.9746936449131</v>
      </c>
      <c r="H123" s="7" t="n">
        <v>143.1902915159702</v>
      </c>
      <c r="I123" s="7" t="n">
        <v>110.3851323493032</v>
      </c>
      <c r="J123" s="7" t="n">
        <v>160.9626713805818</v>
      </c>
      <c r="K123" s="7" t="n">
        <v>105.3454838709677</v>
      </c>
      <c r="L123" s="7" t="n">
        <v>76.09893877551021</v>
      </c>
      <c r="M123" s="7" t="n">
        <v>78.12339827979639</v>
      </c>
      <c r="N123" s="7" t="n">
        <v>145.1193005105334</v>
      </c>
      <c r="O123" s="8">
        <f>N123*$B$2/100</f>
        <v/>
      </c>
    </row>
    <row r="124">
      <c r="A124" s="6" t="n">
        <v>46238.46507326389</v>
      </c>
      <c r="B124" s="7" t="n">
        <v>117.4345457709711</v>
      </c>
      <c r="C124" s="7" t="n">
        <v>156.5081480516944</v>
      </c>
      <c r="D124" s="7" t="n">
        <v>136.7505128749293</v>
      </c>
      <c r="E124" s="7" t="n">
        <v>90.89926991271889</v>
      </c>
      <c r="F124" s="7" t="n">
        <v>81.37663622526637</v>
      </c>
      <c r="G124" s="7" t="n">
        <v>121.1367343966208</v>
      </c>
      <c r="H124" s="7" t="n">
        <v>160.913575582199</v>
      </c>
      <c r="I124" s="7" t="n">
        <v>101.3972291373525</v>
      </c>
      <c r="J124" s="7" t="n">
        <v>112.7871455118365</v>
      </c>
      <c r="K124" s="7" t="n">
        <v>91.70030838239417</v>
      </c>
      <c r="L124" s="7" t="n">
        <v>99.85880792572645</v>
      </c>
      <c r="M124" s="7" t="n">
        <v>99.169433314253</v>
      </c>
      <c r="N124" s="7" t="n">
        <v>139.411919632779</v>
      </c>
      <c r="O124" s="8">
        <f>N124*$B$2/100</f>
        <v/>
      </c>
    </row>
    <row r="125">
      <c r="A125" s="6" t="n">
        <v>46238.46508494213</v>
      </c>
      <c r="B125" s="7" t="n">
        <v>151.4162515566625</v>
      </c>
      <c r="C125" s="7" t="n">
        <v>156.5806622458099</v>
      </c>
      <c r="D125" s="7" t="n">
        <v>151.075301669301</v>
      </c>
      <c r="E125" s="7" t="n">
        <v>120.7158026546456</v>
      </c>
      <c r="F125" s="7" t="n">
        <v>98.79956865564343</v>
      </c>
      <c r="G125" s="7" t="n">
        <v>89.30264428604276</v>
      </c>
      <c r="H125" s="7" t="n">
        <v>142.9370227983907</v>
      </c>
      <c r="I125" s="7" t="n">
        <v>115.4735154262966</v>
      </c>
      <c r="J125" s="7" t="n">
        <v>136.1170005480119</v>
      </c>
      <c r="K125" s="7" t="n">
        <v>74.39224973089344</v>
      </c>
      <c r="L125" s="7" t="n">
        <v>110.802158812653</v>
      </c>
      <c r="M125" s="7" t="n">
        <v>75.97329658023946</v>
      </c>
      <c r="N125" s="7" t="n">
        <v>140.6629030596477</v>
      </c>
      <c r="O125" s="8">
        <f>N125*$B$2/100</f>
        <v/>
      </c>
    </row>
    <row r="126">
      <c r="A126" s="6" t="n">
        <v>46238.46509662037</v>
      </c>
      <c r="B126" s="7" t="n">
        <v>116.7767844743786</v>
      </c>
      <c r="C126" s="7" t="n">
        <v>154.7396212227196</v>
      </c>
      <c r="D126" s="7" t="n">
        <v>149.3407376409514</v>
      </c>
      <c r="E126" s="7" t="n">
        <v>86.87343908201147</v>
      </c>
      <c r="F126" s="7" t="n">
        <v>146.029197080292</v>
      </c>
      <c r="G126" s="7" t="n">
        <v>103.9804330722129</v>
      </c>
      <c r="H126" s="7" t="n">
        <v>125.3975065102666</v>
      </c>
      <c r="I126" s="7" t="n">
        <v>123.1076606407732</v>
      </c>
      <c r="J126" s="7" t="n">
        <v>158.995182815139</v>
      </c>
      <c r="K126" s="7" t="n">
        <v>97.22463343108504</v>
      </c>
      <c r="L126" s="7" t="n">
        <v>81.06182664054849</v>
      </c>
      <c r="M126" s="7" t="n">
        <v>131.4110396307027</v>
      </c>
      <c r="N126" s="7" t="n">
        <v>140.4396958523585</v>
      </c>
      <c r="O126" s="8">
        <f>N126*$B$2/100</f>
        <v/>
      </c>
    </row>
    <row r="127">
      <c r="A127" s="6" t="n">
        <v>46238.46510827546</v>
      </c>
      <c r="B127" s="7" t="n">
        <v>132.1357519334915</v>
      </c>
      <c r="C127" s="7" t="n">
        <v>158.5248010526975</v>
      </c>
      <c r="D127" s="7" t="n">
        <v>127.2780223044312</v>
      </c>
      <c r="E127" s="7" t="n">
        <v>88.27376946329778</v>
      </c>
      <c r="F127" s="7" t="n">
        <v>97.46948273830564</v>
      </c>
      <c r="G127" s="7" t="n">
        <v>121.5311744154797</v>
      </c>
      <c r="H127" s="7" t="n">
        <v>160.6339303235935</v>
      </c>
      <c r="I127" s="7" t="n">
        <v>115.5144887485195</v>
      </c>
      <c r="J127" s="7" t="n">
        <v>119.5441592219835</v>
      </c>
      <c r="K127" s="7" t="n">
        <v>107.9355459355459</v>
      </c>
      <c r="L127" s="7" t="n">
        <v>90.93599474529266</v>
      </c>
      <c r="M127" s="7" t="n">
        <v>116.7465377759495</v>
      </c>
      <c r="N127" s="7" t="n">
        <v>142.6911770685099</v>
      </c>
      <c r="O127" s="8">
        <f>N127*$B$2/100</f>
        <v/>
      </c>
    </row>
    <row r="128">
      <c r="A128" s="6" t="n">
        <v>46238.46511998842</v>
      </c>
      <c r="B128" s="7" t="n">
        <v>149.2560758396352</v>
      </c>
      <c r="C128" s="7" t="n">
        <v>150.5160959362408</v>
      </c>
      <c r="D128" s="7" t="n">
        <v>150.4374549909748</v>
      </c>
      <c r="E128" s="7" t="n">
        <v>149.5041514542006</v>
      </c>
      <c r="F128" s="7" t="n">
        <v>149.7902917715586</v>
      </c>
      <c r="G128" s="7" t="n">
        <v>151.3946487222156</v>
      </c>
      <c r="H128" s="7" t="n">
        <v>152.1558085959619</v>
      </c>
      <c r="I128" s="7" t="n">
        <v>153.5448357642005</v>
      </c>
      <c r="J128" s="7" t="n">
        <v>151.1926411490928</v>
      </c>
      <c r="K128" s="7" t="n">
        <v>151.4168737517723</v>
      </c>
      <c r="L128" s="7" t="n">
        <v>151.3115003993089</v>
      </c>
      <c r="M128" s="7" t="n">
        <v>150.3630993042749</v>
      </c>
      <c r="N128" s="7" t="n">
        <v>150.9394542740802</v>
      </c>
      <c r="O128" s="8">
        <f>N128*$B$2/100</f>
        <v/>
      </c>
    </row>
    <row r="129">
      <c r="A129" s="6" t="n">
        <v>46238.4651316551</v>
      </c>
      <c r="B129" s="7" t="n">
        <v>145.6276697771773</v>
      </c>
      <c r="C129" s="7" t="n">
        <v>155.5196530789245</v>
      </c>
      <c r="D129" s="7" t="n">
        <v>142.6622644626493</v>
      </c>
      <c r="E129" s="7" t="n">
        <v>149.1276087231011</v>
      </c>
      <c r="F129" s="7" t="n">
        <v>146.6224431362668</v>
      </c>
      <c r="G129" s="7" t="n">
        <v>143.5249911312758</v>
      </c>
      <c r="H129" s="7" t="n">
        <v>153.0858009378092</v>
      </c>
      <c r="I129" s="7" t="n">
        <v>145.416892081652</v>
      </c>
      <c r="J129" s="7" t="n">
        <v>158.216680610619</v>
      </c>
      <c r="K129" s="7" t="n">
        <v>155.7605615282658</v>
      </c>
      <c r="L129" s="7" t="n">
        <v>146.5081410239657</v>
      </c>
      <c r="M129" s="7" t="n">
        <v>144.3939722071828</v>
      </c>
      <c r="N129" s="7" t="n">
        <v>150.6834096055486</v>
      </c>
      <c r="O129" s="8">
        <f>N129*$B$2/100</f>
        <v/>
      </c>
    </row>
    <row r="130">
      <c r="A130" s="6" t="n">
        <v>46238.46514333333</v>
      </c>
      <c r="B130" s="7" t="n">
        <v>137.3112194041422</v>
      </c>
      <c r="C130" s="7" t="n">
        <v>157.7598954135543</v>
      </c>
      <c r="D130" s="7" t="n">
        <v>102.249755660531</v>
      </c>
      <c r="E130" s="7" t="n">
        <v>86.72895642201834</v>
      </c>
      <c r="F130" s="7" t="n">
        <v>102.4267848077899</v>
      </c>
      <c r="G130" s="7" t="n">
        <v>99.63336475023563</v>
      </c>
      <c r="H130" s="7" t="n">
        <v>158.9935465005925</v>
      </c>
      <c r="I130" s="7" t="n">
        <v>113.7041668159507</v>
      </c>
      <c r="J130" s="7" t="n">
        <v>124.653433928051</v>
      </c>
      <c r="K130" s="7" t="n">
        <v>107.6147179067866</v>
      </c>
      <c r="L130" s="7" t="n">
        <v>136.3056174411203</v>
      </c>
      <c r="M130" s="7" t="n">
        <v>126.5909641962337</v>
      </c>
      <c r="N130" s="7" t="n">
        <v>141.5349723799891</v>
      </c>
      <c r="O130" s="8">
        <f>N130*$B$2/100</f>
        <v/>
      </c>
    </row>
    <row r="131">
      <c r="A131" s="6" t="n">
        <v>46238.46515503472</v>
      </c>
      <c r="B131" s="7" t="n">
        <v>155.3822066576806</v>
      </c>
      <c r="C131" s="7" t="n">
        <v>114.7607504215852</v>
      </c>
      <c r="D131" s="7" t="n">
        <v>144.9354499167727</v>
      </c>
      <c r="E131" s="7" t="n">
        <v>84.43041504539559</v>
      </c>
      <c r="F131" s="7" t="n">
        <v>99.8735632183908</v>
      </c>
      <c r="G131" s="7" t="n">
        <v>98.50942170240415</v>
      </c>
      <c r="H131" s="7" t="n">
        <v>150.0718459245044</v>
      </c>
      <c r="I131" s="7" t="n">
        <v>152.4516881904466</v>
      </c>
      <c r="J131" s="7" t="n">
        <v>118.714928732183</v>
      </c>
      <c r="K131" s="7" t="n">
        <v>89.1223279238948</v>
      </c>
      <c r="L131" s="7" t="n">
        <v>120.7282821685173</v>
      </c>
      <c r="M131" s="7" t="n">
        <v>78.01817722797273</v>
      </c>
      <c r="N131" s="7" t="n">
        <v>141.0658581608146</v>
      </c>
      <c r="O131" s="8">
        <f>N131*$B$2/100</f>
        <v/>
      </c>
    </row>
    <row r="132">
      <c r="A132" s="6" t="n">
        <v>46238.46516670139</v>
      </c>
      <c r="B132" s="7" t="n">
        <v>118.4900480886788</v>
      </c>
      <c r="C132" s="7" t="n">
        <v>143.1575740607418</v>
      </c>
      <c r="D132" s="7" t="n">
        <v>158.2331604514649</v>
      </c>
      <c r="E132" s="7" t="n">
        <v>93.8886885631418</v>
      </c>
      <c r="F132" s="7" t="n">
        <v>107.1600057195968</v>
      </c>
      <c r="G132" s="7" t="n">
        <v>113.3973674664456</v>
      </c>
      <c r="H132" s="7" t="n">
        <v>133.8248499837043</v>
      </c>
      <c r="I132" s="7" t="n">
        <v>110.6969901016767</v>
      </c>
      <c r="J132" s="7" t="n">
        <v>159.5046183918031</v>
      </c>
      <c r="K132" s="7" t="n">
        <v>89.73116151621251</v>
      </c>
      <c r="L132" s="7" t="n">
        <v>85.3984227479729</v>
      </c>
      <c r="M132" s="7" t="n">
        <v>94.92329832749903</v>
      </c>
      <c r="N132" s="7" t="n">
        <v>141.1857004205759</v>
      </c>
      <c r="O132" s="8">
        <f>N132*$B$2/100</f>
        <v/>
      </c>
    </row>
    <row r="133">
      <c r="A133" s="6" t="n">
        <v>46238.46517834491</v>
      </c>
      <c r="B133" s="7" t="n">
        <v>115.9670320624511</v>
      </c>
      <c r="C133" s="7" t="n">
        <v>154.4206765483655</v>
      </c>
      <c r="D133" s="7" t="n">
        <v>148.8194718928414</v>
      </c>
      <c r="E133" s="7" t="n">
        <v>111.0015177918939</v>
      </c>
      <c r="F133" s="7" t="n">
        <v>129.8480092374802</v>
      </c>
      <c r="G133" s="7" t="n">
        <v>111.038217270195</v>
      </c>
      <c r="H133" s="7" t="n">
        <v>159.5858613782887</v>
      </c>
      <c r="I133" s="7" t="n">
        <v>121.6768979401295</v>
      </c>
      <c r="J133" s="7" t="n">
        <v>130.556376917458</v>
      </c>
      <c r="K133" s="7" t="n">
        <v>132.5411930704711</v>
      </c>
      <c r="L133" s="7" t="n">
        <v>99.62952745394678</v>
      </c>
      <c r="M133" s="7" t="n">
        <v>103.8371168398102</v>
      </c>
      <c r="N133" s="7" t="n">
        <v>143.462261496032</v>
      </c>
      <c r="O133" s="8">
        <f>N133*$B$2/100</f>
        <v/>
      </c>
    </row>
    <row r="134">
      <c r="A134" s="6" t="n">
        <v>46238.46519001157</v>
      </c>
      <c r="B134" s="7" t="n">
        <v>152.2091405184175</v>
      </c>
      <c r="C134" s="7" t="n">
        <v>117.8721994470398</v>
      </c>
      <c r="D134" s="7" t="n">
        <v>153.8839742646104</v>
      </c>
      <c r="E134" s="7" t="n">
        <v>118.3530505952381</v>
      </c>
      <c r="F134" s="7" t="n">
        <v>113.8140044686143</v>
      </c>
      <c r="G134" s="7" t="n">
        <v>100.7064228249879</v>
      </c>
      <c r="H134" s="7" t="n">
        <v>148.9990044879641</v>
      </c>
      <c r="I134" s="7" t="n">
        <v>157.5994251053567</v>
      </c>
      <c r="J134" s="7" t="n">
        <v>115.3273989674203</v>
      </c>
      <c r="K134" s="7" t="n">
        <v>102.5239062873536</v>
      </c>
      <c r="L134" s="7" t="n">
        <v>89.30814034114547</v>
      </c>
      <c r="M134" s="7" t="n">
        <v>81.76315371165157</v>
      </c>
      <c r="N134" s="7" t="n">
        <v>142.4032416906032</v>
      </c>
      <c r="O134" s="8">
        <f>N134*$B$2/100</f>
        <v/>
      </c>
    </row>
    <row r="135">
      <c r="A135" s="6" t="n">
        <v>46238.46520171296</v>
      </c>
      <c r="B135" s="7" t="n">
        <v>131.882964620605</v>
      </c>
      <c r="C135" s="7" t="n">
        <v>156.4368945214632</v>
      </c>
      <c r="D135" s="7" t="n">
        <v>155.7052831508027</v>
      </c>
      <c r="E135" s="7" t="n">
        <v>91.02129226648812</v>
      </c>
      <c r="F135" s="7" t="n">
        <v>88.52753029223094</v>
      </c>
      <c r="G135" s="7" t="n">
        <v>88.07127995167461</v>
      </c>
      <c r="H135" s="7" t="n">
        <v>145.6121716824358</v>
      </c>
      <c r="I135" s="7" t="n">
        <v>85.97641112047178</v>
      </c>
      <c r="J135" s="7" t="n">
        <v>159.6758589120242</v>
      </c>
      <c r="K135" s="7" t="n">
        <v>119.2300242130751</v>
      </c>
      <c r="L135" s="7" t="n">
        <v>88.08615848229573</v>
      </c>
      <c r="M135" s="7" t="n">
        <v>133.0916971025079</v>
      </c>
      <c r="N135" s="7" t="n">
        <v>143.2733698357392</v>
      </c>
      <c r="O135" s="8">
        <f>N135*$B$2/100</f>
        <v/>
      </c>
    </row>
    <row r="136">
      <c r="A136" s="6" t="n">
        <v>46238.46521340278</v>
      </c>
      <c r="B136" s="7" t="n">
        <v>136.3304036153966</v>
      </c>
      <c r="C136" s="7" t="n">
        <v>159.7173850196265</v>
      </c>
      <c r="D136" s="7" t="n">
        <v>146.6382629397037</v>
      </c>
      <c r="E136" s="7" t="n">
        <v>107.3805451335246</v>
      </c>
      <c r="F136" s="7" t="n">
        <v>142.5986684463599</v>
      </c>
      <c r="G136" s="7" t="n">
        <v>132.5522235667826</v>
      </c>
      <c r="H136" s="7" t="n">
        <v>158.1326570022031</v>
      </c>
      <c r="I136" s="7" t="n">
        <v>109.0229584423133</v>
      </c>
      <c r="J136" s="7" t="n">
        <v>140.7136762322433</v>
      </c>
      <c r="K136" s="7" t="n">
        <v>113.1582222222222</v>
      </c>
      <c r="L136" s="7" t="n">
        <v>135.8811628486056</v>
      </c>
      <c r="M136" s="7" t="n">
        <v>142.0775004363763</v>
      </c>
      <c r="N136" s="7" t="n">
        <v>147.371421417244</v>
      </c>
      <c r="O136" s="8">
        <f>N136*$B$2/100</f>
        <v/>
      </c>
    </row>
    <row r="137">
      <c r="A137" s="6" t="n">
        <v>46238.46522517361</v>
      </c>
      <c r="B137" s="7" t="n">
        <v>156.27393830036</v>
      </c>
      <c r="C137" s="7" t="n">
        <v>154.8833730709465</v>
      </c>
      <c r="D137" s="7" t="n">
        <v>157.9680421987934</v>
      </c>
      <c r="E137" s="7" t="n">
        <v>161.5862463278264</v>
      </c>
      <c r="F137" s="7" t="n">
        <v>154.3261504115754</v>
      </c>
      <c r="G137" s="7" t="n">
        <v>161.6042949674689</v>
      </c>
      <c r="H137" s="7" t="n">
        <v>150.877257435347</v>
      </c>
      <c r="I137" s="7" t="n">
        <v>152.8293667598317</v>
      </c>
      <c r="J137" s="7" t="n">
        <v>145.1440274178718</v>
      </c>
      <c r="K137" s="7" t="n">
        <v>147.6006548525146</v>
      </c>
      <c r="L137" s="7" t="n">
        <v>161.0821602624476</v>
      </c>
      <c r="M137" s="7" t="n">
        <v>160.8706151029058</v>
      </c>
      <c r="N137" s="7" t="n">
        <v>157.3865932719476</v>
      </c>
      <c r="O137" s="8">
        <f>N137*$B$2/100</f>
        <v/>
      </c>
    </row>
    <row r="138">
      <c r="A138" s="6" t="n">
        <v>46238.46523680555</v>
      </c>
      <c r="B138" s="7" t="n">
        <v>153.2668137462877</v>
      </c>
      <c r="C138" s="7" t="n">
        <v>161.6775648342526</v>
      </c>
      <c r="D138" s="7" t="n">
        <v>155.0328421957137</v>
      </c>
      <c r="E138" s="7" t="n">
        <v>137.3109553023664</v>
      </c>
      <c r="F138" s="7" t="n">
        <v>115.6384412390151</v>
      </c>
      <c r="G138" s="7" t="n">
        <v>155.2115966952036</v>
      </c>
      <c r="H138" s="7" t="n">
        <v>151.8007301490721</v>
      </c>
      <c r="I138" s="7" t="n">
        <v>137.7634762497776</v>
      </c>
      <c r="J138" s="7" t="n">
        <v>159.3659039686153</v>
      </c>
      <c r="K138" s="7" t="n">
        <v>121.0229488220959</v>
      </c>
      <c r="L138" s="7" t="n">
        <v>152.9694435297992</v>
      </c>
      <c r="M138" s="7" t="n">
        <v>161.2945815417847</v>
      </c>
      <c r="N138" s="7" t="n">
        <v>157.2703205315726</v>
      </c>
      <c r="O138" s="8">
        <f>N138*$B$2/100</f>
        <v/>
      </c>
    </row>
    <row r="139">
      <c r="A139" s="6" t="n">
        <v>46238.46524850695</v>
      </c>
      <c r="B139" s="7" t="n">
        <v>140.5018430056695</v>
      </c>
      <c r="C139" s="7" t="n">
        <v>159.5906027029769</v>
      </c>
      <c r="D139" s="7" t="n">
        <v>126.7144321093083</v>
      </c>
      <c r="E139" s="7" t="n">
        <v>144.9036888257483</v>
      </c>
      <c r="F139" s="7" t="n">
        <v>144.4804007734224</v>
      </c>
      <c r="G139" s="7" t="n">
        <v>127.1683329104288</v>
      </c>
      <c r="H139" s="7" t="n">
        <v>159.1836244664121</v>
      </c>
      <c r="I139" s="7" t="n">
        <v>121.2776228277194</v>
      </c>
      <c r="J139" s="7" t="n">
        <v>130.347956887982</v>
      </c>
      <c r="K139" s="7" t="n">
        <v>133.7009319599187</v>
      </c>
      <c r="L139" s="7" t="n">
        <v>139.0618482683169</v>
      </c>
      <c r="M139" s="7" t="n">
        <v>114.0424000885642</v>
      </c>
      <c r="N139" s="7" t="n">
        <v>148.3470390887103</v>
      </c>
      <c r="O139" s="8">
        <f>N139*$B$2/100</f>
        <v/>
      </c>
    </row>
    <row r="140">
      <c r="A140" s="6" t="n">
        <v>46238.46526018518</v>
      </c>
      <c r="B140" s="7" t="n">
        <v>157.1125859420441</v>
      </c>
      <c r="C140" s="7" t="n">
        <v>149.5215814871098</v>
      </c>
      <c r="D140" s="7" t="n">
        <v>152.2084582084582</v>
      </c>
      <c r="E140" s="7" t="n">
        <v>119.6393927768948</v>
      </c>
      <c r="F140" s="7" t="n">
        <v>144.2922147031065</v>
      </c>
      <c r="G140" s="7" t="n">
        <v>138.4963104606408</v>
      </c>
      <c r="H140" s="7" t="n">
        <v>145.9758429391357</v>
      </c>
      <c r="I140" s="7" t="n">
        <v>136.1517670198591</v>
      </c>
      <c r="J140" s="7" t="n">
        <v>147.3294186729301</v>
      </c>
      <c r="K140" s="7" t="n">
        <v>114.6560539523212</v>
      </c>
      <c r="L140" s="7" t="n">
        <v>84.78850559664856</v>
      </c>
      <c r="M140" s="7" t="n">
        <v>87.01575023299161</v>
      </c>
      <c r="N140" s="7" t="n">
        <v>146.3315331202469</v>
      </c>
      <c r="O140" s="8">
        <f>N140*$B$2/100</f>
        <v/>
      </c>
    </row>
    <row r="141">
      <c r="A141" s="6" t="n">
        <v>46238.4652718287</v>
      </c>
      <c r="B141" s="7" t="n">
        <v>107.1513530688979</v>
      </c>
      <c r="C141" s="7" t="n">
        <v>154.700764871842</v>
      </c>
      <c r="D141" s="7" t="n">
        <v>148.3816820085662</v>
      </c>
      <c r="E141" s="7" t="n">
        <v>96.6882665379044</v>
      </c>
      <c r="F141" s="7" t="n">
        <v>145.7304983087492</v>
      </c>
      <c r="G141" s="7" t="n">
        <v>117.396730682445</v>
      </c>
      <c r="H141" s="7" t="n">
        <v>148.5563519313305</v>
      </c>
      <c r="I141" s="7" t="n">
        <v>107.1030514743656</v>
      </c>
      <c r="J141" s="7" t="n">
        <v>160.3460363470166</v>
      </c>
      <c r="K141" s="7" t="n">
        <v>97.04415365132968</v>
      </c>
      <c r="L141" s="7" t="n">
        <v>76.3202623698845</v>
      </c>
      <c r="M141" s="7" t="n">
        <v>130.5228862895903</v>
      </c>
      <c r="N141" s="7" t="n">
        <v>144.3407605229592</v>
      </c>
      <c r="O141" s="8">
        <f>N141*$B$2/100</f>
        <v/>
      </c>
    </row>
    <row r="142">
      <c r="A142" s="6" t="n">
        <v>46238.46528349537</v>
      </c>
      <c r="B142" s="7" t="n">
        <v>134.5894555615139</v>
      </c>
      <c r="C142" s="7" t="n">
        <v>160.7369275941776</v>
      </c>
      <c r="D142" s="7" t="n">
        <v>121.4289007470651</v>
      </c>
      <c r="E142" s="7" t="n">
        <v>97.53631410017168</v>
      </c>
      <c r="F142" s="7" t="n">
        <v>132.052136499768</v>
      </c>
      <c r="G142" s="7" t="n">
        <v>103.4511712937375</v>
      </c>
      <c r="H142" s="7" t="n">
        <v>158.0364607254517</v>
      </c>
      <c r="I142" s="7" t="n">
        <v>145.8907116080869</v>
      </c>
      <c r="J142" s="7" t="n">
        <v>133.5833318628575</v>
      </c>
      <c r="K142" s="7" t="n">
        <v>103.0912843415888</v>
      </c>
      <c r="L142" s="7" t="n">
        <v>124.4034153914393</v>
      </c>
      <c r="M142" s="7" t="n">
        <v>136.7064003081834</v>
      </c>
      <c r="N142" s="7" t="n">
        <v>144.9972027705891</v>
      </c>
      <c r="O142" s="8">
        <f>N142*$B$2/100</f>
        <v/>
      </c>
    </row>
    <row r="143">
      <c r="A143" s="6" t="n">
        <v>46238.46529518518</v>
      </c>
      <c r="B143" s="7" t="n">
        <v>147.6606480900619</v>
      </c>
      <c r="C143" s="7" t="n">
        <v>152.2417220967344</v>
      </c>
      <c r="D143" s="7" t="n">
        <v>150.9764689429793</v>
      </c>
      <c r="E143" s="7" t="n">
        <v>150.430845048974</v>
      </c>
      <c r="F143" s="7" t="n">
        <v>150.4147641634897</v>
      </c>
      <c r="G143" s="7" t="n">
        <v>150.8888251693958</v>
      </c>
      <c r="H143" s="7" t="n">
        <v>151.6435689234002</v>
      </c>
      <c r="I143" s="7" t="n">
        <v>150.727705498162</v>
      </c>
      <c r="J143" s="7" t="n">
        <v>151.0914460516112</v>
      </c>
      <c r="K143" s="7" t="n">
        <v>151.1967026209936</v>
      </c>
      <c r="L143" s="7" t="n">
        <v>151.7118668535462</v>
      </c>
      <c r="M143" s="7" t="n">
        <v>151.4763496688268</v>
      </c>
      <c r="N143" s="7" t="n">
        <v>150.8707029041706</v>
      </c>
      <c r="O143" s="8">
        <f>N143*$B$2/100</f>
        <v/>
      </c>
    </row>
    <row r="144">
      <c r="A144" s="6" t="n">
        <v>46238.46530690973</v>
      </c>
      <c r="B144" s="7" t="n">
        <v>145.3568006824744</v>
      </c>
      <c r="C144" s="7" t="n">
        <v>157.5556130601046</v>
      </c>
      <c r="D144" s="7" t="n">
        <v>151.8720366512308</v>
      </c>
      <c r="E144" s="7" t="n">
        <v>152.3916873757455</v>
      </c>
      <c r="F144" s="7" t="n">
        <v>151.829920799348</v>
      </c>
      <c r="G144" s="7" t="n">
        <v>151.4252116351601</v>
      </c>
      <c r="H144" s="7" t="n">
        <v>145.8532573022645</v>
      </c>
      <c r="I144" s="7" t="n">
        <v>151.7403339255023</v>
      </c>
      <c r="J144" s="7" t="n">
        <v>156.9168149240075</v>
      </c>
      <c r="K144" s="7" t="n">
        <v>148.3057026527452</v>
      </c>
      <c r="L144" s="7" t="n">
        <v>151.2839801510887</v>
      </c>
      <c r="M144" s="7" t="n">
        <v>144.1276127872884</v>
      </c>
      <c r="N144" s="7" t="n">
        <v>152.314822235758</v>
      </c>
      <c r="O144" s="8">
        <f>N144*$B$2/100</f>
        <v/>
      </c>
    </row>
    <row r="145">
      <c r="A145" s="6" t="n">
        <v>46238.46531856481</v>
      </c>
      <c r="B145" s="7" t="n">
        <v>131.429086404853</v>
      </c>
      <c r="C145" s="7" t="n">
        <v>161.8307052572522</v>
      </c>
      <c r="D145" s="7" t="n">
        <v>145.1785238556551</v>
      </c>
      <c r="E145" s="7" t="n">
        <v>91.05421577515865</v>
      </c>
      <c r="F145" s="7" t="n">
        <v>129.1648744376017</v>
      </c>
      <c r="G145" s="7" t="n">
        <v>126.3320697098931</v>
      </c>
      <c r="H145" s="7" t="n">
        <v>158.7569313564797</v>
      </c>
      <c r="I145" s="7" t="n">
        <v>103.1981890209395</v>
      </c>
      <c r="J145" s="7" t="n">
        <v>124.3800135632629</v>
      </c>
      <c r="K145" s="7" t="n">
        <v>74.69961284445456</v>
      </c>
      <c r="L145" s="7" t="n">
        <v>93.91076536663644</v>
      </c>
      <c r="M145" s="7" t="n">
        <v>106.862191551652</v>
      </c>
      <c r="N145" s="7" t="n">
        <v>145.049431110039</v>
      </c>
      <c r="O145" s="8">
        <f>N145*$B$2/100</f>
        <v/>
      </c>
    </row>
    <row r="146">
      <c r="A146" s="6" t="n">
        <v>46238.46533021991</v>
      </c>
      <c r="B146" s="7" t="n">
        <v>154.2505226129204</v>
      </c>
      <c r="C146" s="7" t="n">
        <v>151.4587146072261</v>
      </c>
      <c r="D146" s="7" t="n">
        <v>121.9519837904062</v>
      </c>
      <c r="E146" s="7" t="n">
        <v>159.6504854368932</v>
      </c>
      <c r="F146" s="7" t="n">
        <v>106.8578280027577</v>
      </c>
      <c r="G146" s="7" t="n">
        <v>122.4405079166013</v>
      </c>
      <c r="H146" s="7" t="n">
        <v>144.3813544326196</v>
      </c>
      <c r="I146" s="7" t="n">
        <v>107.1896533446412</v>
      </c>
      <c r="J146" s="7" t="n">
        <v>133.5227181985147</v>
      </c>
      <c r="K146" s="7" t="n">
        <v>81.5852381783284</v>
      </c>
      <c r="L146" s="7" t="n">
        <v>126.4956887412538</v>
      </c>
      <c r="M146" s="7" t="n">
        <v>107.6958543505675</v>
      </c>
      <c r="N146" s="7" t="n">
        <v>144.7383392297995</v>
      </c>
      <c r="O146" s="8">
        <f>N146*$B$2/100</f>
        <v/>
      </c>
    </row>
    <row r="147">
      <c r="A147" s="6" t="n">
        <v>46238.46534188657</v>
      </c>
      <c r="B147" s="7" t="n">
        <v>155.1093713676207</v>
      </c>
      <c r="C147" s="7" t="n">
        <v>97.09214870101908</v>
      </c>
      <c r="D147" s="7" t="n">
        <v>100.2793751198006</v>
      </c>
      <c r="E147" s="7" t="n">
        <v>143.8382765531062</v>
      </c>
      <c r="F147" s="7" t="n">
        <v>103.0775655078818</v>
      </c>
      <c r="G147" s="7" t="n">
        <v>109.6638884844956</v>
      </c>
      <c r="H147" s="7" t="n">
        <v>141.5460345479763</v>
      </c>
      <c r="I147" s="7" t="n">
        <v>113.1019280032358</v>
      </c>
      <c r="J147" s="7" t="n">
        <v>160.3832481707519</v>
      </c>
      <c r="K147" s="7" t="n">
        <v>135.1791301744142</v>
      </c>
      <c r="L147" s="7" t="n">
        <v>108.4170060112469</v>
      </c>
      <c r="M147" s="7" t="n">
        <v>105.885648784961</v>
      </c>
      <c r="N147" s="7" t="n">
        <v>145.0844017094017</v>
      </c>
      <c r="O147" s="8">
        <f>N147*$B$2/100</f>
        <v/>
      </c>
    </row>
    <row r="148">
      <c r="A148" s="6" t="n">
        <v>46238.46535358796</v>
      </c>
      <c r="B148" s="7" t="n">
        <v>149.1772780303335</v>
      </c>
      <c r="C148" s="7" t="n">
        <v>161.7123076923077</v>
      </c>
      <c r="D148" s="7" t="n">
        <v>112.352255687417</v>
      </c>
      <c r="E148" s="7" t="n">
        <v>98.61783850931677</v>
      </c>
      <c r="F148" s="7" t="n">
        <v>125.5829868883914</v>
      </c>
      <c r="G148" s="7" t="n">
        <v>114.7422346850733</v>
      </c>
      <c r="H148" s="7" t="n">
        <v>158.5773043460829</v>
      </c>
      <c r="I148" s="7" t="n">
        <v>130.7174208144796</v>
      </c>
      <c r="J148" s="7" t="n">
        <v>128.57347747971</v>
      </c>
      <c r="K148" s="7" t="n">
        <v>122.6951993182464</v>
      </c>
      <c r="L148" s="7" t="n">
        <v>108.2413191922127</v>
      </c>
      <c r="M148" s="7" t="n">
        <v>105.9842878864673</v>
      </c>
      <c r="N148" s="7" t="n">
        <v>146.2044417401886</v>
      </c>
      <c r="O148" s="8">
        <f>N148*$B$2/100</f>
        <v/>
      </c>
    </row>
    <row r="149">
      <c r="A149" s="6" t="n">
        <v>46238.46536527778</v>
      </c>
      <c r="B149" s="7" t="n">
        <v>152.5757330168746</v>
      </c>
      <c r="C149" s="7" t="n">
        <v>146.2709191621949</v>
      </c>
      <c r="D149" s="7" t="n">
        <v>158.6013200700701</v>
      </c>
      <c r="E149" s="7" t="n">
        <v>97.38943070991155</v>
      </c>
      <c r="F149" s="7" t="n">
        <v>124.4930662557781</v>
      </c>
      <c r="G149" s="7" t="n">
        <v>113.9305973773677</v>
      </c>
      <c r="H149" s="7" t="n">
        <v>149.4503085762928</v>
      </c>
      <c r="I149" s="7" t="n">
        <v>123.4005729291</v>
      </c>
      <c r="J149" s="7" t="n">
        <v>117.941439174739</v>
      </c>
      <c r="K149" s="7" t="n">
        <v>87.47507134463656</v>
      </c>
      <c r="L149" s="7" t="n">
        <v>97.56232566248256</v>
      </c>
      <c r="M149" s="7" t="n">
        <v>81.22560868803643</v>
      </c>
      <c r="N149" s="7" t="n">
        <v>144.3655106443603</v>
      </c>
      <c r="O149" s="8">
        <f>N149*$B$2/100</f>
        <v/>
      </c>
    </row>
    <row r="150">
      <c r="A150" s="6" t="n">
        <v>46238.46537700231</v>
      </c>
      <c r="B150" s="7" t="n">
        <v>138.9729602335047</v>
      </c>
      <c r="C150" s="7" t="n">
        <v>158.7042841360121</v>
      </c>
      <c r="D150" s="7" t="n">
        <v>132.2683285468122</v>
      </c>
      <c r="E150" s="7" t="n">
        <v>98.77022753567296</v>
      </c>
      <c r="F150" s="7" t="n">
        <v>120.7582714101872</v>
      </c>
      <c r="G150" s="7" t="n">
        <v>99.57038549910646</v>
      </c>
      <c r="H150" s="7" t="n">
        <v>143.2829343982906</v>
      </c>
      <c r="I150" s="7" t="n">
        <v>102.500550660793</v>
      </c>
      <c r="J150" s="7" t="n">
        <v>156.563362899681</v>
      </c>
      <c r="K150" s="7" t="n">
        <v>129.6320739677985</v>
      </c>
      <c r="L150" s="7" t="n">
        <v>89.76071535617943</v>
      </c>
      <c r="M150" s="7" t="n">
        <v>75.36266176583199</v>
      </c>
      <c r="N150" s="7" t="n">
        <v>143.4360576833386</v>
      </c>
      <c r="O150" s="8">
        <f>N150*$B$2/100</f>
        <v/>
      </c>
    </row>
    <row r="151">
      <c r="A151" s="6" t="n">
        <v>46238.46538870371</v>
      </c>
      <c r="B151" s="7" t="n">
        <v>131.5414349971887</v>
      </c>
      <c r="C151" s="7" t="n">
        <v>139.7991106243881</v>
      </c>
      <c r="D151" s="7" t="n">
        <v>125.8779164961113</v>
      </c>
      <c r="E151" s="7" t="n">
        <v>154.5253547486984</v>
      </c>
      <c r="F151" s="7" t="n">
        <v>113.6281377699942</v>
      </c>
      <c r="G151" s="7" t="n">
        <v>105.9722189798062</v>
      </c>
      <c r="H151" s="7" t="n">
        <v>158.0432292146565</v>
      </c>
      <c r="I151" s="7" t="n">
        <v>131.4134860050891</v>
      </c>
      <c r="J151" s="7" t="n">
        <v>130.9769296227426</v>
      </c>
      <c r="K151" s="7" t="n">
        <v>115.3374976339201</v>
      </c>
      <c r="L151" s="7" t="n">
        <v>144.1325945592366</v>
      </c>
      <c r="M151" s="7" t="n">
        <v>99.34402852049911</v>
      </c>
      <c r="N151" s="7" t="n">
        <v>143.6764362623296</v>
      </c>
      <c r="O151" s="8">
        <f>N151*$B$2/100</f>
        <v/>
      </c>
    </row>
    <row r="152">
      <c r="A152" s="6" t="n">
        <v>46238.46540038195</v>
      </c>
      <c r="B152" s="7" t="n">
        <v>119.9751245135128</v>
      </c>
      <c r="C152" s="7" t="n">
        <v>132.6524538607962</v>
      </c>
      <c r="D152" s="7" t="n">
        <v>159.0676254285267</v>
      </c>
      <c r="E152" s="7" t="n">
        <v>97.14051654560129</v>
      </c>
      <c r="F152" s="7" t="n">
        <v>160.4563010467248</v>
      </c>
      <c r="G152" s="7" t="n">
        <v>107.0927089469206</v>
      </c>
      <c r="H152" s="7" t="n">
        <v>135.7977200685161</v>
      </c>
      <c r="I152" s="7" t="n">
        <v>77.62899282277782</v>
      </c>
      <c r="J152" s="7" t="n">
        <v>150.7942803677488</v>
      </c>
      <c r="K152" s="7" t="n">
        <v>80.40966152868266</v>
      </c>
      <c r="L152" s="7" t="n">
        <v>95.83575543335952</v>
      </c>
      <c r="M152" s="7" t="n">
        <v>88.17549750225207</v>
      </c>
      <c r="N152" s="7" t="n">
        <v>140.3032412824713</v>
      </c>
      <c r="O152" s="8">
        <f>N152*$B$2/100</f>
        <v/>
      </c>
    </row>
    <row r="153">
      <c r="A153" s="6" t="n">
        <v>46238.46541208334</v>
      </c>
      <c r="B153" s="7" t="n">
        <v>107.412894245674</v>
      </c>
      <c r="C153" s="7" t="n">
        <v>157.7639284730537</v>
      </c>
      <c r="D153" s="7" t="n">
        <v>104.5514073599316</v>
      </c>
      <c r="E153" s="7" t="n">
        <v>107.5877062583618</v>
      </c>
      <c r="F153" s="7" t="n">
        <v>144.7382643536857</v>
      </c>
      <c r="G153" s="7" t="n">
        <v>114.4549306625578</v>
      </c>
      <c r="H153" s="7" t="n">
        <v>141.933260495176</v>
      </c>
      <c r="I153" s="7" t="n">
        <v>108.1361125723303</v>
      </c>
      <c r="J153" s="7" t="n">
        <v>155.8935583581325</v>
      </c>
      <c r="K153" s="7" t="n">
        <v>100.9461637376768</v>
      </c>
      <c r="L153" s="7" t="n">
        <v>126.820380765002</v>
      </c>
      <c r="M153" s="7" t="n">
        <v>127.1439008894536</v>
      </c>
      <c r="N153" s="7" t="n">
        <v>143.4843650414277</v>
      </c>
      <c r="O153" s="8">
        <f>N153*$B$2/100</f>
        <v/>
      </c>
    </row>
    <row r="154">
      <c r="A154" s="6" t="n">
        <v>46238.46542371528</v>
      </c>
      <c r="B154" s="7" t="n">
        <v>133.24897481983</v>
      </c>
      <c r="C154" s="7" t="n">
        <v>156.4531679095162</v>
      </c>
      <c r="D154" s="7" t="n">
        <v>122.9937194923528</v>
      </c>
      <c r="E154" s="7" t="n">
        <v>79.3188568468313</v>
      </c>
      <c r="F154" s="7" t="n">
        <v>99.90277686168459</v>
      </c>
      <c r="G154" s="7" t="n">
        <v>103.7811408141708</v>
      </c>
      <c r="H154" s="7" t="n">
        <v>160.6061666369131</v>
      </c>
      <c r="I154" s="7" t="n">
        <v>120.4777483173567</v>
      </c>
      <c r="J154" s="7" t="n">
        <v>124.7275521664598</v>
      </c>
      <c r="K154" s="7" t="n">
        <v>74.8118713932399</v>
      </c>
      <c r="L154" s="7" t="n">
        <v>114.3382822870065</v>
      </c>
      <c r="M154" s="7" t="n">
        <v>139.7820610687023</v>
      </c>
      <c r="N154" s="7" t="n">
        <v>143.8474310776942</v>
      </c>
      <c r="O154" s="8">
        <f>N154*$B$2/100</f>
        <v/>
      </c>
    </row>
    <row r="155">
      <c r="A155" s="6" t="n">
        <v>46238.46543538194</v>
      </c>
      <c r="B155" s="7" t="n">
        <v>156.9317080670108</v>
      </c>
      <c r="C155" s="7" t="n">
        <v>131.4400646318294</v>
      </c>
      <c r="D155" s="7" t="n">
        <v>116.7046373112104</v>
      </c>
      <c r="E155" s="7" t="n">
        <v>161.1591128811162</v>
      </c>
      <c r="F155" s="7" t="n">
        <v>118.2271231073074</v>
      </c>
      <c r="G155" s="7" t="n">
        <v>97.53747766387661</v>
      </c>
      <c r="H155" s="7" t="n">
        <v>143.5199477262382</v>
      </c>
      <c r="I155" s="7" t="n">
        <v>94.35743758596257</v>
      </c>
      <c r="J155" s="7" t="n">
        <v>120.4699345990222</v>
      </c>
      <c r="K155" s="7" t="n">
        <v>77.5825505492756</v>
      </c>
      <c r="L155" s="7" t="n">
        <v>130.3434488076224</v>
      </c>
      <c r="M155" s="7" t="n">
        <v>91.53566638214852</v>
      </c>
      <c r="N155" s="7" t="n">
        <v>144.6358196887002</v>
      </c>
      <c r="O155" s="8">
        <f>N155*$B$2/100</f>
        <v/>
      </c>
    </row>
    <row r="156">
      <c r="A156" s="6" t="n">
        <v>46238.46544700232</v>
      </c>
      <c r="B156" s="7" t="n">
        <v>146.6754879655131</v>
      </c>
      <c r="C156" s="7" t="n">
        <v>157.8758708875584</v>
      </c>
      <c r="D156" s="7" t="n">
        <v>117.5208179684881</v>
      </c>
      <c r="E156" s="7" t="n">
        <v>91.59175447280955</v>
      </c>
      <c r="F156" s="7" t="n">
        <v>114.5523814552751</v>
      </c>
      <c r="G156" s="7" t="n">
        <v>115.5519908744163</v>
      </c>
      <c r="H156" s="7" t="n">
        <v>143.5474666138649</v>
      </c>
      <c r="I156" s="7" t="n">
        <v>101.0824030850416</v>
      </c>
      <c r="J156" s="7" t="n">
        <v>158.7733586840665</v>
      </c>
      <c r="K156" s="7" t="n">
        <v>120.3209736410644</v>
      </c>
      <c r="L156" s="7" t="n">
        <v>94.44114467408585</v>
      </c>
      <c r="M156" s="7" t="n">
        <v>74.2124457308249</v>
      </c>
      <c r="N156" s="7" t="n">
        <v>144.6017086169385</v>
      </c>
      <c r="O156" s="8">
        <f>N156*$B$2/100</f>
        <v/>
      </c>
    </row>
    <row r="157">
      <c r="A157" s="6" t="n">
        <v>46238.46545869213</v>
      </c>
      <c r="B157" s="7" t="n">
        <v>118.281847896238</v>
      </c>
      <c r="C157" s="7" t="n">
        <v>158.3397828203174</v>
      </c>
      <c r="D157" s="7" t="n">
        <v>146.2982569222541</v>
      </c>
      <c r="E157" s="7" t="n">
        <v>145.4927438080495</v>
      </c>
      <c r="F157" s="7" t="n">
        <v>125.6083109137467</v>
      </c>
      <c r="G157" s="7" t="n">
        <v>118.5478051163075</v>
      </c>
      <c r="H157" s="7" t="n">
        <v>157.3966943965669</v>
      </c>
      <c r="I157" s="7" t="n">
        <v>145.1447800527063</v>
      </c>
      <c r="J157" s="7" t="n">
        <v>131.4115033496477</v>
      </c>
      <c r="K157" s="7" t="n">
        <v>131.4452263003828</v>
      </c>
      <c r="L157" s="7" t="n">
        <v>131.6709735088575</v>
      </c>
      <c r="M157" s="7" t="n">
        <v>128.6597800056825</v>
      </c>
      <c r="N157" s="7" t="n">
        <v>145.2622033070962</v>
      </c>
      <c r="O157" s="8">
        <f>N157*$B$2/100</f>
        <v/>
      </c>
    </row>
    <row r="158">
      <c r="A158" s="6" t="n">
        <v>46238.46547045139</v>
      </c>
      <c r="B158" s="7" t="n">
        <v>149.4369238287758</v>
      </c>
      <c r="C158" s="7" t="n">
        <v>150.9868677969758</v>
      </c>
      <c r="D158" s="7" t="n">
        <v>153.7913689294043</v>
      </c>
      <c r="E158" s="7" t="n">
        <v>151.3332915103809</v>
      </c>
      <c r="F158" s="7" t="n">
        <v>153.5593494131967</v>
      </c>
      <c r="G158" s="7" t="n">
        <v>151.3852902755415</v>
      </c>
      <c r="H158" s="7" t="n">
        <v>149.8583938453233</v>
      </c>
      <c r="I158" s="7" t="n">
        <v>150.7876952086412</v>
      </c>
      <c r="J158" s="7" t="n">
        <v>151.6386159760786</v>
      </c>
      <c r="K158" s="7" t="n">
        <v>153.942586973531</v>
      </c>
      <c r="L158" s="7" t="n">
        <v>149.5030519046558</v>
      </c>
      <c r="M158" s="7" t="n">
        <v>149.7498688939768</v>
      </c>
      <c r="N158" s="7" t="n">
        <v>151.5397374807666</v>
      </c>
      <c r="O158" s="8">
        <f>N158*$B$2/100</f>
        <v/>
      </c>
    </row>
    <row r="159">
      <c r="A159" s="6" t="n">
        <v>46238.4654821412</v>
      </c>
      <c r="B159" s="7" t="n">
        <v>137.8000718519849</v>
      </c>
      <c r="C159" s="7" t="n">
        <v>160.2447664260047</v>
      </c>
      <c r="D159" s="7" t="n">
        <v>136.5426734529869</v>
      </c>
      <c r="E159" s="7" t="n">
        <v>112.187782927355</v>
      </c>
      <c r="F159" s="7" t="n">
        <v>123.169669149489</v>
      </c>
      <c r="G159" s="7" t="n">
        <v>117.9108310210224</v>
      </c>
      <c r="H159" s="7" t="n">
        <v>137.1554818697187</v>
      </c>
      <c r="I159" s="7" t="n">
        <v>116.0863568019873</v>
      </c>
      <c r="J159" s="7" t="n">
        <v>158.484997068699</v>
      </c>
      <c r="K159" s="7" t="n">
        <v>87.25284690004217</v>
      </c>
      <c r="L159" s="7" t="n">
        <v>142.4375292779228</v>
      </c>
      <c r="M159" s="7" t="n">
        <v>121.0301454827382</v>
      </c>
      <c r="N159" s="7" t="n">
        <v>145.3276195499297</v>
      </c>
      <c r="O159" s="8">
        <f>N159*$B$2/100</f>
        <v/>
      </c>
    </row>
    <row r="160">
      <c r="A160" s="6" t="n">
        <v>46238.46549383102</v>
      </c>
      <c r="B160" s="7" t="n">
        <v>126.7614830333619</v>
      </c>
      <c r="C160" s="7" t="n">
        <v>158.959248014146</v>
      </c>
      <c r="D160" s="7" t="n">
        <v>148.3647528606423</v>
      </c>
      <c r="E160" s="7" t="n">
        <v>136.7520595491992</v>
      </c>
      <c r="F160" s="7" t="n">
        <v>136.9685078170497</v>
      </c>
      <c r="G160" s="7" t="n">
        <v>116.3000631082473</v>
      </c>
      <c r="H160" s="7" t="n">
        <v>156.2042179882396</v>
      </c>
      <c r="I160" s="7" t="n">
        <v>118.6120788888036</v>
      </c>
      <c r="J160" s="7" t="n">
        <v>130.9906179815982</v>
      </c>
      <c r="K160" s="7" t="n">
        <v>123.370194785118</v>
      </c>
      <c r="L160" s="7" t="n">
        <v>113.2544541098758</v>
      </c>
      <c r="M160" s="7" t="n">
        <v>91.20804886812792</v>
      </c>
      <c r="N160" s="7" t="n">
        <v>145.9549888884704</v>
      </c>
      <c r="O160" s="8">
        <f>N160*$B$2/100</f>
        <v/>
      </c>
    </row>
    <row r="161">
      <c r="A161" s="6" t="n">
        <v>46238.46550547454</v>
      </c>
      <c r="B161" s="7" t="n">
        <v>154.9626527100935</v>
      </c>
      <c r="C161" s="7" t="n">
        <v>141.0622888235552</v>
      </c>
      <c r="D161" s="7" t="n">
        <v>133.5249965378756</v>
      </c>
      <c r="E161" s="7" t="n">
        <v>160.9540436638098</v>
      </c>
      <c r="F161" s="7" t="n">
        <v>121.3577014620877</v>
      </c>
      <c r="G161" s="7" t="n">
        <v>108.9239707684626</v>
      </c>
      <c r="H161" s="7" t="n">
        <v>142.4338105843674</v>
      </c>
      <c r="I161" s="7" t="n">
        <v>89.27766501014909</v>
      </c>
      <c r="J161" s="7" t="n">
        <v>138.3628102281274</v>
      </c>
      <c r="K161" s="7" t="n">
        <v>80.66100323624596</v>
      </c>
      <c r="L161" s="7" t="n">
        <v>83.81689744455701</v>
      </c>
      <c r="M161" s="7" t="n">
        <v>87.40649606299213</v>
      </c>
      <c r="N161" s="7" t="n">
        <v>144.1477553977101</v>
      </c>
      <c r="O161" s="8">
        <f>N161*$B$2/100</f>
        <v/>
      </c>
    </row>
    <row r="162">
      <c r="A162" s="6" t="n">
        <v>46238.4655171875</v>
      </c>
      <c r="B162" s="7" t="n">
        <v>136.810873694207</v>
      </c>
      <c r="C162" s="7" t="n">
        <v>158.6864585028006</v>
      </c>
      <c r="D162" s="7" t="n">
        <v>115.7988005305346</v>
      </c>
      <c r="E162" s="7" t="n">
        <v>121.4512130646772</v>
      </c>
      <c r="F162" s="7" t="n">
        <v>116.0910976902863</v>
      </c>
      <c r="G162" s="7" t="n">
        <v>116.2132137628111</v>
      </c>
      <c r="H162" s="7" t="n">
        <v>146.5263090018055</v>
      </c>
      <c r="I162" s="7" t="n">
        <v>106.3766102834099</v>
      </c>
      <c r="J162" s="7" t="n">
        <v>156.2578801116227</v>
      </c>
      <c r="K162" s="7" t="n">
        <v>134.0520312362902</v>
      </c>
      <c r="L162" s="7" t="n">
        <v>135.3446493285014</v>
      </c>
      <c r="M162" s="7" t="n">
        <v>108.7935814500546</v>
      </c>
      <c r="N162" s="7" t="n">
        <v>144.9948517999773</v>
      </c>
      <c r="O162" s="8">
        <f>N162*$B$2/100</f>
        <v/>
      </c>
    </row>
    <row r="163">
      <c r="A163" s="6" t="n">
        <v>46238.46552891203</v>
      </c>
      <c r="B163" s="7" t="n">
        <v>65.50479856663887</v>
      </c>
      <c r="C163" s="7" t="n">
        <v>65.32787163884828</v>
      </c>
      <c r="D163" s="7" t="n">
        <v>65.40046286897559</v>
      </c>
      <c r="E163" s="7" t="n">
        <v>65.64485585823856</v>
      </c>
      <c r="F163" s="7" t="n">
        <v>82.5800698824704</v>
      </c>
      <c r="G163" s="7" t="n">
        <v>72.05084424207931</v>
      </c>
      <c r="H163" s="7" t="n">
        <v>106.0779151499937</v>
      </c>
      <c r="I163" s="7" t="n">
        <v>81.51936590946234</v>
      </c>
      <c r="J163" s="7" t="n">
        <v>96.44458751443034</v>
      </c>
      <c r="K163" s="7" t="n">
        <v>59.2700582935877</v>
      </c>
      <c r="L163" s="7" t="n">
        <v>80.61495772203499</v>
      </c>
      <c r="M163" s="7" t="n">
        <v>65.82167751819226</v>
      </c>
      <c r="N163" s="7" t="n">
        <v>76.00156955822678</v>
      </c>
      <c r="O163" s="8">
        <f>N163*$B$2/100</f>
        <v/>
      </c>
    </row>
    <row r="164">
      <c r="A164" s="6" t="n">
        <v>46238.46554063657</v>
      </c>
      <c r="B164" s="7" t="n">
        <v>59.87918845211833</v>
      </c>
      <c r="C164" s="7" t="n">
        <v>67.84991726957142</v>
      </c>
      <c r="D164" s="7" t="n">
        <v>69.12921984744355</v>
      </c>
      <c r="E164" s="7" t="n">
        <v>63.8305015710462</v>
      </c>
      <c r="F164" s="7" t="n">
        <v>73.07582170491369</v>
      </c>
      <c r="G164" s="7" t="n">
        <v>81.6150121821703</v>
      </c>
      <c r="H164" s="7" t="n">
        <v>107.2373236067926</v>
      </c>
      <c r="I164" s="7" t="n">
        <v>89.82542215130967</v>
      </c>
      <c r="J164" s="7" t="n">
        <v>71.12688695652174</v>
      </c>
      <c r="K164" s="7" t="n">
        <v>52.26082530202253</v>
      </c>
      <c r="L164" s="7" t="n">
        <v>59.09333027958186</v>
      </c>
      <c r="M164" s="7" t="n">
        <v>59.88382733240501</v>
      </c>
      <c r="N164" s="7" t="n">
        <v>70.69211882283777</v>
      </c>
      <c r="O164" s="8">
        <f>N164*$B$2/100</f>
        <v/>
      </c>
    </row>
    <row r="165">
      <c r="A165" s="6" t="n">
        <v>46238.46555234954</v>
      </c>
      <c r="B165" s="7" t="n">
        <v>63.64645331338712</v>
      </c>
      <c r="C165" s="7" t="n">
        <v>77.59718279395463</v>
      </c>
      <c r="D165" s="7" t="n">
        <v>90.52588822860032</v>
      </c>
      <c r="E165" s="7" t="n">
        <v>94.92262398735427</v>
      </c>
      <c r="F165" s="7" t="n">
        <v>66.95407715914072</v>
      </c>
      <c r="G165" s="7" t="n">
        <v>68.59306910147333</v>
      </c>
      <c r="H165" s="7" t="n">
        <v>77.47695505698516</v>
      </c>
      <c r="I165" s="7" t="n">
        <v>68.0343215726452</v>
      </c>
      <c r="J165" s="7" t="n">
        <v>63.57015015015015</v>
      </c>
      <c r="K165" s="7" t="n">
        <v>52.04379388313698</v>
      </c>
      <c r="L165" s="7" t="n">
        <v>58.62149382913928</v>
      </c>
      <c r="M165" s="7" t="n">
        <v>61.49137178540254</v>
      </c>
      <c r="N165" s="7" t="n">
        <v>71.116130726802</v>
      </c>
      <c r="O165" s="8">
        <f>N165*$B$2/100</f>
        <v/>
      </c>
    </row>
    <row r="166">
      <c r="A166" s="6" t="n">
        <v>46238.4655639699</v>
      </c>
      <c r="B166" s="7" t="n">
        <v>96.15836293238617</v>
      </c>
      <c r="C166" s="7" t="n">
        <v>159.6885834354754</v>
      </c>
      <c r="D166" s="7" t="n">
        <v>144.0265768056968</v>
      </c>
      <c r="E166" s="7" t="n">
        <v>141.4926799933643</v>
      </c>
      <c r="F166" s="7" t="n">
        <v>112.2468864987263</v>
      </c>
      <c r="G166" s="7" t="n">
        <v>120.2266378617363</v>
      </c>
      <c r="H166" s="7" t="n">
        <v>157.3889212320382</v>
      </c>
      <c r="I166" s="7" t="n">
        <v>112.3328013518588</v>
      </c>
      <c r="J166" s="7" t="n">
        <v>138.4333760651535</v>
      </c>
      <c r="K166" s="7" t="n">
        <v>108.9708997539317</v>
      </c>
      <c r="L166" s="7" t="n">
        <v>73.27593049920621</v>
      </c>
      <c r="M166" s="7" t="n">
        <v>87.35949612403101</v>
      </c>
      <c r="N166" s="7" t="n">
        <v>142.5305974214636</v>
      </c>
      <c r="O166" s="8">
        <f>N166*$B$2/100</f>
        <v/>
      </c>
    </row>
    <row r="167">
      <c r="A167" s="6" t="n">
        <v>46238.46557564815</v>
      </c>
      <c r="B167" s="7" t="n">
        <v>148.1965188837622</v>
      </c>
      <c r="C167" s="7" t="n">
        <v>109.5740380458279</v>
      </c>
      <c r="D167" s="7" t="n">
        <v>131.2263770634231</v>
      </c>
      <c r="E167" s="7" t="n">
        <v>161.2341776430395</v>
      </c>
      <c r="F167" s="7" t="n">
        <v>114.7049304227982</v>
      </c>
      <c r="G167" s="7" t="n">
        <v>113.5265591909063</v>
      </c>
      <c r="H167" s="7" t="n">
        <v>146.4521300472394</v>
      </c>
      <c r="I167" s="7" t="n">
        <v>90.13211626231083</v>
      </c>
      <c r="J167" s="7" t="n">
        <v>132.846658289484</v>
      </c>
      <c r="K167" s="7" t="n">
        <v>82.40043644298963</v>
      </c>
      <c r="L167" s="7" t="n">
        <v>136.5462711789034</v>
      </c>
      <c r="M167" s="7" t="n">
        <v>75.31932773109244</v>
      </c>
      <c r="N167" s="7" t="n">
        <v>143.7557449214491</v>
      </c>
      <c r="O167" s="8">
        <f>N167*$B$2/100</f>
        <v/>
      </c>
    </row>
    <row r="168">
      <c r="A168" s="6" t="n">
        <v>46238.46558730324</v>
      </c>
      <c r="B168" s="7" t="n">
        <v>141.6813611959154</v>
      </c>
      <c r="C168" s="7" t="n">
        <v>157.9207701195474</v>
      </c>
      <c r="D168" s="7" t="n">
        <v>94.70528648306426</v>
      </c>
      <c r="E168" s="7" t="n">
        <v>103.4859091630096</v>
      </c>
      <c r="F168" s="7" t="n">
        <v>109.2517042202217</v>
      </c>
      <c r="G168" s="7" t="n">
        <v>124.2302968789647</v>
      </c>
      <c r="H168" s="7" t="n">
        <v>130.259539791038</v>
      </c>
      <c r="I168" s="7" t="n">
        <v>95.90537861768205</v>
      </c>
      <c r="J168" s="7" t="n">
        <v>158.6566482658976</v>
      </c>
      <c r="K168" s="7" t="n">
        <v>122.7074123391034</v>
      </c>
      <c r="L168" s="7" t="n">
        <v>103.2535111111111</v>
      </c>
      <c r="M168" s="7" t="n">
        <v>126.0937373464705</v>
      </c>
      <c r="N168" s="7" t="n">
        <v>144.3363020947741</v>
      </c>
      <c r="O168" s="8">
        <f>N168*$B$2/100</f>
        <v/>
      </c>
    </row>
    <row r="169">
      <c r="A169" s="6" t="n">
        <v>46238.46559898148</v>
      </c>
      <c r="B169" s="7" t="n">
        <v>104.1874508016738</v>
      </c>
      <c r="C169" s="7" t="n">
        <v>157.4511028960399</v>
      </c>
      <c r="D169" s="7" t="n">
        <v>138.2943331806637</v>
      </c>
      <c r="E169" s="7" t="n">
        <v>132.005085672188</v>
      </c>
      <c r="F169" s="7" t="n">
        <v>110.4415098107744</v>
      </c>
      <c r="G169" s="7" t="n">
        <v>123.3368510075011</v>
      </c>
      <c r="H169" s="7" t="n">
        <v>157.6031620791726</v>
      </c>
      <c r="I169" s="7" t="n">
        <v>116.6813764719332</v>
      </c>
      <c r="J169" s="7" t="n">
        <v>103.3220298335652</v>
      </c>
      <c r="K169" s="7" t="n">
        <v>82.55338258728089</v>
      </c>
      <c r="L169" s="7" t="n">
        <v>122.3805937224253</v>
      </c>
      <c r="M169" s="7" t="n">
        <v>74.67039612942244</v>
      </c>
      <c r="N169" s="7" t="n">
        <v>140.2112374425668</v>
      </c>
      <c r="O169" s="8">
        <f>N169*$B$2/100</f>
        <v/>
      </c>
    </row>
    <row r="170">
      <c r="A170" s="6" t="n">
        <v>46238.46561063657</v>
      </c>
      <c r="B170" s="7" t="n">
        <v>114.9323538908621</v>
      </c>
      <c r="C170" s="7" t="n">
        <v>159.0913673392</v>
      </c>
      <c r="D170" s="7" t="n">
        <v>156.8832991729294</v>
      </c>
      <c r="E170" s="7" t="n">
        <v>133.5147516338505</v>
      </c>
      <c r="F170" s="7" t="n">
        <v>112.0918124864982</v>
      </c>
      <c r="G170" s="7" t="n">
        <v>92.51405764966741</v>
      </c>
      <c r="H170" s="7" t="n">
        <v>141.8332852388373</v>
      </c>
      <c r="I170" s="7" t="n">
        <v>81.44782668312079</v>
      </c>
      <c r="J170" s="7" t="n">
        <v>116.0125194920918</v>
      </c>
      <c r="K170" s="7" t="n">
        <v>73.18454142011835</v>
      </c>
      <c r="L170" s="7" t="n">
        <v>131.6011877244764</v>
      </c>
      <c r="M170" s="7" t="n">
        <v>88.7995037990386</v>
      </c>
      <c r="N170" s="7" t="n">
        <v>142.5887769784173</v>
      </c>
      <c r="O170" s="8">
        <f>N170*$B$2/100</f>
        <v/>
      </c>
    </row>
    <row r="171">
      <c r="A171" s="6" t="n">
        <v>46238.46562230324</v>
      </c>
      <c r="B171" s="7" t="n">
        <v>100.0679711379466</v>
      </c>
      <c r="C171" s="7" t="n">
        <v>158.0172077072274</v>
      </c>
      <c r="D171" s="7" t="n">
        <v>145.2790604682849</v>
      </c>
      <c r="E171" s="7" t="n">
        <v>122.1305217626386</v>
      </c>
      <c r="F171" s="7" t="n">
        <v>104.439860488291</v>
      </c>
      <c r="G171" s="7" t="n">
        <v>135.1479148726781</v>
      </c>
      <c r="H171" s="7" t="n">
        <v>140.431645482652</v>
      </c>
      <c r="I171" s="7" t="n">
        <v>112.0491415038484</v>
      </c>
      <c r="J171" s="7" t="n">
        <v>156.0258754646147</v>
      </c>
      <c r="K171" s="7" t="n">
        <v>132.2766305618328</v>
      </c>
      <c r="L171" s="7" t="n">
        <v>93.44760797985667</v>
      </c>
      <c r="M171" s="7" t="n">
        <v>74.09932455836508</v>
      </c>
      <c r="N171" s="7" t="n">
        <v>142.0428769017981</v>
      </c>
      <c r="O171" s="8">
        <f>N171*$B$2/100</f>
        <v/>
      </c>
    </row>
    <row r="172">
      <c r="A172" s="6" t="n">
        <v>46238.46563400463</v>
      </c>
      <c r="B172" s="7" t="n">
        <v>115.6126442655764</v>
      </c>
      <c r="C172" s="7" t="n">
        <v>158.0530448187838</v>
      </c>
      <c r="D172" s="7" t="n">
        <v>131.4119507174607</v>
      </c>
      <c r="E172" s="7" t="n">
        <v>129.9003709928021</v>
      </c>
      <c r="F172" s="7" t="n">
        <v>144.0146577100159</v>
      </c>
      <c r="G172" s="7" t="n">
        <v>118.6399429177796</v>
      </c>
      <c r="H172" s="7" t="n">
        <v>159.3221687740517</v>
      </c>
      <c r="I172" s="7" t="n">
        <v>149.5871414725204</v>
      </c>
      <c r="J172" s="7" t="n">
        <v>120.4254008636562</v>
      </c>
      <c r="K172" s="7" t="n">
        <v>90.06705274909294</v>
      </c>
      <c r="L172" s="7" t="n">
        <v>119.697288985078</v>
      </c>
      <c r="M172" s="7" t="n">
        <v>132.5287329471127</v>
      </c>
      <c r="N172" s="7" t="n">
        <v>144.4445623610269</v>
      </c>
      <c r="O172" s="8">
        <f>N172*$B$2/100</f>
        <v/>
      </c>
    </row>
    <row r="173">
      <c r="A173" s="6" t="n">
        <v>46238.46564569444</v>
      </c>
      <c r="B173" s="7" t="n">
        <v>154.5703895061574</v>
      </c>
      <c r="C173" s="7" t="n">
        <v>151.8868743968013</v>
      </c>
      <c r="D173" s="7" t="n">
        <v>151.5031404949827</v>
      </c>
      <c r="E173" s="7" t="n">
        <v>151.37757829059</v>
      </c>
      <c r="F173" s="7" t="n">
        <v>151.7197787308552</v>
      </c>
      <c r="G173" s="7" t="n">
        <v>150.5143784383222</v>
      </c>
      <c r="H173" s="7" t="n">
        <v>151.4907592064787</v>
      </c>
      <c r="I173" s="7" t="n">
        <v>151.7888895799385</v>
      </c>
      <c r="J173" s="7" t="n">
        <v>151.3808801473565</v>
      </c>
      <c r="K173" s="7" t="n">
        <v>151.5079017638447</v>
      </c>
      <c r="L173" s="7" t="n">
        <v>151.7499330974399</v>
      </c>
      <c r="M173" s="7" t="n">
        <v>153.4679965191136</v>
      </c>
      <c r="N173" s="7" t="n">
        <v>152.0441953669196</v>
      </c>
      <c r="O173" s="8">
        <f>N173*$B$2/100</f>
        <v/>
      </c>
    </row>
    <row r="174">
      <c r="A174" s="6" t="n">
        <v>46238.46565738426</v>
      </c>
      <c r="B174" s="7" t="n">
        <v>145.388232016088</v>
      </c>
      <c r="C174" s="7" t="n">
        <v>159.0670951913027</v>
      </c>
      <c r="D174" s="7" t="n">
        <v>113.9288016485258</v>
      </c>
      <c r="E174" s="7" t="n">
        <v>115.5713308244954</v>
      </c>
      <c r="F174" s="7" t="n">
        <v>124.9412572810199</v>
      </c>
      <c r="G174" s="7" t="n">
        <v>118.1975274266303</v>
      </c>
      <c r="H174" s="7" t="n">
        <v>149.5971565717636</v>
      </c>
      <c r="I174" s="7" t="n">
        <v>102.8699144096611</v>
      </c>
      <c r="J174" s="7" t="n">
        <v>154.3722030726807</v>
      </c>
      <c r="K174" s="7" t="n">
        <v>147.6367407536789</v>
      </c>
      <c r="L174" s="7" t="n">
        <v>133.7532668444093</v>
      </c>
      <c r="M174" s="7" t="n">
        <v>96.64881553834063</v>
      </c>
      <c r="N174" s="7" t="n">
        <v>146.0828809767434</v>
      </c>
      <c r="O174" s="8">
        <f>N174*$B$2/100</f>
        <v/>
      </c>
    </row>
    <row r="175">
      <c r="A175" s="6" t="n">
        <v>46238.46566905093</v>
      </c>
      <c r="B175" s="7" t="n">
        <v>132.9304071506885</v>
      </c>
      <c r="C175" s="7" t="n">
        <v>159.0047708864973</v>
      </c>
      <c r="D175" s="7" t="n">
        <v>113.4266309474399</v>
      </c>
      <c r="E175" s="7" t="n">
        <v>139.7291831502991</v>
      </c>
      <c r="F175" s="7" t="n">
        <v>98.64045538787397</v>
      </c>
      <c r="G175" s="7" t="n">
        <v>127.0406480682581</v>
      </c>
      <c r="H175" s="7" t="n">
        <v>155.3171235637976</v>
      </c>
      <c r="I175" s="7" t="n">
        <v>127.4470680576904</v>
      </c>
      <c r="J175" s="7" t="n">
        <v>135.0037405976825</v>
      </c>
      <c r="K175" s="7" t="n">
        <v>74.41070242995617</v>
      </c>
      <c r="L175" s="7" t="n">
        <v>101.3488389022348</v>
      </c>
      <c r="M175" s="7" t="n">
        <v>86.5127888057273</v>
      </c>
      <c r="N175" s="7" t="n">
        <v>142.3652476529621</v>
      </c>
      <c r="O175" s="8">
        <f>N175*$B$2/100</f>
        <v/>
      </c>
    </row>
    <row r="176">
      <c r="A176" s="6" t="n">
        <v>46238.46568070602</v>
      </c>
      <c r="B176" s="7" t="n">
        <v>153.4744687228519</v>
      </c>
      <c r="C176" s="7" t="n">
        <v>141.978920833605</v>
      </c>
      <c r="D176" s="7" t="n">
        <v>115.5499981543686</v>
      </c>
      <c r="E176" s="7" t="n">
        <v>156.9818445896877</v>
      </c>
      <c r="F176" s="7" t="n">
        <v>115.6888964985875</v>
      </c>
      <c r="G176" s="7" t="n">
        <v>105.9872367994817</v>
      </c>
      <c r="H176" s="7" t="n">
        <v>145.0447199265381</v>
      </c>
      <c r="I176" s="7" t="n">
        <v>108.6741162129216</v>
      </c>
      <c r="J176" s="7" t="n">
        <v>132.1196064451732</v>
      </c>
      <c r="K176" s="7" t="n">
        <v>120.3018862080714</v>
      </c>
      <c r="L176" s="7" t="n">
        <v>84.41843101155774</v>
      </c>
      <c r="M176" s="7" t="n">
        <v>141.6024966060726</v>
      </c>
      <c r="N176" s="7" t="n">
        <v>142.655618011242</v>
      </c>
      <c r="O176" s="8">
        <f>N176*$B$2/100</f>
        <v/>
      </c>
    </row>
    <row r="177">
      <c r="A177" s="6" t="n">
        <v>46238.46569238426</v>
      </c>
      <c r="B177" s="7" t="n">
        <v>137.7250488528624</v>
      </c>
      <c r="C177" s="7" t="n">
        <v>159.9012279429814</v>
      </c>
      <c r="D177" s="7" t="n">
        <v>116.497402029816</v>
      </c>
      <c r="E177" s="7" t="n">
        <v>100.634419491273</v>
      </c>
      <c r="F177" s="7" t="n">
        <v>109.9026662204373</v>
      </c>
      <c r="G177" s="7" t="n">
        <v>114.7382042333318</v>
      </c>
      <c r="H177" s="7" t="n">
        <v>130.5670979228487</v>
      </c>
      <c r="I177" s="7" t="n">
        <v>124.6634218289086</v>
      </c>
      <c r="J177" s="7" t="n">
        <v>154.5751124589335</v>
      </c>
      <c r="K177" s="7" t="n">
        <v>124.8567374395627</v>
      </c>
      <c r="L177" s="7" t="n">
        <v>101.8403678764986</v>
      </c>
      <c r="M177" s="7" t="n">
        <v>91.04708462332302</v>
      </c>
      <c r="N177" s="7" t="n">
        <v>143.8738054923026</v>
      </c>
      <c r="O177" s="8">
        <f>N177*$B$2/100</f>
        <v/>
      </c>
    </row>
    <row r="178">
      <c r="A178" s="6" t="n">
        <v>46238.46570405093</v>
      </c>
      <c r="B178" s="7" t="n">
        <v>142.6886073371542</v>
      </c>
      <c r="C178" s="7" t="n">
        <v>155.8969093475552</v>
      </c>
      <c r="D178" s="7" t="n">
        <v>111.5480151228734</v>
      </c>
      <c r="E178" s="7" t="n">
        <v>96.41256876146025</v>
      </c>
      <c r="F178" s="7" t="n">
        <v>118.437624155741</v>
      </c>
      <c r="G178" s="7" t="n">
        <v>106.1774617478645</v>
      </c>
      <c r="H178" s="7" t="n">
        <v>157.2520391687067</v>
      </c>
      <c r="I178" s="7" t="n">
        <v>148.7140749888512</v>
      </c>
      <c r="J178" s="7" t="n">
        <v>134.9062773438766</v>
      </c>
      <c r="K178" s="7" t="n">
        <v>92.0044530632766</v>
      </c>
      <c r="L178" s="7" t="n">
        <v>138.07905354291</v>
      </c>
      <c r="M178" s="7" t="n">
        <v>139.3290433513964</v>
      </c>
      <c r="N178" s="7" t="n">
        <v>145.2749184661997</v>
      </c>
      <c r="O178" s="8">
        <f>N178*$B$2/100</f>
        <v/>
      </c>
    </row>
    <row r="179">
      <c r="A179" s="6" t="n">
        <v>46238.46571569444</v>
      </c>
      <c r="B179" s="7" t="n">
        <v>150.7227438991101</v>
      </c>
      <c r="C179" s="7" t="n">
        <v>123.2220573971587</v>
      </c>
      <c r="D179" s="7" t="n">
        <v>140.8117180101948</v>
      </c>
      <c r="E179" s="7" t="n">
        <v>157.1839962132013</v>
      </c>
      <c r="F179" s="7" t="n">
        <v>109.0436884919506</v>
      </c>
      <c r="G179" s="7" t="n">
        <v>95.93369395494089</v>
      </c>
      <c r="H179" s="7" t="n">
        <v>115.727750288077</v>
      </c>
      <c r="I179" s="7" t="n">
        <v>145.6218611038451</v>
      </c>
      <c r="J179" s="7" t="n">
        <v>145.7039165139609</v>
      </c>
      <c r="K179" s="7" t="n">
        <v>95.53405238828968</v>
      </c>
      <c r="L179" s="7" t="n">
        <v>75.3701704893904</v>
      </c>
      <c r="M179" s="7" t="n">
        <v>119.8644969897915</v>
      </c>
      <c r="N179" s="7" t="n">
        <v>143.4239981766193</v>
      </c>
      <c r="O179" s="8">
        <f>N179*$B$2/100</f>
        <v/>
      </c>
    </row>
    <row r="180">
      <c r="A180" s="6" t="n">
        <v>46238.46572736111</v>
      </c>
      <c r="B180" s="7" t="n">
        <v>139.7364402956588</v>
      </c>
      <c r="C180" s="7" t="n">
        <v>156.7636868738239</v>
      </c>
      <c r="D180" s="7" t="n">
        <v>87.39441013163641</v>
      </c>
      <c r="E180" s="7" t="n">
        <v>120.0322878902163</v>
      </c>
      <c r="F180" s="7" t="n">
        <v>113.0240671519444</v>
      </c>
      <c r="G180" s="7" t="n">
        <v>103.9338138925295</v>
      </c>
      <c r="H180" s="7" t="n">
        <v>131.1555479452055</v>
      </c>
      <c r="I180" s="7" t="n">
        <v>130.9106024407568</v>
      </c>
      <c r="J180" s="7" t="n">
        <v>159.7009419072864</v>
      </c>
      <c r="K180" s="7" t="n">
        <v>119.1149533972714</v>
      </c>
      <c r="L180" s="7" t="n">
        <v>104.6062007277138</v>
      </c>
      <c r="M180" s="7" t="n">
        <v>91.1160567587752</v>
      </c>
      <c r="N180" s="7" t="n">
        <v>143.8480663547774</v>
      </c>
      <c r="O180" s="8">
        <f>N180*$B$2/100</f>
        <v/>
      </c>
    </row>
    <row r="181">
      <c r="A181" s="6" t="n">
        <v>46238.46573905092</v>
      </c>
      <c r="B181" s="7" t="n">
        <v>122.9246108501428</v>
      </c>
      <c r="C181" s="7" t="n">
        <v>161.3466875985947</v>
      </c>
      <c r="D181" s="7" t="n">
        <v>139.7482012389922</v>
      </c>
      <c r="E181" s="7" t="n">
        <v>128.2160171972192</v>
      </c>
      <c r="F181" s="7" t="n">
        <v>101.4869405433784</v>
      </c>
      <c r="G181" s="7" t="n">
        <v>118.0255991478786</v>
      </c>
      <c r="H181" s="7" t="n">
        <v>157.6589515626689</v>
      </c>
      <c r="I181" s="7" t="n">
        <v>136.2296666791086</v>
      </c>
      <c r="J181" s="7" t="n">
        <v>129.4619162733587</v>
      </c>
      <c r="K181" s="7" t="n">
        <v>98.28155423451365</v>
      </c>
      <c r="L181" s="7" t="n">
        <v>78.10840424291875</v>
      </c>
      <c r="M181" s="7" t="n">
        <v>78.24486842105263</v>
      </c>
      <c r="N181" s="7" t="n">
        <v>143.0062219438355</v>
      </c>
      <c r="O181" s="8">
        <f>N181*$B$2/100</f>
        <v/>
      </c>
    </row>
    <row r="182">
      <c r="A182" s="6" t="n">
        <v>46238.46575074074</v>
      </c>
      <c r="B182" s="7" t="n">
        <v>154.4955639559929</v>
      </c>
      <c r="C182" s="7" t="n">
        <v>140.8843718678955</v>
      </c>
      <c r="D182" s="7" t="n">
        <v>134.4644113745169</v>
      </c>
      <c r="E182" s="7" t="n">
        <v>160.6813586882226</v>
      </c>
      <c r="F182" s="7" t="n">
        <v>119.8423168403069</v>
      </c>
      <c r="G182" s="7" t="n">
        <v>102.1333224896985</v>
      </c>
      <c r="H182" s="7" t="n">
        <v>141.4244511407663</v>
      </c>
      <c r="I182" s="7" t="n">
        <v>116.3931843165995</v>
      </c>
      <c r="J182" s="7" t="n">
        <v>125.0971988795518</v>
      </c>
      <c r="K182" s="7" t="n">
        <v>107.0125972582438</v>
      </c>
      <c r="L182" s="7" t="n">
        <v>80.98922319815611</v>
      </c>
      <c r="M182" s="7" t="n">
        <v>121.067220479783</v>
      </c>
      <c r="N182" s="7" t="n">
        <v>144.2900422401423</v>
      </c>
      <c r="O182" s="8">
        <f>N182*$B$2/100</f>
        <v/>
      </c>
    </row>
    <row r="183">
      <c r="A183" s="6" t="n">
        <v>46238.46576247685</v>
      </c>
      <c r="B183" s="7" t="n">
        <v>125.9222821747441</v>
      </c>
      <c r="C183" s="7" t="n">
        <v>158.3010588444655</v>
      </c>
      <c r="D183" s="7" t="n">
        <v>149.6422471675728</v>
      </c>
      <c r="E183" s="7" t="n">
        <v>105.4065875591976</v>
      </c>
      <c r="F183" s="7" t="n">
        <v>115.0789311566302</v>
      </c>
      <c r="G183" s="7" t="n">
        <v>131.0637280287568</v>
      </c>
      <c r="H183" s="7" t="n">
        <v>143.579057566989</v>
      </c>
      <c r="I183" s="7" t="n">
        <v>118.2682502089719</v>
      </c>
      <c r="J183" s="7" t="n">
        <v>157.8928239599284</v>
      </c>
      <c r="K183" s="7" t="n">
        <v>149.5767510626501</v>
      </c>
      <c r="L183" s="7" t="n">
        <v>118.7377181718743</v>
      </c>
      <c r="M183" s="7" t="n">
        <v>95.77766958779617</v>
      </c>
      <c r="N183" s="7" t="n">
        <v>144.8501167944969</v>
      </c>
      <c r="O183" s="8">
        <f>N183*$B$2/100</f>
        <v/>
      </c>
    </row>
    <row r="184">
      <c r="A184" s="6" t="n">
        <v>46238.46577420139</v>
      </c>
      <c r="B184" s="7" t="n">
        <v>140.6717846557505</v>
      </c>
      <c r="C184" s="7" t="n">
        <v>159.1784075437446</v>
      </c>
      <c r="D184" s="7" t="n">
        <v>107.0689180434078</v>
      </c>
      <c r="E184" s="7" t="n">
        <v>93.02711920121625</v>
      </c>
      <c r="F184" s="7" t="n">
        <v>108.5911985800794</v>
      </c>
      <c r="G184" s="7" t="n">
        <v>98.54633401221996</v>
      </c>
      <c r="H184" s="7" t="n">
        <v>155.8255378475165</v>
      </c>
      <c r="I184" s="7" t="n">
        <v>148.6726582278481</v>
      </c>
      <c r="J184" s="7" t="n">
        <v>141.7923441086458</v>
      </c>
      <c r="K184" s="7" t="n">
        <v>82.67193861572188</v>
      </c>
      <c r="L184" s="7" t="n">
        <v>121.4312866460241</v>
      </c>
      <c r="M184" s="7" t="n">
        <v>81.69306703397612</v>
      </c>
      <c r="N184" s="7" t="n">
        <v>141.9422446264265</v>
      </c>
      <c r="O184" s="8">
        <f>N184*$B$2/100</f>
        <v/>
      </c>
    </row>
    <row r="185">
      <c r="A185" s="6" t="n">
        <v>46238.4657858912</v>
      </c>
      <c r="B185" s="7" t="n">
        <v>152.6553548924231</v>
      </c>
      <c r="C185" s="7" t="n">
        <v>102.2429650535403</v>
      </c>
      <c r="D185" s="7" t="n">
        <v>144.9565498897561</v>
      </c>
      <c r="E185" s="7" t="n">
        <v>160.4310273770975</v>
      </c>
      <c r="F185" s="7" t="n">
        <v>111.3399989475346</v>
      </c>
      <c r="G185" s="7" t="n">
        <v>117.9712097443942</v>
      </c>
      <c r="H185" s="7" t="n">
        <v>142.9039845322809</v>
      </c>
      <c r="I185" s="7" t="n">
        <v>88.95657851779302</v>
      </c>
      <c r="J185" s="7" t="n">
        <v>137.9827692544908</v>
      </c>
      <c r="K185" s="7" t="n">
        <v>67.99682489284014</v>
      </c>
      <c r="L185" s="7" t="n">
        <v>85.75789793438639</v>
      </c>
      <c r="M185" s="7" t="n">
        <v>118.59232739933</v>
      </c>
      <c r="N185" s="7" t="n">
        <v>144.4867125375963</v>
      </c>
      <c r="O185" s="8">
        <f>N185*$B$2/100</f>
        <v/>
      </c>
    </row>
    <row r="186">
      <c r="A186" s="6" t="n">
        <v>46238.46579759259</v>
      </c>
      <c r="B186" s="7" t="n">
        <v>142.6542276726569</v>
      </c>
      <c r="C186" s="7" t="n">
        <v>159.2564412855869</v>
      </c>
      <c r="D186" s="7" t="n">
        <v>111.5895925380461</v>
      </c>
      <c r="E186" s="7" t="n">
        <v>77.28248407643312</v>
      </c>
      <c r="F186" s="7" t="n">
        <v>102.4167764602547</v>
      </c>
      <c r="G186" s="7" t="n">
        <v>84.69500424268138</v>
      </c>
      <c r="H186" s="7" t="n">
        <v>140.2047015270708</v>
      </c>
      <c r="I186" s="7" t="n">
        <v>138.0893065025778</v>
      </c>
      <c r="J186" s="7" t="n">
        <v>158.3579005320077</v>
      </c>
      <c r="K186" s="7" t="n">
        <v>138.5342327997989</v>
      </c>
      <c r="L186" s="7" t="n">
        <v>117.5585458927495</v>
      </c>
      <c r="M186" s="7" t="n">
        <v>101.1034759358289</v>
      </c>
      <c r="N186" s="7" t="n">
        <v>144.6762177085388</v>
      </c>
      <c r="O186" s="8">
        <f>N186*$B$2/100</f>
        <v/>
      </c>
    </row>
    <row r="187">
      <c r="A187" s="6" t="n">
        <v>46238.46580952546</v>
      </c>
      <c r="B187" s="7" t="n">
        <v>131.7533560512185</v>
      </c>
      <c r="C187" s="7" t="n">
        <v>157.8522039187446</v>
      </c>
      <c r="D187" s="7" t="n">
        <v>144.259821586814</v>
      </c>
      <c r="E187" s="7" t="n">
        <v>140.4738614159026</v>
      </c>
      <c r="F187" s="7" t="n">
        <v>139.3231146157172</v>
      </c>
      <c r="G187" s="7" t="n">
        <v>130.8130600852064</v>
      </c>
      <c r="H187" s="7" t="n">
        <v>158.0535216563653</v>
      </c>
      <c r="I187" s="7" t="n">
        <v>143.7632663918074</v>
      </c>
      <c r="J187" s="7" t="n">
        <v>141.023671969899</v>
      </c>
      <c r="K187" s="7" t="n">
        <v>144.5422767690751</v>
      </c>
      <c r="L187" s="7" t="n">
        <v>141.2423268899174</v>
      </c>
      <c r="M187" s="7" t="n">
        <v>153.6765401272759</v>
      </c>
      <c r="N187" s="7" t="n">
        <v>147.6001167472779</v>
      </c>
      <c r="O187" s="8">
        <f>N187*$B$2/100</f>
        <v/>
      </c>
    </row>
    <row r="188">
      <c r="A188" s="6" t="n">
        <v>46238.4658216088</v>
      </c>
      <c r="B188" s="7" t="n">
        <v>151.9318927906927</v>
      </c>
      <c r="C188" s="7" t="n">
        <v>153.8985012783405</v>
      </c>
      <c r="D188" s="7" t="n">
        <v>153.7500037117871</v>
      </c>
      <c r="E188" s="7" t="n">
        <v>152.7174688057041</v>
      </c>
      <c r="F188" s="7" t="n">
        <v>153.822922844407</v>
      </c>
      <c r="G188" s="7" t="n">
        <v>153.5973904204783</v>
      </c>
      <c r="H188" s="7" t="n">
        <v>151.6009033997207</v>
      </c>
      <c r="I188" s="7" t="n">
        <v>152.4116830002315</v>
      </c>
      <c r="J188" s="7" t="n">
        <v>151.6979668490243</v>
      </c>
      <c r="K188" s="7" t="n">
        <v>149.9317494571661</v>
      </c>
      <c r="L188" s="7" t="n">
        <v>151.540924259788</v>
      </c>
      <c r="M188" s="7" t="n">
        <v>152.2349880426118</v>
      </c>
      <c r="N188" s="7" t="n">
        <v>152.6224291569013</v>
      </c>
      <c r="O188" s="8">
        <f>N188*$B$2/100</f>
        <v/>
      </c>
    </row>
    <row r="189">
      <c r="A189" s="6" t="n">
        <v>46238.46583328704</v>
      </c>
      <c r="B189" s="7" t="n">
        <v>143.1750837445981</v>
      </c>
      <c r="C189" s="7" t="n">
        <v>159.7515635614064</v>
      </c>
      <c r="D189" s="7" t="n">
        <v>112.9593509171822</v>
      </c>
      <c r="E189" s="7" t="n">
        <v>87.87628865979381</v>
      </c>
      <c r="F189" s="7" t="n">
        <v>106.3455159474672</v>
      </c>
      <c r="G189" s="7" t="n">
        <v>103.3519529094365</v>
      </c>
      <c r="H189" s="7" t="n">
        <v>148.0551403903359</v>
      </c>
      <c r="I189" s="7" t="n">
        <v>111.4568982548568</v>
      </c>
      <c r="J189" s="7" t="n">
        <v>155.9206749534618</v>
      </c>
      <c r="K189" s="7" t="n">
        <v>122.0878734622144</v>
      </c>
      <c r="L189" s="7" t="n">
        <v>127.8501965115146</v>
      </c>
      <c r="M189" s="7" t="n">
        <v>89.92375835027592</v>
      </c>
      <c r="N189" s="7" t="n">
        <v>144.4721781235117</v>
      </c>
      <c r="O189" s="8">
        <f>N189*$B$2/100</f>
        <v/>
      </c>
    </row>
    <row r="190">
      <c r="A190" s="6" t="n">
        <v>46238.4658449537</v>
      </c>
      <c r="B190" s="7" t="n">
        <v>131.7615200750355</v>
      </c>
      <c r="C190" s="7" t="n">
        <v>95.36541014069552</v>
      </c>
      <c r="D190" s="7" t="n">
        <v>98.36096029860876</v>
      </c>
      <c r="E190" s="7" t="n">
        <v>159.1174978384639</v>
      </c>
      <c r="F190" s="7" t="n">
        <v>123.4745032862431</v>
      </c>
      <c r="G190" s="7" t="n">
        <v>136.5134289380671</v>
      </c>
      <c r="H190" s="7" t="n">
        <v>157.6802172594481</v>
      </c>
      <c r="I190" s="7" t="n">
        <v>127.1053761033048</v>
      </c>
      <c r="J190" s="7" t="n">
        <v>141.1912182452723</v>
      </c>
      <c r="K190" s="7" t="n">
        <v>109.6462304818469</v>
      </c>
      <c r="L190" s="7" t="n">
        <v>88.3001877308787</v>
      </c>
      <c r="M190" s="7" t="n">
        <v>85.50481908674357</v>
      </c>
      <c r="N190" s="7" t="n">
        <v>142.4655720438601</v>
      </c>
      <c r="O190" s="8">
        <f>N190*$B$2/100</f>
        <v/>
      </c>
    </row>
    <row r="191">
      <c r="A191" s="6" t="n">
        <v>46238.46585663194</v>
      </c>
      <c r="B191" s="7" t="n">
        <v>154.3578002666288</v>
      </c>
      <c r="C191" s="7" t="n">
        <v>146.3424913251636</v>
      </c>
      <c r="D191" s="7" t="n">
        <v>156.2641146963606</v>
      </c>
      <c r="E191" s="7" t="n">
        <v>116.9095140422846</v>
      </c>
      <c r="F191" s="7" t="n">
        <v>119.427364327382</v>
      </c>
      <c r="G191" s="7" t="n">
        <v>102.2224736970883</v>
      </c>
      <c r="H191" s="7" t="n">
        <v>138.8973983226621</v>
      </c>
      <c r="I191" s="7" t="n">
        <v>80.68573040045121</v>
      </c>
      <c r="J191" s="7" t="n">
        <v>98.3554263446015</v>
      </c>
      <c r="K191" s="7" t="n">
        <v>116.4943093132154</v>
      </c>
      <c r="L191" s="7" t="n">
        <v>84.11473389355743</v>
      </c>
      <c r="M191" s="7" t="n">
        <v>123.7755343377715</v>
      </c>
      <c r="N191" s="7" t="n">
        <v>140.163470478847</v>
      </c>
      <c r="O191" s="8">
        <f>N191*$B$2/100</f>
        <v/>
      </c>
    </row>
    <row r="192">
      <c r="A192" s="6" t="n">
        <v>46238.46586829861</v>
      </c>
      <c r="B192" s="7" t="n">
        <v>134.5511266164026</v>
      </c>
      <c r="C192" s="7" t="n">
        <v>154.0177199631261</v>
      </c>
      <c r="D192" s="7" t="n">
        <v>115.9064255223545</v>
      </c>
      <c r="E192" s="7" t="n">
        <v>73.90682656826569</v>
      </c>
      <c r="F192" s="7" t="n">
        <v>126.0154529985762</v>
      </c>
      <c r="G192" s="7" t="n">
        <v>118.0358409252087</v>
      </c>
      <c r="H192" s="7" t="n">
        <v>146.7575134298021</v>
      </c>
      <c r="I192" s="7" t="n">
        <v>126.8240868582904</v>
      </c>
      <c r="J192" s="7" t="n">
        <v>158.9408010923474</v>
      </c>
      <c r="K192" s="7" t="n">
        <v>134.5900065982844</v>
      </c>
      <c r="L192" s="7" t="n">
        <v>110.7212995987517</v>
      </c>
      <c r="M192" s="7" t="n">
        <v>78.18375206308454</v>
      </c>
      <c r="N192" s="7" t="n">
        <v>142.3798475995991</v>
      </c>
      <c r="O192" s="8">
        <f>N192*$B$2/100</f>
        <v/>
      </c>
    </row>
    <row r="193">
      <c r="A193" s="6" t="n">
        <v>46238.46587997685</v>
      </c>
      <c r="B193" s="7" t="n">
        <v>135.3826048393802</v>
      </c>
      <c r="C193" s="7" t="n">
        <v>157.0610022901447</v>
      </c>
      <c r="D193" s="7" t="n">
        <v>104.0655990738954</v>
      </c>
      <c r="E193" s="7" t="n">
        <v>88.63948794833352</v>
      </c>
      <c r="F193" s="7" t="n">
        <v>101.6221972609842</v>
      </c>
      <c r="G193" s="7" t="n">
        <v>96.4333039733803</v>
      </c>
      <c r="H193" s="7" t="n">
        <v>156.9544647977235</v>
      </c>
      <c r="I193" s="7" t="n">
        <v>143.8315398886828</v>
      </c>
      <c r="J193" s="7" t="n">
        <v>128.7163680806033</v>
      </c>
      <c r="K193" s="7" t="n">
        <v>117.5994813556291</v>
      </c>
      <c r="L193" s="7" t="n">
        <v>128.1776239461675</v>
      </c>
      <c r="M193" s="7" t="n">
        <v>96.75875618511691</v>
      </c>
      <c r="N193" s="7" t="n">
        <v>140.495605714507</v>
      </c>
      <c r="O193" s="8">
        <f>N193*$B$2/100</f>
        <v/>
      </c>
    </row>
    <row r="194">
      <c r="A194" s="6" t="n">
        <v>46238.46589165509</v>
      </c>
      <c r="B194" s="7" t="n">
        <v>147.10090536196</v>
      </c>
      <c r="C194" s="7" t="n">
        <v>136.2077313084668</v>
      </c>
      <c r="D194" s="7" t="n">
        <v>155.7000205577188</v>
      </c>
      <c r="E194" s="7" t="n">
        <v>88.25361997635933</v>
      </c>
      <c r="F194" s="7" t="n">
        <v>149.4283316654157</v>
      </c>
      <c r="G194" s="7" t="n">
        <v>102.8210878830932</v>
      </c>
      <c r="H194" s="7" t="n">
        <v>143.0291798783101</v>
      </c>
      <c r="I194" s="7" t="n">
        <v>75.4657170662656</v>
      </c>
      <c r="J194" s="7" t="n">
        <v>111.7648599871922</v>
      </c>
      <c r="K194" s="7" t="n">
        <v>63.96234843650287</v>
      </c>
      <c r="L194" s="7" t="n">
        <v>78.42980431510286</v>
      </c>
      <c r="M194" s="7" t="n">
        <v>134.7962741714235</v>
      </c>
      <c r="N194" s="7" t="n">
        <v>141.1478152002134</v>
      </c>
      <c r="O194" s="8">
        <f>N194*$B$2/100</f>
        <v/>
      </c>
    </row>
    <row r="195">
      <c r="A195" s="6" t="n">
        <v>46238.46590337963</v>
      </c>
      <c r="B195" s="7" t="n">
        <v>133.0438767716201</v>
      </c>
      <c r="C195" s="7" t="n">
        <v>157.0764622099101</v>
      </c>
      <c r="D195" s="7" t="n">
        <v>93.55275261984922</v>
      </c>
      <c r="E195" s="7" t="n">
        <v>96.53259814121238</v>
      </c>
      <c r="F195" s="7" t="n">
        <v>108.2077836138798</v>
      </c>
      <c r="G195" s="7" t="n">
        <v>135.6813850721535</v>
      </c>
      <c r="H195" s="7" t="n">
        <v>144.3002130544257</v>
      </c>
      <c r="I195" s="7" t="n">
        <v>145.6767737152969</v>
      </c>
      <c r="J195" s="7" t="n">
        <v>157.4139354924155</v>
      </c>
      <c r="K195" s="7" t="n">
        <v>151.9748992634037</v>
      </c>
      <c r="L195" s="7" t="n">
        <v>103.7783578031539</v>
      </c>
      <c r="M195" s="7" t="n">
        <v>132.608310626703</v>
      </c>
      <c r="N195" s="7" t="n">
        <v>145.0594102266627</v>
      </c>
      <c r="O195" s="8">
        <f>N195*$B$2/100</f>
        <v/>
      </c>
    </row>
    <row r="196">
      <c r="A196" s="6" t="n">
        <v>46238.46591502315</v>
      </c>
      <c r="B196" s="7" t="n">
        <v>137.2414173678197</v>
      </c>
      <c r="C196" s="7" t="n">
        <v>156.7109253588079</v>
      </c>
      <c r="D196" s="7" t="n">
        <v>107.4723451327434</v>
      </c>
      <c r="E196" s="7" t="n">
        <v>100.4243480897514</v>
      </c>
      <c r="F196" s="7" t="n">
        <v>95.89144802723813</v>
      </c>
      <c r="G196" s="7" t="n">
        <v>103.8042072806843</v>
      </c>
      <c r="H196" s="7" t="n">
        <v>157.5973098765028</v>
      </c>
      <c r="I196" s="7" t="n">
        <v>147.6155157109888</v>
      </c>
      <c r="J196" s="7" t="n">
        <v>144.9018427243195</v>
      </c>
      <c r="K196" s="7" t="n">
        <v>80.82357865364493</v>
      </c>
      <c r="L196" s="7" t="n">
        <v>106.5072493087868</v>
      </c>
      <c r="M196" s="7" t="n">
        <v>71.35896578624764</v>
      </c>
      <c r="N196" s="7" t="n">
        <v>142.6347293598756</v>
      </c>
      <c r="O196" s="8">
        <f>N196*$B$2/100</f>
        <v/>
      </c>
    </row>
    <row r="197">
      <c r="A197" s="6" t="n">
        <v>46238.4659266551</v>
      </c>
      <c r="B197" s="7" t="n">
        <v>121.285951666035</v>
      </c>
      <c r="C197" s="7" t="n">
        <v>158.4303390230473</v>
      </c>
      <c r="D197" s="7" t="n">
        <v>157.2197520883859</v>
      </c>
      <c r="E197" s="7" t="n">
        <v>111.3752256511648</v>
      </c>
      <c r="F197" s="7" t="n">
        <v>133.7082834704563</v>
      </c>
      <c r="G197" s="7" t="n">
        <v>93.57792754844145</v>
      </c>
      <c r="H197" s="7" t="n">
        <v>135.3198586780509</v>
      </c>
      <c r="I197" s="7" t="n">
        <v>142.4386949410637</v>
      </c>
      <c r="J197" s="7" t="n">
        <v>130.0975347056008</v>
      </c>
      <c r="K197" s="7" t="n">
        <v>90.36499128976062</v>
      </c>
      <c r="L197" s="7" t="n">
        <v>111.0454607883533</v>
      </c>
      <c r="M197" s="7" t="n">
        <v>92.50159075686537</v>
      </c>
      <c r="N197" s="7" t="n">
        <v>140.0428680542295</v>
      </c>
      <c r="O197" s="8">
        <f>N197*$B$2/100</f>
        <v/>
      </c>
    </row>
    <row r="198">
      <c r="A198" s="6" t="n">
        <v>46238.46593833333</v>
      </c>
      <c r="B198" s="7" t="n">
        <v>143.2701458685404</v>
      </c>
      <c r="C198" s="7" t="n">
        <v>87.15379786566227</v>
      </c>
      <c r="D198" s="7" t="n">
        <v>108.6693125810636</v>
      </c>
      <c r="E198" s="7" t="n">
        <v>91.37126137841352</v>
      </c>
      <c r="F198" s="7" t="n">
        <v>111.6117999671539</v>
      </c>
      <c r="G198" s="7" t="n">
        <v>113.7910252072407</v>
      </c>
      <c r="H198" s="7" t="n">
        <v>140.2520905172414</v>
      </c>
      <c r="I198" s="7" t="n">
        <v>81.64048642223645</v>
      </c>
      <c r="J198" s="7" t="n">
        <v>161.4633597827471</v>
      </c>
      <c r="K198" s="7" t="n">
        <v>129.068418268383</v>
      </c>
      <c r="L198" s="7" t="n">
        <v>113.3273441108545</v>
      </c>
      <c r="M198" s="7" t="n">
        <v>102.893264604811</v>
      </c>
      <c r="N198" s="7" t="n">
        <v>142.5765253879977</v>
      </c>
      <c r="O198" s="8">
        <f>N198*$B$2/100</f>
        <v/>
      </c>
    </row>
    <row r="199">
      <c r="A199" s="6" t="n">
        <v>46238.46594997685</v>
      </c>
      <c r="B199" s="7" t="n">
        <v>155.7521439004139</v>
      </c>
      <c r="C199" s="7" t="n">
        <v>92.36048081249598</v>
      </c>
      <c r="D199" s="7" t="n">
        <v>135.6298910173316</v>
      </c>
      <c r="E199" s="7" t="n">
        <v>79.49343556349123</v>
      </c>
      <c r="F199" s="7" t="n">
        <v>122.1619749887898</v>
      </c>
      <c r="G199" s="7" t="n">
        <v>89.36347553578649</v>
      </c>
      <c r="H199" s="7" t="n">
        <v>158.0309201218849</v>
      </c>
      <c r="I199" s="7" t="n">
        <v>118.5287935656836</v>
      </c>
      <c r="J199" s="7" t="n">
        <v>124.701519609819</v>
      </c>
      <c r="K199" s="7" t="n">
        <v>96.4559306841948</v>
      </c>
      <c r="L199" s="7" t="n">
        <v>96.15489732040614</v>
      </c>
      <c r="M199" s="7" t="n">
        <v>77.98951048951049</v>
      </c>
      <c r="N199" s="7" t="n">
        <v>141.8630111714666</v>
      </c>
      <c r="O199" s="8">
        <f>N199*$B$2/100</f>
        <v/>
      </c>
    </row>
    <row r="200">
      <c r="A200" s="6" t="n">
        <v>46238.46596165509</v>
      </c>
      <c r="B200" s="7" t="n">
        <v>103.0416018383321</v>
      </c>
      <c r="C200" s="7" t="n">
        <v>159.1532175050078</v>
      </c>
      <c r="D200" s="7" t="n">
        <v>158.9540602159532</v>
      </c>
      <c r="E200" s="7" t="n">
        <v>139.5708880326696</v>
      </c>
      <c r="F200" s="7" t="n">
        <v>107.2905198776758</v>
      </c>
      <c r="G200" s="7" t="n">
        <v>82.86072968048704</v>
      </c>
      <c r="H200" s="7" t="n">
        <v>142.2866794716269</v>
      </c>
      <c r="I200" s="7" t="n">
        <v>99.79185916839255</v>
      </c>
      <c r="J200" s="7" t="n">
        <v>110.0114713048186</v>
      </c>
      <c r="K200" s="7" t="n">
        <v>71.97862664847658</v>
      </c>
      <c r="L200" s="7" t="n">
        <v>88.68835666912307</v>
      </c>
      <c r="M200" s="7" t="n">
        <v>136.6766672169033</v>
      </c>
      <c r="N200" s="7" t="n">
        <v>141.2268138801262</v>
      </c>
      <c r="O200" s="8">
        <f>N200*$B$2/100</f>
        <v/>
      </c>
    </row>
    <row r="201">
      <c r="A201" s="6" t="n">
        <v>46238.46597331019</v>
      </c>
      <c r="B201" s="7" t="n">
        <v>144.6675555697496</v>
      </c>
      <c r="C201" s="7" t="n">
        <v>158.0752147132819</v>
      </c>
      <c r="D201" s="7" t="n">
        <v>102.3235107413718</v>
      </c>
      <c r="E201" s="7" t="n">
        <v>127.2049420736178</v>
      </c>
      <c r="F201" s="7" t="n">
        <v>111.5247657916705</v>
      </c>
      <c r="G201" s="7" t="n">
        <v>101.9323447636701</v>
      </c>
      <c r="H201" s="7" t="n">
        <v>143.4663356413994</v>
      </c>
      <c r="I201" s="7" t="n">
        <v>117.290881173761</v>
      </c>
      <c r="J201" s="7" t="n">
        <v>156.9052171834597</v>
      </c>
      <c r="K201" s="7" t="n">
        <v>86.73438232340141</v>
      </c>
      <c r="L201" s="7" t="n">
        <v>96.10567184334909</v>
      </c>
      <c r="M201" s="7" t="n">
        <v>100.0406602629861</v>
      </c>
      <c r="N201" s="7" t="n">
        <v>143.4239979072762</v>
      </c>
      <c r="O201" s="8">
        <f>N201*$B$2/100</f>
        <v/>
      </c>
    </row>
    <row r="202">
      <c r="A202" s="6" t="n">
        <v>46238.46598502315</v>
      </c>
      <c r="B202" s="7" t="n">
        <v>154.0952567167326</v>
      </c>
      <c r="C202" s="7" t="n">
        <v>156.8974140305057</v>
      </c>
      <c r="D202" s="7" t="n">
        <v>147.2506859165451</v>
      </c>
      <c r="E202" s="7" t="n">
        <v>149.38798380031</v>
      </c>
      <c r="F202" s="7" t="n">
        <v>145.9528356627479</v>
      </c>
      <c r="G202" s="7" t="n">
        <v>145.4868249648537</v>
      </c>
      <c r="H202" s="7" t="n">
        <v>150.8536933298593</v>
      </c>
      <c r="I202" s="7" t="n">
        <v>149.1471014793022</v>
      </c>
      <c r="J202" s="7" t="n">
        <v>148.4187768967573</v>
      </c>
      <c r="K202" s="7" t="n">
        <v>149.3350978633437</v>
      </c>
      <c r="L202" s="7" t="n">
        <v>150.4770563166104</v>
      </c>
      <c r="M202" s="7" t="n">
        <v>150.9237962307222</v>
      </c>
      <c r="N202" s="7" t="n">
        <v>150.4061093994523</v>
      </c>
      <c r="O202" s="8">
        <f>N202*$B$2/100</f>
        <v/>
      </c>
    </row>
    <row r="203">
      <c r="A203" s="6" t="n">
        <v>46238.46599671296</v>
      </c>
      <c r="B203" s="7" t="n">
        <v>148.1149523607039</v>
      </c>
      <c r="C203" s="7" t="n">
        <v>148.5942572261422</v>
      </c>
      <c r="D203" s="7" t="n">
        <v>156.4713643076113</v>
      </c>
      <c r="E203" s="7" t="n">
        <v>151.6526481554387</v>
      </c>
      <c r="F203" s="7" t="n">
        <v>152.8193286557581</v>
      </c>
      <c r="G203" s="7" t="n">
        <v>153.8763111304116</v>
      </c>
      <c r="H203" s="7" t="n">
        <v>152.979754189341</v>
      </c>
      <c r="I203" s="7" t="n">
        <v>150.3313643682915</v>
      </c>
      <c r="J203" s="7" t="n">
        <v>150.448710405272</v>
      </c>
      <c r="K203" s="7" t="n">
        <v>150.9269956611834</v>
      </c>
      <c r="L203" s="7" t="n">
        <v>150.1806136375567</v>
      </c>
      <c r="M203" s="7" t="n">
        <v>150.3092602123883</v>
      </c>
      <c r="N203" s="7" t="n">
        <v>151.9488767517249</v>
      </c>
      <c r="O203" s="8">
        <f>N203*$B$2/100</f>
        <v/>
      </c>
    </row>
    <row r="204">
      <c r="A204" s="6" t="n">
        <v>46238.4660083912</v>
      </c>
      <c r="B204" s="7" t="n">
        <v>153.236148368849</v>
      </c>
      <c r="C204" s="7" t="n">
        <v>135.8603256212511</v>
      </c>
      <c r="D204" s="7" t="n">
        <v>121.580063975915</v>
      </c>
      <c r="E204" s="7" t="n">
        <v>103.6887802410857</v>
      </c>
      <c r="F204" s="7" t="n">
        <v>119.1702764498025</v>
      </c>
      <c r="G204" s="7" t="n">
        <v>117.0034742327736</v>
      </c>
      <c r="H204" s="7" t="n">
        <v>141.6734505255527</v>
      </c>
      <c r="I204" s="7" t="n">
        <v>102.1951900079724</v>
      </c>
      <c r="J204" s="7" t="n">
        <v>157.9903349140972</v>
      </c>
      <c r="K204" s="7" t="n">
        <v>127.8520729684909</v>
      </c>
      <c r="L204" s="7" t="n">
        <v>113.7178741150228</v>
      </c>
      <c r="M204" s="7" t="n">
        <v>96.32030054264645</v>
      </c>
      <c r="N204" s="7" t="n">
        <v>143.2580073254364</v>
      </c>
      <c r="O204" s="8">
        <f>N204*$B$2/100</f>
        <v/>
      </c>
    </row>
    <row r="205">
      <c r="A205" s="6" t="n">
        <v>46238.46602006944</v>
      </c>
      <c r="B205" s="7" t="n">
        <v>120.9648403002649</v>
      </c>
      <c r="C205" s="7" t="n">
        <v>156.4278458989759</v>
      </c>
      <c r="D205" s="7" t="n">
        <v>145.2890868909391</v>
      </c>
      <c r="E205" s="7" t="n">
        <v>77.25772747061384</v>
      </c>
      <c r="F205" s="7" t="n">
        <v>111.8974544141542</v>
      </c>
      <c r="G205" s="7" t="n">
        <v>94.13241406288201</v>
      </c>
      <c r="H205" s="7" t="n">
        <v>153.7859414163331</v>
      </c>
      <c r="I205" s="7" t="n">
        <v>110.2386827622936</v>
      </c>
      <c r="J205" s="7" t="n">
        <v>134.9403110128025</v>
      </c>
      <c r="K205" s="7" t="n">
        <v>78.29216467463479</v>
      </c>
      <c r="L205" s="7" t="n">
        <v>76.96129103815439</v>
      </c>
      <c r="M205" s="7" t="n">
        <v>108.4468843412279</v>
      </c>
      <c r="N205" s="7" t="n">
        <v>141.7835490055116</v>
      </c>
      <c r="O205" s="8">
        <f>N205*$B$2/100</f>
        <v/>
      </c>
    </row>
    <row r="206">
      <c r="A206" s="6" t="n">
        <v>46238.46603174769</v>
      </c>
      <c r="B206" s="7" t="n">
        <v>154.2860746812386</v>
      </c>
      <c r="C206" s="7" t="n">
        <v>144.2452899719011</v>
      </c>
      <c r="D206" s="7" t="n">
        <v>120.3154462920787</v>
      </c>
      <c r="E206" s="7" t="n">
        <v>161.4537365004554</v>
      </c>
      <c r="F206" s="7" t="n">
        <v>121.7110824971139</v>
      </c>
      <c r="G206" s="7" t="n">
        <v>95.81555464592714</v>
      </c>
      <c r="H206" s="7" t="n">
        <v>134.9561330733812</v>
      </c>
      <c r="I206" s="7" t="n">
        <v>71.64883343303991</v>
      </c>
      <c r="J206" s="7" t="n">
        <v>111.1664613685597</v>
      </c>
      <c r="K206" s="7" t="n">
        <v>81.68286918096804</v>
      </c>
      <c r="L206" s="7" t="n">
        <v>109.2573024448311</v>
      </c>
      <c r="M206" s="7" t="n">
        <v>90.71291764205149</v>
      </c>
      <c r="N206" s="7" t="n">
        <v>141.4297657178542</v>
      </c>
      <c r="O206" s="8">
        <f>N206*$B$2/100</f>
        <v/>
      </c>
    </row>
    <row r="207">
      <c r="A207" s="6" t="n">
        <v>46238.46604347222</v>
      </c>
      <c r="B207" s="7" t="n">
        <v>131.7494855004677</v>
      </c>
      <c r="C207" s="7" t="n">
        <v>160.5813247789145</v>
      </c>
      <c r="D207" s="7" t="n">
        <v>101.9551146010187</v>
      </c>
      <c r="E207" s="7" t="n">
        <v>139.2678172809931</v>
      </c>
      <c r="F207" s="7" t="n">
        <v>99.35750432813957</v>
      </c>
      <c r="G207" s="7" t="n">
        <v>117.9685134444806</v>
      </c>
      <c r="H207" s="7" t="n">
        <v>132.6802036148361</v>
      </c>
      <c r="I207" s="7" t="n">
        <v>72.70878741895434</v>
      </c>
      <c r="J207" s="7" t="n">
        <v>159.0130987584469</v>
      </c>
      <c r="K207" s="7" t="n">
        <v>125.137642421297</v>
      </c>
      <c r="L207" s="7" t="n">
        <v>131.3502422043744</v>
      </c>
      <c r="M207" s="7" t="n">
        <v>106.6844566268945</v>
      </c>
      <c r="N207" s="7" t="n">
        <v>142.1696145471215</v>
      </c>
      <c r="O207" s="8">
        <f>N207*$B$2/100</f>
        <v/>
      </c>
    </row>
    <row r="208">
      <c r="A208" s="6" t="n">
        <v>46238.46605513889</v>
      </c>
      <c r="B208" s="7" t="n">
        <v>135.5797865500836</v>
      </c>
      <c r="C208" s="7" t="n">
        <v>157.1166920345003</v>
      </c>
      <c r="D208" s="7" t="n">
        <v>116.9489388808797</v>
      </c>
      <c r="E208" s="7" t="n">
        <v>100.2403940886699</v>
      </c>
      <c r="F208" s="7" t="n">
        <v>108.241438435516</v>
      </c>
      <c r="G208" s="7" t="n">
        <v>107.9898044860261</v>
      </c>
      <c r="H208" s="7" t="n">
        <v>156.0906420198205</v>
      </c>
      <c r="I208" s="7" t="n">
        <v>113.7339804119636</v>
      </c>
      <c r="J208" s="7" t="n">
        <v>142.4111143285861</v>
      </c>
      <c r="K208" s="7" t="n">
        <v>87.96078431372548</v>
      </c>
      <c r="L208" s="7" t="n">
        <v>102.2709723677679</v>
      </c>
      <c r="M208" s="7" t="n">
        <v>81.15307608299963</v>
      </c>
      <c r="N208" s="7" t="n">
        <v>142.4574850299401</v>
      </c>
      <c r="O208" s="8">
        <f>N208*$B$2/100</f>
        <v/>
      </c>
    </row>
    <row r="209">
      <c r="A209" s="6" t="n">
        <v>46238.4660668287</v>
      </c>
      <c r="B209" s="7" t="n">
        <v>153.2639426420162</v>
      </c>
      <c r="C209" s="7" t="n">
        <v>146.2983123711041</v>
      </c>
      <c r="D209" s="7" t="n">
        <v>129.9112963339432</v>
      </c>
      <c r="E209" s="7" t="n">
        <v>161.2238225100847</v>
      </c>
      <c r="F209" s="7" t="n">
        <v>101.8632254565178</v>
      </c>
      <c r="G209" s="7" t="n">
        <v>84.01931518876208</v>
      </c>
      <c r="H209" s="7" t="n">
        <v>144.4395869303189</v>
      </c>
      <c r="I209" s="7" t="n">
        <v>98.43561184009765</v>
      </c>
      <c r="J209" s="7" t="n">
        <v>118.2976239246211</v>
      </c>
      <c r="K209" s="7" t="n">
        <v>78.95065075921909</v>
      </c>
      <c r="L209" s="7" t="n">
        <v>128.2117361714451</v>
      </c>
      <c r="M209" s="7" t="n">
        <v>88.34861016105964</v>
      </c>
      <c r="N209" s="7" t="n">
        <v>142.0667406908038</v>
      </c>
      <c r="O209" s="8">
        <f>N209*$B$2/100</f>
        <v/>
      </c>
    </row>
    <row r="210">
      <c r="A210" s="6" t="n">
        <v>46238.46607851852</v>
      </c>
      <c r="B210" s="7" t="n">
        <v>137.6839120028852</v>
      </c>
      <c r="C210" s="7" t="n">
        <v>154.2975541336175</v>
      </c>
      <c r="D210" s="7" t="n">
        <v>129.9747369878184</v>
      </c>
      <c r="E210" s="7" t="n">
        <v>94.98675885187514</v>
      </c>
      <c r="F210" s="7" t="n">
        <v>118.4620535714286</v>
      </c>
      <c r="G210" s="7" t="n">
        <v>109.0652612082584</v>
      </c>
      <c r="H210" s="7" t="n">
        <v>134.5331641008844</v>
      </c>
      <c r="I210" s="7" t="n">
        <v>89.63223888314374</v>
      </c>
      <c r="J210" s="7" t="n">
        <v>157.4967795669073</v>
      </c>
      <c r="K210" s="7" t="n">
        <v>129.3755898755899</v>
      </c>
      <c r="L210" s="7" t="n">
        <v>135.261958530076</v>
      </c>
      <c r="M210" s="7" t="n">
        <v>99.43653209794837</v>
      </c>
      <c r="N210" s="7" t="n">
        <v>143.9909492778476</v>
      </c>
      <c r="O210" s="8">
        <f>N210*$B$2/100</f>
        <v/>
      </c>
    </row>
    <row r="211">
      <c r="A211" s="6" t="n">
        <v>46238.46609020833</v>
      </c>
      <c r="B211" s="7" t="n">
        <v>153.0094281637581</v>
      </c>
      <c r="C211" s="7" t="n">
        <v>132.231784684396</v>
      </c>
      <c r="D211" s="7" t="n">
        <v>104.6194579265965</v>
      </c>
      <c r="E211" s="7" t="n">
        <v>139.6514872393961</v>
      </c>
      <c r="F211" s="7" t="n">
        <v>113.2471416007036</v>
      </c>
      <c r="G211" s="7" t="n">
        <v>106.8724969350225</v>
      </c>
      <c r="H211" s="7" t="n">
        <v>159.52143459497</v>
      </c>
      <c r="I211" s="7" t="n">
        <v>114.271339535724</v>
      </c>
      <c r="J211" s="7" t="n">
        <v>140.9825195394571</v>
      </c>
      <c r="K211" s="7" t="n">
        <v>79.6182364729459</v>
      </c>
      <c r="L211" s="7" t="n">
        <v>93.15751254290996</v>
      </c>
      <c r="M211" s="7" t="n">
        <v>99.98296808003812</v>
      </c>
      <c r="N211" s="7" t="n">
        <v>144.5643548222833</v>
      </c>
      <c r="O211" s="8">
        <f>N211*$B$2/100</f>
        <v/>
      </c>
    </row>
    <row r="212">
      <c r="A212" s="6" t="n">
        <v>46238.46610192129</v>
      </c>
      <c r="B212" s="7" t="n">
        <v>152.3037593736761</v>
      </c>
      <c r="C212" s="7" t="n">
        <v>115.1891412705316</v>
      </c>
      <c r="D212" s="7" t="n">
        <v>159.6174494453187</v>
      </c>
      <c r="E212" s="7" t="n">
        <v>132.3020374382318</v>
      </c>
      <c r="F212" s="7" t="n">
        <v>146.034834037417</v>
      </c>
      <c r="G212" s="7" t="n">
        <v>108.5073388083173</v>
      </c>
      <c r="H212" s="7" t="n">
        <v>142.90971167112</v>
      </c>
      <c r="I212" s="7" t="n">
        <v>110.2551602014277</v>
      </c>
      <c r="J212" s="7" t="n">
        <v>111.6618998162499</v>
      </c>
      <c r="K212" s="7" t="n">
        <v>119.6151582045622</v>
      </c>
      <c r="L212" s="7" t="n">
        <v>117.3726534043149</v>
      </c>
      <c r="M212" s="7" t="n">
        <v>140.5911412429379</v>
      </c>
      <c r="N212" s="7" t="n">
        <v>144.1020732385416</v>
      </c>
      <c r="O212" s="8">
        <f>N212*$B$2/100</f>
        <v/>
      </c>
    </row>
    <row r="213">
      <c r="A213" s="6" t="n">
        <v>46238.46611358797</v>
      </c>
      <c r="B213" s="7" t="n">
        <v>121.8692959656458</v>
      </c>
      <c r="C213" s="7" t="n">
        <v>158.3834344670704</v>
      </c>
      <c r="D213" s="7" t="n">
        <v>134.4891309111627</v>
      </c>
      <c r="E213" s="7" t="n">
        <v>113.4867159682279</v>
      </c>
      <c r="F213" s="7" t="n">
        <v>117.3601625523139</v>
      </c>
      <c r="G213" s="7" t="n">
        <v>119.9908671455073</v>
      </c>
      <c r="H213" s="7" t="n">
        <v>145.8980083545848</v>
      </c>
      <c r="I213" s="7" t="n">
        <v>115.7893950709485</v>
      </c>
      <c r="J213" s="7" t="n">
        <v>159.1681722400367</v>
      </c>
      <c r="K213" s="7" t="n">
        <v>122.7349542609533</v>
      </c>
      <c r="L213" s="7" t="n">
        <v>105.1873941446891</v>
      </c>
      <c r="M213" s="7" t="n">
        <v>107.0806675938804</v>
      </c>
      <c r="N213" s="7" t="n">
        <v>144.896705806917</v>
      </c>
      <c r="O213" s="8">
        <f>N213*$B$2/100</f>
        <v/>
      </c>
    </row>
    <row r="214">
      <c r="A214" s="6" t="n">
        <v>46238.46612524305</v>
      </c>
      <c r="B214" s="7" t="n">
        <v>153.3967139427104</v>
      </c>
      <c r="C214" s="7" t="n">
        <v>126.2082461906185</v>
      </c>
      <c r="D214" s="7" t="n">
        <v>158.0623702615527</v>
      </c>
      <c r="E214" s="7" t="n">
        <v>87.14018765903307</v>
      </c>
      <c r="F214" s="7" t="n">
        <v>116.2522604351596</v>
      </c>
      <c r="G214" s="7" t="n">
        <v>100.1114207815813</v>
      </c>
      <c r="H214" s="7" t="n">
        <v>145.1634009666638</v>
      </c>
      <c r="I214" s="7" t="n">
        <v>114.9185781682121</v>
      </c>
      <c r="J214" s="7" t="n">
        <v>126.5041789784719</v>
      </c>
      <c r="K214" s="7" t="n">
        <v>91.78364973490679</v>
      </c>
      <c r="L214" s="7" t="n">
        <v>113.6036432544777</v>
      </c>
      <c r="M214" s="7" t="n">
        <v>133.0536187113857</v>
      </c>
      <c r="N214" s="7" t="n">
        <v>144.0298055214481</v>
      </c>
      <c r="O214" s="8">
        <f>N214*$B$2/100</f>
        <v/>
      </c>
    </row>
    <row r="215">
      <c r="A215" s="6" t="n">
        <v>46238.46613690972</v>
      </c>
      <c r="B215" s="7" t="n">
        <v>150.1516526682745</v>
      </c>
      <c r="C215" s="7" t="n">
        <v>137.0346753955264</v>
      </c>
      <c r="D215" s="7" t="n">
        <v>157.3960644539462</v>
      </c>
      <c r="E215" s="7" t="n">
        <v>119.1741647758391</v>
      </c>
      <c r="F215" s="7" t="n">
        <v>108.5253190613421</v>
      </c>
      <c r="G215" s="7" t="n">
        <v>92.1414979263235</v>
      </c>
      <c r="H215" s="7" t="n">
        <v>143.1703770044354</v>
      </c>
      <c r="I215" s="7" t="n">
        <v>126.4971061349938</v>
      </c>
      <c r="J215" s="7" t="n">
        <v>135.8466546215836</v>
      </c>
      <c r="K215" s="7" t="n">
        <v>83.1129263913824</v>
      </c>
      <c r="L215" s="7" t="n">
        <v>76.16041206769684</v>
      </c>
      <c r="M215" s="7" t="n">
        <v>121.6083443358859</v>
      </c>
      <c r="N215" s="7" t="n">
        <v>142.6556193601313</v>
      </c>
      <c r="O215" s="8">
        <f>N215*$B$2/100</f>
        <v/>
      </c>
    </row>
    <row r="216">
      <c r="A216" s="6" t="n">
        <v>46238.46614861111</v>
      </c>
      <c r="B216" s="7" t="n">
        <v>112.5045063405797</v>
      </c>
      <c r="C216" s="7" t="n">
        <v>157.3544308500099</v>
      </c>
      <c r="D216" s="7" t="n">
        <v>122.9549677743367</v>
      </c>
      <c r="E216" s="7" t="n">
        <v>95.16090382236113</v>
      </c>
      <c r="F216" s="7" t="n">
        <v>144.1144618093771</v>
      </c>
      <c r="G216" s="7" t="n">
        <v>120.7392922989647</v>
      </c>
      <c r="H216" s="7" t="n">
        <v>159.7488055869718</v>
      </c>
      <c r="I216" s="7" t="n">
        <v>117.5186796116505</v>
      </c>
      <c r="J216" s="7" t="n">
        <v>94.07021350459989</v>
      </c>
      <c r="K216" s="7" t="n">
        <v>86.37480843610888</v>
      </c>
      <c r="L216" s="7" t="n">
        <v>94.6249212548822</v>
      </c>
      <c r="M216" s="7" t="n">
        <v>83.25295109612142</v>
      </c>
      <c r="N216" s="7" t="n">
        <v>143.3072306993821</v>
      </c>
      <c r="O216" s="8">
        <f>N216*$B$2/100</f>
        <v/>
      </c>
    </row>
    <row r="217">
      <c r="A217" s="6" t="n">
        <v>46238.46616034722</v>
      </c>
      <c r="B217" s="7" t="n">
        <v>152.4110115651379</v>
      </c>
      <c r="C217" s="7" t="n">
        <v>151.7649740971936</v>
      </c>
      <c r="D217" s="7" t="n">
        <v>151.6697776569443</v>
      </c>
      <c r="E217" s="7" t="n">
        <v>149.034429841984</v>
      </c>
      <c r="F217" s="7" t="n">
        <v>151.3356386763921</v>
      </c>
      <c r="G217" s="7" t="n">
        <v>156.4435210451073</v>
      </c>
      <c r="H217" s="7" t="n">
        <v>152.393509189601</v>
      </c>
      <c r="I217" s="7" t="n">
        <v>151.4140364320633</v>
      </c>
      <c r="J217" s="7" t="n">
        <v>157.0300242797068</v>
      </c>
      <c r="K217" s="7" t="n">
        <v>151.68437640928</v>
      </c>
      <c r="L217" s="7" t="n">
        <v>150.1237333691708</v>
      </c>
      <c r="M217" s="7" t="n">
        <v>150.7379480966392</v>
      </c>
      <c r="N217" s="7" t="n">
        <v>152.5065583651445</v>
      </c>
      <c r="O217" s="8">
        <f>N217*$B$2/100</f>
        <v/>
      </c>
    </row>
    <row r="218">
      <c r="A218" s="6" t="n">
        <v>46238.46617219907</v>
      </c>
      <c r="B218" s="7" t="n">
        <v>149.0771074971451</v>
      </c>
      <c r="C218" s="7" t="n">
        <v>149.5454011598033</v>
      </c>
      <c r="D218" s="7" t="n">
        <v>155.490081653887</v>
      </c>
      <c r="E218" s="7" t="n">
        <v>150.8194076151623</v>
      </c>
      <c r="F218" s="7" t="n">
        <v>149.8876024604719</v>
      </c>
      <c r="G218" s="7" t="n">
        <v>147.6139670223084</v>
      </c>
      <c r="H218" s="7" t="n">
        <v>151.6583285851376</v>
      </c>
      <c r="I218" s="7" t="n">
        <v>149.4226919892362</v>
      </c>
      <c r="J218" s="7" t="n">
        <v>151.2273869406632</v>
      </c>
      <c r="K218" s="7" t="n">
        <v>148.6118699073101</v>
      </c>
      <c r="L218" s="7" t="n">
        <v>146.0143876012257</v>
      </c>
      <c r="M218" s="7" t="n">
        <v>150.8907255847055</v>
      </c>
      <c r="N218" s="7" t="n">
        <v>150.4559549647314</v>
      </c>
      <c r="O218" s="8">
        <f>N218*$B$2/100</f>
        <v/>
      </c>
    </row>
    <row r="219">
      <c r="A219" s="6" t="n">
        <v>46238.46618388889</v>
      </c>
      <c r="B219" s="7" t="n">
        <v>138.229582213245</v>
      </c>
      <c r="C219" s="7" t="n">
        <v>158.5907993889731</v>
      </c>
      <c r="D219" s="7" t="n">
        <v>127.5078323384889</v>
      </c>
      <c r="E219" s="7" t="n">
        <v>109.0684485500114</v>
      </c>
      <c r="F219" s="7" t="n">
        <v>123.7738331230852</v>
      </c>
      <c r="G219" s="7" t="n">
        <v>114.1006555857228</v>
      </c>
      <c r="H219" s="7" t="n">
        <v>158.1533081910168</v>
      </c>
      <c r="I219" s="7" t="n">
        <v>95.97537558451896</v>
      </c>
      <c r="J219" s="7" t="n">
        <v>124.8634486826583</v>
      </c>
      <c r="K219" s="7" t="n">
        <v>85.31686712485681</v>
      </c>
      <c r="L219" s="7" t="n">
        <v>72.60866086608661</v>
      </c>
      <c r="M219" s="7" t="n">
        <v>100.1473500291206</v>
      </c>
      <c r="N219" s="7" t="n">
        <v>143.8665159253051</v>
      </c>
      <c r="O219" s="8">
        <f>N219*$B$2/100</f>
        <v/>
      </c>
    </row>
    <row r="220">
      <c r="A220" s="6" t="n">
        <v>46238.46619556713</v>
      </c>
      <c r="B220" s="7" t="n">
        <v>121.2472460874835</v>
      </c>
      <c r="C220" s="7" t="n">
        <v>158.2618417450032</v>
      </c>
      <c r="D220" s="7" t="n">
        <v>134.4266040903018</v>
      </c>
      <c r="E220" s="7" t="n">
        <v>99.62115010743887</v>
      </c>
      <c r="F220" s="7" t="n">
        <v>139.7464679397609</v>
      </c>
      <c r="G220" s="7" t="n">
        <v>130.316603632151</v>
      </c>
      <c r="H220" s="7" t="n">
        <v>138.0541094447318</v>
      </c>
      <c r="I220" s="7" t="n">
        <v>92.31996426089546</v>
      </c>
      <c r="J220" s="7" t="n">
        <v>158.6301536438219</v>
      </c>
      <c r="K220" s="7" t="n">
        <v>121.9057591623037</v>
      </c>
      <c r="L220" s="7" t="n">
        <v>114.1592655049653</v>
      </c>
      <c r="M220" s="7" t="n">
        <v>97.37196459641426</v>
      </c>
      <c r="N220" s="7" t="n">
        <v>142.7459945143289</v>
      </c>
      <c r="O220" s="8">
        <f>N220*$B$2/100</f>
        <v/>
      </c>
    </row>
    <row r="221">
      <c r="A221" s="6" t="n">
        <v>46238.46620721065</v>
      </c>
      <c r="B221" s="7" t="n">
        <v>131.3178127920951</v>
      </c>
      <c r="C221" s="7" t="n">
        <v>158.8191301490821</v>
      </c>
      <c r="D221" s="7" t="n">
        <v>155.6905285111145</v>
      </c>
      <c r="E221" s="7" t="n">
        <v>113.2139383373096</v>
      </c>
      <c r="F221" s="7" t="n">
        <v>123.5406847257471</v>
      </c>
      <c r="G221" s="7" t="n">
        <v>120.5024500764002</v>
      </c>
      <c r="H221" s="7" t="n">
        <v>119.7267946063895</v>
      </c>
      <c r="I221" s="7" t="n">
        <v>141.5453907719779</v>
      </c>
      <c r="J221" s="7" t="n">
        <v>132.0941937570759</v>
      </c>
      <c r="K221" s="7" t="n">
        <v>85.5795751024972</v>
      </c>
      <c r="L221" s="7" t="n">
        <v>92.08297413793103</v>
      </c>
      <c r="M221" s="7" t="n">
        <v>77.63085539714868</v>
      </c>
      <c r="N221" s="7" t="n">
        <v>142.852535208446</v>
      </c>
      <c r="O221" s="8">
        <f>N221*$B$2/100</f>
        <v/>
      </c>
    </row>
    <row r="222">
      <c r="A222" s="6" t="n">
        <v>46238.46621891204</v>
      </c>
      <c r="B222" s="7" t="n">
        <v>116.9275491380955</v>
      </c>
      <c r="C222" s="7" t="n">
        <v>158.6373867776394</v>
      </c>
      <c r="D222" s="7" t="n">
        <v>138.6040060051583</v>
      </c>
      <c r="E222" s="7" t="n">
        <v>108.9219273383149</v>
      </c>
      <c r="F222" s="7" t="n">
        <v>121.0843518140562</v>
      </c>
      <c r="G222" s="7" t="n">
        <v>137.5863654147105</v>
      </c>
      <c r="H222" s="7" t="n">
        <v>156.2579900258087</v>
      </c>
      <c r="I222" s="7" t="n">
        <v>142.8332458136414</v>
      </c>
      <c r="J222" s="7" t="n">
        <v>138.732772352656</v>
      </c>
      <c r="K222" s="7" t="n">
        <v>101.5024752475248</v>
      </c>
      <c r="L222" s="7" t="n">
        <v>98.98237697130914</v>
      </c>
      <c r="M222" s="7" t="n">
        <v>110.2759108357465</v>
      </c>
      <c r="N222" s="7" t="n">
        <v>142.0301226770315</v>
      </c>
      <c r="O222" s="8">
        <f>N222*$B$2/100</f>
        <v/>
      </c>
    </row>
    <row r="223">
      <c r="A223" s="6" t="n">
        <v>46238.466230625</v>
      </c>
      <c r="B223" s="7" t="n">
        <v>138.9429930735325</v>
      </c>
      <c r="C223" s="7" t="n">
        <v>158.0430541095536</v>
      </c>
      <c r="D223" s="7" t="n">
        <v>107.097599459033</v>
      </c>
      <c r="E223" s="7" t="n">
        <v>109.0428329514892</v>
      </c>
      <c r="F223" s="7" t="n">
        <v>102.7920844019585</v>
      </c>
      <c r="G223" s="7" t="n">
        <v>96.94250232846942</v>
      </c>
      <c r="H223" s="7" t="n">
        <v>137.0497127802013</v>
      </c>
      <c r="I223" s="7" t="n">
        <v>87.51101461554755</v>
      </c>
      <c r="J223" s="7" t="n">
        <v>158.1726396421043</v>
      </c>
      <c r="K223" s="7" t="n">
        <v>128.997586761664</v>
      </c>
      <c r="L223" s="7" t="n">
        <v>83.55605829431262</v>
      </c>
      <c r="M223" s="7" t="n">
        <v>86.2506349418527</v>
      </c>
      <c r="N223" s="7" t="n">
        <v>143.4777955796566</v>
      </c>
      <c r="O223" s="8">
        <f>N223*$B$2/100</f>
        <v/>
      </c>
    </row>
    <row r="224">
      <c r="A224" s="6" t="n">
        <v>46238.46624228009</v>
      </c>
      <c r="B224" s="7" t="n">
        <v>135.9688712108111</v>
      </c>
      <c r="C224" s="7" t="n">
        <v>159.0617388295489</v>
      </c>
      <c r="D224" s="7" t="n">
        <v>119.9702428542874</v>
      </c>
      <c r="E224" s="7" t="n">
        <v>110.4693177604746</v>
      </c>
      <c r="F224" s="7" t="n">
        <v>131.1200205225932</v>
      </c>
      <c r="G224" s="7" t="n">
        <v>117.8988312487185</v>
      </c>
      <c r="H224" s="7" t="n">
        <v>142.3772692729883</v>
      </c>
      <c r="I224" s="7" t="n">
        <v>163.3535245281911</v>
      </c>
      <c r="J224" s="7" t="n">
        <v>141.2292870905588</v>
      </c>
      <c r="K224" s="7" t="n">
        <v>81.62749349522983</v>
      </c>
      <c r="L224" s="7" t="n">
        <v>90.68178673781995</v>
      </c>
      <c r="M224" s="7" t="n">
        <v>105.3027475375842</v>
      </c>
      <c r="N224" s="7" t="n">
        <v>144.9520217682719</v>
      </c>
      <c r="O224" s="8">
        <f>N224*$B$2/100</f>
        <v/>
      </c>
    </row>
    <row r="225">
      <c r="A225" s="6" t="n">
        <v>46238.46625395834</v>
      </c>
      <c r="B225" s="7" t="n">
        <v>94.35026414263703</v>
      </c>
      <c r="C225" s="7" t="n">
        <v>156.8628836124346</v>
      </c>
      <c r="D225" s="7" t="n">
        <v>131.2076235294118</v>
      </c>
      <c r="E225" s="7" t="n">
        <v>119.1819122115198</v>
      </c>
      <c r="F225" s="7" t="n">
        <v>89.87648606509453</v>
      </c>
      <c r="G225" s="7" t="n">
        <v>102.5312098638582</v>
      </c>
      <c r="H225" s="7" t="n">
        <v>161.6822251932688</v>
      </c>
      <c r="I225" s="7" t="n">
        <v>99.2675657515838</v>
      </c>
      <c r="J225" s="7" t="n">
        <v>148.4396879331157</v>
      </c>
      <c r="K225" s="7" t="n">
        <v>89.89404976559683</v>
      </c>
      <c r="L225" s="7" t="n">
        <v>120.5039200614912</v>
      </c>
      <c r="M225" s="7" t="n">
        <v>92.23854545454546</v>
      </c>
      <c r="N225" s="7" t="n">
        <v>141.467386906207</v>
      </c>
      <c r="O225" s="8">
        <f>N225*$B$2/100</f>
        <v/>
      </c>
    </row>
    <row r="226">
      <c r="A226" s="6" t="n">
        <v>46238.46626561342</v>
      </c>
      <c r="B226" s="7" t="n">
        <v>102.8451856903714</v>
      </c>
      <c r="C226" s="7" t="n">
        <v>159.3904863822226</v>
      </c>
      <c r="D226" s="7" t="n">
        <v>140.9156457119904</v>
      </c>
      <c r="E226" s="7" t="n">
        <v>142.7809061656633</v>
      </c>
      <c r="F226" s="7" t="n">
        <v>103.7547496536711</v>
      </c>
      <c r="G226" s="7" t="n">
        <v>88.00582610093218</v>
      </c>
      <c r="H226" s="7" t="n">
        <v>138.8293338499165</v>
      </c>
      <c r="I226" s="7" t="n">
        <v>95.58210364773934</v>
      </c>
      <c r="J226" s="7" t="n">
        <v>155.2015802738935</v>
      </c>
      <c r="K226" s="7" t="n">
        <v>130.7810688533861</v>
      </c>
      <c r="L226" s="7" t="n">
        <v>112.193732332586</v>
      </c>
      <c r="M226" s="7" t="n">
        <v>127.2927749027159</v>
      </c>
      <c r="N226" s="7" t="n">
        <v>142.0447831460013</v>
      </c>
      <c r="O226" s="8">
        <f>N226*$B$2/100</f>
        <v/>
      </c>
    </row>
    <row r="227">
      <c r="A227" s="6" t="n">
        <v>46238.46627730324</v>
      </c>
      <c r="B227" s="7" t="n">
        <v>149.4460720360676</v>
      </c>
      <c r="C227" s="7" t="n">
        <v>141.9344540156493</v>
      </c>
      <c r="D227" s="7" t="n">
        <v>128.2836825781073</v>
      </c>
      <c r="E227" s="7" t="n">
        <v>158.4144494063073</v>
      </c>
      <c r="F227" s="7" t="n">
        <v>119.2562636448695</v>
      </c>
      <c r="G227" s="7" t="n">
        <v>97.72506170300288</v>
      </c>
      <c r="H227" s="7" t="n">
        <v>149.961471627165</v>
      </c>
      <c r="I227" s="7" t="n">
        <v>131.3853172765169</v>
      </c>
      <c r="J227" s="7" t="n">
        <v>144.7582773512476</v>
      </c>
      <c r="K227" s="7" t="n">
        <v>81.99473857283789</v>
      </c>
      <c r="L227" s="7" t="n">
        <v>95.03008985164031</v>
      </c>
      <c r="M227" s="7" t="n">
        <v>133.1654564062576</v>
      </c>
      <c r="N227" s="7" t="n">
        <v>143.9647129306041</v>
      </c>
      <c r="O227" s="8">
        <f>N227*$B$2/100</f>
        <v/>
      </c>
    </row>
    <row r="228">
      <c r="A228" s="6" t="n">
        <v>46238.46628901621</v>
      </c>
      <c r="B228" s="7" t="n">
        <v>109.1431864132632</v>
      </c>
      <c r="C228" s="7" t="n">
        <v>159.0465967639881</v>
      </c>
      <c r="D228" s="7" t="n">
        <v>96.39117515970881</v>
      </c>
      <c r="E228" s="7" t="n">
        <v>96.10136126714235</v>
      </c>
      <c r="F228" s="7" t="n">
        <v>96.08771777758515</v>
      </c>
      <c r="G228" s="7" t="n">
        <v>94.40391459074733</v>
      </c>
      <c r="H228" s="7" t="n">
        <v>156.3261901929746</v>
      </c>
      <c r="I228" s="7" t="n">
        <v>111.9352788891504</v>
      </c>
      <c r="J228" s="7" t="n">
        <v>140.0691648709728</v>
      </c>
      <c r="K228" s="7" t="n">
        <v>91.99282024341126</v>
      </c>
      <c r="L228" s="7" t="n">
        <v>95.49403217436429</v>
      </c>
      <c r="M228" s="7" t="n">
        <v>122.1874347924699</v>
      </c>
      <c r="N228" s="7" t="n">
        <v>139.4581151333956</v>
      </c>
      <c r="O228" s="8">
        <f>N228*$B$2/100</f>
        <v/>
      </c>
    </row>
    <row r="229">
      <c r="A229" s="6" t="n">
        <v>46238.46630070602</v>
      </c>
      <c r="B229" s="7" t="n">
        <v>141.7367367058968</v>
      </c>
      <c r="C229" s="7" t="n">
        <v>158.0776808889148</v>
      </c>
      <c r="D229" s="7" t="n">
        <v>97.59680139938777</v>
      </c>
      <c r="E229" s="7" t="n">
        <v>99.42698236135388</v>
      </c>
      <c r="F229" s="7" t="n">
        <v>99.87858576501466</v>
      </c>
      <c r="G229" s="7" t="n">
        <v>100.3338841963521</v>
      </c>
      <c r="H229" s="7" t="n">
        <v>128.2810517553176</v>
      </c>
      <c r="I229" s="7" t="n">
        <v>93.27342239409387</v>
      </c>
      <c r="J229" s="7" t="n">
        <v>159.1894998745281</v>
      </c>
      <c r="K229" s="7" t="n">
        <v>135.2503317535545</v>
      </c>
      <c r="L229" s="7" t="n">
        <v>95.57169419227824</v>
      </c>
      <c r="M229" s="7" t="n">
        <v>112.2026950834461</v>
      </c>
      <c r="N229" s="7" t="n">
        <v>143.0170354254751</v>
      </c>
      <c r="O229" s="8">
        <f>N229*$B$2/100</f>
        <v/>
      </c>
    </row>
    <row r="230">
      <c r="A230" s="6" t="n">
        <v>46238.46631237269</v>
      </c>
      <c r="B230" s="7" t="n">
        <v>150.9131562046574</v>
      </c>
      <c r="C230" s="7" t="n">
        <v>139.0815510507718</v>
      </c>
      <c r="D230" s="7" t="n">
        <v>122.857679202423</v>
      </c>
      <c r="E230" s="7" t="n">
        <v>159.1327985372158</v>
      </c>
      <c r="F230" s="7" t="n">
        <v>132.9695500940868</v>
      </c>
      <c r="G230" s="7" t="n">
        <v>98.96576293143333</v>
      </c>
      <c r="H230" s="7" t="n">
        <v>129.8746362649294</v>
      </c>
      <c r="I230" s="7" t="n">
        <v>115.9112476664592</v>
      </c>
      <c r="J230" s="7" t="n">
        <v>142.3673486337588</v>
      </c>
      <c r="K230" s="7" t="n">
        <v>85.55971753147068</v>
      </c>
      <c r="L230" s="7" t="n">
        <v>102.6153577203794</v>
      </c>
      <c r="M230" s="7" t="n">
        <v>79.11114373807077</v>
      </c>
      <c r="N230" s="7" t="n">
        <v>141.736049258413</v>
      </c>
      <c r="O230" s="8">
        <f>N230*$B$2/100</f>
        <v/>
      </c>
    </row>
    <row r="231">
      <c r="A231" s="6" t="n">
        <v>46238.46632402778</v>
      </c>
      <c r="B231" s="7" t="n">
        <v>117.0978753319794</v>
      </c>
      <c r="C231" s="7" t="n">
        <v>158.3606557377049</v>
      </c>
      <c r="D231" s="7" t="n">
        <v>131.5298516320475</v>
      </c>
      <c r="E231" s="7" t="n">
        <v>134.4453409996859</v>
      </c>
      <c r="F231" s="7" t="n">
        <v>110.4637823129252</v>
      </c>
      <c r="G231" s="7" t="n">
        <v>90.8000488997555</v>
      </c>
      <c r="H231" s="7" t="n">
        <v>157.8571870295368</v>
      </c>
      <c r="I231" s="7" t="n">
        <v>132.5317831918102</v>
      </c>
      <c r="J231" s="7" t="n">
        <v>141.7479813812102</v>
      </c>
      <c r="K231" s="7" t="n">
        <v>87.1918204849801</v>
      </c>
      <c r="L231" s="7" t="n">
        <v>87.36045506912443</v>
      </c>
      <c r="M231" s="7" t="n">
        <v>105.4829419155311</v>
      </c>
      <c r="N231" s="7" t="n">
        <v>143.3681586872988</v>
      </c>
      <c r="O231" s="8">
        <f>N231*$B$2/100</f>
        <v/>
      </c>
    </row>
    <row r="232">
      <c r="A232" s="6" t="n">
        <v>46238.46633576389</v>
      </c>
      <c r="B232" s="7" t="n">
        <v>151.3311198575167</v>
      </c>
      <c r="C232" s="7" t="n">
        <v>155.7570253975059</v>
      </c>
      <c r="D232" s="7" t="n">
        <v>150.920575943738</v>
      </c>
      <c r="E232" s="7" t="n">
        <v>151.4313362401536</v>
      </c>
      <c r="F232" s="7" t="n">
        <v>151.4432854032586</v>
      </c>
      <c r="G232" s="7" t="n">
        <v>150.3545334794719</v>
      </c>
      <c r="H232" s="7" t="n">
        <v>152.6643109845295</v>
      </c>
      <c r="I232" s="7" t="n">
        <v>149.5584664292006</v>
      </c>
      <c r="J232" s="7" t="n">
        <v>154.7198415075215</v>
      </c>
      <c r="K232" s="7" t="n">
        <v>151.8466621164375</v>
      </c>
      <c r="L232" s="7" t="n">
        <v>150.208393422097</v>
      </c>
      <c r="M232" s="7" t="n">
        <v>150.9680918071068</v>
      </c>
      <c r="N232" s="7" t="n">
        <v>151.9805253990444</v>
      </c>
      <c r="O232" s="8">
        <f>N232*$B$2/100</f>
        <v/>
      </c>
    </row>
    <row r="233">
      <c r="A233" s="6" t="n">
        <v>46238.46634746528</v>
      </c>
      <c r="B233" s="7" t="n">
        <v>146.7644104095602</v>
      </c>
      <c r="C233" s="7" t="n">
        <v>149.849140896188</v>
      </c>
      <c r="D233" s="7" t="n">
        <v>151.5766526795216</v>
      </c>
      <c r="E233" s="7" t="n">
        <v>148.1797047564143</v>
      </c>
      <c r="F233" s="7" t="n">
        <v>150.5205976031429</v>
      </c>
      <c r="G233" s="7" t="n">
        <v>148.3077009112529</v>
      </c>
      <c r="H233" s="7" t="n">
        <v>152.9518135767169</v>
      </c>
      <c r="I233" s="7" t="n">
        <v>151.1635289446301</v>
      </c>
      <c r="J233" s="7" t="n">
        <v>145.1778477021396</v>
      </c>
      <c r="K233" s="7" t="n">
        <v>147.3476434584326</v>
      </c>
      <c r="L233" s="7" t="n">
        <v>151.9002664160789</v>
      </c>
      <c r="M233" s="7" t="n">
        <v>141.1987884422622</v>
      </c>
      <c r="N233" s="7" t="n">
        <v>149.1874468491868</v>
      </c>
      <c r="O233" s="8">
        <f>N233*$B$2/100</f>
        <v/>
      </c>
    </row>
    <row r="234">
      <c r="A234" s="6" t="n">
        <v>46238.46635925926</v>
      </c>
      <c r="B234" s="7" t="n">
        <v>130.1497377352669</v>
      </c>
      <c r="C234" s="7" t="n">
        <v>158.8273394003978</v>
      </c>
      <c r="D234" s="7" t="n">
        <v>107.8725724822473</v>
      </c>
      <c r="E234" s="7" t="n">
        <v>104.0924515988688</v>
      </c>
      <c r="F234" s="7" t="n">
        <v>112.2235224785317</v>
      </c>
      <c r="G234" s="7" t="n">
        <v>113.2871814671815</v>
      </c>
      <c r="H234" s="7" t="n">
        <v>158.3778353633051</v>
      </c>
      <c r="I234" s="7" t="n">
        <v>120.6799274081857</v>
      </c>
      <c r="J234" s="7" t="n">
        <v>115.4400133072733</v>
      </c>
      <c r="K234" s="7" t="n">
        <v>103.9495165636392</v>
      </c>
      <c r="L234" s="7" t="n">
        <v>132.8765642291649</v>
      </c>
      <c r="M234" s="7" t="n">
        <v>76.94738994139294</v>
      </c>
      <c r="N234" s="7" t="n">
        <v>142.355210942015</v>
      </c>
      <c r="O234" s="8">
        <f>N234*$B$2/100</f>
        <v/>
      </c>
    </row>
    <row r="235">
      <c r="A235" s="6" t="n">
        <v>46238.46637097222</v>
      </c>
      <c r="B235" s="7" t="n">
        <v>112.2086684756275</v>
      </c>
      <c r="C235" s="7" t="n">
        <v>154.4959856942063</v>
      </c>
      <c r="D235" s="7" t="n">
        <v>146.926677139161</v>
      </c>
      <c r="E235" s="7" t="n">
        <v>139.580369421599</v>
      </c>
      <c r="F235" s="7" t="n">
        <v>99.37693798449612</v>
      </c>
      <c r="G235" s="7" t="n">
        <v>89.19687026754164</v>
      </c>
      <c r="H235" s="7" t="n">
        <v>137.7912542201603</v>
      </c>
      <c r="I235" s="7" t="n">
        <v>104.0910388297556</v>
      </c>
      <c r="J235" s="7" t="n">
        <v>155.3827251437556</v>
      </c>
      <c r="K235" s="7" t="n">
        <v>118.5845171380164</v>
      </c>
      <c r="L235" s="7" t="n">
        <v>148.2165275922051</v>
      </c>
      <c r="M235" s="7" t="n">
        <v>75.80334135636416</v>
      </c>
      <c r="N235" s="7" t="n">
        <v>142.4494198694706</v>
      </c>
      <c r="O235" s="8">
        <f>N235*$B$2/100</f>
        <v/>
      </c>
    </row>
    <row r="236">
      <c r="A236" s="6" t="n">
        <v>46238.46638262732</v>
      </c>
      <c r="B236" s="7" t="n">
        <v>146.623951452717</v>
      </c>
      <c r="C236" s="7" t="n">
        <v>89.65322400713967</v>
      </c>
      <c r="D236" s="7" t="n">
        <v>130.9123080347207</v>
      </c>
      <c r="E236" s="7" t="n">
        <v>159.642355674529</v>
      </c>
      <c r="F236" s="7" t="n">
        <v>109.3463670475866</v>
      </c>
      <c r="G236" s="7" t="n">
        <v>105.2923266380738</v>
      </c>
      <c r="H236" s="7" t="n">
        <v>142.4323679134916</v>
      </c>
      <c r="I236" s="7" t="n">
        <v>112.2750351288056</v>
      </c>
      <c r="J236" s="7" t="n">
        <v>123.1395895577215</v>
      </c>
      <c r="K236" s="7" t="n">
        <v>109.5294967493378</v>
      </c>
      <c r="L236" s="7" t="n">
        <v>108.5470323264441</v>
      </c>
      <c r="M236" s="7" t="n">
        <v>123.7502112676056</v>
      </c>
      <c r="N236" s="7" t="n">
        <v>138.0600476825474</v>
      </c>
      <c r="O236" s="8">
        <f>N236*$B$2/100</f>
        <v/>
      </c>
    </row>
    <row r="237">
      <c r="A237" s="6" t="n">
        <v>46238.466394375</v>
      </c>
      <c r="B237" s="7" t="n">
        <v>62.54247430171179</v>
      </c>
      <c r="C237" s="7" t="n">
        <v>65.17473727591181</v>
      </c>
      <c r="D237" s="7" t="n">
        <v>131.7800646868568</v>
      </c>
      <c r="E237" s="7" t="n">
        <v>134.4400397690013</v>
      </c>
      <c r="F237" s="7" t="n">
        <v>77.90498219183691</v>
      </c>
      <c r="G237" s="7" t="n">
        <v>80.34348956951006</v>
      </c>
      <c r="H237" s="7" t="n">
        <v>107.8742016393867</v>
      </c>
      <c r="I237" s="7" t="n">
        <v>85.62368421052632</v>
      </c>
      <c r="J237" s="7" t="n">
        <v>61.33688006147662</v>
      </c>
      <c r="K237" s="7" t="n">
        <v>51.7467328538142</v>
      </c>
      <c r="L237" s="7" t="n">
        <v>76.70028985507247</v>
      </c>
      <c r="M237" s="7" t="n">
        <v>93.37235001185677</v>
      </c>
      <c r="N237" s="7" t="n">
        <v>92.09490265486725</v>
      </c>
      <c r="O237" s="8">
        <f>N237*$B$2/100</f>
        <v/>
      </c>
    </row>
    <row r="238">
      <c r="A238" s="6" t="n">
        <v>46238.46640603009</v>
      </c>
      <c r="B238" s="7" t="n">
        <v>102.7975323518625</v>
      </c>
      <c r="C238" s="7" t="n">
        <v>158.7040306571838</v>
      </c>
      <c r="D238" s="7" t="n">
        <v>148.0397944259365</v>
      </c>
      <c r="E238" s="7" t="n">
        <v>131.226985117191</v>
      </c>
      <c r="F238" s="7" t="n">
        <v>117.0728750781663</v>
      </c>
      <c r="G238" s="7" t="n">
        <v>119.3404567058571</v>
      </c>
      <c r="H238" s="7" t="n">
        <v>156.6300512400791</v>
      </c>
      <c r="I238" s="7" t="n">
        <v>118.3036823887568</v>
      </c>
      <c r="J238" s="7" t="n">
        <v>144.9637432631063</v>
      </c>
      <c r="K238" s="7" t="n">
        <v>84.17160578911096</v>
      </c>
      <c r="L238" s="7" t="n">
        <v>135.6092359732333</v>
      </c>
      <c r="M238" s="7" t="n">
        <v>95.15497771173848</v>
      </c>
      <c r="N238" s="7" t="n">
        <v>143.6141782778523</v>
      </c>
      <c r="O238" s="8">
        <f>N238*$B$2/100</f>
        <v/>
      </c>
    </row>
    <row r="239">
      <c r="A239" s="6" t="n">
        <v>46238.46641775463</v>
      </c>
      <c r="B239" s="7" t="n">
        <v>131.9031964456512</v>
      </c>
      <c r="C239" s="7" t="n">
        <v>158.6182315418307</v>
      </c>
      <c r="D239" s="7" t="n">
        <v>119.7744960314673</v>
      </c>
      <c r="E239" s="7" t="n">
        <v>138.994207113019</v>
      </c>
      <c r="F239" s="7" t="n">
        <v>152.5037476099426</v>
      </c>
      <c r="G239" s="7" t="n">
        <v>123.4955054224903</v>
      </c>
      <c r="H239" s="7" t="n">
        <v>136.281185652185</v>
      </c>
      <c r="I239" s="7" t="n">
        <v>105.4028360295586</v>
      </c>
      <c r="J239" s="7" t="n">
        <v>158.1351759826859</v>
      </c>
      <c r="K239" s="7" t="n">
        <v>135.1158947443081</v>
      </c>
      <c r="L239" s="7" t="n">
        <v>120.3317924344033</v>
      </c>
      <c r="M239" s="7" t="n">
        <v>80.39756892973614</v>
      </c>
      <c r="N239" s="7" t="n">
        <v>145.7459817893903</v>
      </c>
      <c r="O239" s="8">
        <f>N239*$B$2/100</f>
        <v/>
      </c>
    </row>
    <row r="240">
      <c r="A240" s="6" t="n">
        <v>46238.46642947917</v>
      </c>
      <c r="B240" s="7" t="n">
        <v>153.3547118216239</v>
      </c>
      <c r="C240" s="7" t="n">
        <v>141.5329697253766</v>
      </c>
      <c r="D240" s="7" t="n">
        <v>160.4935638245923</v>
      </c>
      <c r="E240" s="7" t="n">
        <v>109.4405917706889</v>
      </c>
      <c r="F240" s="7" t="n">
        <v>125.6703954858189</v>
      </c>
      <c r="G240" s="7" t="n">
        <v>120.5297491939874</v>
      </c>
      <c r="H240" s="7" t="n">
        <v>145.317701943105</v>
      </c>
      <c r="I240" s="7" t="n">
        <v>106.8003523990241</v>
      </c>
      <c r="J240" s="7" t="n">
        <v>141.7391334424793</v>
      </c>
      <c r="K240" s="7" t="n">
        <v>111.2679173384142</v>
      </c>
      <c r="L240" s="7" t="n">
        <v>105.5846565566459</v>
      </c>
      <c r="M240" s="7" t="n">
        <v>106.7241356774067</v>
      </c>
      <c r="N240" s="7" t="n">
        <v>145.4760449121157</v>
      </c>
      <c r="O240" s="8">
        <f>N240*$B$2/100</f>
        <v/>
      </c>
    </row>
    <row r="241">
      <c r="A241" s="6" t="n">
        <v>46238.46644119213</v>
      </c>
      <c r="B241" s="7" t="n">
        <v>128.9079233166493</v>
      </c>
      <c r="C241" s="7" t="n">
        <v>159.3688620035166</v>
      </c>
      <c r="D241" s="7" t="n">
        <v>96.13411398774129</v>
      </c>
      <c r="E241" s="7" t="n">
        <v>100.9799386358272</v>
      </c>
      <c r="F241" s="7" t="n">
        <v>119.5306861959797</v>
      </c>
      <c r="G241" s="7" t="n">
        <v>99.34477560013916</v>
      </c>
      <c r="H241" s="7" t="n">
        <v>159.7765813302782</v>
      </c>
      <c r="I241" s="7" t="n">
        <v>123.9039477158701</v>
      </c>
      <c r="J241" s="7" t="n">
        <v>145.344673637569</v>
      </c>
      <c r="K241" s="7" t="n">
        <v>116.5241530231804</v>
      </c>
      <c r="L241" s="7" t="n">
        <v>104.2285630670178</v>
      </c>
      <c r="M241" s="7" t="n">
        <v>83.82869030390738</v>
      </c>
      <c r="N241" s="7" t="n">
        <v>145.1859242614773</v>
      </c>
      <c r="O241" s="8">
        <f>N241*$B$2/100</f>
        <v/>
      </c>
    </row>
    <row r="242">
      <c r="A242" s="6" t="n">
        <v>46238.46645284722</v>
      </c>
      <c r="B242" s="7" t="n">
        <v>148.1827258435623</v>
      </c>
      <c r="C242" s="7" t="n">
        <v>159.6121777812638</v>
      </c>
      <c r="D242" s="7" t="n">
        <v>93.30451829012981</v>
      </c>
      <c r="E242" s="7" t="n">
        <v>100.4431416760616</v>
      </c>
      <c r="F242" s="7" t="n">
        <v>102.1163494646033</v>
      </c>
      <c r="G242" s="7" t="n">
        <v>92.75359198998748</v>
      </c>
      <c r="H242" s="7" t="n">
        <v>134.3011913305583</v>
      </c>
      <c r="I242" s="7" t="n">
        <v>138.1407696054554</v>
      </c>
      <c r="J242" s="7" t="n">
        <v>154.827074002011</v>
      </c>
      <c r="K242" s="7" t="n">
        <v>128.0985208522454</v>
      </c>
      <c r="L242" s="7" t="n">
        <v>131.3006053505175</v>
      </c>
      <c r="M242" s="7" t="n">
        <v>118.8301505279712</v>
      </c>
      <c r="N242" s="7" t="n">
        <v>143.1542999425398</v>
      </c>
      <c r="O242" s="8">
        <f>N242*$B$2/100</f>
        <v/>
      </c>
    </row>
    <row r="243">
      <c r="A243" s="6" t="n">
        <v>46238.46646450231</v>
      </c>
      <c r="B243" s="7" t="n">
        <v>150.2407715029569</v>
      </c>
      <c r="C243" s="7" t="n">
        <v>126.005824614389</v>
      </c>
      <c r="D243" s="7" t="n">
        <v>160.398134584178</v>
      </c>
      <c r="E243" s="7" t="n">
        <v>114.4356282803334</v>
      </c>
      <c r="F243" s="7" t="n">
        <v>118.9509553235315</v>
      </c>
      <c r="G243" s="7" t="n">
        <v>129.190536908126</v>
      </c>
      <c r="H243" s="7" t="n">
        <v>148.1445030174367</v>
      </c>
      <c r="I243" s="7" t="n">
        <v>91.42334401709402</v>
      </c>
      <c r="J243" s="7" t="n">
        <v>128.1254251963634</v>
      </c>
      <c r="K243" s="7" t="n">
        <v>76.90171516669879</v>
      </c>
      <c r="L243" s="7" t="n">
        <v>116.7516077170418</v>
      </c>
      <c r="M243" s="7" t="n">
        <v>106.1568863383932</v>
      </c>
      <c r="N243" s="7" t="n">
        <v>145.7488301428137</v>
      </c>
      <c r="O243" s="8">
        <f>N243*$B$2/100</f>
        <v/>
      </c>
    </row>
    <row r="244">
      <c r="A244" s="6" t="n">
        <v>46238.46647618055</v>
      </c>
      <c r="B244" s="7" t="n">
        <v>102.3660109957239</v>
      </c>
      <c r="C244" s="7" t="n">
        <v>158.7507972993327</v>
      </c>
      <c r="D244" s="7" t="n">
        <v>133.9236060384709</v>
      </c>
      <c r="E244" s="7" t="n">
        <v>134.5253346648596</v>
      </c>
      <c r="F244" s="7" t="n">
        <v>89.97001640893043</v>
      </c>
      <c r="G244" s="7" t="n">
        <v>110.539453239827</v>
      </c>
      <c r="H244" s="7" t="n">
        <v>152.5002421727595</v>
      </c>
      <c r="I244" s="7" t="n">
        <v>115.7832153004538</v>
      </c>
      <c r="J244" s="7" t="n">
        <v>149.4364522296922</v>
      </c>
      <c r="K244" s="7" t="n">
        <v>96.81221930344886</v>
      </c>
      <c r="L244" s="7" t="n">
        <v>137.4248039914469</v>
      </c>
      <c r="M244" s="7" t="n">
        <v>89.89454231859061</v>
      </c>
      <c r="N244" s="7" t="n">
        <v>140.0033670685218</v>
      </c>
      <c r="O244" s="8">
        <f>N244*$B$2/100</f>
        <v/>
      </c>
    </row>
    <row r="245">
      <c r="A245" s="6" t="n">
        <v>46238.46648788195</v>
      </c>
      <c r="B245" s="7" t="n">
        <v>133.543086722195</v>
      </c>
      <c r="C245" s="7" t="n">
        <v>159.4413639187355</v>
      </c>
      <c r="D245" s="7" t="n">
        <v>123.1948731362804</v>
      </c>
      <c r="E245" s="7" t="n">
        <v>112.6422952336881</v>
      </c>
      <c r="F245" s="7" t="n">
        <v>123.931656474751</v>
      </c>
      <c r="G245" s="7" t="n">
        <v>123.3903947446292</v>
      </c>
      <c r="H245" s="7" t="n">
        <v>142.6820652781817</v>
      </c>
      <c r="I245" s="7" t="n">
        <v>121.4019257042483</v>
      </c>
      <c r="J245" s="7" t="n">
        <v>155.1748252303781</v>
      </c>
      <c r="K245" s="7" t="n">
        <v>99.78988588051018</v>
      </c>
      <c r="L245" s="7" t="n">
        <v>143.6189886810533</v>
      </c>
      <c r="M245" s="7" t="n">
        <v>147.692141453831</v>
      </c>
      <c r="N245" s="7" t="n">
        <v>144.8694935124287</v>
      </c>
      <c r="O245" s="8">
        <f>N245*$B$2/100</f>
        <v/>
      </c>
    </row>
    <row r="246">
      <c r="A246" s="6" t="n">
        <v>46238.46649952546</v>
      </c>
      <c r="B246" s="7" t="n">
        <v>122.9242253559359</v>
      </c>
      <c r="C246" s="7" t="n">
        <v>138.3761796704345</v>
      </c>
      <c r="D246" s="7" t="n">
        <v>110.1359901900674</v>
      </c>
      <c r="E246" s="7" t="n">
        <v>158.4454453202108</v>
      </c>
      <c r="F246" s="7" t="n">
        <v>100.4361356048284</v>
      </c>
      <c r="G246" s="7" t="n">
        <v>104.954289683918</v>
      </c>
      <c r="H246" s="7" t="n">
        <v>148.3405295401141</v>
      </c>
      <c r="I246" s="7" t="n">
        <v>96.5589606152412</v>
      </c>
      <c r="J246" s="7" t="n">
        <v>140.3360404143752</v>
      </c>
      <c r="K246" s="7" t="n">
        <v>65.26318347509113</v>
      </c>
      <c r="L246" s="7" t="n">
        <v>156.9839817777737</v>
      </c>
      <c r="M246" s="7" t="n">
        <v>84.04853542234332</v>
      </c>
      <c r="N246" s="7" t="n">
        <v>140.1497554047657</v>
      </c>
      <c r="O246" s="8">
        <f>N246*$B$2/100</f>
        <v/>
      </c>
    </row>
    <row r="247">
      <c r="A247" s="6" t="n">
        <v>46238.46651128472</v>
      </c>
      <c r="B247" s="7" t="n">
        <v>151.6521079129725</v>
      </c>
      <c r="C247" s="7" t="n">
        <v>155.5018414855051</v>
      </c>
      <c r="D247" s="7" t="n">
        <v>152.1798084641964</v>
      </c>
      <c r="E247" s="7" t="n">
        <v>153.3233399024417</v>
      </c>
      <c r="F247" s="7" t="n">
        <v>151.7059303923293</v>
      </c>
      <c r="G247" s="7" t="n">
        <v>151.422945111209</v>
      </c>
      <c r="H247" s="7" t="n">
        <v>154.2916765434509</v>
      </c>
      <c r="I247" s="7" t="n">
        <v>151.8214625848106</v>
      </c>
      <c r="J247" s="7" t="n">
        <v>151.8926196125853</v>
      </c>
      <c r="K247" s="7" t="n">
        <v>151.3928245925412</v>
      </c>
      <c r="L247" s="7" t="n">
        <v>151.6472255558131</v>
      </c>
      <c r="M247" s="7" t="n">
        <v>152.0442147306243</v>
      </c>
      <c r="N247" s="7" t="n">
        <v>152.5468181485011</v>
      </c>
      <c r="O247" s="8">
        <f>N247*$B$2/100</f>
        <v/>
      </c>
    </row>
    <row r="248">
      <c r="A248" s="6" t="n">
        <v>46238.46652295139</v>
      </c>
      <c r="B248" s="7" t="n">
        <v>143.0195271259371</v>
      </c>
      <c r="C248" s="7" t="n">
        <v>156.8694703647571</v>
      </c>
      <c r="D248" s="7" t="n">
        <v>143.8851486323451</v>
      </c>
      <c r="E248" s="7" t="n">
        <v>144.3658423000564</v>
      </c>
      <c r="F248" s="7" t="n">
        <v>125.5319799057434</v>
      </c>
      <c r="G248" s="7" t="n">
        <v>107.3731392008357</v>
      </c>
      <c r="H248" s="7" t="n">
        <v>150.5157539630551</v>
      </c>
      <c r="I248" s="7" t="n">
        <v>146.4990584542958</v>
      </c>
      <c r="J248" s="7" t="n">
        <v>155.3882984683543</v>
      </c>
      <c r="K248" s="7" t="n">
        <v>144.1187824956672</v>
      </c>
      <c r="L248" s="7" t="n">
        <v>112.5142715665122</v>
      </c>
      <c r="M248" s="7" t="n">
        <v>106.7493240633449</v>
      </c>
      <c r="N248" s="7" t="n">
        <v>145.8613612098226</v>
      </c>
      <c r="O248" s="8">
        <f>N248*$B$2/100</f>
        <v/>
      </c>
    </row>
    <row r="249">
      <c r="A249" s="6" t="n">
        <v>46238.4665346412</v>
      </c>
      <c r="B249" s="7" t="n">
        <v>151.6834167906919</v>
      </c>
      <c r="C249" s="7" t="n">
        <v>138.9810118207481</v>
      </c>
      <c r="D249" s="7" t="n">
        <v>156.2704218084336</v>
      </c>
      <c r="E249" s="7" t="n">
        <v>98.3434841021048</v>
      </c>
      <c r="F249" s="7" t="n">
        <v>131.0290973068074</v>
      </c>
      <c r="G249" s="7" t="n">
        <v>108.0758614944603</v>
      </c>
      <c r="H249" s="7" t="n">
        <v>159.5034603433665</v>
      </c>
      <c r="I249" s="7" t="n">
        <v>107.6515403422983</v>
      </c>
      <c r="J249" s="7" t="n">
        <v>106.6955308705761</v>
      </c>
      <c r="K249" s="7" t="n">
        <v>108.9069799395438</v>
      </c>
      <c r="L249" s="7" t="n">
        <v>110.7014439485429</v>
      </c>
      <c r="M249" s="7" t="n">
        <v>125.740172093808</v>
      </c>
      <c r="N249" s="7" t="n">
        <v>143.6003314853975</v>
      </c>
      <c r="O249" s="8">
        <f>N249*$B$2/100</f>
        <v/>
      </c>
    </row>
    <row r="250">
      <c r="A250" s="6" t="n">
        <v>46238.46654630787</v>
      </c>
      <c r="B250" s="7" t="n">
        <v>120.2683975626159</v>
      </c>
      <c r="C250" s="7" t="n">
        <v>158.1677770216876</v>
      </c>
      <c r="D250" s="7" t="n">
        <v>103.0141822340831</v>
      </c>
      <c r="E250" s="7" t="n">
        <v>103.5482072913528</v>
      </c>
      <c r="F250" s="7" t="n">
        <v>112.7256416079945</v>
      </c>
      <c r="G250" s="7" t="n">
        <v>126.7819401970778</v>
      </c>
      <c r="H250" s="7" t="n">
        <v>153.259099013626</v>
      </c>
      <c r="I250" s="7" t="n">
        <v>126.9014316274477</v>
      </c>
      <c r="J250" s="7" t="n">
        <v>154.0813497619714</v>
      </c>
      <c r="K250" s="7" t="n">
        <v>110.9243002986318</v>
      </c>
      <c r="L250" s="7" t="n">
        <v>93.12549975621648</v>
      </c>
      <c r="M250" s="7" t="n">
        <v>129.5167781832928</v>
      </c>
      <c r="N250" s="7" t="n">
        <v>142.9577736257253</v>
      </c>
      <c r="O250" s="8">
        <f>N250*$B$2/100</f>
        <v/>
      </c>
    </row>
    <row r="251">
      <c r="A251" s="6" t="n">
        <v>46238.46655800926</v>
      </c>
      <c r="B251" s="7" t="n">
        <v>154.2273108326113</v>
      </c>
      <c r="C251" s="7" t="n">
        <v>159.4823981444349</v>
      </c>
      <c r="D251" s="7" t="n">
        <v>116.0122816121778</v>
      </c>
      <c r="E251" s="7" t="n">
        <v>123.0449996500805</v>
      </c>
      <c r="F251" s="7" t="n">
        <v>130.9393737508328</v>
      </c>
      <c r="G251" s="7" t="n">
        <v>118.4651834302003</v>
      </c>
      <c r="H251" s="7" t="n">
        <v>142.5397842271071</v>
      </c>
      <c r="I251" s="7" t="n">
        <v>76.69074552418277</v>
      </c>
      <c r="J251" s="7" t="n">
        <v>152.2335198443736</v>
      </c>
      <c r="K251" s="7" t="n">
        <v>108.8965344048217</v>
      </c>
      <c r="L251" s="7" t="n">
        <v>118.5520762423417</v>
      </c>
      <c r="M251" s="7" t="n">
        <v>80.19516014234875</v>
      </c>
      <c r="N251" s="7" t="n">
        <v>146.1077407298121</v>
      </c>
      <c r="O251" s="8">
        <f>N251*$B$2/100</f>
        <v/>
      </c>
    </row>
    <row r="252">
      <c r="A252" s="6" t="n">
        <v>46238.4665697338</v>
      </c>
      <c r="B252" s="7" t="n">
        <v>145.3338150289017</v>
      </c>
      <c r="C252" s="7" t="n">
        <v>127.5357770664101</v>
      </c>
      <c r="D252" s="7" t="n">
        <v>154.5530448905267</v>
      </c>
      <c r="E252" s="7" t="n">
        <v>88.97092724469569</v>
      </c>
      <c r="F252" s="7" t="n">
        <v>124.0761674474838</v>
      </c>
      <c r="G252" s="7" t="n">
        <v>98.13928268850607</v>
      </c>
      <c r="H252" s="7" t="n">
        <v>158.6399538255264</v>
      </c>
      <c r="I252" s="7" t="n">
        <v>106.1074873679375</v>
      </c>
      <c r="J252" s="7" t="n">
        <v>106.9654067049553</v>
      </c>
      <c r="K252" s="7" t="n">
        <v>92.13880850214549</v>
      </c>
      <c r="L252" s="7" t="n">
        <v>135.8897962388599</v>
      </c>
      <c r="M252" s="7" t="n">
        <v>125.1820823914748</v>
      </c>
      <c r="N252" s="7" t="n">
        <v>142.1892634844588</v>
      </c>
      <c r="O252" s="8">
        <f>N252*$B$2/100</f>
        <v/>
      </c>
    </row>
    <row r="253">
      <c r="A253" s="6" t="n">
        <v>46238.46658146991</v>
      </c>
      <c r="B253" s="7" t="n">
        <v>138.9558926062192</v>
      </c>
      <c r="C253" s="7" t="n">
        <v>155.1933229351463</v>
      </c>
      <c r="D253" s="7" t="n">
        <v>135.9158454783392</v>
      </c>
      <c r="E253" s="7" t="n">
        <v>133.7101340661171</v>
      </c>
      <c r="F253" s="7" t="n">
        <v>140.861234705228</v>
      </c>
      <c r="G253" s="7" t="n">
        <v>140.5165207768808</v>
      </c>
      <c r="H253" s="7" t="n">
        <v>148.5972301102345</v>
      </c>
      <c r="I253" s="7" t="n">
        <v>139.6597562937344</v>
      </c>
      <c r="J253" s="7" t="n">
        <v>148.4715478227635</v>
      </c>
      <c r="K253" s="7" t="n">
        <v>136.7803182175756</v>
      </c>
      <c r="L253" s="7" t="n">
        <v>140.9874434824116</v>
      </c>
      <c r="M253" s="7" t="n">
        <v>138.3625227529886</v>
      </c>
      <c r="N253" s="7" t="n">
        <v>144.9938228777333</v>
      </c>
      <c r="O253" s="8">
        <f>N253*$B$2/100</f>
        <v/>
      </c>
    </row>
    <row r="254">
      <c r="A254" s="6" t="n">
        <v>46238.46659315972</v>
      </c>
      <c r="B254" s="7" t="n">
        <v>151.1714502583979</v>
      </c>
      <c r="C254" s="7" t="n">
        <v>150.7092141616745</v>
      </c>
      <c r="D254" s="7" t="n">
        <v>151.1007187864874</v>
      </c>
      <c r="E254" s="7" t="n">
        <v>151.602495690009</v>
      </c>
      <c r="F254" s="7" t="n">
        <v>151.4946263483713</v>
      </c>
      <c r="G254" s="7" t="n">
        <v>151.6017313459808</v>
      </c>
      <c r="H254" s="7" t="n">
        <v>151.4653476084538</v>
      </c>
      <c r="I254" s="7" t="n">
        <v>151.729252022812</v>
      </c>
      <c r="J254" s="7" t="n">
        <v>151.125211295615</v>
      </c>
      <c r="K254" s="7" t="n">
        <v>151.5331179815354</v>
      </c>
      <c r="L254" s="7" t="n">
        <v>151.0717149763466</v>
      </c>
      <c r="M254" s="7" t="n">
        <v>151.276117184875</v>
      </c>
      <c r="N254" s="7" t="n">
        <v>151.3038745351277</v>
      </c>
      <c r="O254" s="8">
        <f>N254*$B$2/100</f>
        <v/>
      </c>
    </row>
    <row r="255">
      <c r="A255" s="6" t="n">
        <v>46238.46660489583</v>
      </c>
      <c r="B255" s="7" t="n">
        <v>151.8042586226018</v>
      </c>
      <c r="C255" s="7" t="n">
        <v>151.2958396871244</v>
      </c>
      <c r="D255" s="7" t="n">
        <v>151.0749036459248</v>
      </c>
      <c r="E255" s="7" t="n">
        <v>151.5539403616557</v>
      </c>
      <c r="F255" s="7" t="n">
        <v>151.2860820124779</v>
      </c>
      <c r="G255" s="7" t="n">
        <v>151.0492766386656</v>
      </c>
      <c r="H255" s="7" t="n">
        <v>151.1154847242428</v>
      </c>
      <c r="I255" s="7" t="n">
        <v>151.707454093491</v>
      </c>
      <c r="J255" s="7" t="n">
        <v>151.4426760183437</v>
      </c>
      <c r="K255" s="7" t="n">
        <v>151.6992664180133</v>
      </c>
      <c r="L255" s="7" t="n">
        <v>151.4971090298019</v>
      </c>
      <c r="M255" s="7" t="n">
        <v>151.6151217042208</v>
      </c>
      <c r="N255" s="7" t="n">
        <v>151.4163948913249</v>
      </c>
      <c r="O255" s="8">
        <f>N255*$B$2/100</f>
        <v/>
      </c>
    </row>
    <row r="256">
      <c r="A256" s="6" t="n">
        <v>46238.4666166088</v>
      </c>
      <c r="B256" s="7" t="n">
        <v>149.6524974725727</v>
      </c>
      <c r="C256" s="7" t="n">
        <v>150.3521501898681</v>
      </c>
      <c r="D256" s="7" t="n">
        <v>150.8066107866314</v>
      </c>
      <c r="E256" s="7" t="n">
        <v>149.4343602269878</v>
      </c>
      <c r="F256" s="7" t="n">
        <v>150.8785301717586</v>
      </c>
      <c r="G256" s="7" t="n">
        <v>150.4207878289375</v>
      </c>
      <c r="H256" s="7" t="n">
        <v>151.3931596091205</v>
      </c>
      <c r="I256" s="7" t="n">
        <v>151.6858309161832</v>
      </c>
      <c r="J256" s="7" t="n">
        <v>151.3988381224605</v>
      </c>
      <c r="K256" s="7" t="n">
        <v>152.0904200636542</v>
      </c>
      <c r="L256" s="7" t="n">
        <v>151.9984680394014</v>
      </c>
      <c r="M256" s="7" t="n">
        <v>151.0936600964976</v>
      </c>
      <c r="N256" s="7" t="n">
        <v>151.1644747407301</v>
      </c>
      <c r="O256" s="8">
        <f>N256*$B$2/100</f>
        <v/>
      </c>
    </row>
    <row r="257">
      <c r="A257" s="6" t="n">
        <v>46238.46662837963</v>
      </c>
      <c r="B257" s="7" t="n">
        <v>151.9746163664456</v>
      </c>
      <c r="C257" s="7" t="n">
        <v>157.0667013722035</v>
      </c>
      <c r="D257" s="7" t="n">
        <v>152.6957778925681</v>
      </c>
      <c r="E257" s="7" t="n">
        <v>153.3668760925628</v>
      </c>
      <c r="F257" s="7" t="n">
        <v>159.6292895687614</v>
      </c>
      <c r="G257" s="7" t="n">
        <v>156.1732573122451</v>
      </c>
      <c r="H257" s="7" t="n">
        <v>154.3929959342292</v>
      </c>
      <c r="I257" s="7" t="n">
        <v>154.3200964384121</v>
      </c>
      <c r="J257" s="7" t="n">
        <v>151.3558411089558</v>
      </c>
      <c r="K257" s="7" t="n">
        <v>151.7100302125479</v>
      </c>
      <c r="L257" s="7" t="n">
        <v>157.2014247089224</v>
      </c>
      <c r="M257" s="7" t="n">
        <v>154.3667788506904</v>
      </c>
      <c r="N257" s="7" t="n">
        <v>154.8259663821298</v>
      </c>
      <c r="O257" s="8">
        <f>N257*$B$2/100</f>
        <v/>
      </c>
    </row>
    <row r="258">
      <c r="A258" s="6" t="n">
        <v>46238.46664015047</v>
      </c>
      <c r="B258" s="7" t="n">
        <v>150.8691697923178</v>
      </c>
      <c r="C258" s="7" t="n">
        <v>157.3208094399343</v>
      </c>
      <c r="D258" s="7" t="n">
        <v>154.8842278164613</v>
      </c>
      <c r="E258" s="7" t="n">
        <v>155.8360025400672</v>
      </c>
      <c r="F258" s="7" t="n">
        <v>152.7148018053179</v>
      </c>
      <c r="G258" s="7" t="n">
        <v>154.1450222474712</v>
      </c>
      <c r="H258" s="7" t="n">
        <v>152.6500583684653</v>
      </c>
      <c r="I258" s="7" t="n">
        <v>153.695275702186</v>
      </c>
      <c r="J258" s="7" t="n">
        <v>149.8840304586883</v>
      </c>
      <c r="K258" s="7" t="n">
        <v>152.2162250234466</v>
      </c>
      <c r="L258" s="7" t="n">
        <v>152.9437320051279</v>
      </c>
      <c r="M258" s="7" t="n">
        <v>152.8401291620503</v>
      </c>
      <c r="N258" s="7" t="n">
        <v>153.6387643099408</v>
      </c>
      <c r="O258" s="8">
        <f>N258*$B$2/100</f>
        <v/>
      </c>
    </row>
    <row r="259">
      <c r="A259" s="6" t="n">
        <v>46238.4666518287</v>
      </c>
      <c r="B259" s="7" t="n">
        <v>151.4360795707515</v>
      </c>
      <c r="C259" s="7" t="n">
        <v>152.9879286119996</v>
      </c>
      <c r="D259" s="7" t="n">
        <v>152.7468131925936</v>
      </c>
      <c r="E259" s="7" t="n">
        <v>153.0347066601712</v>
      </c>
      <c r="F259" s="7" t="n">
        <v>152.1688283440835</v>
      </c>
      <c r="G259" s="7" t="n">
        <v>151.7290618621899</v>
      </c>
      <c r="H259" s="7" t="n">
        <v>150.3097218478442</v>
      </c>
      <c r="I259" s="7" t="n">
        <v>151.8111894742545</v>
      </c>
      <c r="J259" s="7" t="n">
        <v>148.1736108919121</v>
      </c>
      <c r="K259" s="7" t="n">
        <v>149.4807142542992</v>
      </c>
      <c r="L259" s="7" t="n">
        <v>152.5821619223347</v>
      </c>
      <c r="M259" s="7" t="n">
        <v>152.3664775316052</v>
      </c>
      <c r="N259" s="7" t="n">
        <v>151.8050832782621</v>
      </c>
      <c r="O259" s="8">
        <f>N259*$B$2/100</f>
        <v/>
      </c>
    </row>
    <row r="260">
      <c r="A260" s="6" t="n">
        <v>46238.46666358796</v>
      </c>
      <c r="B260" s="7" t="n">
        <v>152.3673414885942</v>
      </c>
      <c r="C260" s="7" t="n">
        <v>156.5700537241781</v>
      </c>
      <c r="D260" s="7" t="n">
        <v>157.0616921457342</v>
      </c>
      <c r="E260" s="7" t="n">
        <v>157.8784243128368</v>
      </c>
      <c r="F260" s="7" t="n">
        <v>153.024292310781</v>
      </c>
      <c r="G260" s="7" t="n">
        <v>153.6548784081149</v>
      </c>
      <c r="H260" s="7" t="n">
        <v>145.8699505029539</v>
      </c>
      <c r="I260" s="7" t="n">
        <v>151.774281315531</v>
      </c>
      <c r="J260" s="7" t="n">
        <v>146.0041748953718</v>
      </c>
      <c r="K260" s="7" t="n">
        <v>150.953666007522</v>
      </c>
      <c r="L260" s="7" t="n">
        <v>153.9531398416887</v>
      </c>
      <c r="M260" s="7" t="n">
        <v>153.7689823483137</v>
      </c>
      <c r="N260" s="7" t="n">
        <v>154.199732510617</v>
      </c>
      <c r="O260" s="8">
        <f>N260*$B$2/100</f>
        <v/>
      </c>
    </row>
    <row r="261">
      <c r="A261" s="6" t="n">
        <v>46238.46667530092</v>
      </c>
      <c r="B261" s="7" t="n">
        <v>154.4827328053415</v>
      </c>
      <c r="C261" s="7" t="n">
        <v>157.2107155155761</v>
      </c>
      <c r="D261" s="7" t="n">
        <v>155.996076971447</v>
      </c>
      <c r="E261" s="7" t="n">
        <v>156.2698076325837</v>
      </c>
      <c r="F261" s="7" t="n">
        <v>152.5314538080939</v>
      </c>
      <c r="G261" s="7" t="n">
        <v>153.9326365016815</v>
      </c>
      <c r="H261" s="7" t="n">
        <v>151.9220058816151</v>
      </c>
      <c r="I261" s="7" t="n">
        <v>154.2666124995937</v>
      </c>
      <c r="J261" s="7" t="n">
        <v>149.5902750847521</v>
      </c>
      <c r="K261" s="7" t="n">
        <v>152.3170076748497</v>
      </c>
      <c r="L261" s="7" t="n">
        <v>152.6967234611914</v>
      </c>
      <c r="M261" s="7" t="n">
        <v>154.2165812089261</v>
      </c>
      <c r="N261" s="7" t="n">
        <v>154.0491293208371</v>
      </c>
      <c r="O261" s="8">
        <f>N261*$B$2/100</f>
        <v/>
      </c>
    </row>
    <row r="262">
      <c r="A262" s="6" t="n">
        <v>46238.46668697917</v>
      </c>
      <c r="B262" s="7" t="n">
        <v>152.316972354817</v>
      </c>
      <c r="C262" s="7" t="n">
        <v>152.437154985414</v>
      </c>
      <c r="D262" s="7" t="n">
        <v>152.5205245838207</v>
      </c>
      <c r="E262" s="7" t="n">
        <v>152.3409248147614</v>
      </c>
      <c r="F262" s="7" t="n">
        <v>151.7619793091274</v>
      </c>
      <c r="G262" s="7" t="n">
        <v>151.9061732481682</v>
      </c>
      <c r="H262" s="7" t="n">
        <v>151.5008854124604</v>
      </c>
      <c r="I262" s="7" t="n">
        <v>151.8474598472482</v>
      </c>
      <c r="J262" s="7" t="n">
        <v>151.6519037226859</v>
      </c>
      <c r="K262" s="7" t="n">
        <v>151.8393876626185</v>
      </c>
      <c r="L262" s="7" t="n">
        <v>151.6975905712959</v>
      </c>
      <c r="M262" s="7" t="n">
        <v>151.9232678488699</v>
      </c>
      <c r="N262" s="7" t="n">
        <v>151.9818367157817</v>
      </c>
      <c r="O262" s="8">
        <f>N262*$B$2/100</f>
        <v/>
      </c>
    </row>
    <row r="263">
      <c r="A263" s="6" t="n">
        <v>46238.46669869213</v>
      </c>
      <c r="B263" s="7" t="n">
        <v>150.6899240106582</v>
      </c>
      <c r="C263" s="7" t="n">
        <v>151.8974643570174</v>
      </c>
      <c r="D263" s="7" t="n">
        <v>151.2192587924636</v>
      </c>
      <c r="E263" s="7" t="n">
        <v>151.3645527878008</v>
      </c>
      <c r="F263" s="7" t="n">
        <v>151.0021480777032</v>
      </c>
      <c r="G263" s="7" t="n">
        <v>151.8093922456738</v>
      </c>
      <c r="H263" s="7" t="n">
        <v>151.2888372648784</v>
      </c>
      <c r="I263" s="7" t="n">
        <v>151.5719656805213</v>
      </c>
      <c r="J263" s="7" t="n">
        <v>151.7825069746089</v>
      </c>
      <c r="K263" s="7" t="n">
        <v>152.4599581043899</v>
      </c>
      <c r="L263" s="7" t="n">
        <v>150.6019540685727</v>
      </c>
      <c r="M263" s="7" t="n">
        <v>151.6513362283883</v>
      </c>
      <c r="N263" s="7" t="n">
        <v>151.4316802140138</v>
      </c>
      <c r="O263" s="8">
        <f>N263*$B$2/100</f>
        <v/>
      </c>
    </row>
    <row r="264">
      <c r="A264" s="6" t="n">
        <v>46238.46671042824</v>
      </c>
      <c r="B264" s="7" t="n">
        <v>153.8900404971298</v>
      </c>
      <c r="C264" s="7" t="n">
        <v>151.8923493315638</v>
      </c>
      <c r="D264" s="7" t="n">
        <v>151.8572378508858</v>
      </c>
      <c r="E264" s="7" t="n">
        <v>153.4713871904646</v>
      </c>
      <c r="F264" s="7" t="n">
        <v>154.0698571223778</v>
      </c>
      <c r="G264" s="7" t="n">
        <v>153.9466033514918</v>
      </c>
      <c r="H264" s="7" t="n">
        <v>153.499031652126</v>
      </c>
      <c r="I264" s="7" t="n">
        <v>154.3659608036781</v>
      </c>
      <c r="J264" s="7" t="n">
        <v>151.493917434842</v>
      </c>
      <c r="K264" s="7" t="n">
        <v>152.6574668052947</v>
      </c>
      <c r="L264" s="7" t="n">
        <v>151.1808128690755</v>
      </c>
      <c r="M264" s="7" t="n">
        <v>151.9547470809381</v>
      </c>
      <c r="N264" s="7" t="n">
        <v>152.9548056983139</v>
      </c>
      <c r="O264" s="8">
        <f>N264*$B$2/100</f>
        <v/>
      </c>
    </row>
    <row r="265">
      <c r="A265" s="6" t="n">
        <v>46238.46672216435</v>
      </c>
      <c r="B265" s="7" t="n">
        <v>155.0415070966841</v>
      </c>
      <c r="C265" s="7" t="n">
        <v>153.0157855787582</v>
      </c>
      <c r="D265" s="7" t="n">
        <v>153.3454172988826</v>
      </c>
      <c r="E265" s="7" t="n">
        <v>154.2912751842852</v>
      </c>
      <c r="F265" s="7" t="n">
        <v>151.9932555337155</v>
      </c>
      <c r="G265" s="7" t="n">
        <v>152.9178562395446</v>
      </c>
      <c r="H265" s="7" t="n">
        <v>155.5226343882516</v>
      </c>
      <c r="I265" s="7" t="n">
        <v>156.2103387286955</v>
      </c>
      <c r="J265" s="7" t="n">
        <v>150.5725502390485</v>
      </c>
      <c r="K265" s="7" t="n">
        <v>154.4067698324685</v>
      </c>
      <c r="L265" s="7" t="n">
        <v>153.4768741394214</v>
      </c>
      <c r="M265" s="7" t="n">
        <v>154.0913595801566</v>
      </c>
      <c r="N265" s="7" t="n">
        <v>154.0988117863378</v>
      </c>
      <c r="O265" s="8">
        <f>N265*$B$2/100</f>
        <v/>
      </c>
    </row>
    <row r="266">
      <c r="A266" s="6" t="n">
        <v>46238.46673391204</v>
      </c>
      <c r="B266" s="7" t="n">
        <v>151.7528219886917</v>
      </c>
      <c r="C266" s="7" t="n">
        <v>151.2120515243633</v>
      </c>
      <c r="D266" s="7" t="n">
        <v>151.1060873054353</v>
      </c>
      <c r="E266" s="7" t="n">
        <v>152.3294873753507</v>
      </c>
      <c r="F266" s="7" t="n">
        <v>151.6994313969395</v>
      </c>
      <c r="G266" s="7" t="n">
        <v>151.3753600264789</v>
      </c>
      <c r="H266" s="7" t="n">
        <v>151.1712140781401</v>
      </c>
      <c r="I266" s="7" t="n">
        <v>152.5517691624705</v>
      </c>
      <c r="J266" s="7" t="n">
        <v>151.258697879346</v>
      </c>
      <c r="K266" s="7" t="n">
        <v>151.7704846801059</v>
      </c>
      <c r="L266" s="7" t="n">
        <v>151.9631441963116</v>
      </c>
      <c r="M266" s="7" t="n">
        <v>151.8286232973655</v>
      </c>
      <c r="N266" s="7" t="n">
        <v>151.6778857755084</v>
      </c>
      <c r="O266" s="8">
        <f>N266*$B$2/100</f>
        <v/>
      </c>
    </row>
    <row r="267">
      <c r="A267" s="6" t="n">
        <v>46238.46674568287</v>
      </c>
      <c r="B267" s="7" t="n">
        <v>155.2514573189025</v>
      </c>
      <c r="C267" s="7" t="n">
        <v>153.4003084861742</v>
      </c>
      <c r="D267" s="7" t="n">
        <v>153.2541463045212</v>
      </c>
      <c r="E267" s="7" t="n">
        <v>152.6774475910912</v>
      </c>
      <c r="F267" s="7" t="n">
        <v>153.4973856270726</v>
      </c>
      <c r="G267" s="7" t="n">
        <v>153.4093413709985</v>
      </c>
      <c r="H267" s="7" t="n">
        <v>153.1817467525914</v>
      </c>
      <c r="I267" s="7" t="n">
        <v>154.3890755885177</v>
      </c>
      <c r="J267" s="7" t="n">
        <v>155.5081956219425</v>
      </c>
      <c r="K267" s="7" t="n">
        <v>153.822229284345</v>
      </c>
      <c r="L267" s="7" t="n">
        <v>155.5688804157635</v>
      </c>
      <c r="M267" s="7" t="n">
        <v>153.8038733656114</v>
      </c>
      <c r="N267" s="7" t="n">
        <v>154.0336153968968</v>
      </c>
      <c r="O267" s="8">
        <f>N267*$B$2/100</f>
        <v/>
      </c>
    </row>
    <row r="268">
      <c r="A268" s="6" t="n">
        <v>46238.46675737268</v>
      </c>
      <c r="B268" s="7" t="n">
        <v>156.8774896511944</v>
      </c>
      <c r="C268" s="7" t="n">
        <v>154.4810545612026</v>
      </c>
      <c r="D268" s="7" t="n">
        <v>152.5270328888889</v>
      </c>
      <c r="E268" s="7" t="n">
        <v>153.1289462025926</v>
      </c>
      <c r="F268" s="7" t="n">
        <v>156.2604317685887</v>
      </c>
      <c r="G268" s="7" t="n">
        <v>154.3934444093321</v>
      </c>
      <c r="H268" s="7" t="n">
        <v>153.9520906541305</v>
      </c>
      <c r="I268" s="7" t="n">
        <v>154.1509650598832</v>
      </c>
      <c r="J268" s="7" t="n">
        <v>157.0964884877167</v>
      </c>
      <c r="K268" s="7" t="n">
        <v>157.7885917438464</v>
      </c>
      <c r="L268" s="7" t="n">
        <v>154.2645685550058</v>
      </c>
      <c r="M268" s="7" t="n">
        <v>155.7079877382217</v>
      </c>
      <c r="N268" s="7" t="n">
        <v>155.3258925550869</v>
      </c>
      <c r="O268" s="8">
        <f>N268*$B$2/100</f>
        <v/>
      </c>
    </row>
    <row r="269">
      <c r="A269" s="6" t="n">
        <v>46238.46676905092</v>
      </c>
      <c r="B269" s="7" t="n">
        <v>157.4024768034084</v>
      </c>
      <c r="C269" s="7" t="n">
        <v>158.3860481075808</v>
      </c>
      <c r="D269" s="7" t="n">
        <v>152.9035890794941</v>
      </c>
      <c r="E269" s="7" t="n">
        <v>153.7453708546919</v>
      </c>
      <c r="F269" s="7" t="n">
        <v>156.8445611106018</v>
      </c>
      <c r="G269" s="7" t="n">
        <v>158.8458249224024</v>
      </c>
      <c r="H269" s="7" t="n">
        <v>157.2203818547571</v>
      </c>
      <c r="I269" s="7" t="n">
        <v>158.6372079017104</v>
      </c>
      <c r="J269" s="7" t="n">
        <v>156.0753470175923</v>
      </c>
      <c r="K269" s="7" t="n">
        <v>157.5443853262391</v>
      </c>
      <c r="L269" s="7" t="n">
        <v>151.6039882916562</v>
      </c>
      <c r="M269" s="7" t="n">
        <v>158.3637625639041</v>
      </c>
      <c r="N269" s="7" t="n">
        <v>156.9676006223537</v>
      </c>
      <c r="O269" s="8">
        <f>N269*$B$2/100</f>
        <v/>
      </c>
    </row>
    <row r="270">
      <c r="A270" s="6" t="n">
        <v>46238.46678078704</v>
      </c>
      <c r="B270" s="7" t="n">
        <v>153.6337898146292</v>
      </c>
      <c r="C270" s="7" t="n">
        <v>153.6158355854605</v>
      </c>
      <c r="D270" s="7" t="n">
        <v>153.9684953168714</v>
      </c>
      <c r="E270" s="7" t="n">
        <v>154.342078470495</v>
      </c>
      <c r="F270" s="7" t="n">
        <v>154.0183459884163</v>
      </c>
      <c r="G270" s="7" t="n">
        <v>155.0075649824836</v>
      </c>
      <c r="H270" s="7" t="n">
        <v>151.5442487713273</v>
      </c>
      <c r="I270" s="7" t="n">
        <v>152.3328328728336</v>
      </c>
      <c r="J270" s="7" t="n">
        <v>155.1710186781262</v>
      </c>
      <c r="K270" s="7" t="n">
        <v>152.8201764759392</v>
      </c>
      <c r="L270" s="7" t="n">
        <v>153.3098824978405</v>
      </c>
      <c r="M270" s="7" t="n">
        <v>154.4336497590835</v>
      </c>
      <c r="N270" s="7" t="n">
        <v>153.7754822615507</v>
      </c>
      <c r="O270" s="8">
        <f>N270*$B$2/100</f>
        <v/>
      </c>
    </row>
    <row r="271">
      <c r="A271" s="6" t="n">
        <v>46238.46679255787</v>
      </c>
      <c r="B271" s="7" t="n">
        <v>163.5776778748551</v>
      </c>
      <c r="C271" s="7" t="n">
        <v>162.5598030438675</v>
      </c>
      <c r="D271" s="7" t="n">
        <v>162.4069917810122</v>
      </c>
      <c r="E271" s="7" t="n">
        <v>162.1814268934335</v>
      </c>
      <c r="F271" s="7" t="n">
        <v>162.2436036602952</v>
      </c>
      <c r="G271" s="7" t="n">
        <v>161.2605528412342</v>
      </c>
      <c r="H271" s="7" t="n">
        <v>155.2963133063338</v>
      </c>
      <c r="I271" s="7" t="n">
        <v>157.1050681566017</v>
      </c>
      <c r="J271" s="7" t="n">
        <v>157.3899847835109</v>
      </c>
      <c r="K271" s="7" t="n">
        <v>158.2560825408363</v>
      </c>
      <c r="L271" s="7" t="n">
        <v>152.0017698798627</v>
      </c>
      <c r="M271" s="7" t="n">
        <v>153.3786139839579</v>
      </c>
      <c r="N271" s="7" t="n">
        <v>161.0380427546416</v>
      </c>
      <c r="O271" s="8">
        <f>N271*$B$2/100</f>
        <v/>
      </c>
    </row>
    <row r="272">
      <c r="A272" s="6" t="n">
        <v>46238.46680429398</v>
      </c>
      <c r="B272" s="7" t="n">
        <v>162.0903059586022</v>
      </c>
      <c r="C272" s="7" t="n">
        <v>157.3807715737242</v>
      </c>
      <c r="D272" s="7" t="n">
        <v>158.7135103500248</v>
      </c>
      <c r="E272" s="7" t="n">
        <v>157.8833211038598</v>
      </c>
      <c r="F272" s="7" t="n">
        <v>155.5130026846002</v>
      </c>
      <c r="G272" s="7" t="n">
        <v>158.3065400006388</v>
      </c>
      <c r="H272" s="7" t="n">
        <v>156.4745643483661</v>
      </c>
      <c r="I272" s="7" t="n">
        <v>158.3589528875524</v>
      </c>
      <c r="J272" s="7" t="n">
        <v>150.3309795228039</v>
      </c>
      <c r="K272" s="7" t="n">
        <v>155.1166876536547</v>
      </c>
      <c r="L272" s="7" t="n">
        <v>154.3913302583779</v>
      </c>
      <c r="M272" s="7" t="n">
        <v>153.7866738825927</v>
      </c>
      <c r="N272" s="7" t="n">
        <v>157.3737772825768</v>
      </c>
      <c r="O272" s="8">
        <f>N272*$B$2/100</f>
        <v/>
      </c>
    </row>
    <row r="273">
      <c r="A273" s="6" t="n">
        <v>46238.46681600694</v>
      </c>
      <c r="B273" s="7" t="n">
        <v>159.1832898441255</v>
      </c>
      <c r="C273" s="7" t="n">
        <v>154.5847397052485</v>
      </c>
      <c r="D273" s="7" t="n">
        <v>157.5301496377046</v>
      </c>
      <c r="E273" s="7" t="n">
        <v>158.2064057672503</v>
      </c>
      <c r="F273" s="7" t="n">
        <v>155.5639898718991</v>
      </c>
      <c r="G273" s="7" t="n">
        <v>157.289955987338</v>
      </c>
      <c r="H273" s="7" t="n">
        <v>157.9454355723061</v>
      </c>
      <c r="I273" s="7" t="n">
        <v>158.2551673632872</v>
      </c>
      <c r="J273" s="7" t="n">
        <v>154.1471179318535</v>
      </c>
      <c r="K273" s="7" t="n">
        <v>152.2793875487505</v>
      </c>
      <c r="L273" s="7" t="n">
        <v>156.0401156416414</v>
      </c>
      <c r="M273" s="7" t="n">
        <v>155.7523359102273</v>
      </c>
      <c r="N273" s="7" t="n">
        <v>156.8699214713242</v>
      </c>
      <c r="O273" s="8">
        <f>N273*$B$2/100</f>
        <v/>
      </c>
    </row>
    <row r="274">
      <c r="A274" s="6" t="n">
        <v>46238.46682777777</v>
      </c>
      <c r="B274" s="7" t="n">
        <v>160.8731684028401</v>
      </c>
      <c r="C274" s="7" t="n">
        <v>155.4584190188478</v>
      </c>
      <c r="D274" s="7" t="n">
        <v>156.4321741845048</v>
      </c>
      <c r="E274" s="7" t="n">
        <v>156.9381511121474</v>
      </c>
      <c r="F274" s="7" t="n">
        <v>160.0709672154815</v>
      </c>
      <c r="G274" s="7" t="n">
        <v>156.0542386243781</v>
      </c>
      <c r="H274" s="7" t="n">
        <v>153.0695465658429</v>
      </c>
      <c r="I274" s="7" t="n">
        <v>154.8379118181372</v>
      </c>
      <c r="J274" s="7" t="n">
        <v>160.9553225301127</v>
      </c>
      <c r="K274" s="7" t="n">
        <v>161.1213901707978</v>
      </c>
      <c r="L274" s="7" t="n">
        <v>155.7197684108952</v>
      </c>
      <c r="M274" s="7" t="n">
        <v>155.9230831998858</v>
      </c>
      <c r="N274" s="7" t="n">
        <v>158.4038248650114</v>
      </c>
      <c r="O274" s="8">
        <f>N274*$B$2/100</f>
        <v/>
      </c>
    </row>
    <row r="275">
      <c r="A275" s="6" t="n">
        <v>46238.46683949074</v>
      </c>
      <c r="B275" s="7" t="n">
        <v>158.3503609256408</v>
      </c>
      <c r="C275" s="7" t="n">
        <v>154.9128583686489</v>
      </c>
      <c r="D275" s="7" t="n">
        <v>155.8743665325918</v>
      </c>
      <c r="E275" s="7" t="n">
        <v>159.7914846709587</v>
      </c>
      <c r="F275" s="7" t="n">
        <v>159.2071935715598</v>
      </c>
      <c r="G275" s="7" t="n">
        <v>160.0843315730221</v>
      </c>
      <c r="H275" s="7" t="n">
        <v>156.9837066034424</v>
      </c>
      <c r="I275" s="7" t="n">
        <v>157.5510664412838</v>
      </c>
      <c r="J275" s="7" t="n">
        <v>156.3160204460148</v>
      </c>
      <c r="K275" s="7" t="n">
        <v>156.767180938725</v>
      </c>
      <c r="L275" s="7" t="n">
        <v>155.3666968956181</v>
      </c>
      <c r="M275" s="7" t="n">
        <v>156.7834388163326</v>
      </c>
      <c r="N275" s="7" t="n">
        <v>157.6315654907229</v>
      </c>
      <c r="O275" s="8">
        <f>N275*$B$2/100</f>
        <v/>
      </c>
    </row>
    <row r="276">
      <c r="A276" s="6" t="n">
        <v>46238.46685119213</v>
      </c>
      <c r="B276" s="7" t="n">
        <v>152.3849739874985</v>
      </c>
      <c r="C276" s="7" t="n">
        <v>152.0063790401868</v>
      </c>
      <c r="D276" s="7" t="n">
        <v>151.4726917754053</v>
      </c>
      <c r="E276" s="7" t="n">
        <v>152.4605135676562</v>
      </c>
      <c r="F276" s="7" t="n">
        <v>150.9162092119618</v>
      </c>
      <c r="G276" s="7" t="n">
        <v>152.1427664508932</v>
      </c>
      <c r="H276" s="7" t="n">
        <v>152.4917224128323</v>
      </c>
      <c r="I276" s="7" t="n">
        <v>152.4904287943973</v>
      </c>
      <c r="J276" s="7" t="n">
        <v>151.8196649770891</v>
      </c>
      <c r="K276" s="7" t="n">
        <v>152.6803978728492</v>
      </c>
      <c r="L276" s="7" t="n">
        <v>150.2339107825075</v>
      </c>
      <c r="M276" s="7" t="n">
        <v>151.66521789905</v>
      </c>
      <c r="N276" s="7" t="n">
        <v>151.9023506596639</v>
      </c>
      <c r="O276" s="8">
        <f>N276*$B$2/100</f>
        <v/>
      </c>
    </row>
    <row r="277">
      <c r="A277" s="6" t="n">
        <v>46238.46686289352</v>
      </c>
      <c r="B277" s="7" t="n">
        <v>151.9174983983372</v>
      </c>
      <c r="C277" s="7" t="n">
        <v>151.9605340667237</v>
      </c>
      <c r="D277" s="7" t="n">
        <v>152.5092974901211</v>
      </c>
      <c r="E277" s="7" t="n">
        <v>151.7783320942276</v>
      </c>
      <c r="F277" s="7" t="n">
        <v>151.9715585914444</v>
      </c>
      <c r="G277" s="7" t="n">
        <v>151.8942294669731</v>
      </c>
      <c r="H277" s="7" t="n">
        <v>152.1794643737695</v>
      </c>
      <c r="I277" s="7" t="n">
        <v>152.3185604283388</v>
      </c>
      <c r="J277" s="7" t="n">
        <v>151.6302700602293</v>
      </c>
      <c r="K277" s="7" t="n">
        <v>151.6576998609854</v>
      </c>
      <c r="L277" s="7" t="n">
        <v>151.6262346359754</v>
      </c>
      <c r="M277" s="7" t="n">
        <v>151.8216245138189</v>
      </c>
      <c r="N277" s="7" t="n">
        <v>151.9617787556476</v>
      </c>
      <c r="O277" s="8">
        <f>N277*$B$2/100</f>
        <v/>
      </c>
    </row>
    <row r="278">
      <c r="A278" s="6" t="n">
        <v>46238.46687461805</v>
      </c>
      <c r="B278" s="7" t="n">
        <v>153.2758096028494</v>
      </c>
      <c r="C278" s="7" t="n">
        <v>152.7752399653313</v>
      </c>
      <c r="D278" s="7" t="n">
        <v>153.6063717498045</v>
      </c>
      <c r="E278" s="7" t="n">
        <v>153.9410562320568</v>
      </c>
      <c r="F278" s="7" t="n">
        <v>154.0147317276324</v>
      </c>
      <c r="G278" s="7" t="n">
        <v>153.1970179208563</v>
      </c>
      <c r="H278" s="7" t="n">
        <v>149.180651008232</v>
      </c>
      <c r="I278" s="7" t="n">
        <v>151.4323747103379</v>
      </c>
      <c r="J278" s="7" t="n">
        <v>153.3036039255799</v>
      </c>
      <c r="K278" s="7" t="n">
        <v>154.1321476570939</v>
      </c>
      <c r="L278" s="7" t="n">
        <v>154.7552084573442</v>
      </c>
      <c r="M278" s="7" t="n">
        <v>154.9048175497859</v>
      </c>
      <c r="N278" s="7" t="n">
        <v>153.4794230852398</v>
      </c>
      <c r="O278" s="8">
        <f>N278*$B$2/100</f>
        <v/>
      </c>
    </row>
    <row r="279">
      <c r="A279" s="6" t="n">
        <v>46238.46688635417</v>
      </c>
      <c r="B279" s="7" t="n">
        <v>157.2281567824594</v>
      </c>
      <c r="C279" s="7" t="n">
        <v>157.0541021528394</v>
      </c>
      <c r="D279" s="7" t="n">
        <v>155.4585373141189</v>
      </c>
      <c r="E279" s="7" t="n">
        <v>156.0257613694698</v>
      </c>
      <c r="F279" s="7" t="n">
        <v>154.0760926485398</v>
      </c>
      <c r="G279" s="7" t="n">
        <v>154.0028730227702</v>
      </c>
      <c r="H279" s="7" t="n">
        <v>156.46675587635</v>
      </c>
      <c r="I279" s="7" t="n">
        <v>156.6878847413228</v>
      </c>
      <c r="J279" s="7" t="n">
        <v>155.9790479635826</v>
      </c>
      <c r="K279" s="7" t="n">
        <v>156.7590632060106</v>
      </c>
      <c r="L279" s="7" t="n">
        <v>153.3072371233931</v>
      </c>
      <c r="M279" s="7" t="n">
        <v>151.7396935201401</v>
      </c>
      <c r="N279" s="7" t="n">
        <v>155.6957415235622</v>
      </c>
      <c r="O279" s="8">
        <f>N279*$B$2/100</f>
        <v/>
      </c>
    </row>
    <row r="280">
      <c r="A280" s="6" t="n">
        <v>46238.4668980787</v>
      </c>
      <c r="B280" s="7" t="n">
        <v>155.3864575873565</v>
      </c>
      <c r="C280" s="7" t="n">
        <v>154.2563495352555</v>
      </c>
      <c r="D280" s="7" t="n">
        <v>157.5421962401371</v>
      </c>
      <c r="E280" s="7" t="n">
        <v>157.3255923540363</v>
      </c>
      <c r="F280" s="7" t="n">
        <v>155.230579828587</v>
      </c>
      <c r="G280" s="7" t="n">
        <v>154.4237851066309</v>
      </c>
      <c r="H280" s="7" t="n">
        <v>155.0066480291688</v>
      </c>
      <c r="I280" s="7" t="n">
        <v>154.8397588930459</v>
      </c>
      <c r="J280" s="7" t="n">
        <v>150.9266918854433</v>
      </c>
      <c r="K280" s="7" t="n">
        <v>153.1830960603835</v>
      </c>
      <c r="L280" s="7" t="n">
        <v>153.8311734512375</v>
      </c>
      <c r="M280" s="7" t="n">
        <v>153.0092878880097</v>
      </c>
      <c r="N280" s="7" t="n">
        <v>155.1974741428121</v>
      </c>
      <c r="O280" s="8">
        <f>N280*$B$2/100</f>
        <v/>
      </c>
    </row>
    <row r="281">
      <c r="A281" s="6" t="n">
        <v>46238.46690981482</v>
      </c>
      <c r="B281" s="7" t="n">
        <v>159.736762021942</v>
      </c>
      <c r="C281" s="7" t="n">
        <v>153.8465976710203</v>
      </c>
      <c r="D281" s="7" t="n">
        <v>152.5153165309302</v>
      </c>
      <c r="E281" s="7" t="n">
        <v>162.3355590520208</v>
      </c>
      <c r="F281" s="7" t="n">
        <v>155.9092768025605</v>
      </c>
      <c r="G281" s="7" t="n">
        <v>154.5843519560055</v>
      </c>
      <c r="H281" s="7" t="n">
        <v>161.3664736982379</v>
      </c>
      <c r="I281" s="7" t="n">
        <v>157.6013157333864</v>
      </c>
      <c r="J281" s="7" t="n">
        <v>157.6009587817205</v>
      </c>
      <c r="K281" s="7" t="n">
        <v>157.5639779604372</v>
      </c>
      <c r="L281" s="7" t="n">
        <v>137.4438333766861</v>
      </c>
      <c r="M281" s="7" t="n">
        <v>138.7549825470105</v>
      </c>
      <c r="N281" s="7" t="n">
        <v>157.9265016160004</v>
      </c>
      <c r="O281" s="8">
        <f>N281*$B$2/100</f>
        <v/>
      </c>
    </row>
    <row r="282">
      <c r="A282" s="6" t="n">
        <v>46238.46692149305</v>
      </c>
      <c r="B282" s="7" t="n">
        <v>152.9807563383715</v>
      </c>
      <c r="C282" s="7" t="n">
        <v>156.1136276924144</v>
      </c>
      <c r="D282" s="7" t="n">
        <v>153.169741952785</v>
      </c>
      <c r="E282" s="7" t="n">
        <v>157.6554010485295</v>
      </c>
      <c r="F282" s="7" t="n">
        <v>152.6724897556767</v>
      </c>
      <c r="G282" s="7" t="n">
        <v>150.2351339392083</v>
      </c>
      <c r="H282" s="7" t="n">
        <v>164.0388648080004</v>
      </c>
      <c r="I282" s="7" t="n">
        <v>160.7437203280104</v>
      </c>
      <c r="J282" s="7" t="n">
        <v>161.8590239804994</v>
      </c>
      <c r="K282" s="7" t="n">
        <v>157.1814534873711</v>
      </c>
      <c r="L282" s="7" t="n">
        <v>141.7213911219853</v>
      </c>
      <c r="M282" s="7" t="n">
        <v>142.6174393613755</v>
      </c>
      <c r="N282" s="7" t="n">
        <v>159.0200693869003</v>
      </c>
      <c r="O282" s="8">
        <f>N282*$B$2/100</f>
        <v/>
      </c>
    </row>
    <row r="283">
      <c r="A283" s="6" t="n">
        <v>46238.46693319445</v>
      </c>
      <c r="B283" s="7" t="n">
        <v>148.8213387636723</v>
      </c>
      <c r="C283" s="7" t="n">
        <v>149.7007627723207</v>
      </c>
      <c r="D283" s="7" t="n">
        <v>162.0890775829942</v>
      </c>
      <c r="E283" s="7" t="n">
        <v>162.6354339363407</v>
      </c>
      <c r="F283" s="7" t="n">
        <v>156.2461217378341</v>
      </c>
      <c r="G283" s="7" t="n">
        <v>157.8611087760592</v>
      </c>
      <c r="H283" s="7" t="n">
        <v>160.9484816035308</v>
      </c>
      <c r="I283" s="7" t="n">
        <v>161.7363309842372</v>
      </c>
      <c r="J283" s="7" t="n">
        <v>153.7665335060032</v>
      </c>
      <c r="K283" s="7" t="n">
        <v>153.5210656897071</v>
      </c>
      <c r="L283" s="7" t="n">
        <v>146.1872491237689</v>
      </c>
      <c r="M283" s="7" t="n">
        <v>150.4901988873767</v>
      </c>
      <c r="N283" s="7" t="n">
        <v>158.662868828513</v>
      </c>
      <c r="O283" s="8">
        <f>N283*$B$2/100</f>
        <v/>
      </c>
    </row>
    <row r="284">
      <c r="A284" s="6" t="n">
        <v>46238.46694483796</v>
      </c>
      <c r="B284" s="7" t="n">
        <v>159.6009019054803</v>
      </c>
      <c r="C284" s="7" t="n">
        <v>158.1675105096812</v>
      </c>
      <c r="D284" s="7" t="n">
        <v>153.2568126201109</v>
      </c>
      <c r="E284" s="7" t="n">
        <v>157.0482394557823</v>
      </c>
      <c r="F284" s="7" t="n">
        <v>150.3607882242629</v>
      </c>
      <c r="G284" s="7" t="n">
        <v>152.1498927466826</v>
      </c>
      <c r="H284" s="7" t="n">
        <v>160.935089782332</v>
      </c>
      <c r="I284" s="7" t="n">
        <v>159.9582445806387</v>
      </c>
      <c r="J284" s="7" t="n">
        <v>150.502798989493</v>
      </c>
      <c r="K284" s="7" t="n">
        <v>148.6515146595669</v>
      </c>
      <c r="L284" s="7" t="n">
        <v>136.7163451021569</v>
      </c>
      <c r="M284" s="7" t="n">
        <v>144.9059358936581</v>
      </c>
      <c r="N284" s="7" t="n">
        <v>156.5421343369909</v>
      </c>
      <c r="O284" s="8">
        <f>N284*$B$2/100</f>
        <v/>
      </c>
    </row>
    <row r="285">
      <c r="A285" s="6" t="n">
        <v>46238.46695650463</v>
      </c>
      <c r="B285" s="7" t="n">
        <v>148.5790692545214</v>
      </c>
      <c r="C285" s="7" t="n">
        <v>161.2826222825322</v>
      </c>
      <c r="D285" s="7" t="n">
        <v>148.4520160479951</v>
      </c>
      <c r="E285" s="7" t="n">
        <v>155.0183802936157</v>
      </c>
      <c r="F285" s="7" t="n">
        <v>145.9468337535222</v>
      </c>
      <c r="G285" s="7" t="n">
        <v>151.505910346945</v>
      </c>
      <c r="H285" s="7" t="n">
        <v>158.705706221439</v>
      </c>
      <c r="I285" s="7" t="n">
        <v>159.2757762890872</v>
      </c>
      <c r="J285" s="7" t="n">
        <v>151.9919596716279</v>
      </c>
      <c r="K285" s="7" t="n">
        <v>150.3108296801429</v>
      </c>
      <c r="L285" s="7" t="n">
        <v>151.3153949503818</v>
      </c>
      <c r="M285" s="7" t="n">
        <v>155.7237690211974</v>
      </c>
      <c r="N285" s="7" t="n">
        <v>154.7110684621694</v>
      </c>
      <c r="O285" s="8">
        <f>N285*$B$2/100</f>
        <v/>
      </c>
    </row>
    <row r="286">
      <c r="A286" s="6" t="n">
        <v>46238.46696825232</v>
      </c>
      <c r="B286" s="7" t="n">
        <v>154.2987009461765</v>
      </c>
      <c r="C286" s="7" t="n">
        <v>155.1634618953933</v>
      </c>
      <c r="D286" s="7" t="n">
        <v>146.1440809509775</v>
      </c>
      <c r="E286" s="7" t="n">
        <v>157.8670044013494</v>
      </c>
      <c r="F286" s="7" t="n">
        <v>141.9368480300188</v>
      </c>
      <c r="G286" s="7" t="n">
        <v>146.2211937034306</v>
      </c>
      <c r="H286" s="7" t="n">
        <v>158.800361513264</v>
      </c>
      <c r="I286" s="7" t="n">
        <v>155.0747504778085</v>
      </c>
      <c r="J286" s="7" t="n">
        <v>145.5690354274426</v>
      </c>
      <c r="K286" s="7" t="n">
        <v>138.690007293946</v>
      </c>
      <c r="L286" s="7" t="n">
        <v>127.8537714106606</v>
      </c>
      <c r="M286" s="7" t="n">
        <v>147.7126786874594</v>
      </c>
      <c r="N286" s="7" t="n">
        <v>152.7678673424057</v>
      </c>
      <c r="O286" s="8">
        <f>N286*$B$2/100</f>
        <v/>
      </c>
    </row>
    <row r="287">
      <c r="A287" s="6" t="n">
        <v>46238.46697991898</v>
      </c>
      <c r="B287" s="7" t="n">
        <v>155.8741322318535</v>
      </c>
      <c r="C287" s="7" t="n">
        <v>155.0417739713721</v>
      </c>
      <c r="D287" s="7" t="n">
        <v>151.1575502373871</v>
      </c>
      <c r="E287" s="7" t="n">
        <v>156.8124365917995</v>
      </c>
      <c r="F287" s="7" t="n">
        <v>150.5673231067904</v>
      </c>
      <c r="G287" s="7" t="n">
        <v>151.7679585079065</v>
      </c>
      <c r="H287" s="7" t="n">
        <v>157.9079990333495</v>
      </c>
      <c r="I287" s="7" t="n">
        <v>158.8525402651523</v>
      </c>
      <c r="J287" s="7" t="n">
        <v>149.3305745218605</v>
      </c>
      <c r="K287" s="7" t="n">
        <v>150.8201894032166</v>
      </c>
      <c r="L287" s="7" t="n">
        <v>143.9707262341901</v>
      </c>
      <c r="M287" s="7" t="n">
        <v>149.9864966631177</v>
      </c>
      <c r="N287" s="7" t="n">
        <v>154.6627555489094</v>
      </c>
      <c r="O287" s="8">
        <f>N287*$B$2/100</f>
        <v/>
      </c>
    </row>
    <row r="288">
      <c r="A288" s="6" t="n">
        <v>46238.46699163195</v>
      </c>
      <c r="B288" s="7" t="n">
        <v>152.4636379974946</v>
      </c>
      <c r="C288" s="7" t="n">
        <v>152.9283404172163</v>
      </c>
      <c r="D288" s="7" t="n">
        <v>148.3644077683844</v>
      </c>
      <c r="E288" s="7" t="n">
        <v>150.7031623443251</v>
      </c>
      <c r="F288" s="7" t="n">
        <v>150.6933760569267</v>
      </c>
      <c r="G288" s="7" t="n">
        <v>149.1982931726908</v>
      </c>
      <c r="H288" s="7" t="n">
        <v>151.8870768279487</v>
      </c>
      <c r="I288" s="7" t="n">
        <v>152.9368770383496</v>
      </c>
      <c r="J288" s="7" t="n">
        <v>146.6394658549351</v>
      </c>
      <c r="K288" s="7" t="n">
        <v>150.3532778725825</v>
      </c>
      <c r="L288" s="7" t="n">
        <v>146.5310980360549</v>
      </c>
      <c r="M288" s="7" t="n">
        <v>150.8019548769475</v>
      </c>
      <c r="N288" s="7" t="n">
        <v>150.5019035925796</v>
      </c>
      <c r="O288" s="8">
        <f>N288*$B$2/100</f>
        <v/>
      </c>
    </row>
    <row r="289">
      <c r="A289" s="6" t="n">
        <v>46238.46700334491</v>
      </c>
      <c r="B289" s="7" t="n">
        <v>154.0758087075191</v>
      </c>
      <c r="C289" s="7" t="n">
        <v>153.1850132556139</v>
      </c>
      <c r="D289" s="7" t="n">
        <v>153.169450624263</v>
      </c>
      <c r="E289" s="7" t="n">
        <v>154.1524236472221</v>
      </c>
      <c r="F289" s="7" t="n">
        <v>151.8861384751856</v>
      </c>
      <c r="G289" s="7" t="n">
        <v>153.9414841395541</v>
      </c>
      <c r="H289" s="7" t="n">
        <v>147.9915559461649</v>
      </c>
      <c r="I289" s="7" t="n">
        <v>152.2976351563975</v>
      </c>
      <c r="J289" s="7" t="n">
        <v>148.8076834430459</v>
      </c>
      <c r="K289" s="7" t="n">
        <v>150.6591628669501</v>
      </c>
      <c r="L289" s="7" t="n">
        <v>153.0876186768097</v>
      </c>
      <c r="M289" s="7" t="n">
        <v>152.7935795575887</v>
      </c>
      <c r="N289" s="7" t="n">
        <v>152.5899023318378</v>
      </c>
      <c r="O289" s="8">
        <f>N289*$B$2/100</f>
        <v/>
      </c>
    </row>
    <row r="290">
      <c r="A290" s="6" t="n">
        <v>46238.46701508102</v>
      </c>
      <c r="B290" s="7" t="n">
        <v>152.0505319065452</v>
      </c>
      <c r="C290" s="7" t="n">
        <v>154.2289295987359</v>
      </c>
      <c r="D290" s="7" t="n">
        <v>148.5395277141996</v>
      </c>
      <c r="E290" s="7" t="n">
        <v>151.7092433534026</v>
      </c>
      <c r="F290" s="7" t="n">
        <v>149.9577259866772</v>
      </c>
      <c r="G290" s="7" t="n">
        <v>152.8736718285463</v>
      </c>
      <c r="H290" s="7" t="n">
        <v>151.5933045742216</v>
      </c>
      <c r="I290" s="7" t="n">
        <v>153.70157887078</v>
      </c>
      <c r="J290" s="7" t="n">
        <v>145.8263815599309</v>
      </c>
      <c r="K290" s="7" t="n">
        <v>151.374580769943</v>
      </c>
      <c r="L290" s="7" t="n">
        <v>149.6713724820758</v>
      </c>
      <c r="M290" s="7" t="n">
        <v>151.7596049716958</v>
      </c>
      <c r="N290" s="7" t="n">
        <v>151.1511471324202</v>
      </c>
      <c r="O290" s="8">
        <f>N290*$B$2/100</f>
        <v/>
      </c>
    </row>
    <row r="291">
      <c r="A291" s="6" t="n">
        <v>46238.46702673611</v>
      </c>
      <c r="B291" s="7" t="n">
        <v>153.0204906062254</v>
      </c>
      <c r="C291" s="7" t="n">
        <v>152.2221906194235</v>
      </c>
      <c r="D291" s="7" t="n">
        <v>150.3804643643978</v>
      </c>
      <c r="E291" s="7" t="n">
        <v>152.3353158350383</v>
      </c>
      <c r="F291" s="7" t="n">
        <v>149.8816788921364</v>
      </c>
      <c r="G291" s="7" t="n">
        <v>150.6865089499222</v>
      </c>
      <c r="H291" s="7" t="n">
        <v>151.8005580428186</v>
      </c>
      <c r="I291" s="7" t="n">
        <v>151.3777234573924</v>
      </c>
      <c r="J291" s="7" t="n">
        <v>150.5265276646174</v>
      </c>
      <c r="K291" s="7" t="n">
        <v>151.0801110976935</v>
      </c>
      <c r="L291" s="7" t="n">
        <v>150.3196311326224</v>
      </c>
      <c r="M291" s="7" t="n">
        <v>151.8215583280492</v>
      </c>
      <c r="N291" s="7" t="n">
        <v>151.3655770367613</v>
      </c>
      <c r="O291" s="8">
        <f>N291*$B$2/100</f>
        <v/>
      </c>
    </row>
    <row r="292">
      <c r="A292" s="6" t="n">
        <v>46238.46703840278</v>
      </c>
      <c r="B292" s="7" t="n">
        <v>152.7458071673161</v>
      </c>
      <c r="C292" s="7" t="n">
        <v>152.2843877798369</v>
      </c>
      <c r="D292" s="7" t="n">
        <v>150.8569911996529</v>
      </c>
      <c r="E292" s="7" t="n">
        <v>151.6918357645484</v>
      </c>
      <c r="F292" s="7" t="n">
        <v>150.9510168817002</v>
      </c>
      <c r="G292" s="7" t="n">
        <v>151.0333345987142</v>
      </c>
      <c r="H292" s="7" t="n">
        <v>150.7268324626622</v>
      </c>
      <c r="I292" s="7" t="n">
        <v>151.0048837147324</v>
      </c>
      <c r="J292" s="7" t="n">
        <v>150.8030240214061</v>
      </c>
      <c r="K292" s="7" t="n">
        <v>150.9311344822319</v>
      </c>
      <c r="L292" s="7" t="n">
        <v>151.8986216647046</v>
      </c>
      <c r="M292" s="7" t="n">
        <v>151.4755663090898</v>
      </c>
      <c r="N292" s="7" t="n">
        <v>151.423977936946</v>
      </c>
      <c r="O292" s="8">
        <f>N292*$B$2/100</f>
        <v/>
      </c>
    </row>
    <row r="293">
      <c r="A293" s="6" t="n">
        <v>46238.46705</v>
      </c>
      <c r="B293" s="7" t="n">
        <v>151.9649210967116</v>
      </c>
      <c r="C293" s="7" t="n">
        <v>155.4995482603968</v>
      </c>
      <c r="D293" s="7" t="n">
        <v>149.1630892739501</v>
      </c>
      <c r="E293" s="7" t="n">
        <v>151.5586805038487</v>
      </c>
      <c r="F293" s="7" t="n">
        <v>148.9680489703489</v>
      </c>
      <c r="G293" s="7" t="n">
        <v>150.684462652382</v>
      </c>
      <c r="H293" s="7" t="n">
        <v>149.1990063572761</v>
      </c>
      <c r="I293" s="7" t="n">
        <v>149.7020818893931</v>
      </c>
      <c r="J293" s="7" t="n">
        <v>151.0783925280787</v>
      </c>
      <c r="K293" s="7" t="n">
        <v>149.4691169208822</v>
      </c>
      <c r="L293" s="7" t="n">
        <v>150.0656940431807</v>
      </c>
      <c r="M293" s="7" t="n">
        <v>151.3604441578619</v>
      </c>
      <c r="N293" s="7" t="n">
        <v>150.7429351441878</v>
      </c>
      <c r="O293" s="8">
        <f>N293*$B$2/100</f>
        <v/>
      </c>
    </row>
    <row r="294">
      <c r="A294" s="6" t="n">
        <v>46238.46706167824</v>
      </c>
      <c r="B294" s="7" t="n">
        <v>154.0249085474195</v>
      </c>
      <c r="C294" s="7" t="n">
        <v>151.9385009988826</v>
      </c>
      <c r="D294" s="7" t="n">
        <v>149.2807999587059</v>
      </c>
      <c r="E294" s="7" t="n">
        <v>152.5608790733642</v>
      </c>
      <c r="F294" s="7" t="n">
        <v>148.7908446535145</v>
      </c>
      <c r="G294" s="7" t="n">
        <v>149.0292272824934</v>
      </c>
      <c r="H294" s="7" t="n">
        <v>154.2597608240822</v>
      </c>
      <c r="I294" s="7" t="n">
        <v>152.3393141090592</v>
      </c>
      <c r="J294" s="7" t="n">
        <v>154.3138363183917</v>
      </c>
      <c r="K294" s="7" t="n">
        <v>154.0120979510025</v>
      </c>
      <c r="L294" s="7" t="n">
        <v>150.877324769201</v>
      </c>
      <c r="M294" s="7" t="n">
        <v>150.3594928300707</v>
      </c>
      <c r="N294" s="7" t="n">
        <v>152.2788135402862</v>
      </c>
      <c r="O294" s="8">
        <f>N294*$B$2/100</f>
        <v/>
      </c>
    </row>
    <row r="295">
      <c r="A295" s="6" t="n">
        <v>46238.46707339121</v>
      </c>
      <c r="B295" s="7" t="n">
        <v>150.9590176725315</v>
      </c>
      <c r="C295" s="7" t="n">
        <v>152.6892356057519</v>
      </c>
      <c r="D295" s="7" t="n">
        <v>152.3495294674908</v>
      </c>
      <c r="E295" s="7" t="n">
        <v>152.8172218284904</v>
      </c>
      <c r="F295" s="7" t="n">
        <v>150.6148952174004</v>
      </c>
      <c r="G295" s="7" t="n">
        <v>149.9491465232174</v>
      </c>
      <c r="H295" s="7" t="n">
        <v>152.2068202537723</v>
      </c>
      <c r="I295" s="7" t="n">
        <v>153.8198332837586</v>
      </c>
      <c r="J295" s="7" t="n">
        <v>146.4957303487677</v>
      </c>
      <c r="K295" s="7" t="n">
        <v>145.589816700611</v>
      </c>
      <c r="L295" s="7" t="n">
        <v>151.3904438465241</v>
      </c>
      <c r="M295" s="7" t="n">
        <v>150.1661391682274</v>
      </c>
      <c r="N295" s="7" t="n">
        <v>151.2057774516194</v>
      </c>
      <c r="O295" s="8">
        <f>N295*$B$2/100</f>
        <v/>
      </c>
    </row>
    <row r="296">
      <c r="A296" s="6" t="n">
        <v>46238.46708503472</v>
      </c>
      <c r="B296" s="7" t="n">
        <v>151.8710827388466</v>
      </c>
      <c r="C296" s="7" t="n">
        <v>152.2775428768996</v>
      </c>
      <c r="D296" s="7" t="n">
        <v>151.3900075687156</v>
      </c>
      <c r="E296" s="7" t="n">
        <v>151.4791582624423</v>
      </c>
      <c r="F296" s="7" t="n">
        <v>151.0886743809581</v>
      </c>
      <c r="G296" s="7" t="n">
        <v>151.4486449530998</v>
      </c>
      <c r="H296" s="7" t="n">
        <v>149.2865275650971</v>
      </c>
      <c r="I296" s="7" t="n">
        <v>151.268214564962</v>
      </c>
      <c r="J296" s="7" t="n">
        <v>148.9505317919579</v>
      </c>
      <c r="K296" s="7" t="n">
        <v>150.5120573044451</v>
      </c>
      <c r="L296" s="7" t="n">
        <v>148.8069257495914</v>
      </c>
      <c r="M296" s="7" t="n">
        <v>151.0420886531333</v>
      </c>
      <c r="N296" s="7" t="n">
        <v>150.9567880952633</v>
      </c>
      <c r="O296" s="8">
        <f>N296*$B$2/100</f>
        <v/>
      </c>
    </row>
    <row r="297">
      <c r="A297" s="6" t="n">
        <v>46238.46709668981</v>
      </c>
      <c r="B297" s="7" t="n">
        <v>151.1691894063866</v>
      </c>
      <c r="C297" s="7" t="n">
        <v>151.7864107675428</v>
      </c>
      <c r="D297" s="7" t="n">
        <v>150.4225177021999</v>
      </c>
      <c r="E297" s="7" t="n">
        <v>150.0902353283626</v>
      </c>
      <c r="F297" s="7" t="n">
        <v>148.6144839676775</v>
      </c>
      <c r="G297" s="7" t="n">
        <v>150.5397023631469</v>
      </c>
      <c r="H297" s="7" t="n">
        <v>151.5864281191116</v>
      </c>
      <c r="I297" s="7" t="n">
        <v>151.4145144722844</v>
      </c>
      <c r="J297" s="7" t="n">
        <v>148.3473583118688</v>
      </c>
      <c r="K297" s="7" t="n">
        <v>151.1526374963994</v>
      </c>
      <c r="L297" s="7" t="n">
        <v>148.7538552001723</v>
      </c>
      <c r="M297" s="7" t="n">
        <v>150.6942576611594</v>
      </c>
      <c r="N297" s="7" t="n">
        <v>150.4354126512686</v>
      </c>
      <c r="O297" s="8">
        <f>N297*$B$2/100</f>
        <v/>
      </c>
    </row>
    <row r="298">
      <c r="A298" s="6" t="n">
        <v>46238.46710841435</v>
      </c>
      <c r="B298" s="7" t="n">
        <v>151.4382085492485</v>
      </c>
      <c r="C298" s="7" t="n">
        <v>152.1295371272756</v>
      </c>
      <c r="D298" s="7" t="n">
        <v>150.4799633816948</v>
      </c>
      <c r="E298" s="7" t="n">
        <v>149.6497975952387</v>
      </c>
      <c r="F298" s="7" t="n">
        <v>150.9969932693369</v>
      </c>
      <c r="G298" s="7" t="n">
        <v>149.6736368448915</v>
      </c>
      <c r="H298" s="7" t="n">
        <v>149.3783946027436</v>
      </c>
      <c r="I298" s="7" t="n">
        <v>151.2157048445611</v>
      </c>
      <c r="J298" s="7" t="n">
        <v>149.2968458879218</v>
      </c>
      <c r="K298" s="7" t="n">
        <v>150.9425758498026</v>
      </c>
      <c r="L298" s="7" t="n">
        <v>149.6941028273517</v>
      </c>
      <c r="M298" s="7" t="n">
        <v>149.5704486669557</v>
      </c>
      <c r="N298" s="7" t="n">
        <v>150.4908393292602</v>
      </c>
      <c r="O298" s="8">
        <f>N298*$B$2/100</f>
        <v/>
      </c>
    </row>
    <row r="299">
      <c r="A299" s="6" t="n">
        <v>46238.46712003472</v>
      </c>
      <c r="B299" s="7" t="n">
        <v>153.9083255268283</v>
      </c>
      <c r="C299" s="7" t="n">
        <v>152.7608358189547</v>
      </c>
      <c r="D299" s="7" t="n">
        <v>148.5274048</v>
      </c>
      <c r="E299" s="7" t="n">
        <v>149.8507726088116</v>
      </c>
      <c r="F299" s="7" t="n">
        <v>143.207669718101</v>
      </c>
      <c r="G299" s="7" t="n">
        <v>144.834295734196</v>
      </c>
      <c r="H299" s="7" t="n">
        <v>149.4859671889829</v>
      </c>
      <c r="I299" s="7" t="n">
        <v>141.1209213305174</v>
      </c>
      <c r="J299" s="7" t="n">
        <v>140.8220381275576</v>
      </c>
      <c r="K299" s="7" t="n">
        <v>116.9762737642586</v>
      </c>
      <c r="L299" s="7" t="n">
        <v>149.6672283464567</v>
      </c>
      <c r="M299" s="7" t="n">
        <v>145.7779637425602</v>
      </c>
      <c r="N299" s="7" t="n">
        <v>148.1381669411106</v>
      </c>
      <c r="O299" s="8">
        <f>N299*$B$2/100</f>
        <v/>
      </c>
    </row>
    <row r="300">
      <c r="A300" s="6" t="n">
        <v>46238.46713167824</v>
      </c>
      <c r="B300" s="7" t="n">
        <v>149.9579375288608</v>
      </c>
      <c r="C300" s="7" t="n">
        <v>153.244526094781</v>
      </c>
      <c r="D300" s="7" t="n">
        <v>143.4471875129155</v>
      </c>
      <c r="E300" s="7" t="n">
        <v>146.8452354913969</v>
      </c>
      <c r="F300" s="7" t="n">
        <v>153.6333048117576</v>
      </c>
      <c r="G300" s="7" t="n">
        <v>152.1188200574863</v>
      </c>
      <c r="H300" s="7" t="n">
        <v>158.4898240166075</v>
      </c>
      <c r="I300" s="7" t="n">
        <v>157.5341283425914</v>
      </c>
      <c r="J300" s="7" t="n">
        <v>153.4105903773726</v>
      </c>
      <c r="K300" s="7" t="n">
        <v>152.7611441024244</v>
      </c>
      <c r="L300" s="7" t="n">
        <v>147.0434376394467</v>
      </c>
      <c r="M300" s="7" t="n">
        <v>142.6838451722671</v>
      </c>
      <c r="N300" s="7" t="n">
        <v>153.4348286154228</v>
      </c>
      <c r="O300" s="8">
        <f>N300*$B$2/100</f>
        <v/>
      </c>
    </row>
    <row r="301">
      <c r="A301" s="6" t="n">
        <v>46238.46714333334</v>
      </c>
      <c r="B301" s="7" t="n">
        <v>153.9601745794316</v>
      </c>
      <c r="C301" s="7" t="n">
        <v>154.6296369186832</v>
      </c>
      <c r="D301" s="7" t="n">
        <v>147.363909108794</v>
      </c>
      <c r="E301" s="7" t="n">
        <v>150.3077832661037</v>
      </c>
      <c r="F301" s="7" t="n">
        <v>147.8030108063394</v>
      </c>
      <c r="G301" s="7" t="n">
        <v>149.9613620144765</v>
      </c>
      <c r="H301" s="7" t="n">
        <v>149.2343954680709</v>
      </c>
      <c r="I301" s="7" t="n">
        <v>146.7032488880294</v>
      </c>
      <c r="J301" s="7" t="n">
        <v>148.9031510506766</v>
      </c>
      <c r="K301" s="7" t="n">
        <v>146.1442720194905</v>
      </c>
      <c r="L301" s="7" t="n">
        <v>148.9113218638555</v>
      </c>
      <c r="M301" s="7" t="n">
        <v>146.5069041467237</v>
      </c>
      <c r="N301" s="7" t="n">
        <v>149.9443627046386</v>
      </c>
      <c r="O301" s="8">
        <f>N301*$B$2/100</f>
        <v/>
      </c>
    </row>
    <row r="302">
      <c r="A302" s="6" t="n">
        <v>46238.46715497685</v>
      </c>
      <c r="B302" s="7" t="n">
        <v>153.4814239373179</v>
      </c>
      <c r="C302" s="7" t="n">
        <v>151.1384917022617</v>
      </c>
      <c r="D302" s="7" t="n">
        <v>148.5521824217202</v>
      </c>
      <c r="E302" s="7" t="n">
        <v>150.9431115644124</v>
      </c>
      <c r="F302" s="7" t="n">
        <v>152.1822540226485</v>
      </c>
      <c r="G302" s="7" t="n">
        <v>150.9660869668726</v>
      </c>
      <c r="H302" s="7" t="n">
        <v>150.8983639398998</v>
      </c>
      <c r="I302" s="7" t="n">
        <v>148.0099408315353</v>
      </c>
      <c r="J302" s="7" t="n">
        <v>148.6300684039685</v>
      </c>
      <c r="K302" s="7" t="n">
        <v>147.5374064138109</v>
      </c>
      <c r="L302" s="7" t="n">
        <v>151.2309825434218</v>
      </c>
      <c r="M302" s="7" t="n">
        <v>149.0520439711439</v>
      </c>
      <c r="N302" s="7" t="n">
        <v>150.7648767094356</v>
      </c>
      <c r="O302" s="8">
        <f>N302*$B$2/100</f>
        <v/>
      </c>
    </row>
    <row r="303">
      <c r="A303" s="6" t="n">
        <v>46238.46716670139</v>
      </c>
      <c r="B303" s="7" t="n">
        <v>150.9000873524273</v>
      </c>
      <c r="C303" s="7" t="n">
        <v>153.216348330851</v>
      </c>
      <c r="D303" s="7" t="n">
        <v>151.3423759388978</v>
      </c>
      <c r="E303" s="7" t="n">
        <v>152.4672871434826</v>
      </c>
      <c r="F303" s="7" t="n">
        <v>154.8449518606815</v>
      </c>
      <c r="G303" s="7" t="n">
        <v>153.6211264737822</v>
      </c>
      <c r="H303" s="7" t="n">
        <v>148.86882404468</v>
      </c>
      <c r="I303" s="7" t="n">
        <v>149.8534293227573</v>
      </c>
      <c r="J303" s="7" t="n">
        <v>153.1241569546447</v>
      </c>
      <c r="K303" s="7" t="n">
        <v>154.1882830128604</v>
      </c>
      <c r="L303" s="7" t="n">
        <v>154.2342834735759</v>
      </c>
      <c r="M303" s="7" t="n">
        <v>153.5617823609433</v>
      </c>
      <c r="N303" s="7" t="n">
        <v>152.8381677636614</v>
      </c>
      <c r="O303" s="8">
        <f>N303*$B$2/100</f>
        <v/>
      </c>
    </row>
    <row r="304">
      <c r="A304" s="6" t="n">
        <v>46238.46717840277</v>
      </c>
      <c r="B304" s="7" t="n">
        <v>151.2825903725286</v>
      </c>
      <c r="C304" s="7" t="n">
        <v>152.5684570951965</v>
      </c>
      <c r="D304" s="7" t="n">
        <v>150.7468849953114</v>
      </c>
      <c r="E304" s="7" t="n">
        <v>150.1949571386787</v>
      </c>
      <c r="F304" s="7" t="n">
        <v>153.4768887588678</v>
      </c>
      <c r="G304" s="7" t="n">
        <v>151.247150279346</v>
      </c>
      <c r="H304" s="7" t="n">
        <v>151.0324211683892</v>
      </c>
      <c r="I304" s="7" t="n">
        <v>150.5962164163111</v>
      </c>
      <c r="J304" s="7" t="n">
        <v>151.691063669134</v>
      </c>
      <c r="K304" s="7" t="n">
        <v>153.3478444766366</v>
      </c>
      <c r="L304" s="7" t="n">
        <v>152.1873034910636</v>
      </c>
      <c r="M304" s="7" t="n">
        <v>152.2276049334826</v>
      </c>
      <c r="N304" s="7" t="n">
        <v>151.8398496570601</v>
      </c>
      <c r="O304" s="8">
        <f>N304*$B$2/100</f>
        <v/>
      </c>
    </row>
    <row r="305">
      <c r="A305" s="6" t="n">
        <v>46238.46719015046</v>
      </c>
      <c r="B305" s="7" t="n">
        <v>151.2781344743393</v>
      </c>
      <c r="C305" s="7" t="n">
        <v>151.5138228400196</v>
      </c>
      <c r="D305" s="7" t="n">
        <v>151.833012930738</v>
      </c>
      <c r="E305" s="7" t="n">
        <v>151.7113181609898</v>
      </c>
      <c r="F305" s="7" t="n">
        <v>151.7455467957907</v>
      </c>
      <c r="G305" s="7" t="n">
        <v>151.3507581272926</v>
      </c>
      <c r="H305" s="7" t="n">
        <v>151.3519646066151</v>
      </c>
      <c r="I305" s="7" t="n">
        <v>151.7276928950297</v>
      </c>
      <c r="J305" s="7" t="n">
        <v>151.5884648569098</v>
      </c>
      <c r="K305" s="7" t="n">
        <v>151.8425401922091</v>
      </c>
      <c r="L305" s="7" t="n">
        <v>150.7103535005181</v>
      </c>
      <c r="M305" s="7" t="n">
        <v>151.2675911679174</v>
      </c>
      <c r="N305" s="7" t="n">
        <v>151.5369546454325</v>
      </c>
      <c r="O305" s="8">
        <f>N305*$B$2/100</f>
        <v/>
      </c>
    </row>
    <row r="306">
      <c r="A306" s="6" t="n">
        <v>46238.46720180556</v>
      </c>
      <c r="B306" s="7" t="n">
        <v>150.3371046318429</v>
      </c>
      <c r="C306" s="7" t="n">
        <v>151.0453056013407</v>
      </c>
      <c r="D306" s="7" t="n">
        <v>153.5514331585144</v>
      </c>
      <c r="E306" s="7" t="n">
        <v>151.575224477312</v>
      </c>
      <c r="F306" s="7" t="n">
        <v>152.4307300206166</v>
      </c>
      <c r="G306" s="7" t="n">
        <v>150.3084552300434</v>
      </c>
      <c r="H306" s="7" t="n">
        <v>150.4618168559506</v>
      </c>
      <c r="I306" s="7" t="n">
        <v>150.8440581610222</v>
      </c>
      <c r="J306" s="7" t="n">
        <v>151.893328981497</v>
      </c>
      <c r="K306" s="7" t="n">
        <v>150.8949596884105</v>
      </c>
      <c r="L306" s="7" t="n">
        <v>150.4939974081335</v>
      </c>
      <c r="M306" s="7" t="n">
        <v>153.1554338384075</v>
      </c>
      <c r="N306" s="7" t="n">
        <v>151.6709552072162</v>
      </c>
      <c r="O306" s="8">
        <f>N306*$B$2/100</f>
        <v/>
      </c>
    </row>
    <row r="307">
      <c r="A307" s="6" t="n">
        <v>46238.4672134375</v>
      </c>
      <c r="B307" s="7" t="n">
        <v>149.4577698270265</v>
      </c>
      <c r="C307" s="7" t="n">
        <v>149.2714657056387</v>
      </c>
      <c r="D307" s="7" t="n">
        <v>149.2777982219595</v>
      </c>
      <c r="E307" s="7" t="n">
        <v>149.4727641293253</v>
      </c>
      <c r="F307" s="7" t="n">
        <v>149.5190591735954</v>
      </c>
      <c r="G307" s="7" t="n">
        <v>149.1928166161709</v>
      </c>
      <c r="H307" s="7" t="n">
        <v>149.3824547719878</v>
      </c>
      <c r="I307" s="7" t="n">
        <v>149.4569556151326</v>
      </c>
      <c r="J307" s="7" t="n">
        <v>148.5497803594846</v>
      </c>
      <c r="K307" s="7" t="n">
        <v>148.9783045509526</v>
      </c>
      <c r="L307" s="7" t="n">
        <v>149.6299568761382</v>
      </c>
      <c r="M307" s="7" t="n">
        <v>148.7938936213956</v>
      </c>
      <c r="N307" s="7" t="n">
        <v>149.2920408092318</v>
      </c>
      <c r="O307" s="8">
        <f>N307*$B$2/100</f>
        <v/>
      </c>
    </row>
    <row r="308">
      <c r="A308" s="6" t="n">
        <v>46238.46722521991</v>
      </c>
      <c r="B308" s="7" t="n">
        <v>159.6095463201902</v>
      </c>
      <c r="C308" s="7" t="n">
        <v>160.6432997824068</v>
      </c>
      <c r="D308" s="7" t="n">
        <v>154.6196759536052</v>
      </c>
      <c r="E308" s="7" t="n">
        <v>156.9599420015476</v>
      </c>
      <c r="F308" s="7" t="n">
        <v>153.8621416325364</v>
      </c>
      <c r="G308" s="7" t="n">
        <v>154.3691921638384</v>
      </c>
      <c r="H308" s="7" t="n">
        <v>155.8774496387638</v>
      </c>
      <c r="I308" s="7" t="n">
        <v>156.048302880746</v>
      </c>
      <c r="J308" s="7" t="n">
        <v>150.9225723580202</v>
      </c>
      <c r="K308" s="7" t="n">
        <v>148.2695813788831</v>
      </c>
      <c r="L308" s="7" t="n">
        <v>147.6342397714607</v>
      </c>
      <c r="M308" s="7" t="n">
        <v>149.0188281344823</v>
      </c>
      <c r="N308" s="7" t="n">
        <v>155.4093757043047</v>
      </c>
      <c r="O308" s="8">
        <f>N308*$B$2/100</f>
        <v/>
      </c>
    </row>
    <row r="309">
      <c r="A309" s="6" t="n">
        <v>46238.467236875</v>
      </c>
      <c r="B309" s="7" t="n">
        <v>152.1248947505397</v>
      </c>
      <c r="C309" s="7" t="n">
        <v>155.2875653282345</v>
      </c>
      <c r="D309" s="7" t="n">
        <v>153.2905558548458</v>
      </c>
      <c r="E309" s="7" t="n">
        <v>152.9898473127137</v>
      </c>
      <c r="F309" s="7" t="n">
        <v>152.0082042752141</v>
      </c>
      <c r="G309" s="7" t="n">
        <v>152.259888126689</v>
      </c>
      <c r="H309" s="7" t="n">
        <v>156.3306995682265</v>
      </c>
      <c r="I309" s="7" t="n">
        <v>154.1242818305702</v>
      </c>
      <c r="J309" s="7" t="n">
        <v>151.0722606626744</v>
      </c>
      <c r="K309" s="7" t="n">
        <v>154.1880234957473</v>
      </c>
      <c r="L309" s="7" t="n">
        <v>153.9014139414931</v>
      </c>
      <c r="M309" s="7" t="n">
        <v>153.1333299194319</v>
      </c>
      <c r="N309" s="7" t="n">
        <v>153.6924302436218</v>
      </c>
      <c r="O309" s="8">
        <f>N309*$B$2/100</f>
        <v/>
      </c>
    </row>
    <row r="310">
      <c r="A310" s="6" t="n">
        <v>46238.46724856481</v>
      </c>
      <c r="B310" s="7" t="n">
        <v>156.4838370835447</v>
      </c>
      <c r="C310" s="7" t="n">
        <v>160.3409941251101</v>
      </c>
      <c r="D310" s="7" t="n">
        <v>145.3739288837074</v>
      </c>
      <c r="E310" s="7" t="n">
        <v>155.9721194982235</v>
      </c>
      <c r="F310" s="7" t="n">
        <v>142.6672415892212</v>
      </c>
      <c r="G310" s="7" t="n">
        <v>152.2176844605925</v>
      </c>
      <c r="H310" s="7" t="n">
        <v>155.6786649508447</v>
      </c>
      <c r="I310" s="7" t="n">
        <v>147.513639703972</v>
      </c>
      <c r="J310" s="7" t="n">
        <v>151.5083049158972</v>
      </c>
      <c r="K310" s="7" t="n">
        <v>139.4418963245395</v>
      </c>
      <c r="L310" s="7" t="n">
        <v>154.6054920035926</v>
      </c>
      <c r="M310" s="7" t="n">
        <v>148.440549698268</v>
      </c>
      <c r="N310" s="7" t="n">
        <v>152.2566647720184</v>
      </c>
      <c r="O310" s="8">
        <f>N310*$B$2/100</f>
        <v/>
      </c>
    </row>
    <row r="311">
      <c r="A311" s="6" t="n">
        <v>46238.46726028936</v>
      </c>
      <c r="B311" s="7" t="n">
        <v>132.2590945925228</v>
      </c>
      <c r="C311" s="7" t="n">
        <v>146.3021640395405</v>
      </c>
      <c r="D311" s="7" t="n">
        <v>147.7534360801895</v>
      </c>
      <c r="E311" s="7" t="n">
        <v>147.2446585154996</v>
      </c>
      <c r="F311" s="7" t="n">
        <v>145.9567305870315</v>
      </c>
      <c r="G311" s="7" t="n">
        <v>149.6782473636884</v>
      </c>
      <c r="H311" s="7" t="n">
        <v>148.2639156779083</v>
      </c>
      <c r="I311" s="7" t="n">
        <v>101.8115465018014</v>
      </c>
      <c r="J311" s="7" t="n">
        <v>149.1931665807117</v>
      </c>
      <c r="K311" s="7" t="n">
        <v>112.3909704008992</v>
      </c>
      <c r="L311" s="7" t="n">
        <v>145.7590072350948</v>
      </c>
      <c r="M311" s="7" t="n">
        <v>107.9706792971233</v>
      </c>
      <c r="N311" s="7" t="n">
        <v>139.458086593859</v>
      </c>
      <c r="O311" s="8">
        <f>N311*$B$2/100</f>
        <v/>
      </c>
    </row>
    <row r="312">
      <c r="A312" s="6" t="n">
        <v>46238.46727206019</v>
      </c>
      <c r="B312" s="7" t="n">
        <v>111.541318330792</v>
      </c>
      <c r="C312" s="7" t="n">
        <v>142.6981381305825</v>
      </c>
      <c r="D312" s="7" t="n">
        <v>152.65174766373</v>
      </c>
      <c r="E312" s="7" t="n">
        <v>152.7956748083112</v>
      </c>
      <c r="F312" s="7" t="n">
        <v>111.0967906445089</v>
      </c>
      <c r="G312" s="7" t="n">
        <v>145.3302428488648</v>
      </c>
      <c r="H312" s="7" t="n">
        <v>152.237848040027</v>
      </c>
      <c r="I312" s="7" t="n">
        <v>129.5182689117452</v>
      </c>
      <c r="J312" s="7" t="n">
        <v>141.4588467225234</v>
      </c>
      <c r="K312" s="7" t="n">
        <v>110.0776409553058</v>
      </c>
      <c r="L312" s="7" t="n">
        <v>134.8894266753156</v>
      </c>
      <c r="M312" s="7" t="n">
        <v>112.9980952380952</v>
      </c>
      <c r="N312" s="7" t="n">
        <v>139.6975704541131</v>
      </c>
      <c r="O312" s="8">
        <f>N312*$B$2/100</f>
        <v/>
      </c>
    </row>
    <row r="313">
      <c r="A313" s="6" t="n">
        <v>46238.46728369213</v>
      </c>
      <c r="B313" s="7" t="n">
        <v>137.0261626531674</v>
      </c>
      <c r="C313" s="7" t="n">
        <v>156.3651155145103</v>
      </c>
      <c r="D313" s="7" t="n">
        <v>162.335588134009</v>
      </c>
      <c r="E313" s="7" t="n">
        <v>155.0370844416744</v>
      </c>
      <c r="F313" s="7" t="n">
        <v>138.8023410745158</v>
      </c>
      <c r="G313" s="7" t="n">
        <v>152.9127468248818</v>
      </c>
      <c r="H313" s="7" t="n">
        <v>151.01091909895</v>
      </c>
      <c r="I313" s="7" t="n">
        <v>113.1420479577066</v>
      </c>
      <c r="J313" s="7" t="n">
        <v>154.9419970631424</v>
      </c>
      <c r="K313" s="7" t="n">
        <v>130.8690460370195</v>
      </c>
      <c r="L313" s="7" t="n">
        <v>162.0059854638735</v>
      </c>
      <c r="M313" s="7" t="n">
        <v>152.8394832714997</v>
      </c>
      <c r="N313" s="7" t="n">
        <v>151.9853495748484</v>
      </c>
      <c r="O313" s="8">
        <f>N313*$B$2/100</f>
        <v/>
      </c>
    </row>
    <row r="314">
      <c r="A314" s="6" t="n">
        <v>46238.4672953125</v>
      </c>
      <c r="B314" s="7" t="n">
        <v>123.2448771980817</v>
      </c>
      <c r="C314" s="7" t="n">
        <v>157.2689540708921</v>
      </c>
      <c r="D314" s="7" t="n">
        <v>152.0370038722168</v>
      </c>
      <c r="E314" s="7" t="n">
        <v>154.6290267135364</v>
      </c>
      <c r="F314" s="7" t="n">
        <v>136.768943988229</v>
      </c>
      <c r="G314" s="7" t="n">
        <v>150.4934278724551</v>
      </c>
      <c r="H314" s="7" t="n">
        <v>149.3542482029532</v>
      </c>
      <c r="I314" s="7" t="n">
        <v>117.764537551968</v>
      </c>
      <c r="J314" s="7" t="n">
        <v>149.0021783463107</v>
      </c>
      <c r="K314" s="7" t="n">
        <v>106.6552279415848</v>
      </c>
      <c r="L314" s="7" t="n">
        <v>148.9907303556113</v>
      </c>
      <c r="M314" s="7" t="n">
        <v>139.6593164107708</v>
      </c>
      <c r="N314" s="7" t="n">
        <v>145.4348663401694</v>
      </c>
      <c r="O314" s="8">
        <f>N314*$B$2/100</f>
        <v/>
      </c>
    </row>
    <row r="315">
      <c r="A315" s="6" t="n">
        <v>46238.46730702546</v>
      </c>
      <c r="B315" s="7" t="n">
        <v>155.8347726583289</v>
      </c>
      <c r="C315" s="7" t="n">
        <v>153.2245596972324</v>
      </c>
      <c r="D315" s="7" t="n">
        <v>150.4001589893434</v>
      </c>
      <c r="E315" s="7" t="n">
        <v>156.7791449426486</v>
      </c>
      <c r="F315" s="7" t="n">
        <v>146.5071928720958</v>
      </c>
      <c r="G315" s="7" t="n">
        <v>157.3839357932991</v>
      </c>
      <c r="H315" s="7" t="n">
        <v>157.6879474240113</v>
      </c>
      <c r="I315" s="7" t="n">
        <v>150.8494997205449</v>
      </c>
      <c r="J315" s="7" t="n">
        <v>154.0908054414544</v>
      </c>
      <c r="K315" s="7" t="n">
        <v>139.5029323865807</v>
      </c>
      <c r="L315" s="7" t="n">
        <v>154.3982565520354</v>
      </c>
      <c r="M315" s="7" t="n">
        <v>155.2245851656963</v>
      </c>
      <c r="N315" s="7" t="n">
        <v>153.8686071547616</v>
      </c>
      <c r="O315" s="8">
        <f>N315*$B$2/100</f>
        <v/>
      </c>
    </row>
    <row r="316">
      <c r="A316" s="6" t="n">
        <v>46238.46731866898</v>
      </c>
      <c r="B316" s="7" t="n">
        <v>149.290154406898</v>
      </c>
      <c r="C316" s="7" t="n">
        <v>156.7399826404633</v>
      </c>
      <c r="D316" s="7" t="n">
        <v>152.1347993122347</v>
      </c>
      <c r="E316" s="7" t="n">
        <v>159.2468744848052</v>
      </c>
      <c r="F316" s="7" t="n">
        <v>151.8022078444274</v>
      </c>
      <c r="G316" s="7" t="n">
        <v>154.8401701846581</v>
      </c>
      <c r="H316" s="7" t="n">
        <v>155.4133515283843</v>
      </c>
      <c r="I316" s="7" t="n">
        <v>147.9607010191447</v>
      </c>
      <c r="J316" s="7" t="n">
        <v>156.3643037747231</v>
      </c>
      <c r="K316" s="7" t="n">
        <v>144.7298648843583</v>
      </c>
      <c r="L316" s="7" t="n">
        <v>152.6268828106867</v>
      </c>
      <c r="M316" s="7" t="n">
        <v>143.7009813325463</v>
      </c>
      <c r="N316" s="7" t="n">
        <v>153.0763001260632</v>
      </c>
      <c r="O316" s="8">
        <f>N316*$B$2/100</f>
        <v/>
      </c>
    </row>
    <row r="317">
      <c r="A317" s="6" t="n">
        <v>46238.4673304051</v>
      </c>
      <c r="B317" s="7" t="n">
        <v>151.5839094973917</v>
      </c>
      <c r="C317" s="7" t="n">
        <v>158.5440365456948</v>
      </c>
      <c r="D317" s="7" t="n">
        <v>157.8678421110238</v>
      </c>
      <c r="E317" s="7" t="n">
        <v>156.859712857475</v>
      </c>
      <c r="F317" s="7" t="n">
        <v>150.1888313257658</v>
      </c>
      <c r="G317" s="7" t="n">
        <v>151.7074325368396</v>
      </c>
      <c r="H317" s="7" t="n">
        <v>159.9602894663965</v>
      </c>
      <c r="I317" s="7" t="n">
        <v>154.468987903908</v>
      </c>
      <c r="J317" s="7" t="n">
        <v>157.0482997628788</v>
      </c>
      <c r="K317" s="7" t="n">
        <v>151.6644569226674</v>
      </c>
      <c r="L317" s="7" t="n">
        <v>158.8897951886655</v>
      </c>
      <c r="M317" s="7" t="n">
        <v>152.4542615642656</v>
      </c>
      <c r="N317" s="7" t="n">
        <v>155.9601119905983</v>
      </c>
      <c r="O317" s="8">
        <f>N317*$B$2/100</f>
        <v/>
      </c>
    </row>
    <row r="318">
      <c r="A318" s="6" t="n">
        <v>46238.46734207176</v>
      </c>
      <c r="B318" s="7" t="n">
        <v>152.8972969348873</v>
      </c>
      <c r="C318" s="7" t="n">
        <v>153.5411954324428</v>
      </c>
      <c r="D318" s="7" t="n">
        <v>142.5843260695742</v>
      </c>
      <c r="E318" s="7" t="n">
        <v>152.95299267684</v>
      </c>
      <c r="F318" s="7" t="n">
        <v>134.3072563274098</v>
      </c>
      <c r="G318" s="7" t="n">
        <v>149.686004479631</v>
      </c>
      <c r="H318" s="7" t="n">
        <v>152.1144091138745</v>
      </c>
      <c r="I318" s="7" t="n">
        <v>139.7373844652391</v>
      </c>
      <c r="J318" s="7" t="n">
        <v>152.1579979181124</v>
      </c>
      <c r="K318" s="7" t="n">
        <v>150.6525602357024</v>
      </c>
      <c r="L318" s="7" t="n">
        <v>155.9232371233564</v>
      </c>
      <c r="M318" s="7" t="n">
        <v>142.210515708358</v>
      </c>
      <c r="N318" s="7" t="n">
        <v>149.4122264309764</v>
      </c>
      <c r="O318" s="8">
        <f>N318*$B$2/100</f>
        <v/>
      </c>
    </row>
    <row r="319">
      <c r="A319" s="6" t="n">
        <v>46238.46735371528</v>
      </c>
      <c r="B319" s="7" t="n">
        <v>151.0590853270053</v>
      </c>
      <c r="C319" s="7" t="n">
        <v>151.9354886451464</v>
      </c>
      <c r="D319" s="7" t="n">
        <v>133.0684515810191</v>
      </c>
      <c r="E319" s="7" t="n">
        <v>146.4182217343578</v>
      </c>
      <c r="F319" s="7" t="n">
        <v>142.2169267006656</v>
      </c>
      <c r="G319" s="7" t="n">
        <v>148.6092297337091</v>
      </c>
      <c r="H319" s="7" t="n">
        <v>146.5130653164145</v>
      </c>
      <c r="I319" s="7" t="n">
        <v>110.3457347052562</v>
      </c>
      <c r="J319" s="7" t="n">
        <v>152.2956121654995</v>
      </c>
      <c r="K319" s="7" t="n">
        <v>128.734119573649</v>
      </c>
      <c r="L319" s="7" t="n">
        <v>140.6976209786429</v>
      </c>
      <c r="M319" s="7" t="n">
        <v>107.9499474324352</v>
      </c>
      <c r="N319" s="7" t="n">
        <v>140.470835536753</v>
      </c>
      <c r="O319" s="8">
        <f>N319*$B$2/100</f>
        <v/>
      </c>
    </row>
    <row r="320">
      <c r="A320" s="6" t="n">
        <v>46238.46736533565</v>
      </c>
      <c r="B320" s="7" t="n">
        <v>149.6656918805539</v>
      </c>
      <c r="C320" s="7" t="n">
        <v>150.2177671970931</v>
      </c>
      <c r="D320" s="7" t="n">
        <v>140.4887308853609</v>
      </c>
      <c r="E320" s="7" t="n">
        <v>149.0714663004437</v>
      </c>
      <c r="F320" s="7" t="n">
        <v>142.9082293909166</v>
      </c>
      <c r="G320" s="7" t="n">
        <v>148.9782805127004</v>
      </c>
      <c r="H320" s="7" t="n">
        <v>144.1857200679997</v>
      </c>
      <c r="I320" s="7" t="n">
        <v>109.0368410339915</v>
      </c>
      <c r="J320" s="7" t="n">
        <v>149.3163293845017</v>
      </c>
      <c r="K320" s="7" t="n">
        <v>110.6356291280688</v>
      </c>
      <c r="L320" s="7" t="n">
        <v>134.5077082332064</v>
      </c>
      <c r="M320" s="7" t="n">
        <v>115.5595206765268</v>
      </c>
      <c r="N320" s="7" t="n">
        <v>140.4691990599838</v>
      </c>
      <c r="O320" s="8">
        <f>N320*$B$2/100</f>
        <v/>
      </c>
    </row>
    <row r="321">
      <c r="A321" s="6" t="n">
        <v>46238.46737717593</v>
      </c>
      <c r="B321" s="7" t="n">
        <v>149.7012901361741</v>
      </c>
      <c r="C321" s="7" t="n">
        <v>151.9539391885799</v>
      </c>
      <c r="D321" s="7" t="n">
        <v>151.8997662855743</v>
      </c>
      <c r="E321" s="7" t="n">
        <v>152.2610531981699</v>
      </c>
      <c r="F321" s="7" t="n">
        <v>149.2133504825531</v>
      </c>
      <c r="G321" s="7" t="n">
        <v>151.709899480183</v>
      </c>
      <c r="H321" s="7" t="n">
        <v>151.3966359314443</v>
      </c>
      <c r="I321" s="7" t="n">
        <v>149.1825393305413</v>
      </c>
      <c r="J321" s="7" t="n">
        <v>151.572423795312</v>
      </c>
      <c r="K321" s="7" t="n">
        <v>148.7455398100185</v>
      </c>
      <c r="L321" s="7" t="n">
        <v>151.6489336727774</v>
      </c>
      <c r="M321" s="7" t="n">
        <v>149.3932295496404</v>
      </c>
      <c r="N321" s="7" t="n">
        <v>150.7702153303986</v>
      </c>
      <c r="O321" s="8">
        <f>N321*$B$2/100</f>
        <v/>
      </c>
    </row>
    <row r="322">
      <c r="A322" s="6" t="n">
        <v>46238.46738892361</v>
      </c>
      <c r="B322" s="7" t="n">
        <v>152.1628113180249</v>
      </c>
      <c r="C322" s="7" t="n">
        <v>153.209901484312</v>
      </c>
      <c r="D322" s="7" t="n">
        <v>147.209207289247</v>
      </c>
      <c r="E322" s="7" t="n">
        <v>150.4655480727239</v>
      </c>
      <c r="F322" s="7" t="n">
        <v>148.1882273669661</v>
      </c>
      <c r="G322" s="7" t="n">
        <v>149.8613277918211</v>
      </c>
      <c r="H322" s="7" t="n">
        <v>152.7503874754506</v>
      </c>
      <c r="I322" s="7" t="n">
        <v>150.7480944407652</v>
      </c>
      <c r="J322" s="7" t="n">
        <v>149.0278253763214</v>
      </c>
      <c r="K322" s="7" t="n">
        <v>146.7621548744659</v>
      </c>
      <c r="L322" s="7" t="n">
        <v>151.6774924669199</v>
      </c>
      <c r="M322" s="7" t="n">
        <v>144.6099250242023</v>
      </c>
      <c r="N322" s="7" t="n">
        <v>150.1561058201058</v>
      </c>
      <c r="O322" s="8">
        <f>N322*$B$2/100</f>
        <v/>
      </c>
    </row>
    <row r="323">
      <c r="A323" s="6" t="n">
        <v>46238.46740063657</v>
      </c>
      <c r="B323" s="7" t="n">
        <v>153.8633871671759</v>
      </c>
      <c r="C323" s="7" t="n">
        <v>161.9672336665633</v>
      </c>
      <c r="D323" s="7" t="n">
        <v>156.8309777105844</v>
      </c>
      <c r="E323" s="7" t="n">
        <v>149.2837956427182</v>
      </c>
      <c r="F323" s="7" t="n">
        <v>148.8352077456548</v>
      </c>
      <c r="G323" s="7" t="n">
        <v>155.948560294436</v>
      </c>
      <c r="H323" s="7" t="n">
        <v>160.2424347770106</v>
      </c>
      <c r="I323" s="7" t="n">
        <v>159.3087082830017</v>
      </c>
      <c r="J323" s="7" t="n">
        <v>148.54181613389</v>
      </c>
      <c r="K323" s="7" t="n">
        <v>150.5178242070571</v>
      </c>
      <c r="L323" s="7" t="n">
        <v>152.0791405887166</v>
      </c>
      <c r="M323" s="7" t="n">
        <v>151.1362894018008</v>
      </c>
      <c r="N323" s="7" t="n">
        <v>156.3290975379952</v>
      </c>
      <c r="O323" s="8">
        <f>N323*$B$2/100</f>
        <v/>
      </c>
    </row>
    <row r="324">
      <c r="A324" s="6" t="n">
        <v>46238.46741240741</v>
      </c>
      <c r="B324" s="7" t="n">
        <v>143.4492128624247</v>
      </c>
      <c r="C324" s="7" t="n">
        <v>150.1401059903473</v>
      </c>
      <c r="D324" s="7" t="n">
        <v>129.3660958617641</v>
      </c>
      <c r="E324" s="7" t="n">
        <v>154.9290043720191</v>
      </c>
      <c r="F324" s="7" t="n">
        <v>146.9765625745845</v>
      </c>
      <c r="G324" s="7" t="n">
        <v>158.3290068262667</v>
      </c>
      <c r="H324" s="7" t="n">
        <v>155.8452839851024</v>
      </c>
      <c r="I324" s="7" t="n">
        <v>128.5437088258655</v>
      </c>
      <c r="J324" s="7" t="n">
        <v>147.7833740780208</v>
      </c>
      <c r="K324" s="7" t="n">
        <v>132.950040776875</v>
      </c>
      <c r="L324" s="7" t="n">
        <v>146.5766904219626</v>
      </c>
      <c r="M324" s="7" t="n">
        <v>122.2973123921064</v>
      </c>
      <c r="N324" s="7" t="n">
        <v>144.6442487160406</v>
      </c>
      <c r="O324" s="8">
        <f>N324*$B$2/100</f>
        <v/>
      </c>
    </row>
    <row r="325">
      <c r="A325" s="6" t="n">
        <v>46238.4674240625</v>
      </c>
      <c r="B325" s="7" t="n">
        <v>142.4223108937229</v>
      </c>
      <c r="C325" s="7" t="n">
        <v>152.6828553560261</v>
      </c>
      <c r="D325" s="7" t="n">
        <v>147.0131803251424</v>
      </c>
      <c r="E325" s="7" t="n">
        <v>141.9609058220488</v>
      </c>
      <c r="F325" s="7" t="n">
        <v>154.7589402864242</v>
      </c>
      <c r="G325" s="7" t="n">
        <v>156.3419536571392</v>
      </c>
      <c r="H325" s="7" t="n">
        <v>153.1303757494393</v>
      </c>
      <c r="I325" s="7" t="n">
        <v>124.5526649486645</v>
      </c>
      <c r="J325" s="7" t="n">
        <v>155.8326549987938</v>
      </c>
      <c r="K325" s="7" t="n">
        <v>138.5211401086303</v>
      </c>
      <c r="L325" s="7" t="n">
        <v>155.4973223398277</v>
      </c>
      <c r="M325" s="7" t="n">
        <v>150.180557233063</v>
      </c>
      <c r="N325" s="7" t="n">
        <v>149.2565039142387</v>
      </c>
      <c r="O325" s="8">
        <f>N325*$B$2/100</f>
        <v/>
      </c>
    </row>
    <row r="326">
      <c r="A326" s="6" t="n">
        <v>46238.46743572917</v>
      </c>
      <c r="B326" s="7" t="n">
        <v>152.4497353306566</v>
      </c>
      <c r="C326" s="7" t="n">
        <v>156.1835758555645</v>
      </c>
      <c r="D326" s="7" t="n">
        <v>127.2982278257803</v>
      </c>
      <c r="E326" s="7" t="n">
        <v>151.7175172915357</v>
      </c>
      <c r="F326" s="7" t="n">
        <v>136.5195149788803</v>
      </c>
      <c r="G326" s="7" t="n">
        <v>153.1729841806174</v>
      </c>
      <c r="H326" s="7" t="n">
        <v>148.0437476172322</v>
      </c>
      <c r="I326" s="7" t="n">
        <v>108.9143778065511</v>
      </c>
      <c r="J326" s="7" t="n">
        <v>154.787764770399</v>
      </c>
      <c r="K326" s="7" t="n">
        <v>140.4536680053548</v>
      </c>
      <c r="L326" s="7" t="n">
        <v>148.1535470310037</v>
      </c>
      <c r="M326" s="7" t="n">
        <v>137.8313746223565</v>
      </c>
      <c r="N326" s="7" t="n">
        <v>146.6152042677056</v>
      </c>
      <c r="O326" s="8">
        <f>N326*$B$2/100</f>
        <v/>
      </c>
    </row>
    <row r="327">
      <c r="A327" s="6" t="n">
        <v>46238.46744747685</v>
      </c>
      <c r="B327" s="7" t="n">
        <v>123.5314798324594</v>
      </c>
      <c r="C327" s="7" t="n">
        <v>152.7634984974491</v>
      </c>
      <c r="D327" s="7" t="n">
        <v>142.3495333811917</v>
      </c>
      <c r="E327" s="7" t="n">
        <v>146.6389748549323</v>
      </c>
      <c r="F327" s="7" t="n">
        <v>128.2739214534058</v>
      </c>
      <c r="G327" s="7" t="n">
        <v>148.5550946020479</v>
      </c>
      <c r="H327" s="7" t="n">
        <v>149.1497200573953</v>
      </c>
      <c r="I327" s="7" t="n">
        <v>133.8540366192211</v>
      </c>
      <c r="J327" s="7" t="n">
        <v>150.9694259873448</v>
      </c>
      <c r="K327" s="7" t="n">
        <v>145.7981585701565</v>
      </c>
      <c r="L327" s="7" t="n">
        <v>152.6598753859726</v>
      </c>
      <c r="M327" s="7" t="n">
        <v>137.6933186377778</v>
      </c>
      <c r="N327" s="7" t="n">
        <v>143.4026536241508</v>
      </c>
      <c r="O327" s="8">
        <f>N327*$B$2/100</f>
        <v/>
      </c>
    </row>
    <row r="328">
      <c r="A328" s="6" t="n">
        <v>46238.4674591088</v>
      </c>
      <c r="B328" s="7" t="n">
        <v>157.3908338361026</v>
      </c>
      <c r="C328" s="7" t="n">
        <v>153.8193109484</v>
      </c>
      <c r="D328" s="7" t="n">
        <v>139.4080705122967</v>
      </c>
      <c r="E328" s="7" t="n">
        <v>155.5524565508021</v>
      </c>
      <c r="F328" s="7" t="n">
        <v>135.3912818043776</v>
      </c>
      <c r="G328" s="7" t="n">
        <v>157.4555133756451</v>
      </c>
      <c r="H328" s="7" t="n">
        <v>152.3355916011932</v>
      </c>
      <c r="I328" s="7" t="n">
        <v>131.3627418305321</v>
      </c>
      <c r="J328" s="7" t="n">
        <v>147.8135704725392</v>
      </c>
      <c r="K328" s="7" t="n">
        <v>117.9863906655496</v>
      </c>
      <c r="L328" s="7" t="n">
        <v>149.9844063071696</v>
      </c>
      <c r="M328" s="7" t="n">
        <v>131.4611372555682</v>
      </c>
      <c r="N328" s="7" t="n">
        <v>147.1874121398448</v>
      </c>
      <c r="O328" s="8">
        <f>N328*$B$2/100</f>
        <v/>
      </c>
    </row>
    <row r="329">
      <c r="A329" s="6" t="n">
        <v>46238.46747084491</v>
      </c>
      <c r="B329" s="7" t="n">
        <v>149.9656426280279</v>
      </c>
      <c r="C329" s="7" t="n">
        <v>151.5450555100642</v>
      </c>
      <c r="D329" s="7" t="n">
        <v>141.5790380228727</v>
      </c>
      <c r="E329" s="7" t="n">
        <v>138.8340949033392</v>
      </c>
      <c r="F329" s="7" t="n">
        <v>111.8509229728424</v>
      </c>
      <c r="G329" s="7" t="n">
        <v>145.4824583106537</v>
      </c>
      <c r="H329" s="7" t="n">
        <v>150.0823428721304</v>
      </c>
      <c r="I329" s="7" t="n">
        <v>94.53320828489908</v>
      </c>
      <c r="J329" s="7" t="n">
        <v>147.8591716516736</v>
      </c>
      <c r="K329" s="7" t="n">
        <v>97.81971549787872</v>
      </c>
      <c r="L329" s="7" t="n">
        <v>140.2340657886028</v>
      </c>
      <c r="M329" s="7" t="n">
        <v>114.8144020864735</v>
      </c>
      <c r="N329" s="7" t="n">
        <v>137.8897713664331</v>
      </c>
      <c r="O329" s="8">
        <f>N329*$B$2/100</f>
        <v/>
      </c>
    </row>
    <row r="330">
      <c r="A330" s="6" t="n">
        <v>46238.46748251157</v>
      </c>
      <c r="B330" s="7" t="n">
        <v>128.8359673116537</v>
      </c>
      <c r="C330" s="7" t="n">
        <v>153.3369172333517</v>
      </c>
      <c r="D330" s="7" t="n">
        <v>143.1259557665533</v>
      </c>
      <c r="E330" s="7" t="n">
        <v>154.2761700871106</v>
      </c>
      <c r="F330" s="7" t="n">
        <v>129.7429991085007</v>
      </c>
      <c r="G330" s="7" t="n">
        <v>147.150771795973</v>
      </c>
      <c r="H330" s="7" t="n">
        <v>156.6884340027808</v>
      </c>
      <c r="I330" s="7" t="n">
        <v>152.4683392267699</v>
      </c>
      <c r="J330" s="7" t="n">
        <v>148.0620155837731</v>
      </c>
      <c r="K330" s="7" t="n">
        <v>123.6907607298895</v>
      </c>
      <c r="L330" s="7" t="n">
        <v>149.5617622688117</v>
      </c>
      <c r="M330" s="7" t="n">
        <v>135.8014368824006</v>
      </c>
      <c r="N330" s="7" t="n">
        <v>146.8341201437914</v>
      </c>
      <c r="O330" s="8">
        <f>N330*$B$2/100</f>
        <v/>
      </c>
    </row>
    <row r="331">
      <c r="A331" s="6" t="n">
        <v>46238.46749414352</v>
      </c>
      <c r="B331" s="7" t="n">
        <v>154.8077897980484</v>
      </c>
      <c r="C331" s="7" t="n">
        <v>156.6577751869422</v>
      </c>
      <c r="D331" s="7" t="n">
        <v>128.3498653185758</v>
      </c>
      <c r="E331" s="7" t="n">
        <v>150.0402267498399</v>
      </c>
      <c r="F331" s="7" t="n">
        <v>125.7477205473691</v>
      </c>
      <c r="G331" s="7" t="n">
        <v>151.5461056637683</v>
      </c>
      <c r="H331" s="7" t="n">
        <v>154.7332839798638</v>
      </c>
      <c r="I331" s="7" t="n">
        <v>146.7107008357614</v>
      </c>
      <c r="J331" s="7" t="n">
        <v>151.9482651674123</v>
      </c>
      <c r="K331" s="7" t="n">
        <v>113.7490724901695</v>
      </c>
      <c r="L331" s="7" t="n">
        <v>153.2121448245868</v>
      </c>
      <c r="M331" s="7" t="n">
        <v>126.1259264727595</v>
      </c>
      <c r="N331" s="7" t="n">
        <v>145.0898242543227</v>
      </c>
      <c r="O331" s="8">
        <f>N331*$B$2/100</f>
        <v/>
      </c>
    </row>
    <row r="332">
      <c r="A332" s="6" t="n">
        <v>46238.46750590278</v>
      </c>
      <c r="B332" s="7" t="n">
        <v>152.3349746764209</v>
      </c>
      <c r="C332" s="7" t="n">
        <v>152.2221834235403</v>
      </c>
      <c r="D332" s="7" t="n">
        <v>147.2373292095313</v>
      </c>
      <c r="E332" s="7" t="n">
        <v>147.6882188849402</v>
      </c>
      <c r="F332" s="7" t="n">
        <v>147.0037541013305</v>
      </c>
      <c r="G332" s="7" t="n">
        <v>157.2432128814829</v>
      </c>
      <c r="H332" s="7" t="n">
        <v>153.1554914532606</v>
      </c>
      <c r="I332" s="7" t="n">
        <v>122.7004641014096</v>
      </c>
      <c r="J332" s="7" t="n">
        <v>152.7308757057729</v>
      </c>
      <c r="K332" s="7" t="n">
        <v>105.2688278667684</v>
      </c>
      <c r="L332" s="7" t="n">
        <v>140.1722934250286</v>
      </c>
      <c r="M332" s="7" t="n">
        <v>106.7548682174124</v>
      </c>
      <c r="N332" s="7" t="n">
        <v>145.7244336005577</v>
      </c>
      <c r="O332" s="8">
        <f>N332*$B$2/100</f>
        <v/>
      </c>
    </row>
    <row r="333">
      <c r="A333" s="6" t="n">
        <v>46238.46751752315</v>
      </c>
      <c r="B333" s="7" t="n">
        <v>138.321111858963</v>
      </c>
      <c r="C333" s="7" t="n">
        <v>150.8833209676831</v>
      </c>
      <c r="D333" s="7" t="n">
        <v>147.0611709219385</v>
      </c>
      <c r="E333" s="7" t="n">
        <v>151.9294866117557</v>
      </c>
      <c r="F333" s="7" t="n">
        <v>119.1455981416957</v>
      </c>
      <c r="G333" s="7" t="n">
        <v>146.1971606648199</v>
      </c>
      <c r="H333" s="7" t="n">
        <v>153.4331310718931</v>
      </c>
      <c r="I333" s="7" t="n">
        <v>125.3191977838494</v>
      </c>
      <c r="J333" s="7" t="n">
        <v>146.0753115727003</v>
      </c>
      <c r="K333" s="7" t="n">
        <v>115.8091227931123</v>
      </c>
      <c r="L333" s="7" t="n">
        <v>141.9592178495789</v>
      </c>
      <c r="M333" s="7" t="n">
        <v>100.9389385047206</v>
      </c>
      <c r="N333" s="7" t="n">
        <v>141.8869644716459</v>
      </c>
      <c r="O333" s="8">
        <f>N333*$B$2/100</f>
        <v/>
      </c>
    </row>
    <row r="334">
      <c r="A334" s="6" t="n">
        <v>46238.46752931713</v>
      </c>
      <c r="B334" s="7" t="n">
        <v>124.8530816213215</v>
      </c>
      <c r="C334" s="7" t="n">
        <v>153.8661058770749</v>
      </c>
      <c r="D334" s="7" t="n">
        <v>150.7509187176636</v>
      </c>
      <c r="E334" s="7" t="n">
        <v>153.0942470056941</v>
      </c>
      <c r="F334" s="7" t="n">
        <v>127.6674081023814</v>
      </c>
      <c r="G334" s="7" t="n">
        <v>148.704566899415</v>
      </c>
      <c r="H334" s="7" t="n">
        <v>148.4221320531105</v>
      </c>
      <c r="I334" s="7" t="n">
        <v>101.0297373872051</v>
      </c>
      <c r="J334" s="7" t="n">
        <v>150.8259125318325</v>
      </c>
      <c r="K334" s="7" t="n">
        <v>102.6244402985075</v>
      </c>
      <c r="L334" s="7" t="n">
        <v>140.6136552872606</v>
      </c>
      <c r="M334" s="7" t="n">
        <v>98.56099923527913</v>
      </c>
      <c r="N334" s="7" t="n">
        <v>138.8161791752381</v>
      </c>
      <c r="O334" s="8">
        <f>N334*$B$2/100</f>
        <v/>
      </c>
    </row>
    <row r="335">
      <c r="A335" s="6" t="n">
        <v>46238.46754103009</v>
      </c>
      <c r="B335" s="7" t="n">
        <v>154.6176882421799</v>
      </c>
      <c r="C335" s="7" t="n">
        <v>154.3529990314806</v>
      </c>
      <c r="D335" s="7" t="n">
        <v>146.4104276525468</v>
      </c>
      <c r="E335" s="7" t="n">
        <v>154.155296678728</v>
      </c>
      <c r="F335" s="7" t="n">
        <v>146.7950064582166</v>
      </c>
      <c r="G335" s="7" t="n">
        <v>153.4601630100675</v>
      </c>
      <c r="H335" s="7" t="n">
        <v>154.8404141981083</v>
      </c>
      <c r="I335" s="7" t="n">
        <v>151.7192648551573</v>
      </c>
      <c r="J335" s="7" t="n">
        <v>152.3388225142023</v>
      </c>
      <c r="K335" s="7" t="n">
        <v>152.4624877953525</v>
      </c>
      <c r="L335" s="7" t="n">
        <v>150.5886340063198</v>
      </c>
      <c r="M335" s="7" t="n">
        <v>144.2142684533414</v>
      </c>
      <c r="N335" s="7" t="n">
        <v>151.890433743951</v>
      </c>
      <c r="O335" s="8">
        <f>N335*$B$2/100</f>
        <v/>
      </c>
    </row>
    <row r="336">
      <c r="A336" s="6" t="n">
        <v>46238.46755268519</v>
      </c>
      <c r="B336" s="7" t="n">
        <v>151.6839752092577</v>
      </c>
      <c r="C336" s="7" t="n">
        <v>151.9799640189603</v>
      </c>
      <c r="D336" s="7" t="n">
        <v>150.3295180956156</v>
      </c>
      <c r="E336" s="7" t="n">
        <v>151.7950413223141</v>
      </c>
      <c r="F336" s="7" t="n">
        <v>150.0636544732534</v>
      </c>
      <c r="G336" s="7" t="n">
        <v>151.5800766305241</v>
      </c>
      <c r="H336" s="7" t="n">
        <v>151.0300508489842</v>
      </c>
      <c r="I336" s="7" t="n">
        <v>150.2125723375662</v>
      </c>
      <c r="J336" s="7" t="n">
        <v>151.9964551159036</v>
      </c>
      <c r="K336" s="7" t="n">
        <v>151.8654988871169</v>
      </c>
      <c r="L336" s="7" t="n">
        <v>150.5990708699694</v>
      </c>
      <c r="M336" s="7" t="n">
        <v>151.5551894079426</v>
      </c>
      <c r="N336" s="7" t="n">
        <v>151.213473198544</v>
      </c>
      <c r="O336" s="8">
        <f>N336*$B$2/100</f>
        <v/>
      </c>
    </row>
    <row r="337">
      <c r="A337" s="6" t="n">
        <v>46238.46756434028</v>
      </c>
      <c r="B337" s="7" t="n">
        <v>147.5403156709601</v>
      </c>
      <c r="C337" s="7" t="n">
        <v>151.6640791641921</v>
      </c>
      <c r="D337" s="7" t="n">
        <v>153.6588599614963</v>
      </c>
      <c r="E337" s="7" t="n">
        <v>154.3823574062026</v>
      </c>
      <c r="F337" s="7" t="n">
        <v>151.2782242287434</v>
      </c>
      <c r="G337" s="7" t="n">
        <v>153.3565261945396</v>
      </c>
      <c r="H337" s="7" t="n">
        <v>153.2401788913634</v>
      </c>
      <c r="I337" s="7" t="n">
        <v>151.77959490517</v>
      </c>
      <c r="J337" s="7" t="n">
        <v>151.7625651428771</v>
      </c>
      <c r="K337" s="7" t="n">
        <v>147.8556132882333</v>
      </c>
      <c r="L337" s="7" t="n">
        <v>150.0138722482858</v>
      </c>
      <c r="M337" s="7" t="n">
        <v>143.8792470719009</v>
      </c>
      <c r="N337" s="7" t="n">
        <v>151.4506028414691</v>
      </c>
      <c r="O337" s="8">
        <f>N337*$B$2/100</f>
        <v/>
      </c>
    </row>
    <row r="338">
      <c r="A338" s="6" t="n">
        <v>46238.46757600694</v>
      </c>
      <c r="B338" s="7" t="n">
        <v>145.4461442192106</v>
      </c>
      <c r="C338" s="7" t="n">
        <v>152.6126515644034</v>
      </c>
      <c r="D338" s="7" t="n">
        <v>131.4379697669536</v>
      </c>
      <c r="E338" s="7" t="n">
        <v>150.9719734459867</v>
      </c>
      <c r="F338" s="7" t="n">
        <v>129.2809436617964</v>
      </c>
      <c r="G338" s="7" t="n">
        <v>142.3049895405594</v>
      </c>
      <c r="H338" s="7" t="n">
        <v>153.4062321486576</v>
      </c>
      <c r="I338" s="7" t="n">
        <v>150.0278973156163</v>
      </c>
      <c r="J338" s="7" t="n">
        <v>155.2758277825195</v>
      </c>
      <c r="K338" s="7" t="n">
        <v>148.0382092121467</v>
      </c>
      <c r="L338" s="7" t="n">
        <v>135.7626752324867</v>
      </c>
      <c r="M338" s="7" t="n">
        <v>130.2571919205658</v>
      </c>
      <c r="N338" s="7" t="n">
        <v>145.5874305837735</v>
      </c>
      <c r="O338" s="8">
        <f>N338*$B$2/100</f>
        <v/>
      </c>
    </row>
    <row r="339">
      <c r="A339" s="6" t="n">
        <v>46238.46758761574</v>
      </c>
      <c r="B339" s="7" t="n">
        <v>128.8828213398192</v>
      </c>
      <c r="C339" s="7" t="n">
        <v>144.8768701095462</v>
      </c>
      <c r="D339" s="7" t="n">
        <v>148.5896094900597</v>
      </c>
      <c r="E339" s="7" t="n">
        <v>147.1224489795918</v>
      </c>
      <c r="F339" s="7" t="n">
        <v>122.4294218331086</v>
      </c>
      <c r="G339" s="7" t="n">
        <v>151.9698483017855</v>
      </c>
      <c r="H339" s="7" t="n">
        <v>151.5173039901995</v>
      </c>
      <c r="I339" s="7" t="n">
        <v>111.1669991528434</v>
      </c>
      <c r="J339" s="7" t="n">
        <v>137.7096813876246</v>
      </c>
      <c r="K339" s="7" t="n">
        <v>98.04281957599311</v>
      </c>
      <c r="L339" s="7" t="n">
        <v>147.6680376988451</v>
      </c>
      <c r="M339" s="7" t="n">
        <v>120.3703014725721</v>
      </c>
      <c r="N339" s="7" t="n">
        <v>137.424442183191</v>
      </c>
      <c r="O339" s="8">
        <f>N339*$B$2/100</f>
        <v/>
      </c>
    </row>
    <row r="340">
      <c r="A340" s="6" t="n">
        <v>46238.46759924768</v>
      </c>
      <c r="B340" s="7" t="n">
        <v>151.7339398694316</v>
      </c>
      <c r="C340" s="7" t="n">
        <v>157.2373389979095</v>
      </c>
      <c r="D340" s="7" t="n">
        <v>143.136681471968</v>
      </c>
      <c r="E340" s="7" t="n">
        <v>154.8450671571431</v>
      </c>
      <c r="F340" s="7" t="n">
        <v>140.1908009516257</v>
      </c>
      <c r="G340" s="7" t="n">
        <v>151.3669814248349</v>
      </c>
      <c r="H340" s="7" t="n">
        <v>152.6769290761046</v>
      </c>
      <c r="I340" s="7" t="n">
        <v>126.6754138511667</v>
      </c>
      <c r="J340" s="7" t="n">
        <v>157.1773047021335</v>
      </c>
      <c r="K340" s="7" t="n">
        <v>144.8337569195418</v>
      </c>
      <c r="L340" s="7" t="n">
        <v>157.0708001788109</v>
      </c>
      <c r="M340" s="7" t="n">
        <v>152.0851996591092</v>
      </c>
      <c r="N340" s="7" t="n">
        <v>151.3686121778286</v>
      </c>
      <c r="O340" s="8">
        <f>N340*$B$2/100</f>
        <v/>
      </c>
    </row>
    <row r="341">
      <c r="A341" s="6" t="n">
        <v>46238.46761087963</v>
      </c>
      <c r="B341" s="7" t="n">
        <v>148.4491332508487</v>
      </c>
      <c r="C341" s="7" t="n">
        <v>151.1239389308357</v>
      </c>
      <c r="D341" s="7" t="n">
        <v>145.7465412027763</v>
      </c>
      <c r="E341" s="7" t="n">
        <v>146.2230954142012</v>
      </c>
      <c r="F341" s="7" t="n">
        <v>114.2582960898204</v>
      </c>
      <c r="G341" s="7" t="n">
        <v>148.6534567039106</v>
      </c>
      <c r="H341" s="7" t="n">
        <v>151.1064814814815</v>
      </c>
      <c r="I341" s="7" t="n">
        <v>98.06390497693138</v>
      </c>
      <c r="J341" s="7" t="n">
        <v>142.1556288553804</v>
      </c>
      <c r="K341" s="7" t="n">
        <v>132.1647431680919</v>
      </c>
      <c r="L341" s="7" t="n">
        <v>144.6691617368908</v>
      </c>
      <c r="M341" s="7" t="n">
        <v>97.0443878731775</v>
      </c>
      <c r="N341" s="7" t="n">
        <v>139.1036969484391</v>
      </c>
      <c r="O341" s="8">
        <f>N341*$B$2/100</f>
        <v/>
      </c>
    </row>
    <row r="342">
      <c r="A342" s="6" t="n">
        <v>46238.46762265046</v>
      </c>
      <c r="B342" s="7" t="n">
        <v>156.0382510379851</v>
      </c>
      <c r="C342" s="7" t="n">
        <v>153.3072146658782</v>
      </c>
      <c r="D342" s="7" t="n">
        <v>140.1901603373829</v>
      </c>
      <c r="E342" s="7" t="n">
        <v>153.4841878694423</v>
      </c>
      <c r="F342" s="7" t="n">
        <v>130.5934135306702</v>
      </c>
      <c r="G342" s="7" t="n">
        <v>155.4326386795297</v>
      </c>
      <c r="H342" s="7" t="n">
        <v>153.0386076696165</v>
      </c>
      <c r="I342" s="7" t="n">
        <v>124.2867162249515</v>
      </c>
      <c r="J342" s="7" t="n">
        <v>149.0908908276891</v>
      </c>
      <c r="K342" s="7" t="n">
        <v>115.8912252325111</v>
      </c>
      <c r="L342" s="7" t="n">
        <v>142.7939177899075</v>
      </c>
      <c r="M342" s="7" t="n">
        <v>119.1562466526226</v>
      </c>
      <c r="N342" s="7" t="n">
        <v>145.1982450283752</v>
      </c>
      <c r="O342" s="8">
        <f>N342*$B$2/100</f>
        <v/>
      </c>
    </row>
    <row r="343">
      <c r="A343" s="6" t="n">
        <v>46238.46763429398</v>
      </c>
      <c r="B343" s="7" t="n">
        <v>155.2335598980459</v>
      </c>
      <c r="C343" s="7" t="n">
        <v>155.7032260831647</v>
      </c>
      <c r="D343" s="7" t="n">
        <v>120.7189791578052</v>
      </c>
      <c r="E343" s="7" t="n">
        <v>140.7604343400068</v>
      </c>
      <c r="F343" s="7" t="n">
        <v>122.6165216706688</v>
      </c>
      <c r="G343" s="7" t="n">
        <v>158.6031001761613</v>
      </c>
      <c r="H343" s="7" t="n">
        <v>154.8085190206371</v>
      </c>
      <c r="I343" s="7" t="n">
        <v>136.6337137920058</v>
      </c>
      <c r="J343" s="7" t="n">
        <v>150.2272654271419</v>
      </c>
      <c r="K343" s="7" t="n">
        <v>127.8060262586191</v>
      </c>
      <c r="L343" s="7" t="n">
        <v>139.8975002853556</v>
      </c>
      <c r="M343" s="7" t="n">
        <v>120.3187558975103</v>
      </c>
      <c r="N343" s="7" t="n">
        <v>146.3300160201952</v>
      </c>
      <c r="O343" s="8">
        <f>N343*$B$2/100</f>
        <v/>
      </c>
    </row>
    <row r="344">
      <c r="A344" s="6" t="n">
        <v>46238.46764598379</v>
      </c>
      <c r="B344" s="7" t="n">
        <v>144.4647854875593</v>
      </c>
      <c r="C344" s="7" t="n">
        <v>151.5225667312621</v>
      </c>
      <c r="D344" s="7" t="n">
        <v>144.1711202059542</v>
      </c>
      <c r="E344" s="7" t="n">
        <v>148.9233321433821</v>
      </c>
      <c r="F344" s="7" t="n">
        <v>105.3759727809316</v>
      </c>
      <c r="G344" s="7" t="n">
        <v>146.4885216172773</v>
      </c>
      <c r="H344" s="7" t="n">
        <v>150.4147907621584</v>
      </c>
      <c r="I344" s="7" t="n">
        <v>108.0812818143941</v>
      </c>
      <c r="J344" s="7" t="n">
        <v>150.6891885080645</v>
      </c>
      <c r="K344" s="7" t="n">
        <v>113.5227734210895</v>
      </c>
      <c r="L344" s="7" t="n">
        <v>143.0948521686928</v>
      </c>
      <c r="M344" s="7" t="n">
        <v>142.285310548259</v>
      </c>
      <c r="N344" s="7" t="n">
        <v>139.7542582988247</v>
      </c>
      <c r="O344" s="8">
        <f>N344*$B$2/100</f>
        <v/>
      </c>
    </row>
    <row r="345">
      <c r="A345" s="6" t="n">
        <v>46238.46765761574</v>
      </c>
      <c r="B345" s="7" t="n">
        <v>151.5525582060386</v>
      </c>
      <c r="C345" s="7" t="n">
        <v>150.9986517741299</v>
      </c>
      <c r="D345" s="7" t="n">
        <v>142.9843655849681</v>
      </c>
      <c r="E345" s="7" t="n">
        <v>146.0314014752371</v>
      </c>
      <c r="F345" s="7" t="n">
        <v>112.7688760531019</v>
      </c>
      <c r="G345" s="7" t="n">
        <v>149.7751397611981</v>
      </c>
      <c r="H345" s="7" t="n">
        <v>150.8998247226557</v>
      </c>
      <c r="I345" s="7" t="n">
        <v>102.4765506807867</v>
      </c>
      <c r="J345" s="7" t="n">
        <v>151.829805770512</v>
      </c>
      <c r="K345" s="7" t="n">
        <v>151.2667154097144</v>
      </c>
      <c r="L345" s="7" t="n">
        <v>135.9622122631901</v>
      </c>
      <c r="M345" s="7" t="n">
        <v>93.3270652374792</v>
      </c>
      <c r="N345" s="7" t="n">
        <v>140.3531732982572</v>
      </c>
      <c r="O345" s="8">
        <f>N345*$B$2/100</f>
        <v/>
      </c>
    </row>
    <row r="346">
      <c r="A346" s="6" t="n">
        <v>46238.46766924769</v>
      </c>
      <c r="B346" s="7" t="n">
        <v>152.3143476414989</v>
      </c>
      <c r="C346" s="7" t="n">
        <v>151.614279877426</v>
      </c>
      <c r="D346" s="7" t="n">
        <v>124.4088282504013</v>
      </c>
      <c r="E346" s="7" t="n">
        <v>149.938869589915</v>
      </c>
      <c r="F346" s="7" t="n">
        <v>106.8646897437394</v>
      </c>
      <c r="G346" s="7" t="n">
        <v>145.9249148350366</v>
      </c>
      <c r="H346" s="7" t="n">
        <v>148.9622697103157</v>
      </c>
      <c r="I346" s="7" t="n">
        <v>96.29101812019293</v>
      </c>
      <c r="J346" s="7" t="n">
        <v>148.945747905578</v>
      </c>
      <c r="K346" s="7" t="n">
        <v>133.7101749663526</v>
      </c>
      <c r="L346" s="7" t="n">
        <v>151.433261456803</v>
      </c>
      <c r="M346" s="7" t="n">
        <v>129.1848960753338</v>
      </c>
      <c r="N346" s="7" t="n">
        <v>140.54165882764</v>
      </c>
      <c r="O346" s="8">
        <f>N346*$B$2/100</f>
        <v/>
      </c>
    </row>
    <row r="347">
      <c r="A347" s="6" t="n">
        <v>46238.46768090278</v>
      </c>
      <c r="B347" s="7" t="n">
        <v>153.6753001212302</v>
      </c>
      <c r="C347" s="7" t="n">
        <v>158.981656728027</v>
      </c>
      <c r="D347" s="7" t="n">
        <v>122.5945173326914</v>
      </c>
      <c r="E347" s="7" t="n">
        <v>153.5629595788191</v>
      </c>
      <c r="F347" s="7" t="n">
        <v>143.5690744197447</v>
      </c>
      <c r="G347" s="7" t="n">
        <v>146.4845878415194</v>
      </c>
      <c r="H347" s="7" t="n">
        <v>150.8976169050796</v>
      </c>
      <c r="I347" s="7" t="n">
        <v>100.2553162744197</v>
      </c>
      <c r="J347" s="7" t="n">
        <v>152.6020885807904</v>
      </c>
      <c r="K347" s="7" t="n">
        <v>136.4219378823699</v>
      </c>
      <c r="L347" s="7" t="n">
        <v>145.8503270883995</v>
      </c>
      <c r="M347" s="7" t="n">
        <v>131.9128636069813</v>
      </c>
      <c r="N347" s="7" t="n">
        <v>143.9741105023434</v>
      </c>
      <c r="O347" s="8">
        <f>N347*$B$2/100</f>
        <v/>
      </c>
    </row>
    <row r="348">
      <c r="A348" s="6" t="n">
        <v>46238.46769252315</v>
      </c>
      <c r="B348" s="7" t="n">
        <v>120.1830581705221</v>
      </c>
      <c r="C348" s="7" t="n">
        <v>149.8854778887304</v>
      </c>
      <c r="D348" s="7" t="n">
        <v>144.2254497882936</v>
      </c>
      <c r="E348" s="7" t="n">
        <v>142.5260427694262</v>
      </c>
      <c r="F348" s="7" t="n">
        <v>140.7415738133373</v>
      </c>
      <c r="G348" s="7" t="n">
        <v>148.2844403444034</v>
      </c>
      <c r="H348" s="7" t="n">
        <v>153.6184867100058</v>
      </c>
      <c r="I348" s="7" t="n">
        <v>150.4487608241266</v>
      </c>
      <c r="J348" s="7" t="n">
        <v>130.0691607782402</v>
      </c>
      <c r="K348" s="7" t="n">
        <v>97.1631452637523</v>
      </c>
      <c r="L348" s="7" t="n">
        <v>138.2233919630248</v>
      </c>
      <c r="M348" s="7" t="n">
        <v>103.2236040860855</v>
      </c>
      <c r="N348" s="7" t="n">
        <v>138.8691318952833</v>
      </c>
      <c r="O348" s="8">
        <f>N348*$B$2/100</f>
        <v/>
      </c>
    </row>
    <row r="349">
      <c r="A349" s="6" t="n">
        <v>46238.46770414352</v>
      </c>
      <c r="B349" s="7" t="n">
        <v>144.5475036739882</v>
      </c>
      <c r="C349" s="7" t="n">
        <v>143.6140986672902</v>
      </c>
      <c r="D349" s="7" t="n">
        <v>138.5915892978172</v>
      </c>
      <c r="E349" s="7" t="n">
        <v>141.2818669266391</v>
      </c>
      <c r="F349" s="7" t="n">
        <v>121.8054165902721</v>
      </c>
      <c r="G349" s="7" t="n">
        <v>147.2585517547757</v>
      </c>
      <c r="H349" s="7" t="n">
        <v>150.2911485195172</v>
      </c>
      <c r="I349" s="7" t="n">
        <v>109.7710861650485</v>
      </c>
      <c r="J349" s="7" t="n">
        <v>150.9088939132962</v>
      </c>
      <c r="K349" s="7" t="n">
        <v>130.1972495271895</v>
      </c>
      <c r="L349" s="7" t="n">
        <v>129.5494585240594</v>
      </c>
      <c r="M349" s="7" t="n">
        <v>102.1139986043266</v>
      </c>
      <c r="N349" s="7" t="n">
        <v>139.0188464475599</v>
      </c>
      <c r="O349" s="8">
        <f>N349*$B$2/100</f>
        <v/>
      </c>
    </row>
    <row r="350">
      <c r="A350" s="6" t="n">
        <v>46238.46771582176</v>
      </c>
      <c r="B350" s="7" t="n">
        <v>153.7087898121962</v>
      </c>
      <c r="C350" s="7" t="n">
        <v>149.9465206924223</v>
      </c>
      <c r="D350" s="7" t="n">
        <v>140.4957422377719</v>
      </c>
      <c r="E350" s="7" t="n">
        <v>154.7332788980403</v>
      </c>
      <c r="F350" s="7" t="n">
        <v>127.1138498573933</v>
      </c>
      <c r="G350" s="7" t="n">
        <v>145.8483019161863</v>
      </c>
      <c r="H350" s="7" t="n">
        <v>150.3447550083427</v>
      </c>
      <c r="I350" s="7" t="n">
        <v>110.8811274811226</v>
      </c>
      <c r="J350" s="7" t="n">
        <v>152.2199447960287</v>
      </c>
      <c r="K350" s="7" t="n">
        <v>150.6217043478261</v>
      </c>
      <c r="L350" s="7" t="n">
        <v>156.3135440451869</v>
      </c>
      <c r="M350" s="7" t="n">
        <v>113.4544882597461</v>
      </c>
      <c r="N350" s="7" t="n">
        <v>145.2480623105124</v>
      </c>
      <c r="O350" s="8">
        <f>N350*$B$2/100</f>
        <v/>
      </c>
    </row>
    <row r="351">
      <c r="A351" s="6" t="n">
        <v>46238.46772744213</v>
      </c>
      <c r="B351" s="7" t="n">
        <v>150.3816748003071</v>
      </c>
      <c r="C351" s="7" t="n">
        <v>151.3149310424637</v>
      </c>
      <c r="D351" s="7" t="n">
        <v>151.8122654371842</v>
      </c>
      <c r="E351" s="7" t="n">
        <v>151.5063040634244</v>
      </c>
      <c r="F351" s="7" t="n">
        <v>151.8421533426997</v>
      </c>
      <c r="G351" s="7" t="n">
        <v>152.2852456763136</v>
      </c>
      <c r="H351" s="7" t="n">
        <v>151.801068528716</v>
      </c>
      <c r="I351" s="7" t="n">
        <v>150.3650301561355</v>
      </c>
      <c r="J351" s="7" t="n">
        <v>153.1381616238615</v>
      </c>
      <c r="K351" s="7" t="n">
        <v>152.2751786070644</v>
      </c>
      <c r="L351" s="7" t="n">
        <v>152.383348041182</v>
      </c>
      <c r="M351" s="7" t="n">
        <v>151.494984741243</v>
      </c>
      <c r="N351" s="7" t="n">
        <v>151.7700974977726</v>
      </c>
      <c r="O351" s="8">
        <f>N351*$B$2/100</f>
        <v/>
      </c>
    </row>
    <row r="352">
      <c r="A352" s="6" t="n">
        <v>46238.46773909722</v>
      </c>
      <c r="B352" s="7" t="n">
        <v>136.9957131329433</v>
      </c>
      <c r="C352" s="7" t="n">
        <v>151.5004472626394</v>
      </c>
      <c r="D352" s="7" t="n">
        <v>153.5074886364522</v>
      </c>
      <c r="E352" s="7" t="n">
        <v>157.0152695811608</v>
      </c>
      <c r="F352" s="7" t="n">
        <v>146.2930237851371</v>
      </c>
      <c r="G352" s="7" t="n">
        <v>156.5598414738646</v>
      </c>
      <c r="H352" s="7" t="n">
        <v>153.4955624237956</v>
      </c>
      <c r="I352" s="7" t="n">
        <v>132.6563697894112</v>
      </c>
      <c r="J352" s="7" t="n">
        <v>156.521186037531</v>
      </c>
      <c r="K352" s="7" t="n">
        <v>145.3793797962115</v>
      </c>
      <c r="L352" s="7" t="n">
        <v>145.287074829932</v>
      </c>
      <c r="M352" s="7" t="n">
        <v>131.096977151237</v>
      </c>
      <c r="N352" s="7" t="n">
        <v>150.115515729128</v>
      </c>
      <c r="O352" s="8">
        <f>N352*$B$2/100</f>
        <v/>
      </c>
    </row>
    <row r="353">
      <c r="A353" s="6" t="n">
        <v>46238.46775071759</v>
      </c>
      <c r="B353" s="7" t="n">
        <v>144.3883164891358</v>
      </c>
      <c r="C353" s="7" t="n">
        <v>144.8905495668276</v>
      </c>
      <c r="D353" s="7" t="n">
        <v>151.8326443236872</v>
      </c>
      <c r="E353" s="7" t="n">
        <v>153.7687229628677</v>
      </c>
      <c r="F353" s="7" t="n">
        <v>105.2575170246202</v>
      </c>
      <c r="G353" s="7" t="n">
        <v>149.0520135582277</v>
      </c>
      <c r="H353" s="7" t="n">
        <v>150.8637774052222</v>
      </c>
      <c r="I353" s="7" t="n">
        <v>104.8164483863235</v>
      </c>
      <c r="J353" s="7" t="n">
        <v>143.5780330624825</v>
      </c>
      <c r="K353" s="7" t="n">
        <v>97.23132103821825</v>
      </c>
      <c r="L353" s="7" t="n">
        <v>135.828582397543</v>
      </c>
      <c r="M353" s="7" t="n">
        <v>97.9384769402289</v>
      </c>
      <c r="N353" s="7" t="n">
        <v>138.0829436587591</v>
      </c>
      <c r="O353" s="8">
        <f>N353*$B$2/100</f>
        <v/>
      </c>
    </row>
    <row r="354">
      <c r="A354" s="6" t="n">
        <v>46238.4677625</v>
      </c>
      <c r="B354" s="7" t="n">
        <v>139.9130097897513</v>
      </c>
      <c r="C354" s="7" t="n">
        <v>160.3736428828973</v>
      </c>
      <c r="D354" s="7" t="n">
        <v>152.9956168325875</v>
      </c>
      <c r="E354" s="7" t="n">
        <v>144.9764237091151</v>
      </c>
      <c r="F354" s="7" t="n">
        <v>142.4347555713488</v>
      </c>
      <c r="G354" s="7" t="n">
        <v>152.9294690829615</v>
      </c>
      <c r="H354" s="7" t="n">
        <v>160.5141916568728</v>
      </c>
      <c r="I354" s="7" t="n">
        <v>157.6027340874753</v>
      </c>
      <c r="J354" s="7" t="n">
        <v>154.2305379072031</v>
      </c>
      <c r="K354" s="7" t="n">
        <v>137.3065320734785</v>
      </c>
      <c r="L354" s="7" t="n">
        <v>155.5851368675062</v>
      </c>
      <c r="M354" s="7" t="n">
        <v>140.6322608855749</v>
      </c>
      <c r="N354" s="7" t="n">
        <v>152.9611667659765</v>
      </c>
      <c r="O354" s="8">
        <f>N354*$B$2/100</f>
        <v/>
      </c>
    </row>
    <row r="355">
      <c r="A355" s="6" t="n">
        <v>46238.46777410879</v>
      </c>
      <c r="B355" s="7" t="n">
        <v>117.0095603471268</v>
      </c>
      <c r="C355" s="7" t="n">
        <v>151.0233388105311</v>
      </c>
      <c r="D355" s="7" t="n">
        <v>114.8258192138987</v>
      </c>
      <c r="E355" s="7" t="n">
        <v>145.4061156465871</v>
      </c>
      <c r="F355" s="7" t="n">
        <v>142.0869543546956</v>
      </c>
      <c r="G355" s="7" t="n">
        <v>150.5424299952539</v>
      </c>
      <c r="H355" s="7" t="n">
        <v>153.2996100690717</v>
      </c>
      <c r="I355" s="7" t="n">
        <v>127.7421878832475</v>
      </c>
      <c r="J355" s="7" t="n">
        <v>152.2872107497722</v>
      </c>
      <c r="K355" s="7" t="n">
        <v>125.4673345665671</v>
      </c>
      <c r="L355" s="7" t="n">
        <v>141.8561004148495</v>
      </c>
      <c r="M355" s="7" t="n">
        <v>97.85844000416276</v>
      </c>
      <c r="N355" s="7" t="n">
        <v>141.3549311408547</v>
      </c>
      <c r="O355" s="8">
        <f>N355*$B$2/100</f>
        <v/>
      </c>
    </row>
    <row r="356">
      <c r="A356" s="6" t="n">
        <v>46238.46778572917</v>
      </c>
      <c r="B356" s="7" t="n">
        <v>152.2484162000604</v>
      </c>
      <c r="C356" s="7" t="n">
        <v>152.8070453668722</v>
      </c>
      <c r="D356" s="7" t="n">
        <v>126.9889755947377</v>
      </c>
      <c r="E356" s="7" t="n">
        <v>146.7086826347305</v>
      </c>
      <c r="F356" s="7" t="n">
        <v>127.9322575013095</v>
      </c>
      <c r="G356" s="7" t="n">
        <v>148.2536688785484</v>
      </c>
      <c r="H356" s="7" t="n">
        <v>155.9290749769403</v>
      </c>
      <c r="I356" s="7" t="n">
        <v>123.0653927467881</v>
      </c>
      <c r="J356" s="7" t="n">
        <v>138.9546660644724</v>
      </c>
      <c r="K356" s="7" t="n">
        <v>119.9691234722551</v>
      </c>
      <c r="L356" s="7" t="n">
        <v>141.2392634528507</v>
      </c>
      <c r="M356" s="7" t="n">
        <v>118.6609285519498</v>
      </c>
      <c r="N356" s="7" t="n">
        <v>141.9695614024247</v>
      </c>
      <c r="O356" s="8">
        <f>N356*$B$2/100</f>
        <v/>
      </c>
    </row>
    <row r="357">
      <c r="A357" s="6" t="n">
        <v>46238.46779733797</v>
      </c>
      <c r="B357" s="7" t="n">
        <v>147.9749975245074</v>
      </c>
      <c r="C357" s="7" t="n">
        <v>150.7406900613157</v>
      </c>
      <c r="D357" s="7" t="n">
        <v>144.1526557626836</v>
      </c>
      <c r="E357" s="7" t="n">
        <v>149.6762385704895</v>
      </c>
      <c r="F357" s="7" t="n">
        <v>103.7916018057285</v>
      </c>
      <c r="G357" s="7" t="n">
        <v>144.1934018797704</v>
      </c>
      <c r="H357" s="7" t="n">
        <v>150.5884952237205</v>
      </c>
      <c r="I357" s="7" t="n">
        <v>104.1163054578464</v>
      </c>
      <c r="J357" s="7" t="n">
        <v>144.4263321350842</v>
      </c>
      <c r="K357" s="7" t="n">
        <v>100.8058033115205</v>
      </c>
      <c r="L357" s="7" t="n">
        <v>149.9367147179213</v>
      </c>
      <c r="M357" s="7" t="n">
        <v>133.1452444102409</v>
      </c>
      <c r="N357" s="7" t="n">
        <v>139.0978488908781</v>
      </c>
      <c r="O357" s="8">
        <f>N357*$B$2/100</f>
        <v/>
      </c>
    </row>
    <row r="358">
      <c r="A358" s="6" t="n">
        <v>46238.46780905093</v>
      </c>
      <c r="B358" s="7" t="n">
        <v>130.5425555805075</v>
      </c>
      <c r="C358" s="7" t="n">
        <v>151.9251798661754</v>
      </c>
      <c r="D358" s="7" t="n">
        <v>142.0625883168475</v>
      </c>
      <c r="E358" s="7" t="n">
        <v>150.5097446640452</v>
      </c>
      <c r="F358" s="7" t="n">
        <v>99.42217182953962</v>
      </c>
      <c r="G358" s="7" t="n">
        <v>143.4692273562781</v>
      </c>
      <c r="H358" s="7" t="n">
        <v>149.4033878419007</v>
      </c>
      <c r="I358" s="7" t="n">
        <v>103.539681145417</v>
      </c>
      <c r="J358" s="7" t="n">
        <v>151.146053523119</v>
      </c>
      <c r="K358" s="7" t="n">
        <v>128.1538832720588</v>
      </c>
      <c r="L358" s="7" t="n">
        <v>139.9188488615276</v>
      </c>
      <c r="M358" s="7" t="n">
        <v>129.1716613121258</v>
      </c>
      <c r="N358" s="7" t="n">
        <v>140.0930793276981</v>
      </c>
      <c r="O358" s="8">
        <f>N358*$B$2/100</f>
        <v/>
      </c>
    </row>
    <row r="359">
      <c r="A359" s="6" t="n">
        <v>46238.46782070602</v>
      </c>
      <c r="B359" s="7" t="n">
        <v>151.0195313649259</v>
      </c>
      <c r="C359" s="7" t="n">
        <v>153.5882040113452</v>
      </c>
      <c r="D359" s="7" t="n">
        <v>124.3023955681988</v>
      </c>
      <c r="E359" s="7" t="n">
        <v>158.1336980680458</v>
      </c>
      <c r="F359" s="7" t="n">
        <v>118.8836422952101</v>
      </c>
      <c r="G359" s="7" t="n">
        <v>145.4406769666234</v>
      </c>
      <c r="H359" s="7" t="n">
        <v>151.907620240377</v>
      </c>
      <c r="I359" s="7" t="n">
        <v>120.842675228559</v>
      </c>
      <c r="J359" s="7" t="n">
        <v>150.5974684841652</v>
      </c>
      <c r="K359" s="7" t="n">
        <v>137.4257622800732</v>
      </c>
      <c r="L359" s="7" t="n">
        <v>152.7336170609341</v>
      </c>
      <c r="M359" s="7" t="n">
        <v>116.6827911522054</v>
      </c>
      <c r="N359" s="7" t="n">
        <v>144.4025938430488</v>
      </c>
      <c r="O359" s="8">
        <f>N359*$B$2/100</f>
        <v/>
      </c>
    </row>
    <row r="360">
      <c r="A360" s="6" t="n">
        <v>46238.46783238426</v>
      </c>
      <c r="B360" s="7" t="n">
        <v>161.4777257397866</v>
      </c>
      <c r="C360" s="7" t="n">
        <v>161.1852010810936</v>
      </c>
      <c r="D360" s="7" t="n">
        <v>138.9592085064959</v>
      </c>
      <c r="E360" s="7" t="n">
        <v>160.2290821878877</v>
      </c>
      <c r="F360" s="7" t="n">
        <v>147.3206338838164</v>
      </c>
      <c r="G360" s="7" t="n">
        <v>146.3198311314918</v>
      </c>
      <c r="H360" s="7" t="n">
        <v>156.5193492880094</v>
      </c>
      <c r="I360" s="7" t="n">
        <v>151.1050121283149</v>
      </c>
      <c r="J360" s="7" t="n">
        <v>159.2504452598601</v>
      </c>
      <c r="K360" s="7" t="n">
        <v>151.4125363961622</v>
      </c>
      <c r="L360" s="7" t="n">
        <v>159.7164956974087</v>
      </c>
      <c r="M360" s="7" t="n">
        <v>154.5220650684544</v>
      </c>
      <c r="N360" s="7" t="n">
        <v>156.7719618602141</v>
      </c>
      <c r="O360" s="8">
        <f>N360*$B$2/100</f>
        <v/>
      </c>
    </row>
    <row r="361">
      <c r="A361" s="6" t="n">
        <v>46238.46784412037</v>
      </c>
      <c r="B361" s="7" t="n">
        <v>159.1053058814848</v>
      </c>
      <c r="C361" s="7" t="n">
        <v>161.9166326352021</v>
      </c>
      <c r="D361" s="7" t="n">
        <v>131.661730550403</v>
      </c>
      <c r="E361" s="7" t="n">
        <v>155.6969703661176</v>
      </c>
      <c r="F361" s="7" t="n">
        <v>118.9528447309417</v>
      </c>
      <c r="G361" s="7" t="n">
        <v>146.6218010236724</v>
      </c>
      <c r="H361" s="7" t="n">
        <v>153.5078414267713</v>
      </c>
      <c r="I361" s="7" t="n">
        <v>141.4869286408563</v>
      </c>
      <c r="J361" s="7" t="n">
        <v>139.537752692507</v>
      </c>
      <c r="K361" s="7" t="n">
        <v>123.2419679779451</v>
      </c>
      <c r="L361" s="7" t="n">
        <v>151.6546736275064</v>
      </c>
      <c r="M361" s="7" t="n">
        <v>132.7232398993541</v>
      </c>
      <c r="N361" s="7" t="n">
        <v>147.2012489011489</v>
      </c>
      <c r="O361" s="8">
        <f>N361*$B$2/100</f>
        <v/>
      </c>
    </row>
    <row r="362">
      <c r="A362" s="6" t="n">
        <v>46238.46785575231</v>
      </c>
      <c r="B362" s="7" t="n">
        <v>141.4776205922619</v>
      </c>
      <c r="C362" s="7" t="n">
        <v>155.3054341036852</v>
      </c>
      <c r="D362" s="7" t="n">
        <v>135.7567341044189</v>
      </c>
      <c r="E362" s="7" t="n">
        <v>155.8106100179929</v>
      </c>
      <c r="F362" s="7" t="n">
        <v>119.251804522354</v>
      </c>
      <c r="G362" s="7" t="n">
        <v>145.694101565736</v>
      </c>
      <c r="H362" s="7" t="n">
        <v>140.0275519421861</v>
      </c>
      <c r="I362" s="7" t="n">
        <v>112.8060626868083</v>
      </c>
      <c r="J362" s="7" t="n">
        <v>151.5141241290849</v>
      </c>
      <c r="K362" s="7" t="n">
        <v>118.8996312273866</v>
      </c>
      <c r="L362" s="7" t="n">
        <v>146.3713165590154</v>
      </c>
      <c r="M362" s="7" t="n">
        <v>109.3510509633831</v>
      </c>
      <c r="N362" s="7" t="n">
        <v>133.2755530850472</v>
      </c>
      <c r="O362" s="8">
        <f>N362*$B$2/100</f>
        <v/>
      </c>
    </row>
    <row r="363">
      <c r="A363" s="6" t="n">
        <v>46238.46786743055</v>
      </c>
      <c r="B363" s="7" t="n">
        <v>153.6029927367833</v>
      </c>
      <c r="C363" s="7" t="n">
        <v>158.1830304990924</v>
      </c>
      <c r="D363" s="7" t="n">
        <v>121.3829574014571</v>
      </c>
      <c r="E363" s="7" t="n">
        <v>154.9367517956904</v>
      </c>
      <c r="F363" s="7" t="n">
        <v>105.4477692440456</v>
      </c>
      <c r="G363" s="7" t="n">
        <v>143.3849896606252</v>
      </c>
      <c r="H363" s="7" t="n">
        <v>151.3546813494651</v>
      </c>
      <c r="I363" s="7" t="n">
        <v>117.3717973827116</v>
      </c>
      <c r="J363" s="7" t="n">
        <v>151.2903205687913</v>
      </c>
      <c r="K363" s="7" t="n">
        <v>120.6005997735549</v>
      </c>
      <c r="L363" s="7" t="n">
        <v>153.9429443375572</v>
      </c>
      <c r="M363" s="7" t="n">
        <v>128.4036612686424</v>
      </c>
      <c r="N363" s="7" t="n">
        <v>137.8670667558432</v>
      </c>
      <c r="O363" s="8">
        <f>N363*$B$2/100</f>
        <v/>
      </c>
    </row>
    <row r="364">
      <c r="A364" s="6" t="n">
        <v>46238.46787920139</v>
      </c>
      <c r="B364" s="7" t="n">
        <v>144.0121122883864</v>
      </c>
      <c r="C364" s="7" t="n">
        <v>155.8275878756594</v>
      </c>
      <c r="D364" s="7" t="n">
        <v>138.3052434222861</v>
      </c>
      <c r="E364" s="7" t="n">
        <v>156.004407087107</v>
      </c>
      <c r="F364" s="7" t="n">
        <v>144.8521810699588</v>
      </c>
      <c r="G364" s="7" t="n">
        <v>148.5298216483077</v>
      </c>
      <c r="H364" s="7" t="n">
        <v>153.4547417143054</v>
      </c>
      <c r="I364" s="7" t="n">
        <v>134.3269581902021</v>
      </c>
      <c r="J364" s="7" t="n">
        <v>156.5586004012341</v>
      </c>
      <c r="K364" s="7" t="n">
        <v>147.675181882012</v>
      </c>
      <c r="L364" s="7" t="n">
        <v>158.3702777404445</v>
      </c>
      <c r="M364" s="7" t="n">
        <v>152.5892215568862</v>
      </c>
      <c r="N364" s="7" t="n">
        <v>150.2664639822536</v>
      </c>
      <c r="O364" s="8">
        <f>N364*$B$2/100</f>
        <v/>
      </c>
    </row>
    <row r="365">
      <c r="A365" s="6" t="n">
        <v>46238.46789096064</v>
      </c>
      <c r="B365" s="7" t="n">
        <v>152.187345021966</v>
      </c>
      <c r="C365" s="7" t="n">
        <v>153.7962041332771</v>
      </c>
      <c r="D365" s="7" t="n">
        <v>134.2767944936087</v>
      </c>
      <c r="E365" s="7" t="n">
        <v>153.2985360382139</v>
      </c>
      <c r="F365" s="7" t="n">
        <v>134.3899871162531</v>
      </c>
      <c r="G365" s="7" t="n">
        <v>157.0667701444189</v>
      </c>
      <c r="H365" s="7" t="n">
        <v>154.346664904785</v>
      </c>
      <c r="I365" s="7" t="n">
        <v>135.0111057653757</v>
      </c>
      <c r="J365" s="7" t="n">
        <v>153.8740018536415</v>
      </c>
      <c r="K365" s="7" t="n">
        <v>139.8570759536785</v>
      </c>
      <c r="L365" s="7" t="n">
        <v>125.9315721979995</v>
      </c>
      <c r="M365" s="7" t="n">
        <v>127.3217937994118</v>
      </c>
      <c r="N365" s="7" t="n">
        <v>146.8678269266139</v>
      </c>
      <c r="O365" s="8">
        <f>N365*$B$2/100</f>
        <v/>
      </c>
    </row>
    <row r="366">
      <c r="A366" s="6" t="n">
        <v>46238.46790267361</v>
      </c>
      <c r="B366" s="7" t="n">
        <v>151.8709402406215</v>
      </c>
      <c r="C366" s="7" t="n">
        <v>151.7786452050376</v>
      </c>
      <c r="D366" s="7" t="n">
        <v>150.2327797966344</v>
      </c>
      <c r="E366" s="7" t="n">
        <v>151.626651706603</v>
      </c>
      <c r="F366" s="7" t="n">
        <v>150.3627219236168</v>
      </c>
      <c r="G366" s="7" t="n">
        <v>151.7946646917311</v>
      </c>
      <c r="H366" s="7" t="n">
        <v>151.5665216519884</v>
      </c>
      <c r="I366" s="7" t="n">
        <v>150.4889339406814</v>
      </c>
      <c r="J366" s="7" t="n">
        <v>151.4051044259896</v>
      </c>
      <c r="K366" s="7" t="n">
        <v>150.5905713974942</v>
      </c>
      <c r="L366" s="7" t="n">
        <v>151.6089230710546</v>
      </c>
      <c r="M366" s="7" t="n">
        <v>150.2857447884199</v>
      </c>
      <c r="N366" s="7" t="n">
        <v>151.1328705214304</v>
      </c>
      <c r="O366" s="8">
        <f>N366*$B$2/100</f>
        <v/>
      </c>
    </row>
    <row r="367">
      <c r="A367" s="6" t="n">
        <v>46238.46791435185</v>
      </c>
      <c r="B367" s="7" t="n">
        <v>147.3609567449872</v>
      </c>
      <c r="C367" s="7" t="n">
        <v>149.4688144705858</v>
      </c>
      <c r="D367" s="7" t="n">
        <v>145.917473719941</v>
      </c>
      <c r="E367" s="7" t="n">
        <v>147.4370776559211</v>
      </c>
      <c r="F367" s="7" t="n">
        <v>147.9489309238593</v>
      </c>
      <c r="G367" s="7" t="n">
        <v>155.1528449580918</v>
      </c>
      <c r="H367" s="7" t="n">
        <v>150.5981983033699</v>
      </c>
      <c r="I367" s="7" t="n">
        <v>124.9899208562077</v>
      </c>
      <c r="J367" s="7" t="n">
        <v>154.2145918650656</v>
      </c>
      <c r="K367" s="7" t="n">
        <v>145.7624444344663</v>
      </c>
      <c r="L367" s="7" t="n">
        <v>151.7727042264947</v>
      </c>
      <c r="M367" s="7" t="n">
        <v>122.6714828763507</v>
      </c>
      <c r="N367" s="7" t="n">
        <v>147.0530329661745</v>
      </c>
      <c r="O367" s="8">
        <f>N367*$B$2/100</f>
        <v/>
      </c>
    </row>
    <row r="368">
      <c r="A368" s="6" t="n">
        <v>46238.46792601852</v>
      </c>
      <c r="B368" s="7" t="n">
        <v>145.8541537867079</v>
      </c>
      <c r="C368" s="7" t="n">
        <v>151.632167721519</v>
      </c>
      <c r="D368" s="7" t="n">
        <v>125.993084960132</v>
      </c>
      <c r="E368" s="7" t="n">
        <v>147.8097151843439</v>
      </c>
      <c r="F368" s="7" t="n">
        <v>118.4537619929305</v>
      </c>
      <c r="G368" s="7" t="n">
        <v>146.3674376417233</v>
      </c>
      <c r="H368" s="7" t="n">
        <v>152.1397386693879</v>
      </c>
      <c r="I368" s="7" t="n">
        <v>116.0727678655895</v>
      </c>
      <c r="J368" s="7" t="n">
        <v>151.7503214879403</v>
      </c>
      <c r="K368" s="7" t="n">
        <v>147.6151866151866</v>
      </c>
      <c r="L368" s="7" t="n">
        <v>150.4449936653604</v>
      </c>
      <c r="M368" s="7" t="n">
        <v>111.9011266691395</v>
      </c>
      <c r="N368" s="7" t="n">
        <v>142.3481652354792</v>
      </c>
      <c r="O368" s="8">
        <f>N368*$B$2/100</f>
        <v/>
      </c>
    </row>
    <row r="369">
      <c r="A369" s="6" t="n">
        <v>46238.46793767361</v>
      </c>
      <c r="B369" s="7" t="n">
        <v>138.1284908779595</v>
      </c>
      <c r="C369" s="7" t="n">
        <v>154.134182679235</v>
      </c>
      <c r="D369" s="7" t="n">
        <v>127.9752513534416</v>
      </c>
      <c r="E369" s="7" t="n">
        <v>147.1378525932666</v>
      </c>
      <c r="F369" s="7" t="n">
        <v>152.9958214870337</v>
      </c>
      <c r="G369" s="7" t="n">
        <v>154.9787206502886</v>
      </c>
      <c r="H369" s="7" t="n">
        <v>154.6159291186427</v>
      </c>
      <c r="I369" s="7" t="n">
        <v>149.6544317563893</v>
      </c>
      <c r="J369" s="7" t="n">
        <v>145.4893449413938</v>
      </c>
      <c r="K369" s="7" t="n">
        <v>129.2084700875982</v>
      </c>
      <c r="L369" s="7" t="n">
        <v>151.1586870445112</v>
      </c>
      <c r="M369" s="7" t="n">
        <v>134.61124075725</v>
      </c>
      <c r="N369" s="7" t="n">
        <v>147.6575875486381</v>
      </c>
      <c r="O369" s="8">
        <f>N369*$B$2/100</f>
        <v/>
      </c>
    </row>
    <row r="370">
      <c r="A370" s="6" t="n">
        <v>46238.46794947916</v>
      </c>
      <c r="B370" s="7" t="n">
        <v>148.37700497443</v>
      </c>
      <c r="C370" s="7" t="n">
        <v>150.2970655359144</v>
      </c>
      <c r="D370" s="7" t="n">
        <v>145.3878729366627</v>
      </c>
      <c r="E370" s="7" t="n">
        <v>151.6518321148595</v>
      </c>
      <c r="F370" s="7" t="n">
        <v>118.0653731114349</v>
      </c>
      <c r="G370" s="7" t="n">
        <v>144.8340602981355</v>
      </c>
      <c r="H370" s="7" t="n">
        <v>151.197944215721</v>
      </c>
      <c r="I370" s="7" t="n">
        <v>99.66488338839308</v>
      </c>
      <c r="J370" s="7" t="n">
        <v>157.0784034677704</v>
      </c>
      <c r="K370" s="7" t="n">
        <v>145.1560571327808</v>
      </c>
      <c r="L370" s="7" t="n">
        <v>150.0695505916374</v>
      </c>
      <c r="M370" s="7" t="n">
        <v>107.4848919666438</v>
      </c>
      <c r="N370" s="7" t="n">
        <v>142.4118032281675</v>
      </c>
      <c r="O370" s="8">
        <f>N370*$B$2/100</f>
        <v/>
      </c>
    </row>
    <row r="371">
      <c r="A371" s="6" t="n">
        <v>46238.46796114583</v>
      </c>
      <c r="B371" s="7" t="n">
        <v>151.7760253616009</v>
      </c>
      <c r="C371" s="7" t="n">
        <v>157.9562953808126</v>
      </c>
      <c r="D371" s="7" t="n">
        <v>146.1620535023968</v>
      </c>
      <c r="E371" s="7" t="n">
        <v>155.0676114759765</v>
      </c>
      <c r="F371" s="7" t="n">
        <v>121.9710911257991</v>
      </c>
      <c r="G371" s="7" t="n">
        <v>140.8392617039482</v>
      </c>
      <c r="H371" s="7" t="n">
        <v>153.9401726885147</v>
      </c>
      <c r="I371" s="7" t="n">
        <v>126.9349315786165</v>
      </c>
      <c r="J371" s="7" t="n">
        <v>157.1290374648039</v>
      </c>
      <c r="K371" s="7" t="n">
        <v>160.6196035722065</v>
      </c>
      <c r="L371" s="7" t="n">
        <v>145.1774580335731</v>
      </c>
      <c r="M371" s="7" t="n">
        <v>125.9658753709199</v>
      </c>
      <c r="N371" s="7" t="n">
        <v>150.1774571476822</v>
      </c>
      <c r="O371" s="8">
        <f>N371*$B$2/100</f>
        <v/>
      </c>
    </row>
    <row r="372">
      <c r="A372" s="6" t="n">
        <v>46238.46797280093</v>
      </c>
      <c r="B372" s="7" t="n">
        <v>148.0212829270817</v>
      </c>
      <c r="C372" s="7" t="n">
        <v>158.9231816981473</v>
      </c>
      <c r="D372" s="7" t="n">
        <v>160.8850346926118</v>
      </c>
      <c r="E372" s="7" t="n">
        <v>163.7790760421933</v>
      </c>
      <c r="F372" s="7" t="n">
        <v>124.5824549679536</v>
      </c>
      <c r="G372" s="7" t="n">
        <v>146.4533564814815</v>
      </c>
      <c r="H372" s="7" t="n">
        <v>161.1995453641007</v>
      </c>
      <c r="I372" s="7" t="n">
        <v>148.1654466038626</v>
      </c>
      <c r="J372" s="7" t="n">
        <v>156.150703751472</v>
      </c>
      <c r="K372" s="7" t="n">
        <v>153.1085440992047</v>
      </c>
      <c r="L372" s="7" t="n">
        <v>154.5132815336577</v>
      </c>
      <c r="M372" s="7" t="n">
        <v>140.1692517634396</v>
      </c>
      <c r="N372" s="7" t="n">
        <v>156.4026440708043</v>
      </c>
      <c r="O372" s="8">
        <f>N372*$B$2/100</f>
        <v/>
      </c>
    </row>
    <row r="373">
      <c r="A373" s="6" t="n">
        <v>46238.46798447917</v>
      </c>
      <c r="B373" s="7" t="n">
        <v>151.5315362685574</v>
      </c>
      <c r="C373" s="7" t="n">
        <v>153.7589660662753</v>
      </c>
      <c r="D373" s="7" t="n">
        <v>150.1272597509683</v>
      </c>
      <c r="E373" s="7" t="n">
        <v>154.8480066592282</v>
      </c>
      <c r="F373" s="7" t="n">
        <v>137.1437358644119</v>
      </c>
      <c r="G373" s="7" t="n">
        <v>149.282652765711</v>
      </c>
      <c r="H373" s="7" t="n">
        <v>149.7447310355322</v>
      </c>
      <c r="I373" s="7" t="n">
        <v>135.6151601288611</v>
      </c>
      <c r="J373" s="7" t="n">
        <v>151.7984518910445</v>
      </c>
      <c r="K373" s="7" t="n">
        <v>151.0219320287127</v>
      </c>
      <c r="L373" s="7" t="n">
        <v>150.6530251645815</v>
      </c>
      <c r="M373" s="7" t="n">
        <v>135.7944949543031</v>
      </c>
      <c r="N373" s="7" t="n">
        <v>148.4243719515393</v>
      </c>
      <c r="O373" s="8">
        <f>N373*$B$2/100</f>
        <v/>
      </c>
    </row>
    <row r="374">
      <c r="A374" s="6" t="n">
        <v>46238.46799609953</v>
      </c>
      <c r="B374" s="7" t="n">
        <v>149.2045998715964</v>
      </c>
      <c r="C374" s="7" t="n">
        <v>157.0717759016736</v>
      </c>
      <c r="D374" s="7" t="n">
        <v>133.8844419690219</v>
      </c>
      <c r="E374" s="7" t="n">
        <v>155.9852642006758</v>
      </c>
      <c r="F374" s="7" t="n">
        <v>120.9043256428877</v>
      </c>
      <c r="G374" s="7" t="n">
        <v>151.0870429504938</v>
      </c>
      <c r="H374" s="7" t="n">
        <v>150.368975212302</v>
      </c>
      <c r="I374" s="7" t="n">
        <v>114.3513405078826</v>
      </c>
      <c r="J374" s="7" t="n">
        <v>155.964722045042</v>
      </c>
      <c r="K374" s="7" t="n">
        <v>144.5675520870624</v>
      </c>
      <c r="L374" s="7" t="n">
        <v>146.0298402255639</v>
      </c>
      <c r="M374" s="7" t="n">
        <v>113.5956408354667</v>
      </c>
      <c r="N374" s="7" t="n">
        <v>145.9035859729907</v>
      </c>
      <c r="O374" s="8">
        <f>N374*$B$2/100</f>
        <v/>
      </c>
    </row>
    <row r="375">
      <c r="A375" s="6" t="n">
        <v>46238.46800784722</v>
      </c>
      <c r="B375" s="7" t="n">
        <v>134.6687916633202</v>
      </c>
      <c r="C375" s="7" t="n">
        <v>148.6121877985533</v>
      </c>
      <c r="D375" s="7" t="n">
        <v>149.7228645617212</v>
      </c>
      <c r="E375" s="7" t="n">
        <v>149.6262560777958</v>
      </c>
      <c r="F375" s="7" t="n">
        <v>114.2951503028438</v>
      </c>
      <c r="G375" s="7" t="n">
        <v>148.083675603017</v>
      </c>
      <c r="H375" s="7" t="n">
        <v>150.1030743772862</v>
      </c>
      <c r="I375" s="7" t="n">
        <v>99.27004425861264</v>
      </c>
      <c r="J375" s="7" t="n">
        <v>147.3998241341991</v>
      </c>
      <c r="K375" s="7" t="n">
        <v>128.2794864345107</v>
      </c>
      <c r="L375" s="7" t="n">
        <v>145.9535002554931</v>
      </c>
      <c r="M375" s="7" t="n">
        <v>98.53051741460148</v>
      </c>
      <c r="N375" s="7" t="n">
        <v>137.8597183857711</v>
      </c>
      <c r="O375" s="8">
        <f>N375*$B$2/100</f>
        <v/>
      </c>
    </row>
    <row r="376">
      <c r="A376" s="6" t="n">
        <v>46238.46801949074</v>
      </c>
      <c r="B376" s="7" t="n">
        <v>145.7986735468359</v>
      </c>
      <c r="C376" s="7" t="n">
        <v>150.4048263567939</v>
      </c>
      <c r="D376" s="7" t="n">
        <v>148.0737768506706</v>
      </c>
      <c r="E376" s="7" t="n">
        <v>152.7305333529136</v>
      </c>
      <c r="F376" s="7" t="n">
        <v>144.2816494845361</v>
      </c>
      <c r="G376" s="7" t="n">
        <v>155.1050228310502</v>
      </c>
      <c r="H376" s="7" t="n">
        <v>150.1393705296763</v>
      </c>
      <c r="I376" s="7" t="n">
        <v>125.95819566358</v>
      </c>
      <c r="J376" s="7" t="n">
        <v>146.0513508252039</v>
      </c>
      <c r="K376" s="7" t="n">
        <v>107.0822614486408</v>
      </c>
      <c r="L376" s="7" t="n">
        <v>145.5442434573981</v>
      </c>
      <c r="M376" s="7" t="n">
        <v>96.35934358665058</v>
      </c>
      <c r="N376" s="7" t="n">
        <v>142.5433014534227</v>
      </c>
      <c r="O376" s="8">
        <f>N376*$B$2/100</f>
        <v/>
      </c>
    </row>
    <row r="377">
      <c r="A377" s="6" t="n">
        <v>46238.46803112268</v>
      </c>
      <c r="B377" s="7" t="n">
        <v>150.2853555503403</v>
      </c>
      <c r="C377" s="7" t="n">
        <v>152.5567276388984</v>
      </c>
      <c r="D377" s="7" t="n">
        <v>131.3561533898601</v>
      </c>
      <c r="E377" s="7" t="n">
        <v>158.534955940121</v>
      </c>
      <c r="F377" s="7" t="n">
        <v>134.6238362329933</v>
      </c>
      <c r="G377" s="7" t="n">
        <v>158.8764556685848</v>
      </c>
      <c r="H377" s="7" t="n">
        <v>152.250029185832</v>
      </c>
      <c r="I377" s="7" t="n">
        <v>135.1228687415426</v>
      </c>
      <c r="J377" s="7" t="n">
        <v>151.2771244332253</v>
      </c>
      <c r="K377" s="7" t="n">
        <v>110.5475964278928</v>
      </c>
      <c r="L377" s="7" t="n">
        <v>131.6207422266801</v>
      </c>
      <c r="M377" s="7" t="n">
        <v>108.5478464634115</v>
      </c>
      <c r="N377" s="7" t="n">
        <v>144.2236483615367</v>
      </c>
      <c r="O377" s="8">
        <f>N377*$B$2/100</f>
        <v/>
      </c>
    </row>
    <row r="378">
      <c r="A378" s="6" t="n">
        <v>46238.46804282408</v>
      </c>
      <c r="B378" s="7" t="n">
        <v>161.0278422034615</v>
      </c>
      <c r="C378" s="7" t="n">
        <v>154.2351504312414</v>
      </c>
      <c r="D378" s="7" t="n">
        <v>149.0975146897579</v>
      </c>
      <c r="E378" s="7" t="n">
        <v>157.2130120003967</v>
      </c>
      <c r="F378" s="7" t="n">
        <v>141.9667989053185</v>
      </c>
      <c r="G378" s="7" t="n">
        <v>151.7384435342306</v>
      </c>
      <c r="H378" s="7" t="n">
        <v>156.234425444894</v>
      </c>
      <c r="I378" s="7" t="n">
        <v>151.8998155151739</v>
      </c>
      <c r="J378" s="7" t="n">
        <v>158.0524780340472</v>
      </c>
      <c r="K378" s="7" t="n">
        <v>139.4714365204489</v>
      </c>
      <c r="L378" s="7" t="n">
        <v>147.0125162247358</v>
      </c>
      <c r="M378" s="7" t="n">
        <v>120.4597529523551</v>
      </c>
      <c r="N378" s="7" t="n">
        <v>152.201846536548</v>
      </c>
      <c r="O378" s="8">
        <f>N378*$B$2/100</f>
        <v/>
      </c>
    </row>
    <row r="379">
      <c r="A379" s="6" t="n">
        <v>46238.46805447917</v>
      </c>
      <c r="B379" s="7" t="n">
        <v>129.7195577468997</v>
      </c>
      <c r="C379" s="7" t="n">
        <v>153.1632999823138</v>
      </c>
      <c r="D379" s="7" t="n">
        <v>145.9662530616639</v>
      </c>
      <c r="E379" s="7" t="n">
        <v>150.1570571098989</v>
      </c>
      <c r="F379" s="7" t="n">
        <v>116.7688274310667</v>
      </c>
      <c r="G379" s="7" t="n">
        <v>147.5018929978202</v>
      </c>
      <c r="H379" s="7" t="n">
        <v>154.3224763288069</v>
      </c>
      <c r="I379" s="7" t="n">
        <v>139.1957003207576</v>
      </c>
      <c r="J379" s="7" t="n">
        <v>152.4501946913638</v>
      </c>
      <c r="K379" s="7" t="n">
        <v>111.6593974408528</v>
      </c>
      <c r="L379" s="7" t="n">
        <v>134.2482911965742</v>
      </c>
      <c r="M379" s="7" t="n">
        <v>109.9218973585489</v>
      </c>
      <c r="N379" s="7" t="n">
        <v>140.5939564987313</v>
      </c>
      <c r="O379" s="8">
        <f>N379*$B$2/100</f>
        <v/>
      </c>
    </row>
    <row r="380">
      <c r="A380" s="6" t="n">
        <v>46238.46806612269</v>
      </c>
      <c r="B380" s="7" t="n">
        <v>147.0102967145025</v>
      </c>
      <c r="C380" s="7" t="n">
        <v>152.9819460571615</v>
      </c>
      <c r="D380" s="7" t="n">
        <v>113.2927861771058</v>
      </c>
      <c r="E380" s="7" t="n">
        <v>145.8564889942995</v>
      </c>
      <c r="F380" s="7" t="n">
        <v>129.6227025368007</v>
      </c>
      <c r="G380" s="7" t="n">
        <v>150.1734944046819</v>
      </c>
      <c r="H380" s="7" t="n">
        <v>150.776610490045</v>
      </c>
      <c r="I380" s="7" t="n">
        <v>144.1524800742862</v>
      </c>
      <c r="J380" s="7" t="n">
        <v>151.1187477308906</v>
      </c>
      <c r="K380" s="7" t="n">
        <v>132.2759545865341</v>
      </c>
      <c r="L380" s="7" t="n">
        <v>135.4614550604063</v>
      </c>
      <c r="M380" s="7" t="n">
        <v>122.323916130341</v>
      </c>
      <c r="N380" s="7" t="n">
        <v>143.5680067446614</v>
      </c>
      <c r="O380" s="8">
        <f>N380*$B$2/100</f>
        <v/>
      </c>
    </row>
    <row r="381">
      <c r="A381" s="6" t="n">
        <v>46238.4680778125</v>
      </c>
      <c r="B381" s="7" t="n">
        <v>152.4747296497825</v>
      </c>
      <c r="C381" s="7" t="n">
        <v>152.6551438033317</v>
      </c>
      <c r="D381" s="7" t="n">
        <v>152.1486915785472</v>
      </c>
      <c r="E381" s="7" t="n">
        <v>152.2123023703379</v>
      </c>
      <c r="F381" s="7" t="n">
        <v>150.2644096844084</v>
      </c>
      <c r="G381" s="7" t="n">
        <v>151.9678189860114</v>
      </c>
      <c r="H381" s="7" t="n">
        <v>152.3395579589485</v>
      </c>
      <c r="I381" s="7" t="n">
        <v>151.6806565396498</v>
      </c>
      <c r="J381" s="7" t="n">
        <v>151.579918652193</v>
      </c>
      <c r="K381" s="7" t="n">
        <v>151.8379849875291</v>
      </c>
      <c r="L381" s="7" t="n">
        <v>151.5127106314989</v>
      </c>
      <c r="M381" s="7" t="n">
        <v>150.5165957471</v>
      </c>
      <c r="N381" s="7" t="n">
        <v>151.8115469107669</v>
      </c>
      <c r="O381" s="8">
        <f>N381*$B$2/100</f>
        <v/>
      </c>
    </row>
    <row r="382">
      <c r="A382" s="6" t="n">
        <v>46238.46808950231</v>
      </c>
      <c r="B382" s="7" t="n">
        <v>144.4555915819457</v>
      </c>
      <c r="C382" s="7" t="n">
        <v>151.7846791953061</v>
      </c>
      <c r="D382" s="7" t="n">
        <v>144.7759079828748</v>
      </c>
      <c r="E382" s="7" t="n">
        <v>151.7889082417498</v>
      </c>
      <c r="F382" s="7" t="n">
        <v>154.1154595089916</v>
      </c>
      <c r="G382" s="7" t="n">
        <v>153.6799317423927</v>
      </c>
      <c r="H382" s="7" t="n">
        <v>152.3838620696137</v>
      </c>
      <c r="I382" s="7" t="n">
        <v>141.2827819758802</v>
      </c>
      <c r="J382" s="7" t="n">
        <v>151.5382669726461</v>
      </c>
      <c r="K382" s="7" t="n">
        <v>119.0606744264979</v>
      </c>
      <c r="L382" s="7" t="n">
        <v>145.9566207103896</v>
      </c>
      <c r="M382" s="7" t="n">
        <v>112.3931240002629</v>
      </c>
      <c r="N382" s="7" t="n">
        <v>147.3510760082688</v>
      </c>
      <c r="O382" s="8">
        <f>N382*$B$2/100</f>
        <v/>
      </c>
    </row>
    <row r="383">
      <c r="A383" s="6" t="n">
        <v>46238.46810111111</v>
      </c>
      <c r="B383" s="7" t="n">
        <v>123.3680444268148</v>
      </c>
      <c r="C383" s="7" t="n">
        <v>152.2575685774881</v>
      </c>
      <c r="D383" s="7" t="n">
        <v>121.991045411039</v>
      </c>
      <c r="E383" s="7" t="n">
        <v>148.6736903616114</v>
      </c>
      <c r="F383" s="7" t="n">
        <v>124.7371859071137</v>
      </c>
      <c r="G383" s="7" t="n">
        <v>145.8108226371062</v>
      </c>
      <c r="H383" s="7" t="n">
        <v>151.4658596155888</v>
      </c>
      <c r="I383" s="7" t="n">
        <v>105.2607967765734</v>
      </c>
      <c r="J383" s="7" t="n">
        <v>150.0087389083087</v>
      </c>
      <c r="K383" s="7" t="n">
        <v>122.5949859197049</v>
      </c>
      <c r="L383" s="7" t="n">
        <v>143.6249275530312</v>
      </c>
      <c r="M383" s="7" t="n">
        <v>129.2327265204799</v>
      </c>
      <c r="N383" s="7" t="n">
        <v>140.0779783393502</v>
      </c>
      <c r="O383" s="8">
        <f>N383*$B$2/100</f>
        <v/>
      </c>
    </row>
    <row r="384">
      <c r="A384" s="6" t="n">
        <v>46238.46811274305</v>
      </c>
      <c r="B384" s="7" t="n">
        <v>152.639546404456</v>
      </c>
      <c r="C384" s="7" t="n">
        <v>153.8160245054621</v>
      </c>
      <c r="D384" s="7" t="n">
        <v>146.5625271594805</v>
      </c>
      <c r="E384" s="7" t="n">
        <v>155.7127296747146</v>
      </c>
      <c r="F384" s="7" t="n">
        <v>132.6511595000393</v>
      </c>
      <c r="G384" s="7" t="n">
        <v>149.9231172708749</v>
      </c>
      <c r="H384" s="7" t="n">
        <v>156.6464293624886</v>
      </c>
      <c r="I384" s="7" t="n">
        <v>158.0980735337315</v>
      </c>
      <c r="J384" s="7" t="n">
        <v>152.4509762109878</v>
      </c>
      <c r="K384" s="7" t="n">
        <v>150.1857609472287</v>
      </c>
      <c r="L384" s="7" t="n">
        <v>157.1872604503533</v>
      </c>
      <c r="M384" s="7" t="n">
        <v>149.6602723558105</v>
      </c>
      <c r="N384" s="7" t="n">
        <v>152.3794113255131</v>
      </c>
      <c r="O384" s="8">
        <f>N384*$B$2/100</f>
        <v/>
      </c>
    </row>
    <row r="385">
      <c r="A385" s="6" t="n">
        <v>46238.46812444444</v>
      </c>
      <c r="B385" s="7" t="n">
        <v>156.252157915981</v>
      </c>
      <c r="C385" s="7" t="n">
        <v>157.9921352838545</v>
      </c>
      <c r="D385" s="7" t="n">
        <v>156.5214243787908</v>
      </c>
      <c r="E385" s="7" t="n">
        <v>155.7747338823057</v>
      </c>
      <c r="F385" s="7" t="n">
        <v>138.1363511785127</v>
      </c>
      <c r="G385" s="7" t="n">
        <v>158.5465090200586</v>
      </c>
      <c r="H385" s="7" t="n">
        <v>156.3614914044087</v>
      </c>
      <c r="I385" s="7" t="n">
        <v>153.0410358759675</v>
      </c>
      <c r="J385" s="7" t="n">
        <v>139.6304171470048</v>
      </c>
      <c r="K385" s="7" t="n">
        <v>107.5882714783678</v>
      </c>
      <c r="L385" s="7" t="n">
        <v>158.2464720007895</v>
      </c>
      <c r="M385" s="7" t="n">
        <v>149.6117681976701</v>
      </c>
      <c r="N385" s="7" t="n">
        <v>154.1651675095889</v>
      </c>
      <c r="O385" s="8">
        <f>N385*$B$2/100</f>
        <v/>
      </c>
    </row>
    <row r="386">
      <c r="A386" s="6" t="n">
        <v>46238.46813622685</v>
      </c>
      <c r="B386" s="7" t="n">
        <v>149.3169758412425</v>
      </c>
      <c r="C386" s="7" t="n">
        <v>157.2064562284449</v>
      </c>
      <c r="D386" s="7" t="n">
        <v>152.440738774163</v>
      </c>
      <c r="E386" s="7" t="n">
        <v>149.2686598183006</v>
      </c>
      <c r="F386" s="7" t="n">
        <v>153.9161103581356</v>
      </c>
      <c r="G386" s="7" t="n">
        <v>152.8914381270903</v>
      </c>
      <c r="H386" s="7" t="n">
        <v>152.0337489063867</v>
      </c>
      <c r="I386" s="7" t="n">
        <v>149.7258185360006</v>
      </c>
      <c r="J386" s="7" t="n">
        <v>145.6639770533991</v>
      </c>
      <c r="K386" s="7" t="n">
        <v>126.2989175686928</v>
      </c>
      <c r="L386" s="7" t="n">
        <v>155.9280759647114</v>
      </c>
      <c r="M386" s="7" t="n">
        <v>149.3037876057929</v>
      </c>
      <c r="N386" s="7" t="n">
        <v>152.3856694144595</v>
      </c>
      <c r="O386" s="8">
        <f>N386*$B$2/100</f>
        <v/>
      </c>
    </row>
    <row r="387">
      <c r="A387" s="6" t="n">
        <v>46238.46814789352</v>
      </c>
      <c r="B387" s="7" t="n">
        <v>153.22931697174</v>
      </c>
      <c r="C387" s="7" t="n">
        <v>156.7805763951836</v>
      </c>
      <c r="D387" s="7" t="n">
        <v>154.9475668347445</v>
      </c>
      <c r="E387" s="7" t="n">
        <v>149.774582446373</v>
      </c>
      <c r="F387" s="7" t="n">
        <v>151.1693682635234</v>
      </c>
      <c r="G387" s="7" t="n">
        <v>155.8457786575784</v>
      </c>
      <c r="H387" s="7" t="n">
        <v>154.3776673371987</v>
      </c>
      <c r="I387" s="7" t="n">
        <v>111.4803225078935</v>
      </c>
      <c r="J387" s="7" t="n">
        <v>147.3952765281821</v>
      </c>
      <c r="K387" s="7" t="n">
        <v>129.4218362282878</v>
      </c>
      <c r="L387" s="7" t="n">
        <v>156.4425153468125</v>
      </c>
      <c r="M387" s="7" t="n">
        <v>153.2590908280278</v>
      </c>
      <c r="N387" s="7" t="n">
        <v>152.6791897366644</v>
      </c>
      <c r="O387" s="8">
        <f>N387*$B$2/100</f>
        <v/>
      </c>
    </row>
    <row r="388">
      <c r="A388" s="6" t="n">
        <v>46238.46815953703</v>
      </c>
      <c r="B388" s="7" t="n">
        <v>154.6933857965262</v>
      </c>
      <c r="C388" s="7" t="n">
        <v>154.1331985049409</v>
      </c>
      <c r="D388" s="7" t="n">
        <v>143.7948206448805</v>
      </c>
      <c r="E388" s="7" t="n">
        <v>156.2673124908264</v>
      </c>
      <c r="F388" s="7" t="n">
        <v>143.1458170693111</v>
      </c>
      <c r="G388" s="7" t="n">
        <v>153.7271330819718</v>
      </c>
      <c r="H388" s="7" t="n">
        <v>152.7800990068184</v>
      </c>
      <c r="I388" s="7" t="n">
        <v>149.2065876440706</v>
      </c>
      <c r="J388" s="7" t="n">
        <v>134.753834749387</v>
      </c>
      <c r="K388" s="7" t="n">
        <v>129.4553072625698</v>
      </c>
      <c r="L388" s="7" t="n">
        <v>149.0269590222861</v>
      </c>
      <c r="M388" s="7" t="n">
        <v>146.3862016318518</v>
      </c>
      <c r="N388" s="7" t="n">
        <v>150.9701501316041</v>
      </c>
      <c r="O388" s="8">
        <f>N388*$B$2/100</f>
        <v/>
      </c>
    </row>
    <row r="389">
      <c r="A389" s="6" t="n">
        <v>46238.46817120371</v>
      </c>
      <c r="B389" s="7" t="n">
        <v>152.1216796195337</v>
      </c>
      <c r="C389" s="7" t="n">
        <v>139.0192521877486</v>
      </c>
      <c r="D389" s="7" t="n">
        <v>150.7895332280024</v>
      </c>
      <c r="E389" s="7" t="n">
        <v>153.697682061927</v>
      </c>
      <c r="F389" s="7" t="n">
        <v>157.9925933545931</v>
      </c>
      <c r="G389" s="7" t="n">
        <v>157.5296065377435</v>
      </c>
      <c r="H389" s="7" t="n">
        <v>152.0032243880991</v>
      </c>
      <c r="I389" s="7" t="n">
        <v>150.8019825992058</v>
      </c>
      <c r="J389" s="7" t="n">
        <v>157.86974629939</v>
      </c>
      <c r="K389" s="7" t="n">
        <v>138.2184903349952</v>
      </c>
      <c r="L389" s="7" t="n">
        <v>153.9421173182189</v>
      </c>
      <c r="M389" s="7" t="n">
        <v>147.3495259438028</v>
      </c>
      <c r="N389" s="7" t="n">
        <v>153.9262689715255</v>
      </c>
      <c r="O389" s="8">
        <f>N389*$B$2/100</f>
        <v/>
      </c>
    </row>
    <row r="390">
      <c r="A390" s="6" t="n">
        <v>46238.46818285879</v>
      </c>
      <c r="B390" s="7" t="n">
        <v>155.4611520660015</v>
      </c>
      <c r="C390" s="7" t="n">
        <v>157.9470943480631</v>
      </c>
      <c r="D390" s="7" t="n">
        <v>146.0180831826401</v>
      </c>
      <c r="E390" s="7" t="n">
        <v>151.639242864595</v>
      </c>
      <c r="F390" s="7" t="n">
        <v>148.8895742906626</v>
      </c>
      <c r="G390" s="7" t="n">
        <v>152.2662343677628</v>
      </c>
      <c r="H390" s="7" t="n">
        <v>156.0247960848287</v>
      </c>
      <c r="I390" s="7" t="n">
        <v>147.9173016803439</v>
      </c>
      <c r="J390" s="7" t="n">
        <v>142.4592560365456</v>
      </c>
      <c r="K390" s="7" t="n">
        <v>122.3354273192111</v>
      </c>
      <c r="L390" s="7" t="n">
        <v>149.8162109914388</v>
      </c>
      <c r="M390" s="7" t="n">
        <v>155.0757881313907</v>
      </c>
      <c r="N390" s="7" t="n">
        <v>153.4888203430635</v>
      </c>
      <c r="O390" s="8">
        <f>N390*$B$2/100</f>
        <v/>
      </c>
    </row>
    <row r="391">
      <c r="A391" s="6" t="n">
        <v>46238.46819451389</v>
      </c>
      <c r="B391" s="7" t="n">
        <v>142.8362120555521</v>
      </c>
      <c r="C391" s="7" t="n">
        <v>156.7989815141881</v>
      </c>
      <c r="D391" s="7" t="n">
        <v>149.2878271896952</v>
      </c>
      <c r="E391" s="7" t="n">
        <v>151.9543187889581</v>
      </c>
      <c r="F391" s="7" t="n">
        <v>149.6792474752854</v>
      </c>
      <c r="G391" s="7" t="n">
        <v>157.3046323271457</v>
      </c>
      <c r="H391" s="7" t="n">
        <v>153.0152564102564</v>
      </c>
      <c r="I391" s="7" t="n">
        <v>132.463891853433</v>
      </c>
      <c r="J391" s="7" t="n">
        <v>134.5242305730318</v>
      </c>
      <c r="K391" s="7" t="n">
        <v>139.3638870167269</v>
      </c>
      <c r="L391" s="7" t="n">
        <v>156.4553508683867</v>
      </c>
      <c r="M391" s="7" t="n">
        <v>156.3936828800015</v>
      </c>
      <c r="N391" s="7" t="n">
        <v>152.8841511374637</v>
      </c>
      <c r="O391" s="8">
        <f>N391*$B$2/100</f>
        <v/>
      </c>
    </row>
    <row r="392">
      <c r="A392" s="6" t="n">
        <v>46238.46820616898</v>
      </c>
      <c r="B392" s="7" t="n">
        <v>150.5598443281868</v>
      </c>
      <c r="C392" s="7" t="n">
        <v>157.0535632796989</v>
      </c>
      <c r="D392" s="7" t="n">
        <v>143.921616800727</v>
      </c>
      <c r="E392" s="7" t="n">
        <v>142.3339855867895</v>
      </c>
      <c r="F392" s="7" t="n">
        <v>152.2993208187907</v>
      </c>
      <c r="G392" s="7" t="n">
        <v>154.1462168476726</v>
      </c>
      <c r="H392" s="7" t="n">
        <v>155.9753186718553</v>
      </c>
      <c r="I392" s="7" t="n">
        <v>152.6590012290575</v>
      </c>
      <c r="J392" s="7" t="n">
        <v>141.4055737248626</v>
      </c>
      <c r="K392" s="7" t="n">
        <v>132.130488341399</v>
      </c>
      <c r="L392" s="7" t="n">
        <v>157.6067431126946</v>
      </c>
      <c r="M392" s="7" t="n">
        <v>151.7069402083214</v>
      </c>
      <c r="N392" s="7" t="n">
        <v>153.5800086107922</v>
      </c>
      <c r="O392" s="8">
        <f>N392*$B$2/100</f>
        <v/>
      </c>
    </row>
    <row r="393">
      <c r="A393" s="6" t="n">
        <v>46238.46821782408</v>
      </c>
      <c r="B393" s="7" t="n">
        <v>148.3107050029866</v>
      </c>
      <c r="C393" s="7" t="n">
        <v>149.5584639914962</v>
      </c>
      <c r="D393" s="7" t="n">
        <v>155.9101283682842</v>
      </c>
      <c r="E393" s="7" t="n">
        <v>143.3163754331638</v>
      </c>
      <c r="F393" s="7" t="n">
        <v>148.9390638829593</v>
      </c>
      <c r="G393" s="7" t="n">
        <v>156.8742995169082</v>
      </c>
      <c r="H393" s="7" t="n">
        <v>151.7153134986414</v>
      </c>
      <c r="I393" s="7" t="n">
        <v>147.5590702551555</v>
      </c>
      <c r="J393" s="7" t="n">
        <v>141.620061075875</v>
      </c>
      <c r="K393" s="7" t="n">
        <v>139.0637037037037</v>
      </c>
      <c r="L393" s="7" t="n">
        <v>154.1982493494204</v>
      </c>
      <c r="M393" s="7" t="n">
        <v>156.1170348314145</v>
      </c>
      <c r="N393" s="7" t="n">
        <v>152.6379883624273</v>
      </c>
      <c r="O393" s="8">
        <f>N393*$B$2/100</f>
        <v/>
      </c>
    </row>
    <row r="394">
      <c r="A394" s="6" t="n">
        <v>46238.46822959491</v>
      </c>
      <c r="B394" s="7" t="n">
        <v>149.2699001314576</v>
      </c>
      <c r="C394" s="7" t="n">
        <v>157.5436738537347</v>
      </c>
      <c r="D394" s="7" t="n">
        <v>152.6975891128263</v>
      </c>
      <c r="E394" s="7" t="n">
        <v>151.0061317730042</v>
      </c>
      <c r="F394" s="7" t="n">
        <v>156.1400026868479</v>
      </c>
      <c r="G394" s="7" t="n">
        <v>156.3323088572638</v>
      </c>
      <c r="H394" s="7" t="n">
        <v>150.4279568021193</v>
      </c>
      <c r="I394" s="7" t="n">
        <v>140.8763615672248</v>
      </c>
      <c r="J394" s="7" t="n">
        <v>134.3446700507614</v>
      </c>
      <c r="K394" s="7" t="n">
        <v>115.5223260643821</v>
      </c>
      <c r="L394" s="7" t="n">
        <v>154.9174050632911</v>
      </c>
      <c r="M394" s="7" t="n">
        <v>150.4790383768041</v>
      </c>
      <c r="N394" s="7" t="n">
        <v>153.2453800214097</v>
      </c>
      <c r="O394" s="8">
        <f>N394*$B$2/100</f>
        <v/>
      </c>
    </row>
    <row r="395">
      <c r="A395" s="6" t="n">
        <v>46238.46824126157</v>
      </c>
      <c r="B395" s="7" t="n">
        <v>150.6254272434751</v>
      </c>
      <c r="C395" s="7" t="n">
        <v>150.7184444110125</v>
      </c>
      <c r="D395" s="7" t="n">
        <v>152.3193831004272</v>
      </c>
      <c r="E395" s="7" t="n">
        <v>154.9582937240774</v>
      </c>
      <c r="F395" s="7" t="n">
        <v>148.0103391374598</v>
      </c>
      <c r="G395" s="7" t="n">
        <v>154.4542551391591</v>
      </c>
      <c r="H395" s="7" t="n">
        <v>153.6477906708676</v>
      </c>
      <c r="I395" s="7" t="n">
        <v>147.2277617033905</v>
      </c>
      <c r="J395" s="7" t="n">
        <v>140.1013652616751</v>
      </c>
      <c r="K395" s="7" t="n">
        <v>132.1356087714469</v>
      </c>
      <c r="L395" s="7" t="n">
        <v>154.0860688550841</v>
      </c>
      <c r="M395" s="7" t="n">
        <v>154.946483272547</v>
      </c>
      <c r="N395" s="7" t="n">
        <v>152.0478290787262</v>
      </c>
      <c r="O395" s="8">
        <f>N395*$B$2/100</f>
        <v/>
      </c>
    </row>
    <row r="396">
      <c r="A396" s="6" t="n">
        <v>46238.46825298611</v>
      </c>
      <c r="B396" s="7" t="n">
        <v>151.3649467833999</v>
      </c>
      <c r="C396" s="7" t="n">
        <v>151.7275161271714</v>
      </c>
      <c r="D396" s="7" t="n">
        <v>151.9178942177427</v>
      </c>
      <c r="E396" s="7" t="n">
        <v>151.969720567333</v>
      </c>
      <c r="F396" s="7" t="n">
        <v>151.2331549905539</v>
      </c>
      <c r="G396" s="7" t="n">
        <v>151.6906579655018</v>
      </c>
      <c r="H396" s="7" t="n">
        <v>151.8135879076471</v>
      </c>
      <c r="I396" s="7" t="n">
        <v>151.9377408868949</v>
      </c>
      <c r="J396" s="7" t="n">
        <v>152.1365077387214</v>
      </c>
      <c r="K396" s="7" t="n">
        <v>152.0166128087792</v>
      </c>
      <c r="L396" s="7" t="n">
        <v>152.2993167826777</v>
      </c>
      <c r="M396" s="7" t="n">
        <v>151.9376815135243</v>
      </c>
      <c r="N396" s="7" t="n">
        <v>151.8530645312405</v>
      </c>
      <c r="O396" s="8">
        <f>N396*$B$2/100</f>
        <v/>
      </c>
    </row>
    <row r="397">
      <c r="A397" s="6" t="n">
        <v>46238.4682647338</v>
      </c>
      <c r="B397" s="7" t="n">
        <v>149.4722304785359</v>
      </c>
      <c r="C397" s="7" t="n">
        <v>152.5952639275438</v>
      </c>
      <c r="D397" s="7" t="n">
        <v>157.3487938331505</v>
      </c>
      <c r="E397" s="7" t="n">
        <v>147.4376782419057</v>
      </c>
      <c r="F397" s="7" t="n">
        <v>148.3026248117262</v>
      </c>
      <c r="G397" s="7" t="n">
        <v>155.1005669213705</v>
      </c>
      <c r="H397" s="7" t="n">
        <v>154.0757026580186</v>
      </c>
      <c r="I397" s="7" t="n">
        <v>151.0063299848631</v>
      </c>
      <c r="J397" s="7" t="n">
        <v>144.9506437061671</v>
      </c>
      <c r="K397" s="7" t="n">
        <v>140.5878322259136</v>
      </c>
      <c r="L397" s="7" t="n">
        <v>153.598596942683</v>
      </c>
      <c r="M397" s="7" t="n">
        <v>154.7498993457474</v>
      </c>
      <c r="N397" s="7" t="n">
        <v>152.8017066602112</v>
      </c>
      <c r="O397" s="8">
        <f>N397*$B$2/100</f>
        <v/>
      </c>
    </row>
    <row r="398">
      <c r="A398" s="6" t="n">
        <v>46238.4682763426</v>
      </c>
      <c r="B398" s="7" t="n">
        <v>152.9293020747048</v>
      </c>
      <c r="C398" s="7" t="n">
        <v>153.6892566213162</v>
      </c>
      <c r="D398" s="7" t="n">
        <v>142.8480173168148</v>
      </c>
      <c r="E398" s="7" t="n">
        <v>149.5227206876569</v>
      </c>
      <c r="F398" s="7" t="n">
        <v>148.2651542192454</v>
      </c>
      <c r="G398" s="7" t="n">
        <v>153.5164173397696</v>
      </c>
      <c r="H398" s="7" t="n">
        <v>151.0892631718823</v>
      </c>
      <c r="I398" s="7" t="n">
        <v>135.9663025080782</v>
      </c>
      <c r="J398" s="7" t="n">
        <v>153.6121388810081</v>
      </c>
      <c r="K398" s="7" t="n">
        <v>149.8684396328548</v>
      </c>
      <c r="L398" s="7" t="n">
        <v>157.0212008920718</v>
      </c>
      <c r="M398" s="7" t="n">
        <v>153.1168387003729</v>
      </c>
      <c r="N398" s="7" t="n">
        <v>152.4417546867223</v>
      </c>
      <c r="O398" s="8">
        <f>N398*$B$2/100</f>
        <v/>
      </c>
    </row>
    <row r="399">
      <c r="A399" s="6" t="n">
        <v>46238.46828804398</v>
      </c>
      <c r="B399" s="7" t="n">
        <v>159.6658748688796</v>
      </c>
      <c r="C399" s="7" t="n">
        <v>160.489643279936</v>
      </c>
      <c r="D399" s="7" t="n">
        <v>159.3303593006015</v>
      </c>
      <c r="E399" s="7" t="n">
        <v>155.8417611854624</v>
      </c>
      <c r="F399" s="7" t="n">
        <v>156.9646493722987</v>
      </c>
      <c r="G399" s="7" t="n">
        <v>157.1827057543896</v>
      </c>
      <c r="H399" s="7" t="n">
        <v>158.3084776700881</v>
      </c>
      <c r="I399" s="7" t="n">
        <v>159.0327925373992</v>
      </c>
      <c r="J399" s="7" t="n">
        <v>153.7089592463265</v>
      </c>
      <c r="K399" s="7" t="n">
        <v>159.0000342424709</v>
      </c>
      <c r="L399" s="7" t="n">
        <v>161.5975444676783</v>
      </c>
      <c r="M399" s="7" t="n">
        <v>156.2582153152775</v>
      </c>
      <c r="N399" s="7" t="n">
        <v>158.5904878271784</v>
      </c>
      <c r="O399" s="8">
        <f>N399*$B$2/100</f>
        <v/>
      </c>
    </row>
    <row r="400">
      <c r="A400" s="6" t="n">
        <v>46238.46829976852</v>
      </c>
      <c r="B400" s="7" t="n">
        <v>154.9347859109114</v>
      </c>
      <c r="C400" s="7" t="n">
        <v>154.0987148136572</v>
      </c>
      <c r="D400" s="7" t="n">
        <v>153.1856298563942</v>
      </c>
      <c r="E400" s="7" t="n">
        <v>148.4773314733517</v>
      </c>
      <c r="F400" s="7" t="n">
        <v>145.8576163101184</v>
      </c>
      <c r="G400" s="7" t="n">
        <v>146.6363923764791</v>
      </c>
      <c r="H400" s="7" t="n">
        <v>154.0156641780532</v>
      </c>
      <c r="I400" s="7" t="n">
        <v>155.1093313892939</v>
      </c>
      <c r="J400" s="7" t="n">
        <v>146.518792165945</v>
      </c>
      <c r="K400" s="7" t="n">
        <v>151.1523393636931</v>
      </c>
      <c r="L400" s="7" t="n">
        <v>151.5435518816675</v>
      </c>
      <c r="M400" s="7" t="n">
        <v>154.0054259654149</v>
      </c>
      <c r="N400" s="7" t="n">
        <v>152.4076559067095</v>
      </c>
      <c r="O400" s="8">
        <f>N400*$B$2/100</f>
        <v/>
      </c>
    </row>
    <row r="401">
      <c r="A401" s="6" t="n">
        <v>46238.46831145833</v>
      </c>
      <c r="B401" s="7" t="n">
        <v>135.979993718593</v>
      </c>
      <c r="C401" s="7" t="n">
        <v>161.8341253450431</v>
      </c>
      <c r="D401" s="7" t="n">
        <v>119.7240791476408</v>
      </c>
      <c r="E401" s="7" t="n">
        <v>126.4401462773556</v>
      </c>
      <c r="F401" s="7" t="n">
        <v>156.299674321364</v>
      </c>
      <c r="G401" s="7" t="n">
        <v>153.4338338338338</v>
      </c>
      <c r="H401" s="7" t="n">
        <v>152.0404121410764</v>
      </c>
      <c r="I401" s="7" t="n">
        <v>132.6063352397712</v>
      </c>
      <c r="J401" s="7" t="n">
        <v>160.0165720881024</v>
      </c>
      <c r="K401" s="7" t="n">
        <v>145.5961714254987</v>
      </c>
      <c r="L401" s="7" t="n">
        <v>137.2166173116852</v>
      </c>
      <c r="M401" s="7" t="n">
        <v>147.7022977970227</v>
      </c>
      <c r="N401" s="7" t="n">
        <v>154.1351287006694</v>
      </c>
      <c r="O401" s="8">
        <f>N401*$B$2/100</f>
        <v/>
      </c>
    </row>
    <row r="402">
      <c r="A402" s="6" t="n">
        <v>46238.468323125</v>
      </c>
      <c r="B402" s="7" t="n">
        <v>140.330725983867</v>
      </c>
      <c r="C402" s="7" t="n">
        <v>160.7149629190151</v>
      </c>
      <c r="D402" s="7" t="n">
        <v>142.3637048192771</v>
      </c>
      <c r="E402" s="7" t="n">
        <v>135.2035567561483</v>
      </c>
      <c r="F402" s="7" t="n">
        <v>158.335708477525</v>
      </c>
      <c r="G402" s="7" t="n">
        <v>162.4362664592993</v>
      </c>
      <c r="H402" s="7" t="n">
        <v>156.1851289476774</v>
      </c>
      <c r="I402" s="7" t="n">
        <v>136.3714115278503</v>
      </c>
      <c r="J402" s="7" t="n">
        <v>144.5271702175884</v>
      </c>
      <c r="K402" s="7" t="n">
        <v>128.4241765782251</v>
      </c>
      <c r="L402" s="7" t="n">
        <v>119.9449139473197</v>
      </c>
      <c r="M402" s="7" t="n">
        <v>130.898286392942</v>
      </c>
      <c r="N402" s="7" t="n">
        <v>155.4334575868104</v>
      </c>
      <c r="O402" s="8">
        <f>N402*$B$2/100</f>
        <v/>
      </c>
    </row>
    <row r="403">
      <c r="A403" s="6" t="n">
        <v>46238.46833482639</v>
      </c>
      <c r="B403" s="7" t="n">
        <v>160.9858281149009</v>
      </c>
      <c r="C403" s="7" t="n">
        <v>148.3624288425048</v>
      </c>
      <c r="D403" s="7" t="n">
        <v>138.7889980902697</v>
      </c>
      <c r="E403" s="7" t="n">
        <v>161.8810264637199</v>
      </c>
      <c r="F403" s="7" t="n">
        <v>160.4418508870033</v>
      </c>
      <c r="G403" s="7" t="n">
        <v>156.6530776936777</v>
      </c>
      <c r="H403" s="7" t="n">
        <v>157.0352552705105</v>
      </c>
      <c r="I403" s="7" t="n">
        <v>145.8293862165041</v>
      </c>
      <c r="J403" s="7" t="n">
        <v>144.4480803499109</v>
      </c>
      <c r="K403" s="7" t="n">
        <v>144.4382376081825</v>
      </c>
      <c r="L403" s="7" t="n">
        <v>124.1708511396011</v>
      </c>
      <c r="M403" s="7" t="n">
        <v>116.2560620756547</v>
      </c>
      <c r="N403" s="7" t="n">
        <v>157.5305838928917</v>
      </c>
      <c r="O403" s="8">
        <f>N403*$B$2/100</f>
        <v/>
      </c>
    </row>
    <row r="404">
      <c r="A404" s="6" t="n">
        <v>46238.46834655092</v>
      </c>
      <c r="B404" s="7" t="n">
        <v>140.551525115433</v>
      </c>
      <c r="C404" s="7" t="n">
        <v>162.6897286716982</v>
      </c>
      <c r="D404" s="7" t="n">
        <v>130.5328344532682</v>
      </c>
      <c r="E404" s="7" t="n">
        <v>139.1941042832604</v>
      </c>
      <c r="F404" s="7" t="n">
        <v>160.0625352056007</v>
      </c>
      <c r="G404" s="7" t="n">
        <v>155.9667825415218</v>
      </c>
      <c r="H404" s="7" t="n">
        <v>160.0139546622919</v>
      </c>
      <c r="I404" s="7" t="n">
        <v>143.3463616507645</v>
      </c>
      <c r="J404" s="7" t="n">
        <v>144.9050208318621</v>
      </c>
      <c r="K404" s="7" t="n">
        <v>133.6308199121523</v>
      </c>
      <c r="L404" s="7" t="n">
        <v>132.5988994191379</v>
      </c>
      <c r="M404" s="7" t="n">
        <v>150.2490874903219</v>
      </c>
      <c r="N404" s="7" t="n">
        <v>156.2977547545525</v>
      </c>
      <c r="O404" s="8">
        <f>N404*$B$2/100</f>
        <v/>
      </c>
    </row>
    <row r="405">
      <c r="A405" s="6" t="n">
        <v>46238.46835827547</v>
      </c>
      <c r="B405" s="7" t="n">
        <v>157.2650489361088</v>
      </c>
      <c r="C405" s="7" t="n">
        <v>162.9646229801522</v>
      </c>
      <c r="D405" s="7" t="n">
        <v>155.2496794519544</v>
      </c>
      <c r="E405" s="7" t="n">
        <v>123.8458349038824</v>
      </c>
      <c r="F405" s="7" t="n">
        <v>160.536240657524</v>
      </c>
      <c r="G405" s="7" t="n">
        <v>163.8726949581892</v>
      </c>
      <c r="H405" s="7" t="n">
        <v>160.6952309219761</v>
      </c>
      <c r="I405" s="7" t="n">
        <v>161.0941454870254</v>
      </c>
      <c r="J405" s="7" t="n">
        <v>150.8469893550746</v>
      </c>
      <c r="K405" s="7" t="n">
        <v>149.5222969743759</v>
      </c>
      <c r="L405" s="7" t="n">
        <v>123.3176781452438</v>
      </c>
      <c r="M405" s="7" t="n">
        <v>106.8920454545455</v>
      </c>
      <c r="N405" s="7" t="n">
        <v>159.3349613901796</v>
      </c>
      <c r="O405" s="8">
        <f>N405*$B$2/100</f>
        <v/>
      </c>
    </row>
    <row r="406">
      <c r="A406" s="6" t="n">
        <v>46238.46837002315</v>
      </c>
      <c r="B406" s="7" t="n">
        <v>160.9011594167856</v>
      </c>
      <c r="C406" s="7" t="n">
        <v>157.2663264492465</v>
      </c>
      <c r="D406" s="7" t="n">
        <v>161.1417593587128</v>
      </c>
      <c r="E406" s="7" t="n">
        <v>159.6970797250592</v>
      </c>
      <c r="F406" s="7" t="n">
        <v>158.8934139793319</v>
      </c>
      <c r="G406" s="7" t="n">
        <v>164.0502946311654</v>
      </c>
      <c r="H406" s="7" t="n">
        <v>158.7402229110334</v>
      </c>
      <c r="I406" s="7" t="n">
        <v>161.886567142999</v>
      </c>
      <c r="J406" s="7" t="n">
        <v>143.7414888474553</v>
      </c>
      <c r="K406" s="7" t="n">
        <v>137.7536888888889</v>
      </c>
      <c r="L406" s="7" t="n">
        <v>144.1865662816824</v>
      </c>
      <c r="M406" s="7" t="n">
        <v>99.88426186456574</v>
      </c>
      <c r="N406" s="7" t="n">
        <v>159.7367727412652</v>
      </c>
      <c r="O406" s="8">
        <f>N406*$B$2/100</f>
        <v/>
      </c>
    </row>
    <row r="407">
      <c r="A407" s="6" t="n">
        <v>46238.4683817824</v>
      </c>
      <c r="B407" s="7" t="n">
        <v>148.7605009384506</v>
      </c>
      <c r="C407" s="7" t="n">
        <v>163.8532326027303</v>
      </c>
      <c r="D407" s="7" t="n">
        <v>130.4393764945532</v>
      </c>
      <c r="E407" s="7" t="n">
        <v>137.4521351284381</v>
      </c>
      <c r="F407" s="7" t="n">
        <v>163.6939536408239</v>
      </c>
      <c r="G407" s="7" t="n">
        <v>164.5365187421559</v>
      </c>
      <c r="H407" s="7" t="n">
        <v>160.691179841092</v>
      </c>
      <c r="I407" s="7" t="n">
        <v>159.9412181130233</v>
      </c>
      <c r="J407" s="7" t="n">
        <v>162.7330049032945</v>
      </c>
      <c r="K407" s="7" t="n">
        <v>149.948130020748</v>
      </c>
      <c r="L407" s="7" t="n">
        <v>150.1852002992587</v>
      </c>
      <c r="M407" s="7" t="n">
        <v>143.0002280917841</v>
      </c>
      <c r="N407" s="7" t="n">
        <v>161.0599360455793</v>
      </c>
      <c r="O407" s="8">
        <f>N407*$B$2/100</f>
        <v/>
      </c>
    </row>
    <row r="408">
      <c r="A408" s="6" t="n">
        <v>46238.46839344907</v>
      </c>
      <c r="B408" s="7" t="n">
        <v>146.6503594587452</v>
      </c>
      <c r="C408" s="7" t="n">
        <v>151.7179277961666</v>
      </c>
      <c r="D408" s="7" t="n">
        <v>161.7106622554994</v>
      </c>
      <c r="E408" s="7" t="n">
        <v>135.3820591697998</v>
      </c>
      <c r="F408" s="7" t="n">
        <v>142.431845841785</v>
      </c>
      <c r="G408" s="7" t="n">
        <v>145.3371920990474</v>
      </c>
      <c r="H408" s="7" t="n">
        <v>156.1571866396551</v>
      </c>
      <c r="I408" s="7" t="n">
        <v>106.2713147802144</v>
      </c>
      <c r="J408" s="7" t="n">
        <v>131.0186346220829</v>
      </c>
      <c r="K408" s="7" t="n">
        <v>130.3967521587834</v>
      </c>
      <c r="L408" s="7" t="n">
        <v>117.3441503504955</v>
      </c>
      <c r="M408" s="7" t="n">
        <v>117.7391257594494</v>
      </c>
      <c r="N408" s="7" t="n">
        <v>147.8483333045922</v>
      </c>
      <c r="O408" s="8">
        <f>N408*$B$2/100</f>
        <v/>
      </c>
    </row>
    <row r="409">
      <c r="A409" s="6" t="n">
        <v>46238.46840512731</v>
      </c>
      <c r="B409" s="7" t="n">
        <v>153.5124326038693</v>
      </c>
      <c r="C409" s="7" t="n">
        <v>103.5898684210526</v>
      </c>
      <c r="D409" s="7" t="n">
        <v>157.3722609262388</v>
      </c>
      <c r="E409" s="7" t="n">
        <v>102.2479953707531</v>
      </c>
      <c r="F409" s="7" t="n">
        <v>85.36791428364585</v>
      </c>
      <c r="G409" s="7" t="n">
        <v>108.8348108378075</v>
      </c>
      <c r="H409" s="7" t="n">
        <v>146.3547047878194</v>
      </c>
      <c r="I409" s="7" t="n">
        <v>89.7891281512605</v>
      </c>
      <c r="J409" s="7" t="n">
        <v>145.3092716019995</v>
      </c>
      <c r="K409" s="7" t="n">
        <v>110.4580063148399</v>
      </c>
      <c r="L409" s="7" t="n">
        <v>89.75213062524891</v>
      </c>
      <c r="M409" s="7" t="n">
        <v>93.07793317793318</v>
      </c>
      <c r="N409" s="7" t="n">
        <v>140.9332864345175</v>
      </c>
      <c r="O409" s="8">
        <f>N409*$B$2/100</f>
        <v/>
      </c>
    </row>
    <row r="410">
      <c r="A410" s="6" t="n">
        <v>46238.46841686343</v>
      </c>
      <c r="B410" s="7" t="n">
        <v>147.9485815445895</v>
      </c>
      <c r="C410" s="7" t="n">
        <v>158.2060622309455</v>
      </c>
      <c r="D410" s="7" t="n">
        <v>154.1052927450965</v>
      </c>
      <c r="E410" s="7" t="n">
        <v>155.0491958744007</v>
      </c>
      <c r="F410" s="7" t="n">
        <v>142.2768454045905</v>
      </c>
      <c r="G410" s="7" t="n">
        <v>146.5684787604228</v>
      </c>
      <c r="H410" s="7" t="n">
        <v>147.0601746479384</v>
      </c>
      <c r="I410" s="7" t="n">
        <v>136.0414266261653</v>
      </c>
      <c r="J410" s="7" t="n">
        <v>157.8842703663591</v>
      </c>
      <c r="K410" s="7" t="n">
        <v>146.365354074704</v>
      </c>
      <c r="L410" s="7" t="n">
        <v>141.8396120190452</v>
      </c>
      <c r="M410" s="7" t="n">
        <v>142.439268215584</v>
      </c>
      <c r="N410" s="7" t="n">
        <v>150.6590237529483</v>
      </c>
      <c r="O410" s="8">
        <f>N410*$B$2/100</f>
        <v/>
      </c>
    </row>
    <row r="411">
      <c r="A411" s="6" t="n">
        <v>46238.46842857639</v>
      </c>
      <c r="B411" s="7" t="n">
        <v>149.8778582802325</v>
      </c>
      <c r="C411" s="7" t="n">
        <v>151.2398856198199</v>
      </c>
      <c r="D411" s="7" t="n">
        <v>150.8766729397217</v>
      </c>
      <c r="E411" s="7" t="n">
        <v>151.1333158989527</v>
      </c>
      <c r="F411" s="7" t="n">
        <v>150.4199577888285</v>
      </c>
      <c r="G411" s="7" t="n">
        <v>150.9253918877707</v>
      </c>
      <c r="H411" s="7" t="n">
        <v>151.7189585456458</v>
      </c>
      <c r="I411" s="7" t="n">
        <v>151.5531424317177</v>
      </c>
      <c r="J411" s="7" t="n">
        <v>149.946845126646</v>
      </c>
      <c r="K411" s="7" t="n">
        <v>151.1330772493755</v>
      </c>
      <c r="L411" s="7" t="n">
        <v>153.8556146262555</v>
      </c>
      <c r="M411" s="7" t="n">
        <v>151.3569129108777</v>
      </c>
      <c r="N411" s="7" t="n">
        <v>151.2616247668365</v>
      </c>
      <c r="O411" s="8">
        <f>N411*$B$2/100</f>
        <v/>
      </c>
    </row>
    <row r="412">
      <c r="A412" s="6" t="n">
        <v>46238.46844025463</v>
      </c>
      <c r="B412" s="7" t="n">
        <v>139.198786336498</v>
      </c>
      <c r="C412" s="7" t="n">
        <v>159.3863833128095</v>
      </c>
      <c r="D412" s="7" t="n">
        <v>157.0697889104171</v>
      </c>
      <c r="E412" s="7" t="n">
        <v>135.9735576923077</v>
      </c>
      <c r="F412" s="7" t="n">
        <v>124.7969026548673</v>
      </c>
      <c r="G412" s="7" t="n">
        <v>112.2996055766001</v>
      </c>
      <c r="H412" s="7" t="n">
        <v>153.7736804857153</v>
      </c>
      <c r="I412" s="7" t="n">
        <v>90.59313785132011</v>
      </c>
      <c r="J412" s="7" t="n">
        <v>137.0667414077007</v>
      </c>
      <c r="K412" s="7" t="n">
        <v>109.5094302360028</v>
      </c>
      <c r="L412" s="7" t="n">
        <v>118.8597577835536</v>
      </c>
      <c r="M412" s="7" t="n">
        <v>115.1288894207755</v>
      </c>
      <c r="N412" s="7" t="n">
        <v>147.2530839284774</v>
      </c>
      <c r="O412" s="8">
        <f>N412*$B$2/100</f>
        <v/>
      </c>
    </row>
    <row r="413">
      <c r="A413" s="6" t="n">
        <v>46238.46845195602</v>
      </c>
      <c r="B413" s="7" t="n">
        <v>98.94440476530583</v>
      </c>
      <c r="C413" s="7" t="n">
        <v>159.9228468976116</v>
      </c>
      <c r="D413" s="7" t="n">
        <v>111.4460770328103</v>
      </c>
      <c r="E413" s="7" t="n">
        <v>83.1834140726174</v>
      </c>
      <c r="F413" s="7" t="n">
        <v>107.1423613024076</v>
      </c>
      <c r="G413" s="7" t="n">
        <v>111.4678554977956</v>
      </c>
      <c r="H413" s="7" t="n">
        <v>156.1819615912208</v>
      </c>
      <c r="I413" s="7" t="n">
        <v>137.1669572568289</v>
      </c>
      <c r="J413" s="7" t="n">
        <v>159.3605183576114</v>
      </c>
      <c r="K413" s="7" t="n">
        <v>120.0197071054059</v>
      </c>
      <c r="L413" s="7" t="n">
        <v>89.88287326521275</v>
      </c>
      <c r="M413" s="7" t="n">
        <v>80.21523410202656</v>
      </c>
      <c r="N413" s="7" t="n">
        <v>143.7183761872591</v>
      </c>
      <c r="O413" s="8">
        <f>N413*$B$2/100</f>
        <v/>
      </c>
    </row>
    <row r="414">
      <c r="A414" s="6" t="n">
        <v>46238.46846366898</v>
      </c>
      <c r="B414" s="7" t="n">
        <v>151.8474473620459</v>
      </c>
      <c r="C414" s="7" t="n">
        <v>128.0819944114565</v>
      </c>
      <c r="D414" s="7" t="n">
        <v>155.4925514649852</v>
      </c>
      <c r="E414" s="7" t="n">
        <v>84.32736146657938</v>
      </c>
      <c r="F414" s="7" t="n">
        <v>123.9722086616919</v>
      </c>
      <c r="G414" s="7" t="n">
        <v>107.4477441462022</v>
      </c>
      <c r="H414" s="7" t="n">
        <v>147.6336858597728</v>
      </c>
      <c r="I414" s="7" t="n">
        <v>111.4920783645656</v>
      </c>
      <c r="J414" s="7" t="n">
        <v>110.3551361161525</v>
      </c>
      <c r="K414" s="7" t="n">
        <v>84.58760317707522</v>
      </c>
      <c r="L414" s="7" t="n">
        <v>98.23987519103413</v>
      </c>
      <c r="M414" s="7" t="n">
        <v>83.537101996762</v>
      </c>
      <c r="N414" s="7" t="n">
        <v>140.6826249010255</v>
      </c>
      <c r="O414" s="8">
        <f>N414*$B$2/100</f>
        <v/>
      </c>
    </row>
    <row r="415">
      <c r="A415" s="6" t="n">
        <v>46238.46847535879</v>
      </c>
      <c r="B415" s="7" t="n">
        <v>127.6186211375074</v>
      </c>
      <c r="C415" s="7" t="n">
        <v>156.6497698959896</v>
      </c>
      <c r="D415" s="7" t="n">
        <v>154.5237037632779</v>
      </c>
      <c r="E415" s="7" t="n">
        <v>116.0807338188814</v>
      </c>
      <c r="F415" s="7" t="n">
        <v>113.0420007355645</v>
      </c>
      <c r="G415" s="7" t="n">
        <v>115.0312474487713</v>
      </c>
      <c r="H415" s="7" t="n">
        <v>143.771500524659</v>
      </c>
      <c r="I415" s="7" t="n">
        <v>116.7548652694611</v>
      </c>
      <c r="J415" s="7" t="n">
        <v>103.8182767624021</v>
      </c>
      <c r="K415" s="7" t="n">
        <v>105.5406196633325</v>
      </c>
      <c r="L415" s="7" t="n">
        <v>116.9179427605872</v>
      </c>
      <c r="M415" s="7" t="n">
        <v>105.8739382785957</v>
      </c>
      <c r="N415" s="7" t="n">
        <v>139.4214942569864</v>
      </c>
      <c r="O415" s="8">
        <f>N415*$B$2/100</f>
        <v/>
      </c>
    </row>
    <row r="416">
      <c r="A416" s="6" t="n">
        <v>46238.46848707176</v>
      </c>
      <c r="B416" s="7" t="n">
        <v>107.6744590977977</v>
      </c>
      <c r="C416" s="7" t="n">
        <v>155.862313170945</v>
      </c>
      <c r="D416" s="7" t="n">
        <v>133.5995509455443</v>
      </c>
      <c r="E416" s="7" t="n">
        <v>111.0229054468607</v>
      </c>
      <c r="F416" s="7" t="n">
        <v>84.88096584729171</v>
      </c>
      <c r="G416" s="7" t="n">
        <v>124.7650512858629</v>
      </c>
      <c r="H416" s="7" t="n">
        <v>154.8652517084135</v>
      </c>
      <c r="I416" s="7" t="n">
        <v>93.96872828353023</v>
      </c>
      <c r="J416" s="7" t="n">
        <v>155.0780429803509</v>
      </c>
      <c r="K416" s="7" t="n">
        <v>132.237323890605</v>
      </c>
      <c r="L416" s="7" t="n">
        <v>84.5816075456223</v>
      </c>
      <c r="M416" s="7" t="n">
        <v>101.7751724137931</v>
      </c>
      <c r="N416" s="7" t="n">
        <v>142.5961527148656</v>
      </c>
      <c r="O416" s="8">
        <f>N416*$B$2/100</f>
        <v/>
      </c>
    </row>
    <row r="417">
      <c r="A417" s="6" t="n">
        <v>46238.46849876158</v>
      </c>
      <c r="B417" s="7" t="n">
        <v>135.9135964092014</v>
      </c>
      <c r="C417" s="7" t="n">
        <v>159.5927624412467</v>
      </c>
      <c r="D417" s="7" t="n">
        <v>130.0027852446805</v>
      </c>
      <c r="E417" s="7" t="n">
        <v>123.6467129542753</v>
      </c>
      <c r="F417" s="7" t="n">
        <v>128.7589089769046</v>
      </c>
      <c r="G417" s="7" t="n">
        <v>157.9453155779686</v>
      </c>
      <c r="H417" s="7" t="n">
        <v>145.74221531689</v>
      </c>
      <c r="I417" s="7" t="n">
        <v>126.4754190572618</v>
      </c>
      <c r="J417" s="7" t="n">
        <v>140.5221248302499</v>
      </c>
      <c r="K417" s="7" t="n">
        <v>136.5837704918033</v>
      </c>
      <c r="L417" s="7" t="n">
        <v>113.6471072554572</v>
      </c>
      <c r="M417" s="7" t="n">
        <v>150.0043439146639</v>
      </c>
      <c r="N417" s="7" t="n">
        <v>146.0180997053131</v>
      </c>
      <c r="O417" s="8">
        <f>N417*$B$2/100</f>
        <v/>
      </c>
    </row>
    <row r="418">
      <c r="A418" s="6" t="n">
        <v>46238.46851047454</v>
      </c>
      <c r="B418" s="7" t="n">
        <v>71.704924451815</v>
      </c>
      <c r="C418" s="7" t="n">
        <v>114.8756202252501</v>
      </c>
      <c r="D418" s="7" t="n">
        <v>75.42408084816169</v>
      </c>
      <c r="E418" s="7" t="n">
        <v>62.40228151838983</v>
      </c>
      <c r="F418" s="7" t="n">
        <v>101.0172625568502</v>
      </c>
      <c r="G418" s="7" t="n">
        <v>67.84267281974006</v>
      </c>
      <c r="H418" s="7" t="n">
        <v>125.0907956917025</v>
      </c>
      <c r="I418" s="7" t="n">
        <v>56.45146419063697</v>
      </c>
      <c r="J418" s="7" t="n">
        <v>69.98451725984712</v>
      </c>
      <c r="K418" s="7" t="n">
        <v>59.63443700473002</v>
      </c>
      <c r="L418" s="7" t="n">
        <v>68.91348229391518</v>
      </c>
      <c r="M418" s="7" t="n">
        <v>53.07523352688715</v>
      </c>
      <c r="N418" s="7" t="n">
        <v>85.56776045010007</v>
      </c>
      <c r="O418" s="8">
        <f>N418*$B$2/100</f>
        <v/>
      </c>
    </row>
    <row r="419">
      <c r="A419" s="6" t="n">
        <v>46238.46852212963</v>
      </c>
      <c r="B419" s="7" t="n">
        <v>153.0456564634956</v>
      </c>
      <c r="C419" s="7" t="n">
        <v>132.8746005420493</v>
      </c>
      <c r="D419" s="7" t="n">
        <v>139.7683083511777</v>
      </c>
      <c r="E419" s="7" t="n">
        <v>159.3570583236035</v>
      </c>
      <c r="F419" s="7" t="n">
        <v>110.5199593453194</v>
      </c>
      <c r="G419" s="7" t="n">
        <v>125.0409903151003</v>
      </c>
      <c r="H419" s="7" t="n">
        <v>149.3015512060424</v>
      </c>
      <c r="I419" s="7" t="n">
        <v>128.0931815149224</v>
      </c>
      <c r="J419" s="7" t="n">
        <v>136.9171001418646</v>
      </c>
      <c r="K419" s="7" t="n">
        <v>109.3321993379919</v>
      </c>
      <c r="L419" s="7" t="n">
        <v>102.7245694782024</v>
      </c>
      <c r="M419" s="7" t="n">
        <v>96.84851531603995</v>
      </c>
      <c r="N419" s="7" t="n">
        <v>142.9530412858494</v>
      </c>
      <c r="O419" s="8">
        <f>N419*$B$2/100</f>
        <v/>
      </c>
    </row>
    <row r="420">
      <c r="A420" s="6" t="n">
        <v>46238.46853386574</v>
      </c>
      <c r="B420" s="7" t="n">
        <v>126.3344528588268</v>
      </c>
      <c r="C420" s="7" t="n">
        <v>159.8629999402164</v>
      </c>
      <c r="D420" s="7" t="n">
        <v>94.86692197223552</v>
      </c>
      <c r="E420" s="7" t="n">
        <v>84.68349602430668</v>
      </c>
      <c r="F420" s="7" t="n">
        <v>97.45713406187471</v>
      </c>
      <c r="G420" s="7" t="n">
        <v>101.207399287476</v>
      </c>
      <c r="H420" s="7" t="n">
        <v>142.2994536630729</v>
      </c>
      <c r="I420" s="7" t="n">
        <v>108.0753764144768</v>
      </c>
      <c r="J420" s="7" t="n">
        <v>157.5666422067309</v>
      </c>
      <c r="K420" s="7" t="n">
        <v>106.5675866949752</v>
      </c>
      <c r="L420" s="7" t="n">
        <v>96.57405675085749</v>
      </c>
      <c r="M420" s="7" t="n">
        <v>95.14663810907979</v>
      </c>
      <c r="N420" s="7" t="n">
        <v>140.5444416258513</v>
      </c>
      <c r="O420" s="8">
        <f>N420*$B$2/100</f>
        <v/>
      </c>
    </row>
    <row r="421">
      <c r="A421" s="6" t="n">
        <v>46238.46854553241</v>
      </c>
      <c r="B421" s="7" t="n">
        <v>150.6671268764393</v>
      </c>
      <c r="C421" s="7" t="n">
        <v>139.0230094886557</v>
      </c>
      <c r="D421" s="7" t="n">
        <v>120.0816114316383</v>
      </c>
      <c r="E421" s="7" t="n">
        <v>157.9119202463306</v>
      </c>
      <c r="F421" s="7" t="n">
        <v>128.267665357478</v>
      </c>
      <c r="G421" s="7" t="n">
        <v>101.8832035595106</v>
      </c>
      <c r="H421" s="7" t="n">
        <v>150.4939554376263</v>
      </c>
      <c r="I421" s="7" t="n">
        <v>94.54747831427036</v>
      </c>
      <c r="J421" s="7" t="n">
        <v>132.8166283628498</v>
      </c>
      <c r="K421" s="7" t="n">
        <v>123.4841308995231</v>
      </c>
      <c r="L421" s="7" t="n">
        <v>105.4231833150384</v>
      </c>
      <c r="M421" s="7" t="n">
        <v>89.87942907224239</v>
      </c>
      <c r="N421" s="7" t="n">
        <v>141.5528697423285</v>
      </c>
      <c r="O421" s="8">
        <f>N421*$B$2/100</f>
        <v/>
      </c>
    </row>
    <row r="422">
      <c r="A422" s="6" t="n">
        <v>46238.4685571875</v>
      </c>
      <c r="B422" s="7" t="n">
        <v>152.124590349192</v>
      </c>
      <c r="C422" s="7" t="n">
        <v>140.2840525410068</v>
      </c>
      <c r="D422" s="7" t="n">
        <v>126.8997341694499</v>
      </c>
      <c r="E422" s="7" t="n">
        <v>156.0446269144682</v>
      </c>
      <c r="F422" s="7" t="n">
        <v>104.339624944067</v>
      </c>
      <c r="G422" s="7" t="n">
        <v>114.6613531144781</v>
      </c>
      <c r="H422" s="7" t="n">
        <v>149.5085371481311</v>
      </c>
      <c r="I422" s="7" t="n">
        <v>92.16353857973878</v>
      </c>
      <c r="J422" s="7" t="n">
        <v>89.73151898734177</v>
      </c>
      <c r="K422" s="7" t="n">
        <v>84.88344329249136</v>
      </c>
      <c r="L422" s="7" t="n">
        <v>143.1375398883127</v>
      </c>
      <c r="M422" s="7" t="n">
        <v>85.9209437720239</v>
      </c>
      <c r="N422" s="7" t="n">
        <v>143.8150082352469</v>
      </c>
      <c r="O422" s="8">
        <f>N422*$B$2/100</f>
        <v/>
      </c>
    </row>
    <row r="423">
      <c r="A423" s="6" t="n">
        <v>46238.46856888889</v>
      </c>
      <c r="B423" s="7" t="n">
        <v>119.4029236473763</v>
      </c>
      <c r="C423" s="7" t="n">
        <v>158.2982705265361</v>
      </c>
      <c r="D423" s="7" t="n">
        <v>120.7454880433148</v>
      </c>
      <c r="E423" s="7" t="n">
        <v>114.3241574908242</v>
      </c>
      <c r="F423" s="7" t="n">
        <v>118.0807158302037</v>
      </c>
      <c r="G423" s="7" t="n">
        <v>131.4473950335218</v>
      </c>
      <c r="H423" s="7" t="n">
        <v>149.0811713836478</v>
      </c>
      <c r="I423" s="7" t="n">
        <v>123.5385979553515</v>
      </c>
      <c r="J423" s="7" t="n">
        <v>159.0170653646685</v>
      </c>
      <c r="K423" s="7" t="n">
        <v>112.6085106382979</v>
      </c>
      <c r="L423" s="7" t="n">
        <v>115.1279942645074</v>
      </c>
      <c r="M423" s="7" t="n">
        <v>137.671493902439</v>
      </c>
      <c r="N423" s="7" t="n">
        <v>145.120320412485</v>
      </c>
      <c r="O423" s="8">
        <f>N423*$B$2/100</f>
        <v/>
      </c>
    </row>
    <row r="424">
      <c r="A424" s="6" t="n">
        <v>46238.46858054398</v>
      </c>
      <c r="B424" s="7" t="n">
        <v>158.0894377288846</v>
      </c>
      <c r="C424" s="7" t="n">
        <v>142.8230641044572</v>
      </c>
      <c r="D424" s="7" t="n">
        <v>130.3063861203396</v>
      </c>
      <c r="E424" s="7" t="n">
        <v>131.7695425883295</v>
      </c>
      <c r="F424" s="7" t="n">
        <v>131.0849662162162</v>
      </c>
      <c r="G424" s="7" t="n">
        <v>108.2592115578452</v>
      </c>
      <c r="H424" s="7" t="n">
        <v>149.364224914742</v>
      </c>
      <c r="I424" s="7" t="n">
        <v>105.273516642547</v>
      </c>
      <c r="J424" s="7" t="n">
        <v>130.7028992093066</v>
      </c>
      <c r="K424" s="7" t="n">
        <v>118.791669928756</v>
      </c>
      <c r="L424" s="7" t="n">
        <v>82.2522121117038</v>
      </c>
      <c r="M424" s="7" t="n">
        <v>137.9505443950314</v>
      </c>
      <c r="N424" s="7" t="n">
        <v>144.7810887810888</v>
      </c>
      <c r="O424" s="8">
        <f>N424*$B$2/100</f>
        <v/>
      </c>
    </row>
    <row r="425">
      <c r="A425" s="6" t="n">
        <v>46238.46859222222</v>
      </c>
      <c r="B425" s="7" t="n">
        <v>151.6260002898224</v>
      </c>
      <c r="C425" s="7" t="n">
        <v>149.2234792569586</v>
      </c>
      <c r="D425" s="7" t="n">
        <v>156.5220700152207</v>
      </c>
      <c r="E425" s="7" t="n">
        <v>149.3029447164702</v>
      </c>
      <c r="F425" s="7" t="n">
        <v>148.3978679608603</v>
      </c>
      <c r="G425" s="7" t="n">
        <v>146.3202424383367</v>
      </c>
      <c r="H425" s="7" t="n">
        <v>149.5917094425212</v>
      </c>
      <c r="I425" s="7" t="n">
        <v>148.9200399497601</v>
      </c>
      <c r="J425" s="7" t="n">
        <v>146.0468551849956</v>
      </c>
      <c r="K425" s="7" t="n">
        <v>148.2447903455167</v>
      </c>
      <c r="L425" s="7" t="n">
        <v>149.019090170593</v>
      </c>
      <c r="M425" s="7" t="n">
        <v>149.1476449643258</v>
      </c>
      <c r="N425" s="7" t="n">
        <v>150.2027283429917</v>
      </c>
      <c r="O425" s="8">
        <f>N425*$B$2/100</f>
        <v/>
      </c>
    </row>
    <row r="426">
      <c r="A426" s="6" t="n">
        <v>46238.46860412037</v>
      </c>
      <c r="B426" s="7" t="n">
        <v>146.1483347461862</v>
      </c>
      <c r="C426" s="7" t="n">
        <v>149.5465364572551</v>
      </c>
      <c r="D426" s="7" t="n">
        <v>148.6822782970892</v>
      </c>
      <c r="E426" s="7" t="n">
        <v>149.5605224158189</v>
      </c>
      <c r="F426" s="7" t="n">
        <v>147.1828275218826</v>
      </c>
      <c r="G426" s="7" t="n">
        <v>146.960003847518</v>
      </c>
      <c r="H426" s="7" t="n">
        <v>152.1876148127801</v>
      </c>
      <c r="I426" s="7" t="n">
        <v>151.3163949092632</v>
      </c>
      <c r="J426" s="7" t="n">
        <v>155.127899394504</v>
      </c>
      <c r="K426" s="7" t="n">
        <v>152.0125101433595</v>
      </c>
      <c r="L426" s="7" t="n">
        <v>152.7263760541286</v>
      </c>
      <c r="M426" s="7" t="n">
        <v>152.2142305194538</v>
      </c>
      <c r="N426" s="7" t="n">
        <v>150.7368272046709</v>
      </c>
      <c r="O426" s="8">
        <f>N426*$B$2/100</f>
        <v/>
      </c>
    </row>
    <row r="427">
      <c r="A427" s="6" t="n">
        <v>46238.46861579861</v>
      </c>
      <c r="B427" s="7" t="n">
        <v>151.9524647378113</v>
      </c>
      <c r="C427" s="7" t="n">
        <v>144.5108105816517</v>
      </c>
      <c r="D427" s="7" t="n">
        <v>158.5983104055915</v>
      </c>
      <c r="E427" s="7" t="n">
        <v>122.9505631617994</v>
      </c>
      <c r="F427" s="7" t="n">
        <v>134.1732956577724</v>
      </c>
      <c r="G427" s="7" t="n">
        <v>104.7478268997102</v>
      </c>
      <c r="H427" s="7" t="n">
        <v>145.7309105221726</v>
      </c>
      <c r="I427" s="7" t="n">
        <v>124.5147417051659</v>
      </c>
      <c r="J427" s="7" t="n">
        <v>140.4611442576684</v>
      </c>
      <c r="K427" s="7" t="n">
        <v>125.2144749209604</v>
      </c>
      <c r="L427" s="7" t="n">
        <v>87.55903483801004</v>
      </c>
      <c r="M427" s="7" t="n">
        <v>75.47665042091272</v>
      </c>
      <c r="N427" s="7" t="n">
        <v>143.6635163176759</v>
      </c>
      <c r="O427" s="8">
        <f>N427*$B$2/100</f>
        <v/>
      </c>
    </row>
    <row r="428">
      <c r="A428" s="6" t="n">
        <v>46238.46862748842</v>
      </c>
      <c r="B428" s="7" t="n">
        <v>150.8088606356968</v>
      </c>
      <c r="C428" s="7" t="n">
        <v>137.1073241632086</v>
      </c>
      <c r="D428" s="7" t="n">
        <v>136.9926839997222</v>
      </c>
      <c r="E428" s="7" t="n">
        <v>160.230643055069</v>
      </c>
      <c r="F428" s="7" t="n">
        <v>117.7323525991394</v>
      </c>
      <c r="G428" s="7" t="n">
        <v>104.0877234945883</v>
      </c>
      <c r="H428" s="7" t="n">
        <v>145.136924487062</v>
      </c>
      <c r="I428" s="7" t="n">
        <v>96.5438373570521</v>
      </c>
      <c r="J428" s="7" t="n">
        <v>106.275250960466</v>
      </c>
      <c r="K428" s="7" t="n">
        <v>116.5664116828929</v>
      </c>
      <c r="L428" s="7" t="n">
        <v>97.65811625903095</v>
      </c>
      <c r="M428" s="7" t="n">
        <v>73.43995153718006</v>
      </c>
      <c r="N428" s="7" t="n">
        <v>141.7864845717884</v>
      </c>
      <c r="O428" s="8">
        <f>N428*$B$2/100</f>
        <v/>
      </c>
    </row>
    <row r="429">
      <c r="A429" s="6" t="n">
        <v>46238.46863912037</v>
      </c>
      <c r="B429" s="7" t="n">
        <v>114.6090214489552</v>
      </c>
      <c r="C429" s="7" t="n">
        <v>157.4059065659593</v>
      </c>
      <c r="D429" s="7" t="n">
        <v>102.8301861643044</v>
      </c>
      <c r="E429" s="7" t="n">
        <v>103.9056061725355</v>
      </c>
      <c r="F429" s="7" t="n">
        <v>130.7489505384194</v>
      </c>
      <c r="G429" s="7" t="n">
        <v>121.4106041923551</v>
      </c>
      <c r="H429" s="7" t="n">
        <v>151.6529694981261</v>
      </c>
      <c r="I429" s="7" t="n">
        <v>96.35608510638298</v>
      </c>
      <c r="J429" s="7" t="n">
        <v>153.3821366024519</v>
      </c>
      <c r="K429" s="7" t="n">
        <v>149.0809294268284</v>
      </c>
      <c r="L429" s="7" t="n">
        <v>100.5473142720421</v>
      </c>
      <c r="M429" s="7" t="n">
        <v>87.03867584398557</v>
      </c>
      <c r="N429" s="7" t="n">
        <v>143.5564203811983</v>
      </c>
      <c r="O429" s="8">
        <f>N429*$B$2/100</f>
        <v/>
      </c>
    </row>
    <row r="430">
      <c r="A430" s="6" t="n">
        <v>46238.46865078704</v>
      </c>
      <c r="B430" s="7" t="n">
        <v>152.2330950737116</v>
      </c>
      <c r="C430" s="7" t="n">
        <v>130.1052151562889</v>
      </c>
      <c r="D430" s="7" t="n">
        <v>118.3736352066448</v>
      </c>
      <c r="E430" s="7" t="n">
        <v>162.094258740206</v>
      </c>
      <c r="F430" s="7" t="n">
        <v>108.843632639126</v>
      </c>
      <c r="G430" s="7" t="n">
        <v>128.7723054362627</v>
      </c>
      <c r="H430" s="7" t="n">
        <v>147.7438320786856</v>
      </c>
      <c r="I430" s="7" t="n">
        <v>120.1938439640601</v>
      </c>
      <c r="J430" s="7" t="n">
        <v>134.3972607072816</v>
      </c>
      <c r="K430" s="7" t="n">
        <v>100.0877030162413</v>
      </c>
      <c r="L430" s="7" t="n">
        <v>117.0786379392374</v>
      </c>
      <c r="M430" s="7" t="n">
        <v>73.85408805031446</v>
      </c>
      <c r="N430" s="7" t="n">
        <v>143.0831657261135</v>
      </c>
      <c r="O430" s="8">
        <f>N430*$B$2/100</f>
        <v/>
      </c>
    </row>
    <row r="431">
      <c r="A431" s="6" t="n">
        <v>46238.46866252315</v>
      </c>
      <c r="B431" s="7" t="n">
        <v>115.2995840572843</v>
      </c>
      <c r="C431" s="7" t="n">
        <v>161.1793191788431</v>
      </c>
      <c r="D431" s="7" t="n">
        <v>158.0458913853856</v>
      </c>
      <c r="E431" s="7" t="n">
        <v>122.5612506406971</v>
      </c>
      <c r="F431" s="7" t="n">
        <v>136.355182980522</v>
      </c>
      <c r="G431" s="7" t="n">
        <v>125.0720959482526</v>
      </c>
      <c r="H431" s="7" t="n">
        <v>155.8970019078768</v>
      </c>
      <c r="I431" s="7" t="n">
        <v>103.3352421856359</v>
      </c>
      <c r="J431" s="7" t="n">
        <v>133.0495257551437</v>
      </c>
      <c r="K431" s="7" t="n">
        <v>92.71048412952869</v>
      </c>
      <c r="L431" s="7" t="n">
        <v>91.00283029993318</v>
      </c>
      <c r="M431" s="7" t="n">
        <v>127.2373479795998</v>
      </c>
      <c r="N431" s="7" t="n">
        <v>145.8455262754711</v>
      </c>
      <c r="O431" s="8">
        <f>N431*$B$2/100</f>
        <v/>
      </c>
    </row>
    <row r="432">
      <c r="A432" s="6" t="n">
        <v>46238.46867416667</v>
      </c>
      <c r="B432" s="7" t="n">
        <v>115.2393658803647</v>
      </c>
      <c r="C432" s="7" t="n">
        <v>162.4443019068143</v>
      </c>
      <c r="D432" s="7" t="n">
        <v>111.4357155780713</v>
      </c>
      <c r="E432" s="7" t="n">
        <v>136.3060781817325</v>
      </c>
      <c r="F432" s="7" t="n">
        <v>109.6792315038481</v>
      </c>
      <c r="G432" s="7" t="n">
        <v>95.70154151404151</v>
      </c>
      <c r="H432" s="7" t="n">
        <v>145.0291457668339</v>
      </c>
      <c r="I432" s="7" t="n">
        <v>110.6014843830533</v>
      </c>
      <c r="J432" s="7" t="n">
        <v>144.3454874806439</v>
      </c>
      <c r="K432" s="7" t="n">
        <v>117.5251032661926</v>
      </c>
      <c r="L432" s="7" t="n">
        <v>113.701050676264</v>
      </c>
      <c r="M432" s="7" t="n">
        <v>113.8759398496241</v>
      </c>
      <c r="N432" s="7" t="n">
        <v>142.3367249980204</v>
      </c>
      <c r="O432" s="8">
        <f>N432*$B$2/100</f>
        <v/>
      </c>
    </row>
    <row r="433">
      <c r="A433" s="6" t="n">
        <v>46238.46868584491</v>
      </c>
      <c r="B433" s="7" t="n">
        <v>153.8785707739664</v>
      </c>
      <c r="C433" s="7" t="n">
        <v>147.8715515104296</v>
      </c>
      <c r="D433" s="7" t="n">
        <v>131.2135212873468</v>
      </c>
      <c r="E433" s="7" t="n">
        <v>159.5677235737299</v>
      </c>
      <c r="F433" s="7" t="n">
        <v>121.4252731947718</v>
      </c>
      <c r="G433" s="7" t="n">
        <v>111.3155992318988</v>
      </c>
      <c r="H433" s="7" t="n">
        <v>155.7218157967761</v>
      </c>
      <c r="I433" s="7" t="n">
        <v>142.6790864837814</v>
      </c>
      <c r="J433" s="7" t="n">
        <v>139.8502006880734</v>
      </c>
      <c r="K433" s="7" t="n">
        <v>70.66979912061385</v>
      </c>
      <c r="L433" s="7" t="n">
        <v>150.2019873180924</v>
      </c>
      <c r="M433" s="7" t="n">
        <v>81.01906722764301</v>
      </c>
      <c r="N433" s="7" t="n">
        <v>147.8202620244078</v>
      </c>
      <c r="O433" s="8">
        <f>N433*$B$2/100</f>
        <v/>
      </c>
    </row>
    <row r="434">
      <c r="A434" s="6" t="n">
        <v>46238.46869752315</v>
      </c>
      <c r="B434" s="7" t="n">
        <v>152.003891426364</v>
      </c>
      <c r="C434" s="7" t="n">
        <v>141.622216384432</v>
      </c>
      <c r="D434" s="7" t="n">
        <v>157.3163173122703</v>
      </c>
      <c r="E434" s="7" t="n">
        <v>100.6511087350658</v>
      </c>
      <c r="F434" s="7" t="n">
        <v>134.1526151204856</v>
      </c>
      <c r="G434" s="7" t="n">
        <v>140.9609295501337</v>
      </c>
      <c r="H434" s="7" t="n">
        <v>149.9846006542727</v>
      </c>
      <c r="I434" s="7" t="n">
        <v>101.5997182216656</v>
      </c>
      <c r="J434" s="7" t="n">
        <v>143.1211034844576</v>
      </c>
      <c r="K434" s="7" t="n">
        <v>117.8763969815646</v>
      </c>
      <c r="L434" s="7" t="n">
        <v>101.490307742854</v>
      </c>
      <c r="M434" s="7" t="n">
        <v>137.1897508227551</v>
      </c>
      <c r="N434" s="7" t="n">
        <v>145.4762583993538</v>
      </c>
      <c r="O434" s="8">
        <f>N434*$B$2/100</f>
        <v/>
      </c>
    </row>
    <row r="435">
      <c r="A435" s="6" t="n">
        <v>46238.46870917824</v>
      </c>
      <c r="B435" s="7" t="n">
        <v>138.5244483854623</v>
      </c>
      <c r="C435" s="7" t="n">
        <v>160.3450166438222</v>
      </c>
      <c r="D435" s="7" t="n">
        <v>98.17965209764654</v>
      </c>
      <c r="E435" s="7" t="n">
        <v>95.23765926604105</v>
      </c>
      <c r="F435" s="7" t="n">
        <v>104.5517758129777</v>
      </c>
      <c r="G435" s="7" t="n">
        <v>119.0691743572841</v>
      </c>
      <c r="H435" s="7" t="n">
        <v>154.2149220345155</v>
      </c>
      <c r="I435" s="7" t="n">
        <v>115.7633885102239</v>
      </c>
      <c r="J435" s="7" t="n">
        <v>159.0519139682818</v>
      </c>
      <c r="K435" s="7" t="n">
        <v>120.4786071128258</v>
      </c>
      <c r="L435" s="7" t="n">
        <v>138.8791689447786</v>
      </c>
      <c r="M435" s="7" t="n">
        <v>101.9060125691774</v>
      </c>
      <c r="N435" s="7" t="n">
        <v>145.7400520711899</v>
      </c>
      <c r="O435" s="8">
        <f>N435*$B$2/100</f>
        <v/>
      </c>
    </row>
    <row r="436">
      <c r="A436" s="6" t="n">
        <v>46238.46872086806</v>
      </c>
      <c r="B436" s="7" t="n">
        <v>148.2359078088943</v>
      </c>
      <c r="C436" s="7" t="n">
        <v>138.2300119331742</v>
      </c>
      <c r="D436" s="7" t="n">
        <v>155.1238958756533</v>
      </c>
      <c r="E436" s="7" t="n">
        <v>136.8383264799948</v>
      </c>
      <c r="F436" s="7" t="n">
        <v>128.0670659827317</v>
      </c>
      <c r="G436" s="7" t="n">
        <v>108.3430778945804</v>
      </c>
      <c r="H436" s="7" t="n">
        <v>152.840551946649</v>
      </c>
      <c r="I436" s="7" t="n">
        <v>120.5511310330449</v>
      </c>
      <c r="J436" s="7" t="n">
        <v>131.2345595680054</v>
      </c>
      <c r="K436" s="7" t="n">
        <v>149.6544152506425</v>
      </c>
      <c r="L436" s="7" t="n">
        <v>130.1150238411631</v>
      </c>
      <c r="M436" s="7" t="n">
        <v>83.24832338079926</v>
      </c>
      <c r="N436" s="7" t="n">
        <v>144.1971340614234</v>
      </c>
      <c r="O436" s="8">
        <f>N436*$B$2/100</f>
        <v/>
      </c>
    </row>
    <row r="437">
      <c r="A437" s="6" t="n">
        <v>46238.46873251157</v>
      </c>
      <c r="B437" s="7" t="n">
        <v>112.0055798156235</v>
      </c>
      <c r="C437" s="7" t="n">
        <v>159.2261848977679</v>
      </c>
      <c r="D437" s="7" t="n">
        <v>131.5684466538379</v>
      </c>
      <c r="E437" s="7" t="n">
        <v>114.8219232291254</v>
      </c>
      <c r="F437" s="7" t="n">
        <v>112.9625679631953</v>
      </c>
      <c r="G437" s="7" t="n">
        <v>109.7894828134486</v>
      </c>
      <c r="H437" s="7" t="n">
        <v>148.2603849674658</v>
      </c>
      <c r="I437" s="7" t="n">
        <v>77.70171752238261</v>
      </c>
      <c r="J437" s="7" t="n">
        <v>149.9573649675146</v>
      </c>
      <c r="K437" s="7" t="n">
        <v>159.6998921651817</v>
      </c>
      <c r="L437" s="7" t="n">
        <v>112.4403477970069</v>
      </c>
      <c r="M437" s="7" t="n">
        <v>96.40681122788347</v>
      </c>
      <c r="N437" s="7" t="n">
        <v>143.0292387374182</v>
      </c>
      <c r="O437" s="8">
        <f>N437*$B$2/100</f>
        <v/>
      </c>
    </row>
    <row r="438">
      <c r="A438" s="6" t="n">
        <v>46238.46874421297</v>
      </c>
      <c r="B438" s="7" t="n">
        <v>143.0461051381835</v>
      </c>
      <c r="C438" s="7" t="n">
        <v>154.7196464211061</v>
      </c>
      <c r="D438" s="7" t="n">
        <v>108.7732278045423</v>
      </c>
      <c r="E438" s="7" t="n">
        <v>120.1293125317098</v>
      </c>
      <c r="F438" s="7" t="n">
        <v>109.4157657960116</v>
      </c>
      <c r="G438" s="7" t="n">
        <v>116.3423656676716</v>
      </c>
      <c r="H438" s="7" t="n">
        <v>154.5268681279366</v>
      </c>
      <c r="I438" s="7" t="n">
        <v>107.8588556249551</v>
      </c>
      <c r="J438" s="7" t="n">
        <v>158.0173744478154</v>
      </c>
      <c r="K438" s="7" t="n">
        <v>127.9248322147651</v>
      </c>
      <c r="L438" s="7" t="n">
        <v>108.4336024646765</v>
      </c>
      <c r="M438" s="7" t="n">
        <v>98.40658637962272</v>
      </c>
      <c r="N438" s="7" t="n">
        <v>144.3428494218928</v>
      </c>
      <c r="O438" s="8">
        <f>N438*$B$2/100</f>
        <v/>
      </c>
    </row>
    <row r="439">
      <c r="A439" s="6" t="n">
        <v>46238.46875583333</v>
      </c>
      <c r="B439" s="7" t="n">
        <v>149.306487246435</v>
      </c>
      <c r="C439" s="7" t="n">
        <v>144.1586115819766</v>
      </c>
      <c r="D439" s="7" t="n">
        <v>144.2314663567255</v>
      </c>
      <c r="E439" s="7" t="n">
        <v>162.6527847502637</v>
      </c>
      <c r="F439" s="7" t="n">
        <v>125.8943603133159</v>
      </c>
      <c r="G439" s="7" t="n">
        <v>109.5849541946839</v>
      </c>
      <c r="H439" s="7" t="n">
        <v>146.9140350669772</v>
      </c>
      <c r="I439" s="7" t="n">
        <v>132.9934583220933</v>
      </c>
      <c r="J439" s="7" t="n">
        <v>129.0832064777328</v>
      </c>
      <c r="K439" s="7" t="n">
        <v>126.3318420709725</v>
      </c>
      <c r="L439" s="7" t="n">
        <v>126.4497210840697</v>
      </c>
      <c r="M439" s="7" t="n">
        <v>80.12454165326471</v>
      </c>
      <c r="N439" s="7" t="n">
        <v>144.2593183025886</v>
      </c>
      <c r="O439" s="8">
        <f>N439*$B$2/100</f>
        <v/>
      </c>
    </row>
    <row r="440">
      <c r="A440" s="6" t="n">
        <v>46238.46876756944</v>
      </c>
      <c r="B440" s="7" t="n">
        <v>147.8915315079046</v>
      </c>
      <c r="C440" s="7" t="n">
        <v>155.8812052821855</v>
      </c>
      <c r="D440" s="7" t="n">
        <v>152.5437758836155</v>
      </c>
      <c r="E440" s="7" t="n">
        <v>149.9948618032729</v>
      </c>
      <c r="F440" s="7" t="n">
        <v>150.6697124158835</v>
      </c>
      <c r="G440" s="7" t="n">
        <v>149.6540647096636</v>
      </c>
      <c r="H440" s="7" t="n">
        <v>151.4164711528207</v>
      </c>
      <c r="I440" s="7" t="n">
        <v>150.5472190573891</v>
      </c>
      <c r="J440" s="7" t="n">
        <v>150.1116131379321</v>
      </c>
      <c r="K440" s="7" t="n">
        <v>150.319829376589</v>
      </c>
      <c r="L440" s="7" t="n">
        <v>153.7181637815424</v>
      </c>
      <c r="M440" s="7" t="n">
        <v>150.6197396195005</v>
      </c>
      <c r="N440" s="7" t="n">
        <v>151.3538141421813</v>
      </c>
      <c r="O440" s="8">
        <f>N440*$B$2/100</f>
        <v/>
      </c>
    </row>
    <row r="441">
      <c r="A441" s="6" t="n">
        <v>46238.46877927084</v>
      </c>
      <c r="B441" s="7" t="n">
        <v>150.0375314852562</v>
      </c>
      <c r="C441" s="7" t="n">
        <v>149.9426384850942</v>
      </c>
      <c r="D441" s="7" t="n">
        <v>152.5723061897974</v>
      </c>
      <c r="E441" s="7" t="n">
        <v>150.8699143064414</v>
      </c>
      <c r="F441" s="7" t="n">
        <v>148.1689970788705</v>
      </c>
      <c r="G441" s="7" t="n">
        <v>147.9327253206225</v>
      </c>
      <c r="H441" s="7" t="n">
        <v>153.3861855655255</v>
      </c>
      <c r="I441" s="7" t="n">
        <v>151.3231473387047</v>
      </c>
      <c r="J441" s="7" t="n">
        <v>148.02315717301</v>
      </c>
      <c r="K441" s="7" t="n">
        <v>149.4829776346287</v>
      </c>
      <c r="L441" s="7" t="n">
        <v>151.1640305285156</v>
      </c>
      <c r="M441" s="7" t="n">
        <v>150.1998376394657</v>
      </c>
      <c r="N441" s="7" t="n">
        <v>150.5635175513179</v>
      </c>
      <c r="O441" s="8">
        <f>N441*$B$2/100</f>
        <v/>
      </c>
    </row>
    <row r="442">
      <c r="A442" s="6" t="n">
        <v>46238.46879099537</v>
      </c>
      <c r="B442" s="7" t="n">
        <v>153.7717035923888</v>
      </c>
      <c r="C442" s="7" t="n">
        <v>160.5241749629931</v>
      </c>
      <c r="D442" s="7" t="n">
        <v>130.2033363560795</v>
      </c>
      <c r="E442" s="7" t="n">
        <v>124.7050245002722</v>
      </c>
      <c r="F442" s="7" t="n">
        <v>133.2455651663979</v>
      </c>
      <c r="G442" s="7" t="n">
        <v>128.0779667655122</v>
      </c>
      <c r="H442" s="7" t="n">
        <v>154.9595177698162</v>
      </c>
      <c r="I442" s="7" t="n">
        <v>91.64582694861579</v>
      </c>
      <c r="J442" s="7" t="n">
        <v>126.6819708846585</v>
      </c>
      <c r="K442" s="7" t="n">
        <v>88.97120318603048</v>
      </c>
      <c r="L442" s="7" t="n">
        <v>124.3063205013429</v>
      </c>
      <c r="M442" s="7" t="n">
        <v>118.5</v>
      </c>
      <c r="N442" s="7" t="n">
        <v>145.6817065959467</v>
      </c>
      <c r="O442" s="8">
        <f>N442*$B$2/100</f>
        <v/>
      </c>
    </row>
    <row r="443">
      <c r="A443" s="6" t="n">
        <v>46238.46880265047</v>
      </c>
      <c r="B443" s="7" t="n">
        <v>146.422159887798</v>
      </c>
      <c r="C443" s="7" t="n">
        <v>121.4884705495499</v>
      </c>
      <c r="D443" s="7" t="n">
        <v>159.1416242830863</v>
      </c>
      <c r="E443" s="7" t="n">
        <v>107.3758739972032</v>
      </c>
      <c r="F443" s="7" t="n">
        <v>106.4468508287293</v>
      </c>
      <c r="G443" s="7" t="n">
        <v>112.3683929841195</v>
      </c>
      <c r="H443" s="7" t="n">
        <v>146.607965512804</v>
      </c>
      <c r="I443" s="7" t="n">
        <v>109.0943879034603</v>
      </c>
      <c r="J443" s="7" t="n">
        <v>156.2825011749435</v>
      </c>
      <c r="K443" s="7" t="n">
        <v>107.078847199565</v>
      </c>
      <c r="L443" s="7" t="n">
        <v>123.6142781968076</v>
      </c>
      <c r="M443" s="7" t="n">
        <v>106.8744527959032</v>
      </c>
      <c r="N443" s="7" t="n">
        <v>143.6847609367059</v>
      </c>
      <c r="O443" s="8">
        <f>N443*$B$2/100</f>
        <v/>
      </c>
    </row>
    <row r="444">
      <c r="A444" s="6" t="n">
        <v>46238.46881436343</v>
      </c>
      <c r="B444" s="7" t="n">
        <v>145.7020239913144</v>
      </c>
      <c r="C444" s="7" t="n">
        <v>158.2653757148557</v>
      </c>
      <c r="D444" s="7" t="n">
        <v>135.1803133807863</v>
      </c>
      <c r="E444" s="7" t="n">
        <v>123.2889292431416</v>
      </c>
      <c r="F444" s="7" t="n">
        <v>95.46179063983722</v>
      </c>
      <c r="G444" s="7" t="n">
        <v>119.5555822741326</v>
      </c>
      <c r="H444" s="7" t="n">
        <v>144.6855201892985</v>
      </c>
      <c r="I444" s="7" t="n">
        <v>134.4216464237517</v>
      </c>
      <c r="J444" s="7" t="n">
        <v>141.5211324261718</v>
      </c>
      <c r="K444" s="7" t="n">
        <v>157.4031572170791</v>
      </c>
      <c r="L444" s="7" t="n">
        <v>124.8741827326069</v>
      </c>
      <c r="M444" s="7" t="n">
        <v>96.0294989516304</v>
      </c>
      <c r="N444" s="7" t="n">
        <v>144.9625194506461</v>
      </c>
      <c r="O444" s="8">
        <f>N444*$B$2/100</f>
        <v/>
      </c>
    </row>
    <row r="445">
      <c r="A445" s="6" t="n">
        <v>46238.46882609954</v>
      </c>
      <c r="B445" s="7" t="n">
        <v>162.84966794398</v>
      </c>
      <c r="C445" s="7" t="n">
        <v>155.7582525110082</v>
      </c>
      <c r="D445" s="7" t="n">
        <v>157.5060429527867</v>
      </c>
      <c r="E445" s="7" t="n">
        <v>158.5230976892238</v>
      </c>
      <c r="F445" s="7" t="n">
        <v>155.0267563454269</v>
      </c>
      <c r="G445" s="7" t="n">
        <v>163.654524104144</v>
      </c>
      <c r="H445" s="7" t="n">
        <v>156.3566873678427</v>
      </c>
      <c r="I445" s="7" t="n">
        <v>154.4543728445771</v>
      </c>
      <c r="J445" s="7" t="n">
        <v>159.5181180628417</v>
      </c>
      <c r="K445" s="7" t="n">
        <v>160.8939528943538</v>
      </c>
      <c r="L445" s="7" t="n">
        <v>153.9071956368754</v>
      </c>
      <c r="M445" s="7" t="n">
        <v>156.673745746843</v>
      </c>
      <c r="N445" s="7" t="n">
        <v>159.4101714244984</v>
      </c>
      <c r="O445" s="8">
        <f>N445*$B$2/100</f>
        <v/>
      </c>
    </row>
    <row r="446">
      <c r="A446" s="6" t="n">
        <v>46238.4688378588</v>
      </c>
      <c r="B446" s="7" t="n">
        <v>164.0341005166745</v>
      </c>
      <c r="C446" s="7" t="n">
        <v>154.5755717388527</v>
      </c>
      <c r="D446" s="7" t="n">
        <v>156.2160297127904</v>
      </c>
      <c r="E446" s="7" t="n">
        <v>163.8422471110207</v>
      </c>
      <c r="F446" s="7" t="n">
        <v>158.3885145033695</v>
      </c>
      <c r="G446" s="7" t="n">
        <v>159.0354874928675</v>
      </c>
      <c r="H446" s="7" t="n">
        <v>157.0313127258129</v>
      </c>
      <c r="I446" s="7" t="n">
        <v>148.7986114368814</v>
      </c>
      <c r="J446" s="7" t="n">
        <v>160.7799315990271</v>
      </c>
      <c r="K446" s="7" t="n">
        <v>163.2977803349725</v>
      </c>
      <c r="L446" s="7" t="n">
        <v>158.9671089486067</v>
      </c>
      <c r="M446" s="7" t="n">
        <v>159.9725453426705</v>
      </c>
      <c r="N446" s="7" t="n">
        <v>160.1110110903068</v>
      </c>
      <c r="O446" s="8">
        <f>N446*$B$2/100</f>
        <v/>
      </c>
    </row>
    <row r="447">
      <c r="A447" s="6" t="n">
        <v>46238.46884962963</v>
      </c>
      <c r="B447" s="7" t="n">
        <v>160.3615897600444</v>
      </c>
      <c r="C447" s="7" t="n">
        <v>148.3033470566219</v>
      </c>
      <c r="D447" s="7" t="n">
        <v>161.5727920220658</v>
      </c>
      <c r="E447" s="7" t="n">
        <v>157.3124008209382</v>
      </c>
      <c r="F447" s="7" t="n">
        <v>151.0606148914469</v>
      </c>
      <c r="G447" s="7" t="n">
        <v>154.4952375137379</v>
      </c>
      <c r="H447" s="7" t="n">
        <v>159.8934270669054</v>
      </c>
      <c r="I447" s="7" t="n">
        <v>163.0621563421212</v>
      </c>
      <c r="J447" s="7" t="n">
        <v>160.4252661848869</v>
      </c>
      <c r="K447" s="7" t="n">
        <v>164.112265556899</v>
      </c>
      <c r="L447" s="7" t="n">
        <v>159.4599878702758</v>
      </c>
      <c r="M447" s="7" t="n">
        <v>146.4943099524105</v>
      </c>
      <c r="N447" s="7" t="n">
        <v>159.6745490091531</v>
      </c>
      <c r="O447" s="8">
        <f>N447*$B$2/100</f>
        <v/>
      </c>
    </row>
    <row r="448">
      <c r="A448" s="6" t="n">
        <v>46238.46886136574</v>
      </c>
      <c r="B448" s="7" t="n">
        <v>164.0363120005892</v>
      </c>
      <c r="C448" s="7" t="n">
        <v>160.5978442734109</v>
      </c>
      <c r="D448" s="7" t="n">
        <v>161.9728086658561</v>
      </c>
      <c r="E448" s="7" t="n">
        <v>161.8251362565237</v>
      </c>
      <c r="F448" s="7" t="n">
        <v>154.3556696978432</v>
      </c>
      <c r="G448" s="7" t="n">
        <v>146.5800313941873</v>
      </c>
      <c r="H448" s="7" t="n">
        <v>158.8006513161672</v>
      </c>
      <c r="I448" s="7" t="n">
        <v>158.830368719611</v>
      </c>
      <c r="J448" s="7" t="n">
        <v>162.4311848013817</v>
      </c>
      <c r="K448" s="7" t="n">
        <v>160.7367235013032</v>
      </c>
      <c r="L448" s="7" t="n">
        <v>156.1725835663167</v>
      </c>
      <c r="M448" s="7" t="n">
        <v>153.2914569722735</v>
      </c>
      <c r="N448" s="7" t="n">
        <v>160.7598912415089</v>
      </c>
      <c r="O448" s="8">
        <f>N448*$B$2/100</f>
        <v/>
      </c>
    </row>
    <row r="449">
      <c r="A449" s="6" t="n">
        <v>46238.468873125</v>
      </c>
      <c r="B449" s="7" t="n">
        <v>162.3367630609291</v>
      </c>
      <c r="C449" s="7" t="n">
        <v>165.1172190283862</v>
      </c>
      <c r="D449" s="7" t="n">
        <v>158.2740342804302</v>
      </c>
      <c r="E449" s="7" t="n">
        <v>156.8674507798517</v>
      </c>
      <c r="F449" s="7" t="n">
        <v>159.5294307706928</v>
      </c>
      <c r="G449" s="7" t="n">
        <v>158.9643595510151</v>
      </c>
      <c r="H449" s="7" t="n">
        <v>159.5997351477236</v>
      </c>
      <c r="I449" s="7" t="n">
        <v>162.9579973023857</v>
      </c>
      <c r="J449" s="7" t="n">
        <v>160.8129299440315</v>
      </c>
      <c r="K449" s="7" t="n">
        <v>162.093997037499</v>
      </c>
      <c r="L449" s="7" t="n">
        <v>140.1050031867431</v>
      </c>
      <c r="M449" s="7" t="n">
        <v>156.1692715060708</v>
      </c>
      <c r="N449" s="7" t="n">
        <v>161.2608945048101</v>
      </c>
      <c r="O449" s="8">
        <f>N449*$B$2/100</f>
        <v/>
      </c>
    </row>
    <row r="450">
      <c r="A450" s="6" t="n">
        <v>46238.46888487269</v>
      </c>
      <c r="B450" s="7" t="n">
        <v>161.0334714868922</v>
      </c>
      <c r="C450" s="7" t="n">
        <v>164.3276049020602</v>
      </c>
      <c r="D450" s="7" t="n">
        <v>156.2822878228782</v>
      </c>
      <c r="E450" s="7" t="n">
        <v>160.9703298661075</v>
      </c>
      <c r="F450" s="7" t="n">
        <v>151.6102099548695</v>
      </c>
      <c r="G450" s="7" t="n">
        <v>159.4738118730472</v>
      </c>
      <c r="H450" s="7" t="n">
        <v>163.3609975902522</v>
      </c>
      <c r="I450" s="7" t="n">
        <v>163.2587204137631</v>
      </c>
      <c r="J450" s="7" t="n">
        <v>160.6154811205847</v>
      </c>
      <c r="K450" s="7" t="n">
        <v>135.2819119025305</v>
      </c>
      <c r="L450" s="7" t="n">
        <v>157.1215898825655</v>
      </c>
      <c r="M450" s="7" t="n">
        <v>149.0293642829094</v>
      </c>
      <c r="N450" s="7" t="n">
        <v>161.0075324918504</v>
      </c>
      <c r="O450" s="8">
        <f>N450*$B$2/100</f>
        <v/>
      </c>
    </row>
    <row r="451">
      <c r="A451" s="6" t="n">
        <v>46238.46889659722</v>
      </c>
      <c r="B451" s="7" t="n">
        <v>151.2542860903616</v>
      </c>
      <c r="C451" s="7" t="n">
        <v>163.5255932802349</v>
      </c>
      <c r="D451" s="7" t="n">
        <v>160.7225933202357</v>
      </c>
      <c r="E451" s="7" t="n">
        <v>158.8809186436398</v>
      </c>
      <c r="F451" s="7" t="n">
        <v>152.0947901591896</v>
      </c>
      <c r="G451" s="7" t="n">
        <v>151.8908913656364</v>
      </c>
      <c r="H451" s="7" t="n">
        <v>163.2693866807055</v>
      </c>
      <c r="I451" s="7" t="n">
        <v>163.3993793846095</v>
      </c>
      <c r="J451" s="7" t="n">
        <v>156.4180396270952</v>
      </c>
      <c r="K451" s="7" t="n">
        <v>150.4186346687064</v>
      </c>
      <c r="L451" s="7" t="n">
        <v>152.1142367906066</v>
      </c>
      <c r="M451" s="7" t="n">
        <v>150.4428951315969</v>
      </c>
      <c r="N451" s="7" t="n">
        <v>160.1206724501457</v>
      </c>
      <c r="O451" s="8">
        <f>N451*$B$2/100</f>
        <v/>
      </c>
    </row>
    <row r="452">
      <c r="A452" s="6" t="n">
        <v>46238.46890835648</v>
      </c>
      <c r="B452" s="7" t="n">
        <v>156.3683396987125</v>
      </c>
      <c r="C452" s="7" t="n">
        <v>163.8269730898055</v>
      </c>
      <c r="D452" s="7" t="n">
        <v>163.0301914354282</v>
      </c>
      <c r="E452" s="7" t="n">
        <v>162.5713598207523</v>
      </c>
      <c r="F452" s="7" t="n">
        <v>139.8823457544288</v>
      </c>
      <c r="G452" s="7" t="n">
        <v>147.0796736913664</v>
      </c>
      <c r="H452" s="7" t="n">
        <v>162.6908957324135</v>
      </c>
      <c r="I452" s="7" t="n">
        <v>161.1825237258348</v>
      </c>
      <c r="J452" s="7" t="n">
        <v>154.6165866140907</v>
      </c>
      <c r="K452" s="7" t="n">
        <v>154.383665559247</v>
      </c>
      <c r="L452" s="7" t="n">
        <v>160.987258321841</v>
      </c>
      <c r="M452" s="7" t="n">
        <v>160.82493275974</v>
      </c>
      <c r="N452" s="7" t="n">
        <v>160.6804464407706</v>
      </c>
      <c r="O452" s="8">
        <f>N452*$B$2/100</f>
        <v/>
      </c>
    </row>
    <row r="453">
      <c r="A453" s="6" t="n">
        <v>46238.46892010417</v>
      </c>
      <c r="B453" s="7" t="n">
        <v>158.4474043535794</v>
      </c>
      <c r="C453" s="7" t="n">
        <v>163.6499109517015</v>
      </c>
      <c r="D453" s="7" t="n">
        <v>160.927606362591</v>
      </c>
      <c r="E453" s="7" t="n">
        <v>158.8916454121306</v>
      </c>
      <c r="F453" s="7" t="n">
        <v>145.410073772577</v>
      </c>
      <c r="G453" s="7" t="n">
        <v>144.04956923991</v>
      </c>
      <c r="H453" s="7" t="n">
        <v>162.5804599791911</v>
      </c>
      <c r="I453" s="7" t="n">
        <v>162.9736798075314</v>
      </c>
      <c r="J453" s="7" t="n">
        <v>162.5541149546695</v>
      </c>
      <c r="K453" s="7" t="n">
        <v>157.0775156933612</v>
      </c>
      <c r="L453" s="7" t="n">
        <v>134.7623516110797</v>
      </c>
      <c r="M453" s="7" t="n">
        <v>114.3206825938567</v>
      </c>
      <c r="N453" s="7" t="n">
        <v>160.6333276231962</v>
      </c>
      <c r="O453" s="8">
        <f>N453*$B$2/100</f>
        <v/>
      </c>
    </row>
    <row r="454">
      <c r="A454" s="6" t="n">
        <v>46238.46893170139</v>
      </c>
      <c r="B454" s="7" t="n">
        <v>157.9458200683882</v>
      </c>
      <c r="C454" s="7" t="n">
        <v>163.3099645225976</v>
      </c>
      <c r="D454" s="7" t="n">
        <v>154.6692427291019</v>
      </c>
      <c r="E454" s="7" t="n">
        <v>163.2312897756591</v>
      </c>
      <c r="F454" s="7" t="n">
        <v>135.2739751904792</v>
      </c>
      <c r="G454" s="7" t="n">
        <v>129.2828852960872</v>
      </c>
      <c r="H454" s="7" t="n">
        <v>163.4634964495507</v>
      </c>
      <c r="I454" s="7" t="n">
        <v>163.4535934641079</v>
      </c>
      <c r="J454" s="7" t="n">
        <v>159.360839612078</v>
      </c>
      <c r="K454" s="7" t="n">
        <v>155.8464331753727</v>
      </c>
      <c r="L454" s="7" t="n">
        <v>150.8870582154164</v>
      </c>
      <c r="M454" s="7" t="n">
        <v>158.4621778526874</v>
      </c>
      <c r="N454" s="7" t="n">
        <v>160.5564550782929</v>
      </c>
      <c r="O454" s="8">
        <f>N454*$B$2/100</f>
        <v/>
      </c>
    </row>
    <row r="455">
      <c r="A455" s="6" t="n">
        <v>46238.46894346065</v>
      </c>
      <c r="B455" s="7" t="n">
        <v>151.0745318169642</v>
      </c>
      <c r="C455" s="7" t="n">
        <v>153.2495610422697</v>
      </c>
      <c r="D455" s="7" t="n">
        <v>151.8871038155942</v>
      </c>
      <c r="E455" s="7" t="n">
        <v>155.0878196429948</v>
      </c>
      <c r="F455" s="7" t="n">
        <v>151.7638819464361</v>
      </c>
      <c r="G455" s="7" t="n">
        <v>151.704048149961</v>
      </c>
      <c r="H455" s="7" t="n">
        <v>156.0701860403246</v>
      </c>
      <c r="I455" s="7" t="n">
        <v>154.9553535368019</v>
      </c>
      <c r="J455" s="7" t="n">
        <v>151.5232704480692</v>
      </c>
      <c r="K455" s="7" t="n">
        <v>152.1518877188742</v>
      </c>
      <c r="L455" s="7" t="n">
        <v>151.6384241295306</v>
      </c>
      <c r="M455" s="7" t="n">
        <v>152.1021362326479</v>
      </c>
      <c r="N455" s="7" t="n">
        <v>153.0004077004077</v>
      </c>
      <c r="O455" s="8">
        <f>N455*$B$2/100</f>
        <v/>
      </c>
    </row>
    <row r="456">
      <c r="A456" s="6" t="n">
        <v>46238.46895520834</v>
      </c>
      <c r="B456" s="7" t="n">
        <v>152.2884040335437</v>
      </c>
      <c r="C456" s="7" t="n">
        <v>157.7626121076233</v>
      </c>
      <c r="D456" s="7" t="n">
        <v>154.8006671099041</v>
      </c>
      <c r="E456" s="7" t="n">
        <v>157.1633532348293</v>
      </c>
      <c r="F456" s="7" t="n">
        <v>152.5236932457231</v>
      </c>
      <c r="G456" s="7" t="n">
        <v>154.073989406189</v>
      </c>
      <c r="H456" s="7" t="n">
        <v>160.5003261763621</v>
      </c>
      <c r="I456" s="7" t="n">
        <v>161.6840765153063</v>
      </c>
      <c r="J456" s="7" t="n">
        <v>159.361319449814</v>
      </c>
      <c r="K456" s="7" t="n">
        <v>145.2727937680576</v>
      </c>
      <c r="L456" s="7" t="n">
        <v>150.865165143812</v>
      </c>
      <c r="M456" s="7" t="n">
        <v>151.6712757580995</v>
      </c>
      <c r="N456" s="7" t="n">
        <v>157.6161423661539</v>
      </c>
      <c r="O456" s="8">
        <f>N456*$B$2/100</f>
        <v/>
      </c>
    </row>
    <row r="457">
      <c r="A457" s="6" t="n">
        <v>46238.46896694444</v>
      </c>
      <c r="B457" s="7" t="n">
        <v>157.9669426872914</v>
      </c>
      <c r="C457" s="7" t="n">
        <v>161.6853973258598</v>
      </c>
      <c r="D457" s="7" t="n">
        <v>159.3857868812789</v>
      </c>
      <c r="E457" s="7" t="n">
        <v>159.4657212933906</v>
      </c>
      <c r="F457" s="7" t="n">
        <v>151.9241342294409</v>
      </c>
      <c r="G457" s="7" t="n">
        <v>152.1125431072597</v>
      </c>
      <c r="H457" s="7" t="n">
        <v>161.5240106943972</v>
      </c>
      <c r="I457" s="7" t="n">
        <v>160.6851136431964</v>
      </c>
      <c r="J457" s="7" t="n">
        <v>156.6521662490714</v>
      </c>
      <c r="K457" s="7" t="n">
        <v>158.1743177469007</v>
      </c>
      <c r="L457" s="7" t="n">
        <v>157.4575670864131</v>
      </c>
      <c r="M457" s="7" t="n">
        <v>161.9554390223661</v>
      </c>
      <c r="N457" s="7" t="n">
        <v>159.4321011500913</v>
      </c>
      <c r="O457" s="8">
        <f>N457*$B$2/100</f>
        <v/>
      </c>
    </row>
    <row r="458">
      <c r="A458" s="6" t="n">
        <v>46238.46897868055</v>
      </c>
      <c r="B458" s="7" t="n">
        <v>157.7901849981737</v>
      </c>
      <c r="C458" s="7" t="n">
        <v>160.7266894856942</v>
      </c>
      <c r="D458" s="7" t="n">
        <v>148.6416409641583</v>
      </c>
      <c r="E458" s="7" t="n">
        <v>162.7726417824074</v>
      </c>
      <c r="F458" s="7" t="n">
        <v>144.6574834058954</v>
      </c>
      <c r="G458" s="7" t="n">
        <v>141.9842016401351</v>
      </c>
      <c r="H458" s="7" t="n">
        <v>162.353364990994</v>
      </c>
      <c r="I458" s="7" t="n">
        <v>162.308424555048</v>
      </c>
      <c r="J458" s="7" t="n">
        <v>154.7179590534254</v>
      </c>
      <c r="K458" s="7" t="n">
        <v>150.4634124890061</v>
      </c>
      <c r="L458" s="7" t="n">
        <v>159.0036807183178</v>
      </c>
      <c r="M458" s="7" t="n">
        <v>161.7351699034369</v>
      </c>
      <c r="N458" s="7" t="n">
        <v>158.9097764812921</v>
      </c>
      <c r="O458" s="8">
        <f>N458*$B$2/100</f>
        <v/>
      </c>
    </row>
    <row r="459">
      <c r="A459" s="6" t="n">
        <v>46238.46899040509</v>
      </c>
      <c r="B459" s="7" t="n">
        <v>162.0296837791438</v>
      </c>
      <c r="C459" s="7" t="n">
        <v>152.1883479409293</v>
      </c>
      <c r="D459" s="7" t="n">
        <v>144.8139276864853</v>
      </c>
      <c r="E459" s="7" t="n">
        <v>163.7100481218128</v>
      </c>
      <c r="F459" s="7" t="n">
        <v>145.1061751075112</v>
      </c>
      <c r="G459" s="7" t="n">
        <v>152.9963006230529</v>
      </c>
      <c r="H459" s="7" t="n">
        <v>162.6872069822384</v>
      </c>
      <c r="I459" s="7" t="n">
        <v>163.1736016315872</v>
      </c>
      <c r="J459" s="7" t="n">
        <v>150.2623508913014</v>
      </c>
      <c r="K459" s="7" t="n">
        <v>128.6794588625069</v>
      </c>
      <c r="L459" s="7" t="n">
        <v>159.281888093344</v>
      </c>
      <c r="M459" s="7" t="n">
        <v>152.4252903393239</v>
      </c>
      <c r="N459" s="7" t="n">
        <v>159.6032313575526</v>
      </c>
      <c r="O459" s="8">
        <f>N459*$B$2/100</f>
        <v/>
      </c>
    </row>
    <row r="460">
      <c r="A460" s="6" t="n">
        <v>46238.46900216435</v>
      </c>
      <c r="B460" s="7" t="n">
        <v>158.1423712553961</v>
      </c>
      <c r="C460" s="7" t="n">
        <v>161.0127504187605</v>
      </c>
      <c r="D460" s="7" t="n">
        <v>158.4110695521019</v>
      </c>
      <c r="E460" s="7" t="n">
        <v>164.3744795278231</v>
      </c>
      <c r="F460" s="7" t="n">
        <v>144.0694206591203</v>
      </c>
      <c r="G460" s="7" t="n">
        <v>140.3731551508921</v>
      </c>
      <c r="H460" s="7" t="n">
        <v>161.57881811107</v>
      </c>
      <c r="I460" s="7" t="n">
        <v>162.5196508520459</v>
      </c>
      <c r="J460" s="7" t="n">
        <v>162.1403175378035</v>
      </c>
      <c r="K460" s="7" t="n">
        <v>149.6292246003229</v>
      </c>
      <c r="L460" s="7" t="n">
        <v>148.6260807509675</v>
      </c>
      <c r="M460" s="7" t="n">
        <v>126.2436578171091</v>
      </c>
      <c r="N460" s="7" t="n">
        <v>160.5828903095559</v>
      </c>
      <c r="O460" s="8">
        <f>N460*$B$2/100</f>
        <v/>
      </c>
    </row>
    <row r="461">
      <c r="A461" s="6" t="n">
        <v>46238.46901392361</v>
      </c>
      <c r="B461" s="7" t="n">
        <v>163.1735765157386</v>
      </c>
      <c r="C461" s="7" t="n">
        <v>161.0856917725827</v>
      </c>
      <c r="D461" s="7" t="n">
        <v>148.7492185124369</v>
      </c>
      <c r="E461" s="7" t="n">
        <v>158.3594915297676</v>
      </c>
      <c r="F461" s="7" t="n">
        <v>156.0514933326402</v>
      </c>
      <c r="G461" s="7" t="n">
        <v>138.8208581874158</v>
      </c>
      <c r="H461" s="7" t="n">
        <v>162.1164563444644</v>
      </c>
      <c r="I461" s="7" t="n">
        <v>163.1740235229615</v>
      </c>
      <c r="J461" s="7" t="n">
        <v>156.8736147102608</v>
      </c>
      <c r="K461" s="7" t="n">
        <v>131.3816313692598</v>
      </c>
      <c r="L461" s="7" t="n">
        <v>147.3662688761948</v>
      </c>
      <c r="M461" s="7" t="n">
        <v>121.0008849557522</v>
      </c>
      <c r="N461" s="7" t="n">
        <v>159.8829918946135</v>
      </c>
      <c r="O461" s="8">
        <f>N461*$B$2/100</f>
        <v/>
      </c>
    </row>
    <row r="462">
      <c r="A462" s="6" t="n">
        <v>46238.469025625</v>
      </c>
      <c r="B462" s="7" t="n">
        <v>165.1891527613786</v>
      </c>
      <c r="C462" s="7" t="n">
        <v>161.4503904965472</v>
      </c>
      <c r="D462" s="7" t="n">
        <v>159.5899408403497</v>
      </c>
      <c r="E462" s="7" t="n">
        <v>162.599719885391</v>
      </c>
      <c r="F462" s="7" t="n">
        <v>142.7795715457155</v>
      </c>
      <c r="G462" s="7" t="n">
        <v>158.5609015553693</v>
      </c>
      <c r="H462" s="7" t="n">
        <v>162.3143389850259</v>
      </c>
      <c r="I462" s="7" t="n">
        <v>161.3197339044061</v>
      </c>
      <c r="J462" s="7" t="n">
        <v>161.5517609201941</v>
      </c>
      <c r="K462" s="7" t="n">
        <v>155.1304206909963</v>
      </c>
      <c r="L462" s="7" t="n">
        <v>159.8095288028702</v>
      </c>
      <c r="M462" s="7" t="n">
        <v>155.5435206604073</v>
      </c>
      <c r="N462" s="7" t="n">
        <v>161.4185467104246</v>
      </c>
      <c r="O462" s="8">
        <f>N462*$B$2/100</f>
        <v/>
      </c>
    </row>
    <row r="463">
      <c r="A463" s="6" t="n">
        <v>46238.46903739584</v>
      </c>
      <c r="B463" s="7" t="n">
        <v>162.497060005113</v>
      </c>
      <c r="C463" s="7" t="n">
        <v>160.9710639071681</v>
      </c>
      <c r="D463" s="7" t="n">
        <v>146.4234124692221</v>
      </c>
      <c r="E463" s="7" t="n">
        <v>139.2523742799315</v>
      </c>
      <c r="F463" s="7" t="n">
        <v>145.6270988221535</v>
      </c>
      <c r="G463" s="7" t="n">
        <v>142.8602440976391</v>
      </c>
      <c r="H463" s="7" t="n">
        <v>162.5454299255247</v>
      </c>
      <c r="I463" s="7" t="n">
        <v>163.9738405465695</v>
      </c>
      <c r="J463" s="7" t="n">
        <v>150.6999876206982</v>
      </c>
      <c r="K463" s="7" t="n">
        <v>152.0227528360703</v>
      </c>
      <c r="L463" s="7" t="n">
        <v>157.8535630472064</v>
      </c>
      <c r="M463" s="7" t="n">
        <v>153.1765030817537</v>
      </c>
      <c r="N463" s="7" t="n">
        <v>160.3096197578757</v>
      </c>
      <c r="O463" s="8">
        <f>N463*$B$2/100</f>
        <v/>
      </c>
    </row>
    <row r="464">
      <c r="A464" s="6" t="n">
        <v>46238.46904914352</v>
      </c>
      <c r="B464" s="7" t="n">
        <v>164.0040165597995</v>
      </c>
      <c r="C464" s="7" t="n">
        <v>161.4512334250491</v>
      </c>
      <c r="D464" s="7" t="n">
        <v>154.5040248278538</v>
      </c>
      <c r="E464" s="7" t="n">
        <v>152.9847829846101</v>
      </c>
      <c r="F464" s="7" t="n">
        <v>148.8332934060011</v>
      </c>
      <c r="G464" s="7" t="n">
        <v>136.5445584228242</v>
      </c>
      <c r="H464" s="7" t="n">
        <v>163.5781652578059</v>
      </c>
      <c r="I464" s="7" t="n">
        <v>163.700142040834</v>
      </c>
      <c r="J464" s="7" t="n">
        <v>154.3555833162419</v>
      </c>
      <c r="K464" s="7" t="n">
        <v>137.9332014607425</v>
      </c>
      <c r="L464" s="7" t="n">
        <v>143.5399921584003</v>
      </c>
      <c r="M464" s="7" t="n">
        <v>138.3280402788536</v>
      </c>
      <c r="N464" s="7" t="n">
        <v>160.9939599204893</v>
      </c>
      <c r="O464" s="8">
        <f>N464*$B$2/100</f>
        <v/>
      </c>
    </row>
    <row r="465">
      <c r="A465" s="6" t="n">
        <v>46238.46906087963</v>
      </c>
      <c r="B465" s="7" t="n">
        <v>164.2560643083879</v>
      </c>
      <c r="C465" s="7" t="n">
        <v>160.4905773108616</v>
      </c>
      <c r="D465" s="7" t="n">
        <v>158.7093775310178</v>
      </c>
      <c r="E465" s="7" t="n">
        <v>162.124313547672</v>
      </c>
      <c r="F465" s="7" t="n">
        <v>156.8219930047283</v>
      </c>
      <c r="G465" s="7" t="n">
        <v>159.0075974592104</v>
      </c>
      <c r="H465" s="7" t="n">
        <v>162.7706698318028</v>
      </c>
      <c r="I465" s="7" t="n">
        <v>161.0582183595872</v>
      </c>
      <c r="J465" s="7" t="n">
        <v>161.3395207606276</v>
      </c>
      <c r="K465" s="7" t="n">
        <v>161.729455636429</v>
      </c>
      <c r="L465" s="7" t="n">
        <v>147.19719786504</v>
      </c>
      <c r="M465" s="7" t="n">
        <v>145.982807884159</v>
      </c>
      <c r="N465" s="7" t="n">
        <v>160.93944940513</v>
      </c>
      <c r="O465" s="8">
        <f>N465*$B$2/100</f>
        <v/>
      </c>
    </row>
    <row r="466">
      <c r="A466" s="6" t="n">
        <v>46238.46907260417</v>
      </c>
      <c r="B466" s="7" t="n">
        <v>161.6683827122612</v>
      </c>
      <c r="C466" s="7" t="n">
        <v>157.9915120844124</v>
      </c>
      <c r="D466" s="7" t="n">
        <v>160.5328257651288</v>
      </c>
      <c r="E466" s="7" t="n">
        <v>157.451672815802</v>
      </c>
      <c r="F466" s="7" t="n">
        <v>152.6754626931935</v>
      </c>
      <c r="G466" s="7" t="n">
        <v>157.6861116723201</v>
      </c>
      <c r="H466" s="7" t="n">
        <v>163.5185330533223</v>
      </c>
      <c r="I466" s="7" t="n">
        <v>163.7709083906658</v>
      </c>
      <c r="J466" s="7" t="n">
        <v>161.7155766119713</v>
      </c>
      <c r="K466" s="7" t="n">
        <v>138.2814750163648</v>
      </c>
      <c r="L466" s="7" t="n">
        <v>135.3534839787837</v>
      </c>
      <c r="M466" s="7" t="n">
        <v>113.4423318667505</v>
      </c>
      <c r="N466" s="7" t="n">
        <v>160.5710732667795</v>
      </c>
      <c r="O466" s="8">
        <f>N466*$B$2/100</f>
        <v/>
      </c>
    </row>
    <row r="467">
      <c r="A467" s="6" t="n">
        <v>46238.469084375</v>
      </c>
      <c r="B467" s="7" t="n">
        <v>162.4033121677124</v>
      </c>
      <c r="C467" s="7" t="n">
        <v>159.3353738462379</v>
      </c>
      <c r="D467" s="7" t="n">
        <v>161.1724804140522</v>
      </c>
      <c r="E467" s="7" t="n">
        <v>162.2537194614963</v>
      </c>
      <c r="F467" s="7" t="n">
        <v>156.4930104031209</v>
      </c>
      <c r="G467" s="7" t="n">
        <v>162.4762490203009</v>
      </c>
      <c r="H467" s="7" t="n">
        <v>162.3616585212045</v>
      </c>
      <c r="I467" s="7" t="n">
        <v>161.1515385144903</v>
      </c>
      <c r="J467" s="7" t="n">
        <v>151.6757472268552</v>
      </c>
      <c r="K467" s="7" t="n">
        <v>137.5538361749444</v>
      </c>
      <c r="L467" s="7" t="n">
        <v>157.571780416436</v>
      </c>
      <c r="M467" s="7" t="n">
        <v>158.2148659919746</v>
      </c>
      <c r="N467" s="7" t="n">
        <v>160.2697426648631</v>
      </c>
      <c r="O467" s="8">
        <f>N467*$B$2/100</f>
        <v/>
      </c>
    </row>
    <row r="468">
      <c r="A468" s="6" t="n">
        <v>46238.4690959838</v>
      </c>
      <c r="B468" s="7" t="n">
        <v>160.0794903707585</v>
      </c>
      <c r="C468" s="7" t="n">
        <v>156.7169009841334</v>
      </c>
      <c r="D468" s="7" t="n">
        <v>157.7147590411345</v>
      </c>
      <c r="E468" s="7" t="n">
        <v>162.9190209780465</v>
      </c>
      <c r="F468" s="7" t="n">
        <v>164.0582171667735</v>
      </c>
      <c r="G468" s="7" t="n">
        <v>164.0331297240103</v>
      </c>
      <c r="H468" s="7" t="n">
        <v>161.481407974806</v>
      </c>
      <c r="I468" s="7" t="n">
        <v>162.179331623102</v>
      </c>
      <c r="J468" s="7" t="n">
        <v>161.1309574619434</v>
      </c>
      <c r="K468" s="7" t="n">
        <v>156.1485683414371</v>
      </c>
      <c r="L468" s="7" t="n">
        <v>144.4554141837118</v>
      </c>
      <c r="M468" s="7" t="n">
        <v>140.0974487009441</v>
      </c>
      <c r="N468" s="7" t="n">
        <v>161.1774707300276</v>
      </c>
      <c r="O468" s="8">
        <f>N468*$B$2/100</f>
        <v/>
      </c>
    </row>
    <row r="469">
      <c r="A469" s="6" t="n">
        <v>46238.46910775463</v>
      </c>
      <c r="B469" s="7" t="n">
        <v>157.9709664565674</v>
      </c>
      <c r="C469" s="7" t="n">
        <v>156.7878191315335</v>
      </c>
      <c r="D469" s="7" t="n">
        <v>142.3585723203466</v>
      </c>
      <c r="E469" s="7" t="n">
        <v>133.0526680526681</v>
      </c>
      <c r="F469" s="7" t="n">
        <v>152.9663613910078</v>
      </c>
      <c r="G469" s="7" t="n">
        <v>156.1574564180995</v>
      </c>
      <c r="H469" s="7" t="n">
        <v>162.6005643742132</v>
      </c>
      <c r="I469" s="7" t="n">
        <v>162.2952940974782</v>
      </c>
      <c r="J469" s="7" t="n">
        <v>159.8035441934781</v>
      </c>
      <c r="K469" s="7" t="n">
        <v>156.4392251577287</v>
      </c>
      <c r="L469" s="7" t="n">
        <v>145.2336885451156</v>
      </c>
      <c r="M469" s="7" t="n">
        <v>133.2957333333333</v>
      </c>
      <c r="N469" s="7" t="n">
        <v>159.0527339122763</v>
      </c>
      <c r="O469" s="8">
        <f>N469*$B$2/100</f>
        <v/>
      </c>
    </row>
    <row r="470">
      <c r="A470" s="6" t="n">
        <v>46238.46911947917</v>
      </c>
      <c r="B470" s="7" t="n">
        <v>152.804590769307</v>
      </c>
      <c r="C470" s="7" t="n">
        <v>151.5017667486762</v>
      </c>
      <c r="D470" s="7" t="n">
        <v>151.0012455128627</v>
      </c>
      <c r="E470" s="7" t="n">
        <v>151.1397110477674</v>
      </c>
      <c r="F470" s="7" t="n">
        <v>151.5643356577326</v>
      </c>
      <c r="G470" s="7" t="n">
        <v>151.4803269744243</v>
      </c>
      <c r="H470" s="7" t="n">
        <v>152.0575555192404</v>
      </c>
      <c r="I470" s="7" t="n">
        <v>152.0821776809756</v>
      </c>
      <c r="J470" s="7" t="n">
        <v>151.755696509373</v>
      </c>
      <c r="K470" s="7" t="n">
        <v>152.5012593081775</v>
      </c>
      <c r="L470" s="7" t="n">
        <v>151.9433030649828</v>
      </c>
      <c r="M470" s="7" t="n">
        <v>152.8534342161647</v>
      </c>
      <c r="N470" s="7" t="n">
        <v>151.9191132707151</v>
      </c>
      <c r="O470" s="8">
        <f>N470*$B$2/100</f>
        <v/>
      </c>
    </row>
    <row r="471">
      <c r="A471" s="6" t="n">
        <v>46238.46913122686</v>
      </c>
      <c r="B471" s="7" t="n">
        <v>163.9438896705465</v>
      </c>
      <c r="C471" s="7" t="n">
        <v>154.4219735343778</v>
      </c>
      <c r="D471" s="7" t="n">
        <v>159.8039879420753</v>
      </c>
      <c r="E471" s="7" t="n">
        <v>153.6422506835516</v>
      </c>
      <c r="F471" s="7" t="n">
        <v>155.7013902681231</v>
      </c>
      <c r="G471" s="7" t="n">
        <v>158.0505367829372</v>
      </c>
      <c r="H471" s="7" t="n">
        <v>157.6752576964656</v>
      </c>
      <c r="I471" s="7" t="n">
        <v>160.1782176085458</v>
      </c>
      <c r="J471" s="7" t="n">
        <v>162.0073681750915</v>
      </c>
      <c r="K471" s="7" t="n">
        <v>161.0465166293471</v>
      </c>
      <c r="L471" s="7" t="n">
        <v>156.6503472222222</v>
      </c>
      <c r="M471" s="7" t="n">
        <v>153.4054105771761</v>
      </c>
      <c r="N471" s="7" t="n">
        <v>159.6140309314223</v>
      </c>
      <c r="O471" s="8">
        <f>N471*$B$2/100</f>
        <v/>
      </c>
    </row>
    <row r="472">
      <c r="A472" s="6" t="n">
        <v>46238.46914295139</v>
      </c>
      <c r="B472" s="7" t="n">
        <v>158.3592599150142</v>
      </c>
      <c r="C472" s="7" t="n">
        <v>142.0250501934609</v>
      </c>
      <c r="D472" s="7" t="n">
        <v>159.8107305598581</v>
      </c>
      <c r="E472" s="7" t="n">
        <v>143.9535438596491</v>
      </c>
      <c r="F472" s="7" t="n">
        <v>158.4665679098408</v>
      </c>
      <c r="G472" s="7" t="n">
        <v>163.19632991148</v>
      </c>
      <c r="H472" s="7" t="n">
        <v>161.0587180668249</v>
      </c>
      <c r="I472" s="7" t="n">
        <v>161.1085275192104</v>
      </c>
      <c r="J472" s="7" t="n">
        <v>162.061224337967</v>
      </c>
      <c r="K472" s="7" t="n">
        <v>161.4082802292493</v>
      </c>
      <c r="L472" s="7" t="n">
        <v>158.581314337156</v>
      </c>
      <c r="M472" s="7" t="n">
        <v>160.8608294429094</v>
      </c>
      <c r="N472" s="7" t="n">
        <v>159.6537805953231</v>
      </c>
      <c r="O472" s="8">
        <f>N472*$B$2/100</f>
        <v/>
      </c>
    </row>
    <row r="473">
      <c r="A473" s="6" t="n">
        <v>46238.46915469907</v>
      </c>
      <c r="B473" s="7" t="n">
        <v>163.3475382840304</v>
      </c>
      <c r="C473" s="7" t="n">
        <v>160.3059950357963</v>
      </c>
      <c r="D473" s="7" t="n">
        <v>159.2319061637254</v>
      </c>
      <c r="E473" s="7" t="n">
        <v>161.5210884899006</v>
      </c>
      <c r="F473" s="7" t="n">
        <v>159.8848078484735</v>
      </c>
      <c r="G473" s="7" t="n">
        <v>151.6163939634631</v>
      </c>
      <c r="H473" s="7" t="n">
        <v>160.3464840675199</v>
      </c>
      <c r="I473" s="7" t="n">
        <v>161.8648219282022</v>
      </c>
      <c r="J473" s="7" t="n">
        <v>161.6540347100767</v>
      </c>
      <c r="K473" s="7" t="n">
        <v>162.7479167654169</v>
      </c>
      <c r="L473" s="7" t="n">
        <v>153.8458872907052</v>
      </c>
      <c r="M473" s="7" t="n">
        <v>156.1092725362136</v>
      </c>
      <c r="N473" s="7" t="n">
        <v>160.4548334405781</v>
      </c>
      <c r="O473" s="8">
        <f>N473*$B$2/100</f>
        <v/>
      </c>
    </row>
    <row r="474">
      <c r="A474" s="6" t="n">
        <v>46238.46916642361</v>
      </c>
      <c r="B474" s="7" t="n">
        <v>164.6224943839641</v>
      </c>
      <c r="C474" s="7" t="n">
        <v>160.4092632729971</v>
      </c>
      <c r="D474" s="7" t="n">
        <v>161.9386360530272</v>
      </c>
      <c r="E474" s="7" t="n">
        <v>133.6471828511187</v>
      </c>
      <c r="F474" s="7" t="n">
        <v>151.0287617809555</v>
      </c>
      <c r="G474" s="7" t="n">
        <v>151.4270777066132</v>
      </c>
      <c r="H474" s="7" t="n">
        <v>163.2723467794846</v>
      </c>
      <c r="I474" s="7" t="n">
        <v>162.6247029180285</v>
      </c>
      <c r="J474" s="7" t="n">
        <v>157.90296558927</v>
      </c>
      <c r="K474" s="7" t="n">
        <v>144.0861337016009</v>
      </c>
      <c r="L474" s="7" t="n">
        <v>146.1745168576926</v>
      </c>
      <c r="M474" s="7" t="n">
        <v>152.8175645088275</v>
      </c>
      <c r="N474" s="7" t="n">
        <v>160.9676055499315</v>
      </c>
      <c r="O474" s="8">
        <f>N474*$B$2/100</f>
        <v/>
      </c>
    </row>
    <row r="475">
      <c r="A475" s="6" t="n">
        <v>46238.4691781713</v>
      </c>
      <c r="B475" s="7" t="n">
        <v>163.7422303911297</v>
      </c>
      <c r="C475" s="7" t="n">
        <v>159.1128133324847</v>
      </c>
      <c r="D475" s="7" t="n">
        <v>154.5402099698994</v>
      </c>
      <c r="E475" s="7" t="n">
        <v>153.9936897929044</v>
      </c>
      <c r="F475" s="7" t="n">
        <v>141.7723783110254</v>
      </c>
      <c r="G475" s="7" t="n">
        <v>140.9040993904425</v>
      </c>
      <c r="H475" s="7" t="n">
        <v>161.2626743418096</v>
      </c>
      <c r="I475" s="7" t="n">
        <v>159.6472948511665</v>
      </c>
      <c r="J475" s="7" t="n">
        <v>157.1843260689415</v>
      </c>
      <c r="K475" s="7" t="n">
        <v>157.9998619420157</v>
      </c>
      <c r="L475" s="7" t="n">
        <v>161.8755344583312</v>
      </c>
      <c r="M475" s="7" t="n">
        <v>158.5406649616368</v>
      </c>
      <c r="N475" s="7" t="n">
        <v>159.4815710460115</v>
      </c>
      <c r="O475" s="8">
        <f>N475*$B$2/100</f>
        <v/>
      </c>
    </row>
    <row r="476">
      <c r="A476" s="6" t="n">
        <v>46238.46918990741</v>
      </c>
      <c r="B476" s="7" t="n">
        <v>162.7069919330965</v>
      </c>
      <c r="C476" s="7" t="n">
        <v>160.8003589878902</v>
      </c>
      <c r="D476" s="7" t="n">
        <v>164.2015797909552</v>
      </c>
      <c r="E476" s="7" t="n">
        <v>161.3948888340883</v>
      </c>
      <c r="F476" s="7" t="n">
        <v>142.0631890158348</v>
      </c>
      <c r="G476" s="7" t="n">
        <v>131.1816498472364</v>
      </c>
      <c r="H476" s="7" t="n">
        <v>161.5106306448571</v>
      </c>
      <c r="I476" s="7" t="n">
        <v>162.2927255373658</v>
      </c>
      <c r="J476" s="7" t="n">
        <v>157.0905354274982</v>
      </c>
      <c r="K476" s="7" t="n">
        <v>147.2196806966618</v>
      </c>
      <c r="L476" s="7" t="n">
        <v>144.5529574744973</v>
      </c>
      <c r="M476" s="7" t="n">
        <v>152.4653779030742</v>
      </c>
      <c r="N476" s="7" t="n">
        <v>160.7604321843804</v>
      </c>
      <c r="O476" s="8">
        <f>N476*$B$2/100</f>
        <v/>
      </c>
    </row>
    <row r="477">
      <c r="A477" s="6" t="n">
        <v>46238.46920164352</v>
      </c>
      <c r="B477" s="7" t="n">
        <v>162.6789404291023</v>
      </c>
      <c r="C477" s="7" t="n">
        <v>159.2816391306083</v>
      </c>
      <c r="D477" s="7" t="n">
        <v>160.9182902739668</v>
      </c>
      <c r="E477" s="7" t="n">
        <v>147.0078611536498</v>
      </c>
      <c r="F477" s="7" t="n">
        <v>152.2170178805556</v>
      </c>
      <c r="G477" s="7" t="n">
        <v>151.5376986903929</v>
      </c>
      <c r="H477" s="7" t="n">
        <v>161.4102737146853</v>
      </c>
      <c r="I477" s="7" t="n">
        <v>163.8668330539969</v>
      </c>
      <c r="J477" s="7" t="n">
        <v>161.6806979435787</v>
      </c>
      <c r="K477" s="7" t="n">
        <v>162.4005329488314</v>
      </c>
      <c r="L477" s="7" t="n">
        <v>140.4500483091788</v>
      </c>
      <c r="M477" s="7" t="n">
        <v>105.9051922444956</v>
      </c>
      <c r="N477" s="7" t="n">
        <v>160.2849599741247</v>
      </c>
      <c r="O477" s="8">
        <f>N477*$B$2/100</f>
        <v/>
      </c>
    </row>
    <row r="478">
      <c r="A478" s="6" t="n">
        <v>46238.46921337963</v>
      </c>
      <c r="B478" s="7" t="n">
        <v>163.2683274313856</v>
      </c>
      <c r="C478" s="7" t="n">
        <v>159.8541264064918</v>
      </c>
      <c r="D478" s="7" t="n">
        <v>160.3313127869691</v>
      </c>
      <c r="E478" s="7" t="n">
        <v>161.4595975975197</v>
      </c>
      <c r="F478" s="7" t="n">
        <v>134.4733915806195</v>
      </c>
      <c r="G478" s="7" t="n">
        <v>141.8170104405399</v>
      </c>
      <c r="H478" s="7" t="n">
        <v>162.212185317413</v>
      </c>
      <c r="I478" s="7" t="n">
        <v>160.2175134954644</v>
      </c>
      <c r="J478" s="7" t="n">
        <v>163.3472448428022</v>
      </c>
      <c r="K478" s="7" t="n">
        <v>162.4633897432712</v>
      </c>
      <c r="L478" s="7" t="n">
        <v>155.319410496046</v>
      </c>
      <c r="M478" s="7" t="n">
        <v>160.9027460329611</v>
      </c>
      <c r="N478" s="7" t="n">
        <v>161.0099875050655</v>
      </c>
      <c r="O478" s="8">
        <f>N478*$B$2/100</f>
        <v/>
      </c>
    </row>
    <row r="479">
      <c r="A479" s="6" t="n">
        <v>46238.46922509259</v>
      </c>
      <c r="B479" s="7" t="n">
        <v>160.3627928505305</v>
      </c>
      <c r="C479" s="7" t="n">
        <v>160.9337573029796</v>
      </c>
      <c r="D479" s="7" t="n">
        <v>150.9774773106131</v>
      </c>
      <c r="E479" s="7" t="n">
        <v>153.9570030521777</v>
      </c>
      <c r="F479" s="7" t="n">
        <v>146.1790008109156</v>
      </c>
      <c r="G479" s="7" t="n">
        <v>135.6575409435346</v>
      </c>
      <c r="H479" s="7" t="n">
        <v>161.4280788999591</v>
      </c>
      <c r="I479" s="7" t="n">
        <v>162.8157542119206</v>
      </c>
      <c r="J479" s="7" t="n">
        <v>158.6726531629348</v>
      </c>
      <c r="K479" s="7" t="n">
        <v>132.1437820942175</v>
      </c>
      <c r="L479" s="7" t="n">
        <v>158.3288541322466</v>
      </c>
      <c r="M479" s="7" t="n">
        <v>153.6143912961921</v>
      </c>
      <c r="N479" s="7" t="n">
        <v>158.8214071117887</v>
      </c>
      <c r="O479" s="8">
        <f>N479*$B$2/100</f>
        <v/>
      </c>
    </row>
    <row r="480">
      <c r="A480" s="6" t="n">
        <v>46238.46923680555</v>
      </c>
      <c r="B480" s="7" t="n">
        <v>154.2706855376835</v>
      </c>
      <c r="C480" s="7" t="n">
        <v>150.5905192060664</v>
      </c>
      <c r="D480" s="7" t="n">
        <v>131.4521450035164</v>
      </c>
      <c r="E480" s="7" t="n">
        <v>155.4000109472071</v>
      </c>
      <c r="F480" s="7" t="n">
        <v>158.9241559763056</v>
      </c>
      <c r="G480" s="7" t="n">
        <v>158.9914342757777</v>
      </c>
      <c r="H480" s="7" t="n">
        <v>161.1524164259374</v>
      </c>
      <c r="I480" s="7" t="n">
        <v>162.2765849417051</v>
      </c>
      <c r="J480" s="7" t="n">
        <v>155.249525762625</v>
      </c>
      <c r="K480" s="7" t="n">
        <v>148.2915055653193</v>
      </c>
      <c r="L480" s="7" t="n">
        <v>161.4483060142821</v>
      </c>
      <c r="M480" s="7" t="n">
        <v>154.6449451439511</v>
      </c>
      <c r="N480" s="7" t="n">
        <v>158.7780028501629</v>
      </c>
      <c r="O480" s="8">
        <f>N480*$B$2/100</f>
        <v/>
      </c>
    </row>
    <row r="481">
      <c r="A481" s="6" t="n">
        <v>46238.46924856481</v>
      </c>
      <c r="B481" s="7" t="n">
        <v>158.9793568213994</v>
      </c>
      <c r="C481" s="7" t="n">
        <v>156.152389648461</v>
      </c>
      <c r="D481" s="7" t="n">
        <v>151.6380853060799</v>
      </c>
      <c r="E481" s="7" t="n">
        <v>159.7507642821986</v>
      </c>
      <c r="F481" s="7" t="n">
        <v>157.828158146695</v>
      </c>
      <c r="G481" s="7" t="n">
        <v>158.5934143487708</v>
      </c>
      <c r="H481" s="7" t="n">
        <v>149.7698764110549</v>
      </c>
      <c r="I481" s="7" t="n">
        <v>144.4017971014493</v>
      </c>
      <c r="J481" s="7" t="n">
        <v>153.7779848896468</v>
      </c>
      <c r="K481" s="7" t="n">
        <v>150.6309889995308</v>
      </c>
      <c r="L481" s="7" t="n">
        <v>161.9455719017176</v>
      </c>
      <c r="M481" s="7" t="n">
        <v>159.442657958522</v>
      </c>
      <c r="N481" s="7" t="n">
        <v>158.5616745425906</v>
      </c>
      <c r="O481" s="8">
        <f>N481*$B$2/100</f>
        <v/>
      </c>
    </row>
    <row r="482">
      <c r="A482" s="6" t="n">
        <v>46238.46926030092</v>
      </c>
      <c r="B482" s="7" t="n">
        <v>154.1523552684221</v>
      </c>
      <c r="C482" s="7" t="n">
        <v>160.6364157730042</v>
      </c>
      <c r="D482" s="7" t="n">
        <v>159.8241840113529</v>
      </c>
      <c r="E482" s="7" t="n">
        <v>150.0993004236871</v>
      </c>
      <c r="F482" s="7" t="n">
        <v>160.894538763904</v>
      </c>
      <c r="G482" s="7" t="n">
        <v>161.8656726014426</v>
      </c>
      <c r="H482" s="7" t="n">
        <v>159.4132503262288</v>
      </c>
      <c r="I482" s="7" t="n">
        <v>160.2050306545507</v>
      </c>
      <c r="J482" s="7" t="n">
        <v>160.689981533916</v>
      </c>
      <c r="K482" s="7" t="n">
        <v>157.3060263379749</v>
      </c>
      <c r="L482" s="7" t="n">
        <v>150.7986466475473</v>
      </c>
      <c r="M482" s="7" t="n">
        <v>156.4386175001032</v>
      </c>
      <c r="N482" s="7" t="n">
        <v>158.9991119079736</v>
      </c>
      <c r="O482" s="8">
        <f>N482*$B$2/100</f>
        <v/>
      </c>
    </row>
    <row r="483">
      <c r="A483" s="6" t="n">
        <v>46238.46927201389</v>
      </c>
      <c r="B483" s="7" t="n">
        <v>160.880840467709</v>
      </c>
      <c r="C483" s="7" t="n">
        <v>158.7826798997652</v>
      </c>
      <c r="D483" s="7" t="n">
        <v>149.282057269003</v>
      </c>
      <c r="E483" s="7" t="n">
        <v>149.3195925861164</v>
      </c>
      <c r="F483" s="7" t="n">
        <v>157.7671198261485</v>
      </c>
      <c r="G483" s="7" t="n">
        <v>161.9188196908467</v>
      </c>
      <c r="H483" s="7" t="n">
        <v>159.3739732510421</v>
      </c>
      <c r="I483" s="7" t="n">
        <v>161.5078154314293</v>
      </c>
      <c r="J483" s="7" t="n">
        <v>159.1632674364451</v>
      </c>
      <c r="K483" s="7" t="n">
        <v>160.888734880525</v>
      </c>
      <c r="L483" s="7" t="n">
        <v>159.0991712186853</v>
      </c>
      <c r="M483" s="7" t="n">
        <v>157.3170531865626</v>
      </c>
      <c r="N483" s="7" t="n">
        <v>159.4546784223041</v>
      </c>
      <c r="O483" s="8">
        <f>N483*$B$2/100</f>
        <v/>
      </c>
    </row>
    <row r="484">
      <c r="A484" s="6" t="n">
        <v>46238.46928372685</v>
      </c>
      <c r="B484" s="7" t="n">
        <v>157.3110973989734</v>
      </c>
      <c r="C484" s="7" t="n">
        <v>162.0180093648697</v>
      </c>
      <c r="D484" s="7" t="n">
        <v>154.4980563654033</v>
      </c>
      <c r="E484" s="7" t="n">
        <v>160.4349238823034</v>
      </c>
      <c r="F484" s="7" t="n">
        <v>161.6075575027382</v>
      </c>
      <c r="G484" s="7" t="n">
        <v>163.8112510476015</v>
      </c>
      <c r="H484" s="7" t="n">
        <v>161.9510254442296</v>
      </c>
      <c r="I484" s="7" t="n">
        <v>161.7269794419467</v>
      </c>
      <c r="J484" s="7" t="n">
        <v>151.3867241221234</v>
      </c>
      <c r="K484" s="7" t="n">
        <v>155.2447507637285</v>
      </c>
      <c r="L484" s="7" t="n">
        <v>156.1544033890929</v>
      </c>
      <c r="M484" s="7" t="n">
        <v>152.1760614005413</v>
      </c>
      <c r="N484" s="7" t="n">
        <v>159.8008978876098</v>
      </c>
      <c r="O484" s="8">
        <f>N484*$B$2/100</f>
        <v/>
      </c>
    </row>
    <row r="485">
      <c r="A485" s="6" t="n">
        <v>46238.46929533565</v>
      </c>
      <c r="B485" s="7" t="n">
        <v>151.1935365660682</v>
      </c>
      <c r="C485" s="7" t="n">
        <v>153.6547842558405</v>
      </c>
      <c r="D485" s="7" t="n">
        <v>152.4629021533425</v>
      </c>
      <c r="E485" s="7" t="n">
        <v>153.4972967752273</v>
      </c>
      <c r="F485" s="7" t="n">
        <v>153.0061363971941</v>
      </c>
      <c r="G485" s="7" t="n">
        <v>153.372873580979</v>
      </c>
      <c r="H485" s="7" t="n">
        <v>152.655963591927</v>
      </c>
      <c r="I485" s="7" t="n">
        <v>152.1944124546812</v>
      </c>
      <c r="J485" s="7" t="n">
        <v>152.4056559730811</v>
      </c>
      <c r="K485" s="7" t="n">
        <v>151.7849331713244</v>
      </c>
      <c r="L485" s="7" t="n">
        <v>151.9617219237321</v>
      </c>
      <c r="M485" s="7" t="n">
        <v>152.1659220070787</v>
      </c>
      <c r="N485" s="7" t="n">
        <v>152.5919801053774</v>
      </c>
      <c r="O485" s="8">
        <f>N485*$B$2/100</f>
        <v/>
      </c>
    </row>
    <row r="486">
      <c r="A486" s="6" t="n">
        <v>46238.46930707176</v>
      </c>
      <c r="B486" s="7" t="n">
        <v>146.094296388002</v>
      </c>
      <c r="C486" s="7" t="n">
        <v>164.1644731350344</v>
      </c>
      <c r="D486" s="7" t="n">
        <v>162.4233215804587</v>
      </c>
      <c r="E486" s="7" t="n">
        <v>145.0014010721248</v>
      </c>
      <c r="F486" s="7" t="n">
        <v>159.4579120879121</v>
      </c>
      <c r="G486" s="7" t="n">
        <v>161.245824025606</v>
      </c>
      <c r="H486" s="7" t="n">
        <v>161.9994501436851</v>
      </c>
      <c r="I486" s="7" t="n">
        <v>162.6686333117709</v>
      </c>
      <c r="J486" s="7" t="n">
        <v>159.4192343169856</v>
      </c>
      <c r="K486" s="7" t="n">
        <v>159.5175716362126</v>
      </c>
      <c r="L486" s="7" t="n">
        <v>155.0778873169191</v>
      </c>
      <c r="M486" s="7" t="n">
        <v>160.0247422458512</v>
      </c>
      <c r="N486" s="7" t="n">
        <v>160.1283560648592</v>
      </c>
      <c r="O486" s="8">
        <f>N486*$B$2/100</f>
        <v/>
      </c>
    </row>
    <row r="487">
      <c r="A487" s="6" t="n">
        <v>46238.46931881944</v>
      </c>
      <c r="B487" s="7" t="n">
        <v>158.2887174595166</v>
      </c>
      <c r="C487" s="7" t="n">
        <v>162.8096951987266</v>
      </c>
      <c r="D487" s="7" t="n">
        <v>160.3703193420272</v>
      </c>
      <c r="E487" s="7" t="n">
        <v>143.1986072621332</v>
      </c>
      <c r="F487" s="7" t="n">
        <v>163.9150481149179</v>
      </c>
      <c r="G487" s="7" t="n">
        <v>164.4920915080349</v>
      </c>
      <c r="H487" s="7" t="n">
        <v>159.0883860574107</v>
      </c>
      <c r="I487" s="7" t="n">
        <v>158.4548553667218</v>
      </c>
      <c r="J487" s="7" t="n">
        <v>148.5382994186047</v>
      </c>
      <c r="K487" s="7" t="n">
        <v>138.8717560268739</v>
      </c>
      <c r="L487" s="7" t="n">
        <v>148.2073491525424</v>
      </c>
      <c r="M487" s="7" t="n">
        <v>108.0179155900086</v>
      </c>
      <c r="N487" s="7" t="n">
        <v>160.3338216980441</v>
      </c>
      <c r="O487" s="8">
        <f>N487*$B$2/100</f>
        <v/>
      </c>
    </row>
    <row r="488">
      <c r="A488" s="6" t="n">
        <v>46238.46933054398</v>
      </c>
      <c r="B488" s="7" t="n">
        <v>141.0189955133792</v>
      </c>
      <c r="C488" s="7" t="n">
        <v>164.3241157285048</v>
      </c>
      <c r="D488" s="7" t="n">
        <v>155.6641633098928</v>
      </c>
      <c r="E488" s="7" t="n">
        <v>152.2785063069814</v>
      </c>
      <c r="F488" s="7" t="n">
        <v>163.1378516018976</v>
      </c>
      <c r="G488" s="7" t="n">
        <v>163.9918076522836</v>
      </c>
      <c r="H488" s="7" t="n">
        <v>159.8763253265908</v>
      </c>
      <c r="I488" s="7" t="n">
        <v>162.0982709417492</v>
      </c>
      <c r="J488" s="7" t="n">
        <v>160.8401152605444</v>
      </c>
      <c r="K488" s="7" t="n">
        <v>135.9153906047236</v>
      </c>
      <c r="L488" s="7" t="n">
        <v>158.0327349900408</v>
      </c>
      <c r="M488" s="7" t="n">
        <v>153.2901861032523</v>
      </c>
      <c r="N488" s="7" t="n">
        <v>160.6700763345786</v>
      </c>
      <c r="O488" s="8">
        <f>N488*$B$2/100</f>
        <v/>
      </c>
    </row>
    <row r="489">
      <c r="A489" s="6" t="n">
        <v>46238.4693421412</v>
      </c>
      <c r="B489" s="7" t="n">
        <v>157.7000487118063</v>
      </c>
      <c r="C489" s="7" t="n">
        <v>163.5353697889794</v>
      </c>
      <c r="D489" s="7" t="n">
        <v>156.5494288141395</v>
      </c>
      <c r="E489" s="7" t="n">
        <v>151.3790316938361</v>
      </c>
      <c r="F489" s="7" t="n">
        <v>163.0029887063927</v>
      </c>
      <c r="G489" s="7" t="n">
        <v>162.9959469631174</v>
      </c>
      <c r="H489" s="7" t="n">
        <v>152.9581831769493</v>
      </c>
      <c r="I489" s="7" t="n">
        <v>139.5002251576103</v>
      </c>
      <c r="J489" s="7" t="n">
        <v>157.4498434281496</v>
      </c>
      <c r="K489" s="7" t="n">
        <v>159.1366905477877</v>
      </c>
      <c r="L489" s="7" t="n">
        <v>160.0987376014427</v>
      </c>
      <c r="M489" s="7" t="n">
        <v>159.9013097084489</v>
      </c>
      <c r="N489" s="7" t="n">
        <v>160.1177509201233</v>
      </c>
      <c r="O489" s="8">
        <f>N489*$B$2/100</f>
        <v/>
      </c>
    </row>
    <row r="490">
      <c r="A490" s="6" t="n">
        <v>46238.46935392361</v>
      </c>
      <c r="B490" s="7" t="n">
        <v>146.7830927406792</v>
      </c>
      <c r="C490" s="7" t="n">
        <v>163.5466659068676</v>
      </c>
      <c r="D490" s="7" t="n">
        <v>162.5474328057175</v>
      </c>
      <c r="E490" s="7" t="n">
        <v>161.7450187196458</v>
      </c>
      <c r="F490" s="7" t="n">
        <v>163.182188678539</v>
      </c>
      <c r="G490" s="7" t="n">
        <v>164.3986547955844</v>
      </c>
      <c r="H490" s="7" t="n">
        <v>155.6710342623585</v>
      </c>
      <c r="I490" s="7" t="n">
        <v>154.9765701615998</v>
      </c>
      <c r="J490" s="7" t="n">
        <v>158.5215751230187</v>
      </c>
      <c r="K490" s="7" t="n">
        <v>159.9666658632408</v>
      </c>
      <c r="L490" s="7" t="n">
        <v>147.5945945945946</v>
      </c>
      <c r="M490" s="7" t="n">
        <v>132.6449396635251</v>
      </c>
      <c r="N490" s="7" t="n">
        <v>160.739668241936</v>
      </c>
      <c r="O490" s="8">
        <f>N490*$B$2/100</f>
        <v/>
      </c>
    </row>
    <row r="491">
      <c r="A491" s="6" t="n">
        <v>46238.46936564815</v>
      </c>
      <c r="B491" s="7" t="n">
        <v>150.0861593728113</v>
      </c>
      <c r="C491" s="7" t="n">
        <v>164.8724089508143</v>
      </c>
      <c r="D491" s="7" t="n">
        <v>132.5401989225031</v>
      </c>
      <c r="E491" s="7" t="n">
        <v>139.3556653491436</v>
      </c>
      <c r="F491" s="7" t="n">
        <v>163.7665751552847</v>
      </c>
      <c r="G491" s="7" t="n">
        <v>164.0175379989978</v>
      </c>
      <c r="H491" s="7" t="n">
        <v>156.9784660276654</v>
      </c>
      <c r="I491" s="7" t="n">
        <v>137.3716967377437</v>
      </c>
      <c r="J491" s="7" t="n">
        <v>159.9784958001582</v>
      </c>
      <c r="K491" s="7" t="n">
        <v>159.1500752961273</v>
      </c>
      <c r="L491" s="7" t="n">
        <v>160.526833199033</v>
      </c>
      <c r="M491" s="7" t="n">
        <v>124.8936642173853</v>
      </c>
      <c r="N491" s="7" t="n">
        <v>161.0866810507209</v>
      </c>
      <c r="O491" s="8">
        <f>N491*$B$2/100</f>
        <v/>
      </c>
    </row>
    <row r="492">
      <c r="A492" s="6" t="n">
        <v>46238.46937726852</v>
      </c>
      <c r="B492" s="7" t="n">
        <v>159.9139539032975</v>
      </c>
      <c r="C492" s="7" t="n">
        <v>163.505983345779</v>
      </c>
      <c r="D492" s="7" t="n">
        <v>157.3064087320143</v>
      </c>
      <c r="E492" s="7" t="n">
        <v>162.0712177989006</v>
      </c>
      <c r="F492" s="7" t="n">
        <v>161.9205703560882</v>
      </c>
      <c r="G492" s="7" t="n">
        <v>161.7879497466095</v>
      </c>
      <c r="H492" s="7" t="n">
        <v>158.4517130046889</v>
      </c>
      <c r="I492" s="7" t="n">
        <v>150.7795368710182</v>
      </c>
      <c r="J492" s="7" t="n">
        <v>160.712328142605</v>
      </c>
      <c r="K492" s="7" t="n">
        <v>160.1106199976108</v>
      </c>
      <c r="L492" s="7" t="n">
        <v>157.9235597515017</v>
      </c>
      <c r="M492" s="7" t="n">
        <v>155.9297629499561</v>
      </c>
      <c r="N492" s="7" t="n">
        <v>160.4712531999561</v>
      </c>
      <c r="O492" s="8">
        <f>N492*$B$2/100</f>
        <v/>
      </c>
    </row>
    <row r="493">
      <c r="A493" s="6" t="n">
        <v>46238.46938899306</v>
      </c>
      <c r="B493" s="7" t="n">
        <v>151.8364996690024</v>
      </c>
      <c r="C493" s="7" t="n">
        <v>163.0575875036158</v>
      </c>
      <c r="D493" s="7" t="n">
        <v>161.6524841195423</v>
      </c>
      <c r="E493" s="7" t="n">
        <v>149.4377007858449</v>
      </c>
      <c r="F493" s="7" t="n">
        <v>160.4025985832797</v>
      </c>
      <c r="G493" s="7" t="n">
        <v>160.4617363668466</v>
      </c>
      <c r="H493" s="7" t="n">
        <v>160.8394593193844</v>
      </c>
      <c r="I493" s="7" t="n">
        <v>162.1360390398447</v>
      </c>
      <c r="J493" s="7" t="n">
        <v>161.5201884072727</v>
      </c>
      <c r="K493" s="7" t="n">
        <v>161.5078415452331</v>
      </c>
      <c r="L493" s="7" t="n">
        <v>152.2438563747056</v>
      </c>
      <c r="M493" s="7" t="n">
        <v>130.1468988030468</v>
      </c>
      <c r="N493" s="7" t="n">
        <v>159.7594278489015</v>
      </c>
      <c r="O493" s="8">
        <f>N493*$B$2/100</f>
        <v/>
      </c>
    </row>
    <row r="494">
      <c r="A494" s="6" t="n">
        <v>46238.46940075231</v>
      </c>
      <c r="B494" s="7" t="n">
        <v>151.6270283339068</v>
      </c>
      <c r="C494" s="7" t="n">
        <v>163.9516100297384</v>
      </c>
      <c r="D494" s="7" t="n">
        <v>161.5984166666667</v>
      </c>
      <c r="E494" s="7" t="n">
        <v>159.9599460978267</v>
      </c>
      <c r="F494" s="7" t="n">
        <v>163.1191667475865</v>
      </c>
      <c r="G494" s="7" t="n">
        <v>162.7351702052759</v>
      </c>
      <c r="H494" s="7" t="n">
        <v>158.6471462047033</v>
      </c>
      <c r="I494" s="7" t="n">
        <v>158.8418740849195</v>
      </c>
      <c r="J494" s="7" t="n">
        <v>160.5698711014723</v>
      </c>
      <c r="K494" s="7" t="n">
        <v>147.2077483099324</v>
      </c>
      <c r="L494" s="7" t="n">
        <v>129.1680558379074</v>
      </c>
      <c r="M494" s="7" t="n">
        <v>127.341135371179</v>
      </c>
      <c r="N494" s="7" t="n">
        <v>160.3473818859785</v>
      </c>
      <c r="O494" s="8">
        <f>N494*$B$2/100</f>
        <v/>
      </c>
    </row>
    <row r="495">
      <c r="A495" s="6" t="n">
        <v>46238.46941253472</v>
      </c>
      <c r="B495" s="7" t="n">
        <v>148.7995162737759</v>
      </c>
      <c r="C495" s="7" t="n">
        <v>163.6248463213402</v>
      </c>
      <c r="D495" s="7" t="n">
        <v>154.316740420939</v>
      </c>
      <c r="E495" s="7" t="n">
        <v>147.4518264625787</v>
      </c>
      <c r="F495" s="7" t="n">
        <v>163.1484194744076</v>
      </c>
      <c r="G495" s="7" t="n">
        <v>163.4249408242284</v>
      </c>
      <c r="H495" s="7" t="n">
        <v>161.4681332768192</v>
      </c>
      <c r="I495" s="7" t="n">
        <v>159.7689931611399</v>
      </c>
      <c r="J495" s="7" t="n">
        <v>160.7710909289857</v>
      </c>
      <c r="K495" s="7" t="n">
        <v>159.2129312638581</v>
      </c>
      <c r="L495" s="7" t="n">
        <v>156.9364419364419</v>
      </c>
      <c r="M495" s="7" t="n">
        <v>150.9889458169568</v>
      </c>
      <c r="N495" s="7" t="n">
        <v>160.4117602536393</v>
      </c>
      <c r="O495" s="8">
        <f>N495*$B$2/100</f>
        <v/>
      </c>
    </row>
    <row r="496">
      <c r="A496" s="6" t="n">
        <v>46238.4694242824</v>
      </c>
      <c r="B496" s="7" t="n">
        <v>158.1155844957413</v>
      </c>
      <c r="C496" s="7" t="n">
        <v>164.4363271986591</v>
      </c>
      <c r="D496" s="7" t="n">
        <v>160.2798363979585</v>
      </c>
      <c r="E496" s="7" t="n">
        <v>161.4709673686647</v>
      </c>
      <c r="F496" s="7" t="n">
        <v>159.9178951324939</v>
      </c>
      <c r="G496" s="7" t="n">
        <v>160.3177045151831</v>
      </c>
      <c r="H496" s="7" t="n">
        <v>159.6519086021505</v>
      </c>
      <c r="I496" s="7" t="n">
        <v>160.4704254606823</v>
      </c>
      <c r="J496" s="7" t="n">
        <v>146.6640724217656</v>
      </c>
      <c r="K496" s="7" t="n">
        <v>144.9715310344828</v>
      </c>
      <c r="L496" s="7" t="n">
        <v>157.5775991697905</v>
      </c>
      <c r="M496" s="7" t="n">
        <v>154.4301670274023</v>
      </c>
      <c r="N496" s="7" t="n">
        <v>160.1630233206965</v>
      </c>
      <c r="O496" s="8">
        <f>N496*$B$2/100</f>
        <v/>
      </c>
    </row>
    <row r="497">
      <c r="A497" s="6" t="n">
        <v>46238.46943601852</v>
      </c>
      <c r="B497" s="7" t="n">
        <v>142.6148766829824</v>
      </c>
      <c r="C497" s="7" t="n">
        <v>164.1839387730178</v>
      </c>
      <c r="D497" s="7" t="n">
        <v>146.3190963642782</v>
      </c>
      <c r="E497" s="7" t="n">
        <v>140.8119551681195</v>
      </c>
      <c r="F497" s="7" t="n">
        <v>145.3379784715709</v>
      </c>
      <c r="G497" s="7" t="n">
        <v>153.5743539529141</v>
      </c>
      <c r="H497" s="7" t="n">
        <v>159.0377555879425</v>
      </c>
      <c r="I497" s="7" t="n">
        <v>161.3265136853746</v>
      </c>
      <c r="J497" s="7" t="n">
        <v>162.453365014285</v>
      </c>
      <c r="K497" s="7" t="n">
        <v>162.5499444583796</v>
      </c>
      <c r="L497" s="7" t="n">
        <v>159.5400519007999</v>
      </c>
      <c r="M497" s="7" t="n">
        <v>158.6236804977137</v>
      </c>
      <c r="N497" s="7" t="n">
        <v>159.361308963849</v>
      </c>
      <c r="O497" s="8">
        <f>N497*$B$2/100</f>
        <v/>
      </c>
    </row>
    <row r="498">
      <c r="A498" s="6" t="n">
        <v>46238.46944773148</v>
      </c>
      <c r="B498" s="7" t="n">
        <v>155.9549456136361</v>
      </c>
      <c r="C498" s="7" t="n">
        <v>164.1241345006686</v>
      </c>
      <c r="D498" s="7" t="n">
        <v>161.1469697219611</v>
      </c>
      <c r="E498" s="7" t="n">
        <v>158.8085446110692</v>
      </c>
      <c r="F498" s="7" t="n">
        <v>162.7610136619735</v>
      </c>
      <c r="G498" s="7" t="n">
        <v>164.1277474085331</v>
      </c>
      <c r="H498" s="7" t="n">
        <v>155.7035709758824</v>
      </c>
      <c r="I498" s="7" t="n">
        <v>154.1633430332078</v>
      </c>
      <c r="J498" s="7" t="n">
        <v>152.7262837758802</v>
      </c>
      <c r="K498" s="7" t="n">
        <v>149.0297719702793</v>
      </c>
      <c r="L498" s="7" t="n">
        <v>142.3236859050395</v>
      </c>
      <c r="M498" s="7" t="n">
        <v>150.7691889873375</v>
      </c>
      <c r="N498" s="7" t="n">
        <v>160.275065185259</v>
      </c>
      <c r="O498" s="8">
        <f>N498*$B$2/100</f>
        <v/>
      </c>
    </row>
    <row r="499">
      <c r="A499" s="6" t="n">
        <v>46238.46945951389</v>
      </c>
      <c r="B499" s="7" t="n">
        <v>160.2895294303277</v>
      </c>
      <c r="C499" s="7" t="n">
        <v>162.0517746951233</v>
      </c>
      <c r="D499" s="7" t="n">
        <v>157.3377465371098</v>
      </c>
      <c r="E499" s="7" t="n">
        <v>158.916748290815</v>
      </c>
      <c r="F499" s="7" t="n">
        <v>159.6815137212786</v>
      </c>
      <c r="G499" s="7" t="n">
        <v>159.8068894377079</v>
      </c>
      <c r="H499" s="7" t="n">
        <v>157.406389408548</v>
      </c>
      <c r="I499" s="7" t="n">
        <v>155.6696533518315</v>
      </c>
      <c r="J499" s="7" t="n">
        <v>153.9277374267289</v>
      </c>
      <c r="K499" s="7" t="n">
        <v>157.1141013132008</v>
      </c>
      <c r="L499" s="7" t="n">
        <v>150.2613703444394</v>
      </c>
      <c r="M499" s="7" t="n">
        <v>149.6090716661627</v>
      </c>
      <c r="N499" s="7" t="n">
        <v>158.2430298896192</v>
      </c>
      <c r="O499" s="8">
        <f>N499*$B$2/100</f>
        <v/>
      </c>
    </row>
    <row r="500">
      <c r="A500" s="6" t="n">
        <v>46238.46947122685</v>
      </c>
      <c r="B500" s="7" t="n">
        <v>150.1279097827864</v>
      </c>
      <c r="C500" s="7" t="n">
        <v>151.3676091230528</v>
      </c>
      <c r="D500" s="7" t="n">
        <v>152.5510086409174</v>
      </c>
      <c r="E500" s="7" t="n">
        <v>151.9463308672496</v>
      </c>
      <c r="F500" s="7" t="n">
        <v>151.6193768919691</v>
      </c>
      <c r="G500" s="7" t="n">
        <v>153.50174182809</v>
      </c>
      <c r="H500" s="7" t="n">
        <v>151.5995501493039</v>
      </c>
      <c r="I500" s="7" t="n">
        <v>151.3475018642804</v>
      </c>
      <c r="J500" s="7" t="n">
        <v>153.2949726760102</v>
      </c>
      <c r="K500" s="7" t="n">
        <v>151.194133842224</v>
      </c>
      <c r="L500" s="7" t="n">
        <v>151.000550036365</v>
      </c>
      <c r="M500" s="7" t="n">
        <v>150.8398955018233</v>
      </c>
      <c r="N500" s="7" t="n">
        <v>151.8252626405064</v>
      </c>
      <c r="O500" s="8">
        <f>N500*$B$2/100</f>
        <v/>
      </c>
    </row>
    <row r="501">
      <c r="A501" s="6" t="n">
        <v>46238.46948299769</v>
      </c>
      <c r="B501" s="7" t="n">
        <v>160.6509959412361</v>
      </c>
      <c r="C501" s="7" t="n">
        <v>148.0369261477046</v>
      </c>
      <c r="D501" s="7" t="n">
        <v>161.1911803732249</v>
      </c>
      <c r="E501" s="7" t="n">
        <v>130.4287929389313</v>
      </c>
      <c r="F501" s="7" t="n">
        <v>164.3745498630506</v>
      </c>
      <c r="G501" s="7" t="n">
        <v>159.7460347136252</v>
      </c>
      <c r="H501" s="7" t="n">
        <v>160.8141427673776</v>
      </c>
      <c r="I501" s="7" t="n">
        <v>162.4884489029684</v>
      </c>
      <c r="J501" s="7" t="n">
        <v>156.7769410732563</v>
      </c>
      <c r="K501" s="7" t="n">
        <v>158.5583658682028</v>
      </c>
      <c r="L501" s="7" t="n">
        <v>156.0441858515869</v>
      </c>
      <c r="M501" s="7" t="n">
        <v>152.669332604754</v>
      </c>
      <c r="N501" s="7" t="n">
        <v>160.232561815701</v>
      </c>
      <c r="O501" s="8">
        <f>N501*$B$2/100</f>
        <v/>
      </c>
    </row>
    <row r="502">
      <c r="A502" s="6" t="n">
        <v>46238.46949459491</v>
      </c>
      <c r="B502" s="7" t="n">
        <v>161.4075021363464</v>
      </c>
      <c r="C502" s="7" t="n">
        <v>157.3830565529623</v>
      </c>
      <c r="D502" s="7" t="n">
        <v>159.1275316570079</v>
      </c>
      <c r="E502" s="7" t="n">
        <v>163.1958506014672</v>
      </c>
      <c r="F502" s="7" t="n">
        <v>163.0362438948927</v>
      </c>
      <c r="G502" s="7" t="n">
        <v>155.9362130218334</v>
      </c>
      <c r="H502" s="7" t="n">
        <v>160.6283018867925</v>
      </c>
      <c r="I502" s="7" t="n">
        <v>160.6557262333382</v>
      </c>
      <c r="J502" s="7" t="n">
        <v>160.5321809537761</v>
      </c>
      <c r="K502" s="7" t="n">
        <v>160.0699795926642</v>
      </c>
      <c r="L502" s="7" t="n">
        <v>157.9607590107276</v>
      </c>
      <c r="M502" s="7" t="n">
        <v>159.1008979368017</v>
      </c>
      <c r="N502" s="7" t="n">
        <v>160.2690389696169</v>
      </c>
      <c r="O502" s="8">
        <f>N502*$B$2/100</f>
        <v/>
      </c>
    </row>
    <row r="503">
      <c r="A503" s="6" t="n">
        <v>46238.46950636574</v>
      </c>
      <c r="B503" s="7" t="n">
        <v>152.2228770467586</v>
      </c>
      <c r="C503" s="7" t="n">
        <v>162.8199644751856</v>
      </c>
      <c r="D503" s="7" t="n">
        <v>143.4120817843866</v>
      </c>
      <c r="E503" s="7" t="n">
        <v>154.6111805121799</v>
      </c>
      <c r="F503" s="7" t="n">
        <v>160.7629908468293</v>
      </c>
      <c r="G503" s="7" t="n">
        <v>155.8272380865631</v>
      </c>
      <c r="H503" s="7" t="n">
        <v>159.9621664421131</v>
      </c>
      <c r="I503" s="7" t="n">
        <v>162.4521080274623</v>
      </c>
      <c r="J503" s="7" t="n">
        <v>162.4992871127726</v>
      </c>
      <c r="K503" s="7" t="n">
        <v>159.5627173334169</v>
      </c>
      <c r="L503" s="7" t="n">
        <v>153.6252808591818</v>
      </c>
      <c r="M503" s="7" t="n">
        <v>148.421674451466</v>
      </c>
      <c r="N503" s="7" t="n">
        <v>159.346018735363</v>
      </c>
      <c r="O503" s="8">
        <f>N503*$B$2/100</f>
        <v/>
      </c>
    </row>
    <row r="504">
      <c r="A504" s="6" t="n">
        <v>46238.469518125</v>
      </c>
      <c r="B504" s="7" t="n">
        <v>158.0680358688549</v>
      </c>
      <c r="C504" s="7" t="n">
        <v>158.1981977791989</v>
      </c>
      <c r="D504" s="7" t="n">
        <v>156.0022504464952</v>
      </c>
      <c r="E504" s="7" t="n">
        <v>156.9222736159458</v>
      </c>
      <c r="F504" s="7" t="n">
        <v>159.8805887326921</v>
      </c>
      <c r="G504" s="7" t="n">
        <v>158.976622709368</v>
      </c>
      <c r="H504" s="7" t="n">
        <v>153.1921123394084</v>
      </c>
      <c r="I504" s="7" t="n">
        <v>156.8911721258036</v>
      </c>
      <c r="J504" s="7" t="n">
        <v>147.0441034549315</v>
      </c>
      <c r="K504" s="7" t="n">
        <v>150.1640563943856</v>
      </c>
      <c r="L504" s="7" t="n">
        <v>137.8329267266762</v>
      </c>
      <c r="M504" s="7" t="n">
        <v>153.929736870778</v>
      </c>
      <c r="N504" s="7" t="n">
        <v>156.166963457337</v>
      </c>
      <c r="O504" s="8">
        <f>N504*$B$2/100</f>
        <v/>
      </c>
    </row>
    <row r="505">
      <c r="A505" s="6" t="n">
        <v>46238.46952984954</v>
      </c>
      <c r="B505" s="7" t="n">
        <v>161.8415900960784</v>
      </c>
      <c r="C505" s="7" t="n">
        <v>159.6682348245089</v>
      </c>
      <c r="D505" s="7" t="n">
        <v>160.9564507921055</v>
      </c>
      <c r="E505" s="7" t="n">
        <v>153.0721266107412</v>
      </c>
      <c r="F505" s="7" t="n">
        <v>156.6295572007264</v>
      </c>
      <c r="G505" s="7" t="n">
        <v>157.5174519423159</v>
      </c>
      <c r="H505" s="7" t="n">
        <v>158.5227488102841</v>
      </c>
      <c r="I505" s="7" t="n">
        <v>162.8324803821222</v>
      </c>
      <c r="J505" s="7" t="n">
        <v>161.3395514066333</v>
      </c>
      <c r="K505" s="7" t="n">
        <v>161.166920621847</v>
      </c>
      <c r="L505" s="7" t="n">
        <v>154.3633375935731</v>
      </c>
      <c r="M505" s="7" t="n">
        <v>157.4254793423795</v>
      </c>
      <c r="N505" s="7" t="n">
        <v>160.1768280107245</v>
      </c>
      <c r="O505" s="8">
        <f>N505*$B$2/100</f>
        <v/>
      </c>
    </row>
    <row r="506">
      <c r="A506" s="6" t="n">
        <v>46238.4695415625</v>
      </c>
      <c r="B506" s="7" t="n">
        <v>157.0362519244358</v>
      </c>
      <c r="C506" s="7" t="n">
        <v>151.4019087663096</v>
      </c>
      <c r="D506" s="7" t="n">
        <v>144.6078165915528</v>
      </c>
      <c r="E506" s="7" t="n">
        <v>152.5788671452453</v>
      </c>
      <c r="F506" s="7" t="n">
        <v>156.5061854547587</v>
      </c>
      <c r="G506" s="7" t="n">
        <v>160.9041935023592</v>
      </c>
      <c r="H506" s="7" t="n">
        <v>152.2759145954454</v>
      </c>
      <c r="I506" s="7" t="n">
        <v>162.0153109702561</v>
      </c>
      <c r="J506" s="7" t="n">
        <v>158.6419529837251</v>
      </c>
      <c r="K506" s="7" t="n">
        <v>133.2592243186583</v>
      </c>
      <c r="L506" s="7" t="n">
        <v>155.6423152636534</v>
      </c>
      <c r="M506" s="7" t="n">
        <v>154.8724046595084</v>
      </c>
      <c r="N506" s="7" t="n">
        <v>156.9107947174616</v>
      </c>
      <c r="O506" s="8">
        <f>N506*$B$2/100</f>
        <v/>
      </c>
    </row>
    <row r="507">
      <c r="A507" s="6" t="n">
        <v>46238.46955331018</v>
      </c>
      <c r="B507" s="7" t="n">
        <v>162.6035434429057</v>
      </c>
      <c r="C507" s="7" t="n">
        <v>161.9794908355944</v>
      </c>
      <c r="D507" s="7" t="n">
        <v>156.9851545641266</v>
      </c>
      <c r="E507" s="7" t="n">
        <v>155.5580726799184</v>
      </c>
      <c r="F507" s="7" t="n">
        <v>156.3158661074622</v>
      </c>
      <c r="G507" s="7" t="n">
        <v>160.7558524409294</v>
      </c>
      <c r="H507" s="7" t="n">
        <v>160.9407503070105</v>
      </c>
      <c r="I507" s="7" t="n">
        <v>163.4161072014142</v>
      </c>
      <c r="J507" s="7" t="n">
        <v>158.9021750863558</v>
      </c>
      <c r="K507" s="7" t="n">
        <v>159.5925043475879</v>
      </c>
      <c r="L507" s="7" t="n">
        <v>141.1005582320104</v>
      </c>
      <c r="M507" s="7" t="n">
        <v>126.8551401869159</v>
      </c>
      <c r="N507" s="7" t="n">
        <v>160.4923983080998</v>
      </c>
      <c r="O507" s="8">
        <f>N507*$B$2/100</f>
        <v/>
      </c>
    </row>
    <row r="508">
      <c r="A508" s="6" t="n">
        <v>46238.46956503472</v>
      </c>
      <c r="B508" s="7" t="n">
        <v>160.0500904696154</v>
      </c>
      <c r="C508" s="7" t="n">
        <v>150.728198757764</v>
      </c>
      <c r="D508" s="7" t="n">
        <v>157.0324221867518</v>
      </c>
      <c r="E508" s="7" t="n">
        <v>156.4030384271671</v>
      </c>
      <c r="F508" s="7" t="n">
        <v>158.8340634473955</v>
      </c>
      <c r="G508" s="7" t="n">
        <v>160.4767489209219</v>
      </c>
      <c r="H508" s="7" t="n">
        <v>154.568506236032</v>
      </c>
      <c r="I508" s="7" t="n">
        <v>162.9049810654721</v>
      </c>
      <c r="J508" s="7" t="n">
        <v>151.3145990871313</v>
      </c>
      <c r="K508" s="7" t="n">
        <v>150.8791831738976</v>
      </c>
      <c r="L508" s="7" t="n">
        <v>151.9685517665603</v>
      </c>
      <c r="M508" s="7" t="n">
        <v>159.0249719637978</v>
      </c>
      <c r="N508" s="7" t="n">
        <v>158.139616595229</v>
      </c>
      <c r="O508" s="8">
        <f>N508*$B$2/100</f>
        <v/>
      </c>
    </row>
    <row r="509">
      <c r="A509" s="6" t="n">
        <v>46238.46957675926</v>
      </c>
      <c r="B509" s="7" t="n">
        <v>162.3996650097255</v>
      </c>
      <c r="C509" s="7" t="n">
        <v>159.214369435134</v>
      </c>
      <c r="D509" s="7" t="n">
        <v>146.913781915644</v>
      </c>
      <c r="E509" s="7" t="n">
        <v>155.0535940083649</v>
      </c>
      <c r="F509" s="7" t="n">
        <v>156.8457833482543</v>
      </c>
      <c r="G509" s="7" t="n">
        <v>161.6711717035286</v>
      </c>
      <c r="H509" s="7" t="n">
        <v>159.2020386475525</v>
      </c>
      <c r="I509" s="7" t="n">
        <v>163.6246918587778</v>
      </c>
      <c r="J509" s="7" t="n">
        <v>163.116103933488</v>
      </c>
      <c r="K509" s="7" t="n">
        <v>161.3810513402666</v>
      </c>
      <c r="L509" s="7" t="n">
        <v>149.7756905846462</v>
      </c>
      <c r="M509" s="7" t="n">
        <v>155.7348946135832</v>
      </c>
      <c r="N509" s="7" t="n">
        <v>160.6973400947232</v>
      </c>
      <c r="O509" s="8">
        <f>N509*$B$2/100</f>
        <v/>
      </c>
    </row>
    <row r="510">
      <c r="A510" s="6" t="n">
        <v>46238.46958848379</v>
      </c>
      <c r="B510" s="7" t="n">
        <v>160.8175695235155</v>
      </c>
      <c r="C510" s="7" t="n">
        <v>159.6980331055776</v>
      </c>
      <c r="D510" s="7" t="n">
        <v>152.6033789761145</v>
      </c>
      <c r="E510" s="7" t="n">
        <v>160.2409798109927</v>
      </c>
      <c r="F510" s="7" t="n">
        <v>154.367533498927</v>
      </c>
      <c r="G510" s="7" t="n">
        <v>157.8843651164709</v>
      </c>
      <c r="H510" s="7" t="n">
        <v>155.6949603208931</v>
      </c>
      <c r="I510" s="7" t="n">
        <v>162.034269955015</v>
      </c>
      <c r="J510" s="7" t="n">
        <v>152.1424955772782</v>
      </c>
      <c r="K510" s="7" t="n">
        <v>155.07026272578</v>
      </c>
      <c r="L510" s="7" t="n">
        <v>131.2340703878514</v>
      </c>
      <c r="M510" s="7" t="n">
        <v>144.9530337151996</v>
      </c>
      <c r="N510" s="7" t="n">
        <v>157.5709628671545</v>
      </c>
      <c r="O510" s="8">
        <f>N510*$B$2/100</f>
        <v/>
      </c>
    </row>
    <row r="511">
      <c r="A511" s="6" t="n">
        <v>46238.46960018518</v>
      </c>
      <c r="B511" s="7" t="n">
        <v>160.3851635369026</v>
      </c>
      <c r="C511" s="7" t="n">
        <v>153.4891856818428</v>
      </c>
      <c r="D511" s="7" t="n">
        <v>156.3217778654437</v>
      </c>
      <c r="E511" s="7" t="n">
        <v>142.0037430753107</v>
      </c>
      <c r="F511" s="7" t="n">
        <v>142.812865366094</v>
      </c>
      <c r="G511" s="7" t="n">
        <v>155.8992905435745</v>
      </c>
      <c r="H511" s="7" t="n">
        <v>155.901389791104</v>
      </c>
      <c r="I511" s="7" t="n">
        <v>157.0452853690001</v>
      </c>
      <c r="J511" s="7" t="n">
        <v>136.7394968099194</v>
      </c>
      <c r="K511" s="7" t="n">
        <v>137.7155465587045</v>
      </c>
      <c r="L511" s="7" t="n">
        <v>119.1200258815917</v>
      </c>
      <c r="M511" s="7" t="n">
        <v>117.3428519128684</v>
      </c>
      <c r="N511" s="7" t="n">
        <v>154.8610292804856</v>
      </c>
      <c r="O511" s="8">
        <f>N511*$B$2/100</f>
        <v/>
      </c>
    </row>
    <row r="512">
      <c r="A512" s="6" t="n">
        <v>46238.4696119213</v>
      </c>
      <c r="B512" s="7" t="n">
        <v>155.0096263114776</v>
      </c>
      <c r="C512" s="7" t="n">
        <v>160.070607166284</v>
      </c>
      <c r="D512" s="7" t="n">
        <v>128.6366161213089</v>
      </c>
      <c r="E512" s="7" t="n">
        <v>134.366022394979</v>
      </c>
      <c r="F512" s="7" t="n">
        <v>125.910154881211</v>
      </c>
      <c r="G512" s="7" t="n">
        <v>126.9550975913621</v>
      </c>
      <c r="H512" s="7" t="n">
        <v>154.5652593737002</v>
      </c>
      <c r="I512" s="7" t="n">
        <v>117.2208302986162</v>
      </c>
      <c r="J512" s="7" t="n">
        <v>159.3790969567043</v>
      </c>
      <c r="K512" s="7" t="n">
        <v>152.8179283722925</v>
      </c>
      <c r="L512" s="7" t="n">
        <v>145.1949989556292</v>
      </c>
      <c r="M512" s="7" t="n">
        <v>106.590931219139</v>
      </c>
      <c r="N512" s="7" t="n">
        <v>152.850051111679</v>
      </c>
      <c r="O512" s="8">
        <f>N512*$B$2/100</f>
        <v/>
      </c>
    </row>
    <row r="513">
      <c r="A513" s="6" t="n">
        <v>46238.46962355324</v>
      </c>
      <c r="B513" s="7" t="n">
        <v>148.9222641251356</v>
      </c>
      <c r="C513" s="7" t="n">
        <v>121.8144167241889</v>
      </c>
      <c r="D513" s="7" t="n">
        <v>157.8592121166339</v>
      </c>
      <c r="E513" s="7" t="n">
        <v>98.48319538500125</v>
      </c>
      <c r="F513" s="7" t="n">
        <v>125.7930409717933</v>
      </c>
      <c r="G513" s="7" t="n">
        <v>103.7911383387947</v>
      </c>
      <c r="H513" s="7" t="n">
        <v>143.7184384159317</v>
      </c>
      <c r="I513" s="7" t="n">
        <v>90.33896049313533</v>
      </c>
      <c r="J513" s="7" t="n">
        <v>114.1915805022157</v>
      </c>
      <c r="K513" s="7" t="n">
        <v>96.86865182615399</v>
      </c>
      <c r="L513" s="7" t="n">
        <v>116.1529392894378</v>
      </c>
      <c r="M513" s="7" t="n">
        <v>103.0151079803504</v>
      </c>
      <c r="N513" s="7" t="n">
        <v>142.0090795996806</v>
      </c>
      <c r="O513" s="8">
        <f>N513*$B$2/100</f>
        <v/>
      </c>
    </row>
    <row r="514">
      <c r="A514" s="6" t="n">
        <v>46238.4696353125</v>
      </c>
      <c r="B514" s="7" t="n">
        <v>157.580072373211</v>
      </c>
      <c r="C514" s="7" t="n">
        <v>150.7566100940679</v>
      </c>
      <c r="D514" s="7" t="n">
        <v>146.6813157479646</v>
      </c>
      <c r="E514" s="7" t="n">
        <v>151.4440340322167</v>
      </c>
      <c r="F514" s="7" t="n">
        <v>149.6044751728473</v>
      </c>
      <c r="G514" s="7" t="n">
        <v>149.5510557539292</v>
      </c>
      <c r="H514" s="7" t="n">
        <v>151.5418244282361</v>
      </c>
      <c r="I514" s="7" t="n">
        <v>150.2692831543468</v>
      </c>
      <c r="J514" s="7" t="n">
        <v>148.7312346924074</v>
      </c>
      <c r="K514" s="7" t="n">
        <v>151.3068560778423</v>
      </c>
      <c r="L514" s="7" t="n">
        <v>147.4101900475119</v>
      </c>
      <c r="M514" s="7" t="n">
        <v>149.4287930518865</v>
      </c>
      <c r="N514" s="7" t="n">
        <v>151.2148677330848</v>
      </c>
      <c r="O514" s="8">
        <f>N514*$B$2/100</f>
        <v/>
      </c>
    </row>
    <row r="515">
      <c r="A515" s="6" t="n">
        <v>46238.46964716435</v>
      </c>
      <c r="B515" s="7" t="n">
        <v>150.8293234017855</v>
      </c>
      <c r="C515" s="7" t="n">
        <v>157.0861247658964</v>
      </c>
      <c r="D515" s="7" t="n">
        <v>146.1175860438393</v>
      </c>
      <c r="E515" s="7" t="n">
        <v>149.1632135508876</v>
      </c>
      <c r="F515" s="7" t="n">
        <v>149.5620453509639</v>
      </c>
      <c r="G515" s="7" t="n">
        <v>149.8392162818955</v>
      </c>
      <c r="H515" s="7" t="n">
        <v>148.822889400636</v>
      </c>
      <c r="I515" s="7" t="n">
        <v>150.4263147784198</v>
      </c>
      <c r="J515" s="7" t="n">
        <v>150.5424969585988</v>
      </c>
      <c r="K515" s="7" t="n">
        <v>147.7546328472829</v>
      </c>
      <c r="L515" s="7" t="n">
        <v>147.8764811114725</v>
      </c>
      <c r="M515" s="7" t="n">
        <v>150.9280888618381</v>
      </c>
      <c r="N515" s="7" t="n">
        <v>150.2745367400846</v>
      </c>
      <c r="O515" s="8">
        <f>N515*$B$2/100</f>
        <v/>
      </c>
    </row>
    <row r="516">
      <c r="A516" s="6" t="n">
        <v>46238.46965884259</v>
      </c>
      <c r="B516" s="7" t="n">
        <v>149.0270550409323</v>
      </c>
      <c r="C516" s="7" t="n">
        <v>146.3771933141734</v>
      </c>
      <c r="D516" s="7" t="n">
        <v>101.7428431372549</v>
      </c>
      <c r="E516" s="7" t="n">
        <v>160.5880869214037</v>
      </c>
      <c r="F516" s="7" t="n">
        <v>118.9477393680779</v>
      </c>
      <c r="G516" s="7" t="n">
        <v>126.7980975441024</v>
      </c>
      <c r="H516" s="7" t="n">
        <v>145.8944689852548</v>
      </c>
      <c r="I516" s="7" t="n">
        <v>105.6783069952481</v>
      </c>
      <c r="J516" s="7" t="n">
        <v>133.5247220839555</v>
      </c>
      <c r="K516" s="7" t="n">
        <v>132.5642645738419</v>
      </c>
      <c r="L516" s="7" t="n">
        <v>108.2230826088487</v>
      </c>
      <c r="M516" s="7" t="n">
        <v>124.2351009960492</v>
      </c>
      <c r="N516" s="7" t="n">
        <v>142.5566647944486</v>
      </c>
      <c r="O516" s="8">
        <f>N516*$B$2/100</f>
        <v/>
      </c>
    </row>
    <row r="517">
      <c r="A517" s="6" t="n">
        <v>46238.46967054398</v>
      </c>
      <c r="B517" s="7" t="n">
        <v>146.6964359622902</v>
      </c>
      <c r="C517" s="7" t="n">
        <v>139.0140311752271</v>
      </c>
      <c r="D517" s="7" t="n">
        <v>120.765176784523</v>
      </c>
      <c r="E517" s="7" t="n">
        <v>160.2463402790671</v>
      </c>
      <c r="F517" s="7" t="n">
        <v>124.9150656203491</v>
      </c>
      <c r="G517" s="7" t="n">
        <v>112.3107022985087</v>
      </c>
      <c r="H517" s="7" t="n">
        <v>150.9707827521972</v>
      </c>
      <c r="I517" s="7" t="n">
        <v>86.57401198821498</v>
      </c>
      <c r="J517" s="7" t="n">
        <v>132.6076452691508</v>
      </c>
      <c r="K517" s="7" t="n">
        <v>103.2430215636989</v>
      </c>
      <c r="L517" s="7" t="n">
        <v>81.16485392690022</v>
      </c>
      <c r="M517" s="7" t="n">
        <v>71.32416502946955</v>
      </c>
      <c r="N517" s="7" t="n">
        <v>140.3639215389848</v>
      </c>
      <c r="O517" s="8">
        <f>N517*$B$2/100</f>
        <v/>
      </c>
    </row>
    <row r="518">
      <c r="A518" s="6" t="n">
        <v>46238.46968222222</v>
      </c>
      <c r="B518" s="7" t="n">
        <v>119.0170360176529</v>
      </c>
      <c r="C518" s="7" t="n">
        <v>159.0788489064109</v>
      </c>
      <c r="D518" s="7" t="n">
        <v>114.5803585594162</v>
      </c>
      <c r="E518" s="7" t="n">
        <v>110.8793241141608</v>
      </c>
      <c r="F518" s="7" t="n">
        <v>115.7343740795287</v>
      </c>
      <c r="G518" s="7" t="n">
        <v>110.6596159769997</v>
      </c>
      <c r="H518" s="7" t="n">
        <v>149.2846858335265</v>
      </c>
      <c r="I518" s="7" t="n">
        <v>94.71792905081496</v>
      </c>
      <c r="J518" s="7" t="n">
        <v>157.3222364703205</v>
      </c>
      <c r="K518" s="7" t="n">
        <v>139.9636873372939</v>
      </c>
      <c r="L518" s="7" t="n">
        <v>119.2166866979413</v>
      </c>
      <c r="M518" s="7" t="n">
        <v>94.76843764365928</v>
      </c>
      <c r="N518" s="7" t="n">
        <v>141.9607120709153</v>
      </c>
      <c r="O518" s="8">
        <f>N518*$B$2/100</f>
        <v/>
      </c>
    </row>
    <row r="519">
      <c r="A519" s="6" t="n">
        <v>46238.46969393519</v>
      </c>
      <c r="B519" s="7" t="n">
        <v>150.5359385014874</v>
      </c>
      <c r="C519" s="7" t="n">
        <v>140.6932644822852</v>
      </c>
      <c r="D519" s="7" t="n">
        <v>155.705830968589</v>
      </c>
      <c r="E519" s="7" t="n">
        <v>138.5633920076118</v>
      </c>
      <c r="F519" s="7" t="n">
        <v>128.1741485191144</v>
      </c>
      <c r="G519" s="7" t="n">
        <v>137.1432135212931</v>
      </c>
      <c r="H519" s="7" t="n">
        <v>153.1822863469775</v>
      </c>
      <c r="I519" s="7" t="n">
        <v>136.5131152372532</v>
      </c>
      <c r="J519" s="7" t="n">
        <v>139.9523977433004</v>
      </c>
      <c r="K519" s="7" t="n">
        <v>131.8673961612674</v>
      </c>
      <c r="L519" s="7" t="n">
        <v>133.4804218066056</v>
      </c>
      <c r="M519" s="7" t="n">
        <v>132.9463437197763</v>
      </c>
      <c r="N519" s="7" t="n">
        <v>145.2500781795001</v>
      </c>
      <c r="O519" s="8">
        <f>N519*$B$2/100</f>
        <v/>
      </c>
    </row>
    <row r="520">
      <c r="A520" s="6" t="n">
        <v>46238.46970560185</v>
      </c>
      <c r="B520" s="7" t="n">
        <v>153.1711413881748</v>
      </c>
      <c r="C520" s="7" t="n">
        <v>148.8735037873892</v>
      </c>
      <c r="D520" s="7" t="n">
        <v>146.1305978829824</v>
      </c>
      <c r="E520" s="7" t="n">
        <v>136.1315990493974</v>
      </c>
      <c r="F520" s="7" t="n">
        <v>147.8578735023229</v>
      </c>
      <c r="G520" s="7" t="n">
        <v>143.8128990743949</v>
      </c>
      <c r="H520" s="7" t="n">
        <v>148.7206101588818</v>
      </c>
      <c r="I520" s="7" t="n">
        <v>154.3881778858185</v>
      </c>
      <c r="J520" s="7" t="n">
        <v>156.050181520404</v>
      </c>
      <c r="K520" s="7" t="n">
        <v>155.8653970107142</v>
      </c>
      <c r="L520" s="7" t="n">
        <v>149.6800177747886</v>
      </c>
      <c r="M520" s="7" t="n">
        <v>142.6564693179773</v>
      </c>
      <c r="N520" s="7" t="n">
        <v>150.7510725206517</v>
      </c>
      <c r="O520" s="8">
        <f>N520*$B$2/100</f>
        <v/>
      </c>
    </row>
    <row r="521">
      <c r="A521" s="6" t="n">
        <v>46238.4697172801</v>
      </c>
      <c r="B521" s="7" t="n">
        <v>101.6588526814687</v>
      </c>
      <c r="C521" s="7" t="n">
        <v>107.0000482439213</v>
      </c>
      <c r="D521" s="7" t="n">
        <v>137.9605351434548</v>
      </c>
      <c r="E521" s="7" t="n">
        <v>159.5255203877958</v>
      </c>
      <c r="F521" s="7" t="n">
        <v>133.3127318061399</v>
      </c>
      <c r="G521" s="7" t="n">
        <v>114.0196586114308</v>
      </c>
      <c r="H521" s="7" t="n">
        <v>155.8344691083204</v>
      </c>
      <c r="I521" s="7" t="n">
        <v>125.9040838524671</v>
      </c>
      <c r="J521" s="7" t="n">
        <v>148.6065238324506</v>
      </c>
      <c r="K521" s="7" t="n">
        <v>117.1374753775443</v>
      </c>
      <c r="L521" s="7" t="n">
        <v>99.7828974337952</v>
      </c>
      <c r="M521" s="7" t="n">
        <v>90.13069197963956</v>
      </c>
      <c r="N521" s="7" t="n">
        <v>143.1944179480331</v>
      </c>
      <c r="O521" s="8">
        <f>N521*$B$2/100</f>
        <v/>
      </c>
    </row>
    <row r="522">
      <c r="A522" s="6" t="n">
        <v>46238.46972896991</v>
      </c>
      <c r="B522" s="7" t="n">
        <v>144.6642564452792</v>
      </c>
      <c r="C522" s="7" t="n">
        <v>142.0901079211634</v>
      </c>
      <c r="D522" s="7" t="n">
        <v>149.7136699588804</v>
      </c>
      <c r="E522" s="7" t="n">
        <v>98.35491791439989</v>
      </c>
      <c r="F522" s="7" t="n">
        <v>146.1012047040826</v>
      </c>
      <c r="G522" s="7" t="n">
        <v>113.065756024811</v>
      </c>
      <c r="H522" s="7" t="n">
        <v>156.1211971283959</v>
      </c>
      <c r="I522" s="7" t="n">
        <v>127.8680817071779</v>
      </c>
      <c r="J522" s="7" t="n">
        <v>147.15969070432</v>
      </c>
      <c r="K522" s="7" t="n">
        <v>104.2172365339578</v>
      </c>
      <c r="L522" s="7" t="n">
        <v>87.73440833228761</v>
      </c>
      <c r="M522" s="7" t="n">
        <v>69.59285783412368</v>
      </c>
      <c r="N522" s="7" t="n">
        <v>142.4131675927517</v>
      </c>
      <c r="O522" s="8">
        <f>N522*$B$2/100</f>
        <v/>
      </c>
    </row>
    <row r="523">
      <c r="A523" s="6" t="n">
        <v>46238.46974067129</v>
      </c>
      <c r="B523" s="7" t="n">
        <v>150.6878042771262</v>
      </c>
      <c r="C523" s="7" t="n">
        <v>104.0448319386658</v>
      </c>
      <c r="D523" s="7" t="n">
        <v>122.8080346062476</v>
      </c>
      <c r="E523" s="7" t="n">
        <v>158.2660093880123</v>
      </c>
      <c r="F523" s="7" t="n">
        <v>137.6317485442931</v>
      </c>
      <c r="G523" s="7" t="n">
        <v>112.8140797476909</v>
      </c>
      <c r="H523" s="7" t="n">
        <v>144.554505419373</v>
      </c>
      <c r="I523" s="7" t="n">
        <v>116.2292414253526</v>
      </c>
      <c r="J523" s="7" t="n">
        <v>140.6261508742882</v>
      </c>
      <c r="K523" s="7" t="n">
        <v>90.48446986361637</v>
      </c>
      <c r="L523" s="7" t="n">
        <v>95.73229132025274</v>
      </c>
      <c r="M523" s="7" t="n">
        <v>83.16710013003902</v>
      </c>
      <c r="N523" s="7" t="n">
        <v>141.2887825485541</v>
      </c>
      <c r="O523" s="8">
        <f>N523*$B$2/100</f>
        <v/>
      </c>
    </row>
    <row r="524">
      <c r="A524" s="6" t="n">
        <v>46238.46975228009</v>
      </c>
      <c r="B524" s="7" t="n">
        <v>150.0417333683244</v>
      </c>
      <c r="C524" s="7" t="n">
        <v>159.4277517579185</v>
      </c>
      <c r="D524" s="7" t="n">
        <v>132.3394928592247</v>
      </c>
      <c r="E524" s="7" t="n">
        <v>108.8459274469541</v>
      </c>
      <c r="F524" s="7" t="n">
        <v>129.2647404275311</v>
      </c>
      <c r="G524" s="7" t="n">
        <v>124.6897231730912</v>
      </c>
      <c r="H524" s="7" t="n">
        <v>131.0084005965959</v>
      </c>
      <c r="I524" s="7" t="n">
        <v>131.764503539062</v>
      </c>
      <c r="J524" s="7" t="n">
        <v>152.6908779957414</v>
      </c>
      <c r="K524" s="7" t="n">
        <v>112.1975448965674</v>
      </c>
      <c r="L524" s="7" t="n">
        <v>114.6092635688011</v>
      </c>
      <c r="M524" s="7" t="n">
        <v>101.7910774964376</v>
      </c>
      <c r="N524" s="7" t="n">
        <v>143.6626624916975</v>
      </c>
      <c r="O524" s="8">
        <f>N524*$B$2/100</f>
        <v/>
      </c>
    </row>
    <row r="525">
      <c r="A525" s="6" t="n">
        <v>46238.46976395833</v>
      </c>
      <c r="B525" s="7" t="n">
        <v>121.0316793203181</v>
      </c>
      <c r="C525" s="7" t="n">
        <v>157.8043687962693</v>
      </c>
      <c r="D525" s="7" t="n">
        <v>112.2613652694611</v>
      </c>
      <c r="E525" s="7" t="n">
        <v>113.3687838186034</v>
      </c>
      <c r="F525" s="7" t="n">
        <v>117.9637717121588</v>
      </c>
      <c r="G525" s="7" t="n">
        <v>123.1743842762972</v>
      </c>
      <c r="H525" s="7" t="n">
        <v>156.7821018998644</v>
      </c>
      <c r="I525" s="7" t="n">
        <v>138.7962514642718</v>
      </c>
      <c r="J525" s="7" t="n">
        <v>129.1555203118432</v>
      </c>
      <c r="K525" s="7" t="n">
        <v>123.1264487440276</v>
      </c>
      <c r="L525" s="7" t="n">
        <v>133.5549952874647</v>
      </c>
      <c r="M525" s="7" t="n">
        <v>100.4256339460873</v>
      </c>
      <c r="N525" s="7" t="n">
        <v>143.2197132057827</v>
      </c>
      <c r="O525" s="8">
        <f>N525*$B$2/100</f>
        <v/>
      </c>
    </row>
    <row r="526">
      <c r="A526" s="6" t="n">
        <v>46238.469775625</v>
      </c>
      <c r="B526" s="7" t="n">
        <v>120.0700199672447</v>
      </c>
      <c r="C526" s="7" t="n">
        <v>158.9528608142838</v>
      </c>
      <c r="D526" s="7" t="n">
        <v>157.9926377848825</v>
      </c>
      <c r="E526" s="7" t="n">
        <v>104.4671031691902</v>
      </c>
      <c r="F526" s="7" t="n">
        <v>121.6461765325469</v>
      </c>
      <c r="G526" s="7" t="n">
        <v>102.5732332002084</v>
      </c>
      <c r="H526" s="7" t="n">
        <v>129.6948015377458</v>
      </c>
      <c r="I526" s="7" t="n">
        <v>121.3692375179455</v>
      </c>
      <c r="J526" s="7" t="n">
        <v>131.3979719405473</v>
      </c>
      <c r="K526" s="7" t="n">
        <v>101.8133670386584</v>
      </c>
      <c r="L526" s="7" t="n">
        <v>81.2494588128062</v>
      </c>
      <c r="M526" s="7" t="n">
        <v>138.4491638795987</v>
      </c>
      <c r="N526" s="7" t="n">
        <v>140.5587727281169</v>
      </c>
      <c r="O526" s="8">
        <f>N526*$B$2/100</f>
        <v/>
      </c>
    </row>
    <row r="527">
      <c r="A527" s="6" t="n">
        <v>46238.46978732639</v>
      </c>
      <c r="B527" s="7" t="n">
        <v>147.1191344407929</v>
      </c>
      <c r="C527" s="7" t="n">
        <v>104.2768751769035</v>
      </c>
      <c r="D527" s="7" t="n">
        <v>130.4137745382258</v>
      </c>
      <c r="E527" s="7" t="n">
        <v>160.329683726682</v>
      </c>
      <c r="F527" s="7" t="n">
        <v>124.7605125523013</v>
      </c>
      <c r="G527" s="7" t="n">
        <v>99.77310450406897</v>
      </c>
      <c r="H527" s="7" t="n">
        <v>146.3661689673522</v>
      </c>
      <c r="I527" s="7" t="n">
        <v>103.7620121177962</v>
      </c>
      <c r="J527" s="7" t="n">
        <v>146.8940660149269</v>
      </c>
      <c r="K527" s="7" t="n">
        <v>96.75631280034949</v>
      </c>
      <c r="L527" s="7" t="n">
        <v>104.427898413386</v>
      </c>
      <c r="M527" s="7" t="n">
        <v>113.1420708122583</v>
      </c>
      <c r="N527" s="7" t="n">
        <v>143.1914965513129</v>
      </c>
      <c r="O527" s="8">
        <f>N527*$B$2/100</f>
        <v/>
      </c>
    </row>
    <row r="528">
      <c r="A528" s="6" t="n">
        <v>46238.4697990162</v>
      </c>
      <c r="B528" s="7" t="n">
        <v>151.4749925523816</v>
      </c>
      <c r="C528" s="7" t="n">
        <v>115.287741765133</v>
      </c>
      <c r="D528" s="7" t="n">
        <v>100.1995531396939</v>
      </c>
      <c r="E528" s="7" t="n">
        <v>138.7521953200345</v>
      </c>
      <c r="F528" s="7" t="n">
        <v>110.7670063850688</v>
      </c>
      <c r="G528" s="7" t="n">
        <v>114.9058021845876</v>
      </c>
      <c r="H528" s="7" t="n">
        <v>159.9423067103745</v>
      </c>
      <c r="I528" s="7" t="n">
        <v>86.35969146814986</v>
      </c>
      <c r="J528" s="7" t="n">
        <v>142.4461964997401</v>
      </c>
      <c r="K528" s="7" t="n">
        <v>108.7562918494574</v>
      </c>
      <c r="L528" s="7" t="n">
        <v>104.1498020695882</v>
      </c>
      <c r="M528" s="7" t="n">
        <v>106.1308913510832</v>
      </c>
      <c r="N528" s="7" t="n">
        <v>142.6916187934003</v>
      </c>
      <c r="O528" s="8">
        <f>N528*$B$2/100</f>
        <v/>
      </c>
    </row>
    <row r="529">
      <c r="A529" s="6" t="n">
        <v>46238.4698112037</v>
      </c>
      <c r="B529" s="7" t="n">
        <v>155.0668425701285</v>
      </c>
      <c r="C529" s="7" t="n">
        <v>151.3333069064307</v>
      </c>
      <c r="D529" s="7" t="n">
        <v>154.770640816872</v>
      </c>
      <c r="E529" s="7" t="n">
        <v>150.9234285156294</v>
      </c>
      <c r="F529" s="7" t="n">
        <v>149.2471147652787</v>
      </c>
      <c r="G529" s="7" t="n">
        <v>149.9385790126861</v>
      </c>
      <c r="H529" s="7" t="n">
        <v>151.5969941968849</v>
      </c>
      <c r="I529" s="7" t="n">
        <v>150.7431975086297</v>
      </c>
      <c r="J529" s="7" t="n">
        <v>151.2968671972398</v>
      </c>
      <c r="K529" s="7" t="n">
        <v>153.6361650394858</v>
      </c>
      <c r="L529" s="7" t="n">
        <v>150.790760162954</v>
      </c>
      <c r="M529" s="7" t="n">
        <v>150.5874775968794</v>
      </c>
      <c r="N529" s="7" t="n">
        <v>151.9459136960112</v>
      </c>
      <c r="O529" s="8">
        <f>N529*$B$2/100</f>
        <v/>
      </c>
    </row>
    <row r="530">
      <c r="A530" s="6" t="n">
        <v>46238.46982291667</v>
      </c>
      <c r="B530" s="7" t="n">
        <v>148.9018999545051</v>
      </c>
      <c r="C530" s="7" t="n">
        <v>150.7829740533777</v>
      </c>
      <c r="D530" s="7" t="n">
        <v>145.2987069128967</v>
      </c>
      <c r="E530" s="7" t="n">
        <v>148.0812078120781</v>
      </c>
      <c r="F530" s="7" t="n">
        <v>147.4572277093632</v>
      </c>
      <c r="G530" s="7" t="n">
        <v>154.3814831059384</v>
      </c>
      <c r="H530" s="7" t="n">
        <v>150.4279472752727</v>
      </c>
      <c r="I530" s="7" t="n">
        <v>142.1480727604901</v>
      </c>
      <c r="J530" s="7" t="n">
        <v>149.3285746314329</v>
      </c>
      <c r="K530" s="7" t="n">
        <v>143.125854381849</v>
      </c>
      <c r="L530" s="7" t="n">
        <v>146.7264331027356</v>
      </c>
      <c r="M530" s="7" t="n">
        <v>149.7795314316373</v>
      </c>
      <c r="N530" s="7" t="n">
        <v>148.9354570222838</v>
      </c>
      <c r="O530" s="8">
        <f>N530*$B$2/100</f>
        <v/>
      </c>
    </row>
    <row r="531">
      <c r="A531" s="6" t="n">
        <v>46238.46983457176</v>
      </c>
      <c r="B531" s="7" t="n">
        <v>115.6815005447646</v>
      </c>
      <c r="C531" s="7" t="n">
        <v>158.4493454134392</v>
      </c>
      <c r="D531" s="7" t="n">
        <v>118.0152030759712</v>
      </c>
      <c r="E531" s="7" t="n">
        <v>92.13946898940078</v>
      </c>
      <c r="F531" s="7" t="n">
        <v>112.4709482324141</v>
      </c>
      <c r="G531" s="7" t="n">
        <v>130.7162771739131</v>
      </c>
      <c r="H531" s="7" t="n">
        <v>158.543298922851</v>
      </c>
      <c r="I531" s="7" t="n">
        <v>127.3879849310676</v>
      </c>
      <c r="J531" s="7" t="n">
        <v>145.0215949697636</v>
      </c>
      <c r="K531" s="7" t="n">
        <v>108.4013735547249</v>
      </c>
      <c r="L531" s="7" t="n">
        <v>95.35001833516685</v>
      </c>
      <c r="M531" s="7" t="n">
        <v>78.17625943804926</v>
      </c>
      <c r="N531" s="7" t="n">
        <v>143.0904060115338</v>
      </c>
      <c r="O531" s="8">
        <f>N531*$B$2/100</f>
        <v/>
      </c>
    </row>
    <row r="532">
      <c r="A532" s="6" t="n">
        <v>46238.46984623843</v>
      </c>
      <c r="B532" s="7" t="n">
        <v>145.7036341207864</v>
      </c>
      <c r="C532" s="7" t="n">
        <v>137.99759223851</v>
      </c>
      <c r="D532" s="7" t="n">
        <v>123.7422547553998</v>
      </c>
      <c r="E532" s="7" t="n">
        <v>110.1895237314534</v>
      </c>
      <c r="F532" s="7" t="n">
        <v>133.5748048239618</v>
      </c>
      <c r="G532" s="7" t="n">
        <v>160.5114311382866</v>
      </c>
      <c r="H532" s="7" t="n">
        <v>143.7860948386008</v>
      </c>
      <c r="I532" s="7" t="n">
        <v>109.9718109163001</v>
      </c>
      <c r="J532" s="7" t="n">
        <v>140.0785719813243</v>
      </c>
      <c r="K532" s="7" t="n">
        <v>112.5316637056565</v>
      </c>
      <c r="L532" s="7" t="n">
        <v>133.084217997778</v>
      </c>
      <c r="M532" s="7" t="n">
        <v>104.695488477767</v>
      </c>
      <c r="N532" s="7" t="n">
        <v>142.0600106516529</v>
      </c>
      <c r="O532" s="8">
        <f>N532*$B$2/100</f>
        <v/>
      </c>
    </row>
    <row r="533">
      <c r="A533" s="6" t="n">
        <v>46238.46985791667</v>
      </c>
      <c r="B533" s="7" t="n">
        <v>149.8164024648133</v>
      </c>
      <c r="C533" s="7" t="n">
        <v>144.216456036569</v>
      </c>
      <c r="D533" s="7" t="n">
        <v>118.2519110384095</v>
      </c>
      <c r="E533" s="7" t="n">
        <v>133.3281756557619</v>
      </c>
      <c r="F533" s="7" t="n">
        <v>160.1195294312124</v>
      </c>
      <c r="G533" s="7" t="n">
        <v>102.8421466792572</v>
      </c>
      <c r="H533" s="7" t="n">
        <v>146.4628403052359</v>
      </c>
      <c r="I533" s="7" t="n">
        <v>80.50542045121594</v>
      </c>
      <c r="J533" s="7" t="n">
        <v>147.0768794891036</v>
      </c>
      <c r="K533" s="7" t="n">
        <v>85.59624222762909</v>
      </c>
      <c r="L533" s="7" t="n">
        <v>115.0605996472663</v>
      </c>
      <c r="M533" s="7" t="n">
        <v>94.17797668609492</v>
      </c>
      <c r="N533" s="7" t="n">
        <v>143.9377178053327</v>
      </c>
      <c r="O533" s="8">
        <f>N533*$B$2/100</f>
        <v/>
      </c>
    </row>
    <row r="534">
      <c r="A534" s="6" t="n">
        <v>46238.46986965278</v>
      </c>
      <c r="B534" s="7" t="n">
        <v>103.2835102585949</v>
      </c>
      <c r="C534" s="7" t="n">
        <v>155.0482061501708</v>
      </c>
      <c r="D534" s="7" t="n">
        <v>109.2770211642208</v>
      </c>
      <c r="E534" s="7" t="n">
        <v>140.0282005993372</v>
      </c>
      <c r="F534" s="7" t="n">
        <v>116.3997124820301</v>
      </c>
      <c r="G534" s="7" t="n">
        <v>122.8874529270798</v>
      </c>
      <c r="H534" s="7" t="n">
        <v>157.1682308752912</v>
      </c>
      <c r="I534" s="7" t="n">
        <v>110.0571590265988</v>
      </c>
      <c r="J534" s="7" t="n">
        <v>149.5249456802897</v>
      </c>
      <c r="K534" s="7" t="n">
        <v>97.01857451403887</v>
      </c>
      <c r="L534" s="7" t="n">
        <v>128.6426327280473</v>
      </c>
      <c r="M534" s="7" t="n">
        <v>122.4422747782791</v>
      </c>
      <c r="N534" s="7" t="n">
        <v>143.717209353548</v>
      </c>
      <c r="O534" s="8">
        <f>N534*$B$2/100</f>
        <v/>
      </c>
    </row>
    <row r="535">
      <c r="A535" s="6" t="n">
        <v>46238.46988133102</v>
      </c>
      <c r="B535" s="7" t="n">
        <v>151.1175739635167</v>
      </c>
      <c r="C535" s="7" t="n">
        <v>110.3680843501955</v>
      </c>
      <c r="D535" s="7" t="n">
        <v>157.2502311357656</v>
      </c>
      <c r="E535" s="7" t="n">
        <v>130.0265919843385</v>
      </c>
      <c r="F535" s="7" t="n">
        <v>126.6197043911661</v>
      </c>
      <c r="G535" s="7" t="n">
        <v>94.19776415843832</v>
      </c>
      <c r="H535" s="7" t="n">
        <v>140.5753520901862</v>
      </c>
      <c r="I535" s="7" t="n">
        <v>95.0747102931152</v>
      </c>
      <c r="J535" s="7" t="n">
        <v>146.123785153019</v>
      </c>
      <c r="K535" s="7" t="n">
        <v>133.6106171818464</v>
      </c>
      <c r="L535" s="7" t="n">
        <v>139.5029768566185</v>
      </c>
      <c r="M535" s="7" t="n">
        <v>107.952323542306</v>
      </c>
      <c r="N535" s="7" t="n">
        <v>144.169078578743</v>
      </c>
      <c r="O535" s="8">
        <f>N535*$B$2/100</f>
        <v/>
      </c>
    </row>
    <row r="536">
      <c r="A536" s="6" t="n">
        <v>46238.46989298611</v>
      </c>
      <c r="B536" s="7" t="n">
        <v>108.8107109425038</v>
      </c>
      <c r="C536" s="7" t="n">
        <v>159.3890646532482</v>
      </c>
      <c r="D536" s="7" t="n">
        <v>154.2760045883494</v>
      </c>
      <c r="E536" s="7" t="n">
        <v>147.1242326943054</v>
      </c>
      <c r="F536" s="7" t="n">
        <v>121.4909472579375</v>
      </c>
      <c r="G536" s="7" t="n">
        <v>95.3544165160725</v>
      </c>
      <c r="H536" s="7" t="n">
        <v>146.9451864535769</v>
      </c>
      <c r="I536" s="7" t="n">
        <v>87.38227185001378</v>
      </c>
      <c r="J536" s="7" t="n">
        <v>145.7521990630079</v>
      </c>
      <c r="K536" s="7" t="n">
        <v>107.0719838756119</v>
      </c>
      <c r="L536" s="7" t="n">
        <v>126.3185468691178</v>
      </c>
      <c r="M536" s="7" t="n">
        <v>94.95850815850815</v>
      </c>
      <c r="N536" s="7" t="n">
        <v>142.0004776370341</v>
      </c>
      <c r="O536" s="8">
        <f>N536*$B$2/100</f>
        <v/>
      </c>
    </row>
    <row r="537">
      <c r="A537" s="6" t="n">
        <v>46238.46990467593</v>
      </c>
      <c r="B537" s="7" t="n">
        <v>91.89236668450151</v>
      </c>
      <c r="C537" s="7" t="n">
        <v>158.3295728768489</v>
      </c>
      <c r="D537" s="7" t="n">
        <v>95.55924642907986</v>
      </c>
      <c r="E537" s="7" t="n">
        <v>140.4944208597211</v>
      </c>
      <c r="F537" s="7" t="n">
        <v>115.6940298507463</v>
      </c>
      <c r="G537" s="7" t="n">
        <v>126.9973219773466</v>
      </c>
      <c r="H537" s="7" t="n">
        <v>156.7611198831098</v>
      </c>
      <c r="I537" s="7" t="n">
        <v>130.256721676247</v>
      </c>
      <c r="J537" s="7" t="n">
        <v>154.2412665205552</v>
      </c>
      <c r="K537" s="7" t="n">
        <v>87.94093884942193</v>
      </c>
      <c r="L537" s="7" t="n">
        <v>103.2092433537832</v>
      </c>
      <c r="M537" s="7" t="n">
        <v>98.94266917293233</v>
      </c>
      <c r="N537" s="7" t="n">
        <v>144.47986</v>
      </c>
      <c r="O537" s="8">
        <f>N537*$B$2/100</f>
        <v/>
      </c>
    </row>
    <row r="538">
      <c r="A538" s="6" t="n">
        <v>46238.46991641204</v>
      </c>
      <c r="B538" s="7" t="n">
        <v>151.233739146003</v>
      </c>
      <c r="C538" s="7" t="n">
        <v>133.4121235226839</v>
      </c>
      <c r="D538" s="7" t="n">
        <v>121.8488975961688</v>
      </c>
      <c r="E538" s="7" t="n">
        <v>161.4211194590006</v>
      </c>
      <c r="F538" s="7" t="n">
        <v>117.72413564491</v>
      </c>
      <c r="G538" s="7" t="n">
        <v>121.9346294832171</v>
      </c>
      <c r="H538" s="7" t="n">
        <v>122.5634942785375</v>
      </c>
      <c r="I538" s="7" t="n">
        <v>88.7264228759967</v>
      </c>
      <c r="J538" s="7" t="n">
        <v>157.1055893971673</v>
      </c>
      <c r="K538" s="7" t="n">
        <v>136.1344920097982</v>
      </c>
      <c r="L538" s="7" t="n">
        <v>109.9783605786193</v>
      </c>
      <c r="M538" s="7" t="n">
        <v>88.52949852507375</v>
      </c>
      <c r="N538" s="7" t="n">
        <v>144.5938696612666</v>
      </c>
      <c r="O538" s="8">
        <f>N538*$B$2/100</f>
        <v/>
      </c>
    </row>
    <row r="539">
      <c r="A539" s="6" t="n">
        <v>46238.46992806713</v>
      </c>
      <c r="B539" s="7" t="n">
        <v>154.7667620286086</v>
      </c>
      <c r="C539" s="7" t="n">
        <v>131.4674660661026</v>
      </c>
      <c r="D539" s="7" t="n">
        <v>123.9550217553616</v>
      </c>
      <c r="E539" s="7" t="n">
        <v>145.6212403203829</v>
      </c>
      <c r="F539" s="7" t="n">
        <v>106.6893549894835</v>
      </c>
      <c r="G539" s="7" t="n">
        <v>127.6314559587963</v>
      </c>
      <c r="H539" s="7" t="n">
        <v>157.7415775590663</v>
      </c>
      <c r="I539" s="7" t="n">
        <v>107.8095823095823</v>
      </c>
      <c r="J539" s="7" t="n">
        <v>154.2161997460855</v>
      </c>
      <c r="K539" s="7" t="n">
        <v>99.66136845292159</v>
      </c>
      <c r="L539" s="7" t="n">
        <v>121.5336805085892</v>
      </c>
      <c r="M539" s="7" t="n">
        <v>104.688109825278</v>
      </c>
      <c r="N539" s="7" t="n">
        <v>146.91355359677</v>
      </c>
      <c r="O539" s="8">
        <f>N539*$B$2/100</f>
        <v/>
      </c>
    </row>
    <row r="540">
      <c r="A540" s="6" t="n">
        <v>46238.46993975694</v>
      </c>
      <c r="B540" s="7" t="n">
        <v>133.8504652087475</v>
      </c>
      <c r="C540" s="7" t="n">
        <v>159.2147210654173</v>
      </c>
      <c r="D540" s="7" t="n">
        <v>112.5817329993506</v>
      </c>
      <c r="E540" s="7" t="n">
        <v>119.1964901754912</v>
      </c>
      <c r="F540" s="7" t="n">
        <v>121.9902650891119</v>
      </c>
      <c r="G540" s="7" t="n">
        <v>107.7224917523773</v>
      </c>
      <c r="H540" s="7" t="n">
        <v>157.774976202954</v>
      </c>
      <c r="I540" s="7" t="n">
        <v>140.7989729035746</v>
      </c>
      <c r="J540" s="7" t="n">
        <v>142.3715391213885</v>
      </c>
      <c r="K540" s="7" t="n">
        <v>128.8170477303071</v>
      </c>
      <c r="L540" s="7" t="n">
        <v>111.6203953712633</v>
      </c>
      <c r="M540" s="7" t="n">
        <v>115.5344658149656</v>
      </c>
      <c r="N540" s="7" t="n">
        <v>145.5203380578614</v>
      </c>
      <c r="O540" s="8">
        <f>N540*$B$2/100</f>
        <v/>
      </c>
    </row>
    <row r="541">
      <c r="A541" s="6" t="n">
        <v>46238.46995144676</v>
      </c>
      <c r="B541" s="7" t="n">
        <v>151.8880328207245</v>
      </c>
      <c r="C541" s="7" t="n">
        <v>153.5621262065018</v>
      </c>
      <c r="D541" s="7" t="n">
        <v>137.4288048223994</v>
      </c>
      <c r="E541" s="7" t="n">
        <v>160.0843073547407</v>
      </c>
      <c r="F541" s="7" t="n">
        <v>118.5448641962583</v>
      </c>
      <c r="G541" s="7" t="n">
        <v>102.7760527545563</v>
      </c>
      <c r="H541" s="7" t="n">
        <v>144.2007971820541</v>
      </c>
      <c r="I541" s="7" t="n">
        <v>118.4207305766735</v>
      </c>
      <c r="J541" s="7" t="n">
        <v>140.1869060617089</v>
      </c>
      <c r="K541" s="7" t="n">
        <v>92.53460057149957</v>
      </c>
      <c r="L541" s="7" t="n">
        <v>111.9646151399491</v>
      </c>
      <c r="M541" s="7" t="n">
        <v>130.4485031067595</v>
      </c>
      <c r="N541" s="7" t="n">
        <v>146.1200988080301</v>
      </c>
      <c r="O541" s="8">
        <f>N541*$B$2/100</f>
        <v/>
      </c>
    </row>
    <row r="542">
      <c r="A542" s="6" t="n">
        <v>46238.46996309028</v>
      </c>
      <c r="B542" s="7" t="n">
        <v>152.1807904411765</v>
      </c>
      <c r="C542" s="7" t="n">
        <v>104.8109808032497</v>
      </c>
      <c r="D542" s="7" t="n">
        <v>110.8424437299035</v>
      </c>
      <c r="E542" s="7" t="n">
        <v>160.7229704171573</v>
      </c>
      <c r="F542" s="7" t="n">
        <v>97.57303882500284</v>
      </c>
      <c r="G542" s="7" t="n">
        <v>139.4245986571568</v>
      </c>
      <c r="H542" s="7" t="n">
        <v>152.4068117638956</v>
      </c>
      <c r="I542" s="7" t="n">
        <v>131.8122797506099</v>
      </c>
      <c r="J542" s="7" t="n">
        <v>125.2449968401095</v>
      </c>
      <c r="K542" s="7" t="n">
        <v>151.151737497065</v>
      </c>
      <c r="L542" s="7" t="n">
        <v>95.18733191134193</v>
      </c>
      <c r="M542" s="7" t="n">
        <v>83.05007423403968</v>
      </c>
      <c r="N542" s="7" t="n">
        <v>144.9323348270006</v>
      </c>
      <c r="O542" s="8">
        <f>N542*$B$2/100</f>
        <v/>
      </c>
    </row>
    <row r="543">
      <c r="A543" s="6" t="n">
        <v>46238.46997473379</v>
      </c>
      <c r="B543" s="7" t="n">
        <v>125.3378924463786</v>
      </c>
      <c r="C543" s="7" t="n">
        <v>158.2337795203891</v>
      </c>
      <c r="D543" s="7" t="n">
        <v>136.2222112400419</v>
      </c>
      <c r="E543" s="7" t="n">
        <v>112.0296427516977</v>
      </c>
      <c r="F543" s="7" t="n">
        <v>135.2524835427888</v>
      </c>
      <c r="G543" s="7" t="n">
        <v>124.046097567946</v>
      </c>
      <c r="H543" s="7" t="n">
        <v>153.2882762427551</v>
      </c>
      <c r="I543" s="7" t="n">
        <v>139.7942557134033</v>
      </c>
      <c r="J543" s="7" t="n">
        <v>145.7580639736302</v>
      </c>
      <c r="K543" s="7" t="n">
        <v>119.8151338049831</v>
      </c>
      <c r="L543" s="7" t="n">
        <v>147.2819175811961</v>
      </c>
      <c r="M543" s="7" t="n">
        <v>127.1086794614724</v>
      </c>
      <c r="N543" s="7" t="n">
        <v>145.6635725126178</v>
      </c>
      <c r="O543" s="8">
        <f>N543*$B$2/100</f>
        <v/>
      </c>
    </row>
    <row r="544">
      <c r="A544" s="6" t="n">
        <v>46238.46998649306</v>
      </c>
      <c r="B544" s="7" t="n">
        <v>151.3922633723153</v>
      </c>
      <c r="C544" s="7" t="n">
        <v>156.1675394723939</v>
      </c>
      <c r="D544" s="7" t="n">
        <v>155.645199707659</v>
      </c>
      <c r="E544" s="7" t="n">
        <v>151.9323698530388</v>
      </c>
      <c r="F544" s="7" t="n">
        <v>151.5280958079271</v>
      </c>
      <c r="G544" s="7" t="n">
        <v>151.4591657403791</v>
      </c>
      <c r="H544" s="7" t="n">
        <v>151.910717259922</v>
      </c>
      <c r="I544" s="7" t="n">
        <v>151.7917322470142</v>
      </c>
      <c r="J544" s="7" t="n">
        <v>151.8878901499797</v>
      </c>
      <c r="K544" s="7" t="n">
        <v>152.252335900664</v>
      </c>
      <c r="L544" s="7" t="n">
        <v>151.5250504974555</v>
      </c>
      <c r="M544" s="7" t="n">
        <v>151.8599364776533</v>
      </c>
      <c r="N544" s="7" t="n">
        <v>152.6019521545582</v>
      </c>
      <c r="O544" s="8">
        <f>N544*$B$2/100</f>
        <v/>
      </c>
    </row>
    <row r="545">
      <c r="A545" s="6" t="n">
        <v>46238.46999820602</v>
      </c>
      <c r="B545" s="7" t="n">
        <v>131.1378889958293</v>
      </c>
      <c r="C545" s="7" t="n">
        <v>158.9531428010749</v>
      </c>
      <c r="D545" s="7" t="n">
        <v>148.441688984731</v>
      </c>
      <c r="E545" s="7" t="n">
        <v>130.498844897634</v>
      </c>
      <c r="F545" s="7" t="n">
        <v>133.7916649465384</v>
      </c>
      <c r="G545" s="7" t="n">
        <v>139.6401626102856</v>
      </c>
      <c r="H545" s="7" t="n">
        <v>157.9583985256146</v>
      </c>
      <c r="I545" s="7" t="n">
        <v>139.6324858643244</v>
      </c>
      <c r="J545" s="7" t="n">
        <v>149.7223129399811</v>
      </c>
      <c r="K545" s="7" t="n">
        <v>129.9728485633114</v>
      </c>
      <c r="L545" s="7" t="n">
        <v>125.9872814881219</v>
      </c>
      <c r="M545" s="7" t="n">
        <v>133.7366824692868</v>
      </c>
      <c r="N545" s="7" t="n">
        <v>147.2168618737368</v>
      </c>
      <c r="O545" s="8">
        <f>N545*$B$2/100</f>
        <v/>
      </c>
    </row>
    <row r="546">
      <c r="A546" s="6" t="n">
        <v>46238.47000989583</v>
      </c>
      <c r="B546" s="7" t="n">
        <v>144.487496892866</v>
      </c>
      <c r="C546" s="7" t="n">
        <v>160.1311393808438</v>
      </c>
      <c r="D546" s="7" t="n">
        <v>101.7768702598393</v>
      </c>
      <c r="E546" s="7" t="n">
        <v>82.91843279419966</v>
      </c>
      <c r="F546" s="7" t="n">
        <v>106.0825450783328</v>
      </c>
      <c r="G546" s="7" t="n">
        <v>121.6226744186046</v>
      </c>
      <c r="H546" s="7" t="n">
        <v>156.9115199299168</v>
      </c>
      <c r="I546" s="7" t="n">
        <v>126.6339639602828</v>
      </c>
      <c r="J546" s="7" t="n">
        <v>142.6488662930938</v>
      </c>
      <c r="K546" s="7" t="n">
        <v>73.49769421780773</v>
      </c>
      <c r="L546" s="7" t="n">
        <v>102.7466927976482</v>
      </c>
      <c r="M546" s="7" t="n">
        <v>90.52148694964409</v>
      </c>
      <c r="N546" s="7" t="n">
        <v>143.7016372253339</v>
      </c>
      <c r="O546" s="8">
        <f>N546*$B$2/100</f>
        <v/>
      </c>
    </row>
    <row r="547">
      <c r="A547" s="6" t="n">
        <v>46238.4700215625</v>
      </c>
      <c r="B547" s="7" t="n">
        <v>144.6141018557034</v>
      </c>
      <c r="C547" s="7" t="n">
        <v>145.3793550588637</v>
      </c>
      <c r="D547" s="7" t="n">
        <v>107.0246892084828</v>
      </c>
      <c r="E547" s="7" t="n">
        <v>161.104086768511</v>
      </c>
      <c r="F547" s="7" t="n">
        <v>109.1114544910777</v>
      </c>
      <c r="G547" s="7" t="n">
        <v>133.2869662205226</v>
      </c>
      <c r="H547" s="7" t="n">
        <v>141.9708575695645</v>
      </c>
      <c r="I547" s="7" t="n">
        <v>76.87909319899245</v>
      </c>
      <c r="J547" s="7" t="n">
        <v>129.1453196417225</v>
      </c>
      <c r="K547" s="7" t="n">
        <v>101.6012072750078</v>
      </c>
      <c r="L547" s="7" t="n">
        <v>125.1206164636397</v>
      </c>
      <c r="M547" s="7" t="n">
        <v>114.6082416817486</v>
      </c>
      <c r="N547" s="7" t="n">
        <v>140.1908767685653</v>
      </c>
      <c r="O547" s="8">
        <f>N547*$B$2/100</f>
        <v/>
      </c>
    </row>
    <row r="548">
      <c r="A548" s="6" t="n">
        <v>46238.47003324074</v>
      </c>
      <c r="B548" s="7" t="n">
        <v>122.938940053301</v>
      </c>
      <c r="C548" s="7" t="n">
        <v>157.3012171675232</v>
      </c>
      <c r="D548" s="7" t="n">
        <v>113.5829059240646</v>
      </c>
      <c r="E548" s="7" t="n">
        <v>160.420392474206</v>
      </c>
      <c r="F548" s="7" t="n">
        <v>121.8099902056807</v>
      </c>
      <c r="G548" s="7" t="n">
        <v>103.5775762094102</v>
      </c>
      <c r="H548" s="7" t="n">
        <v>147.2529272647175</v>
      </c>
      <c r="I548" s="7" t="n">
        <v>80.33621328067144</v>
      </c>
      <c r="J548" s="7" t="n">
        <v>146.739863307478</v>
      </c>
      <c r="K548" s="7" t="n">
        <v>90.37229829127531</v>
      </c>
      <c r="L548" s="7" t="n">
        <v>123.0949287028519</v>
      </c>
      <c r="M548" s="7" t="n">
        <v>107.0854908511123</v>
      </c>
      <c r="N548" s="7" t="n">
        <v>141.6070923398745</v>
      </c>
      <c r="O548" s="8">
        <f>N548*$B$2/100</f>
        <v/>
      </c>
    </row>
    <row r="549">
      <c r="A549" s="6" t="n">
        <v>46238.47004490741</v>
      </c>
      <c r="B549" s="7" t="n">
        <v>138.9400771786048</v>
      </c>
      <c r="C549" s="7" t="n">
        <v>159.8979795039904</v>
      </c>
      <c r="D549" s="7" t="n">
        <v>126.5138776045079</v>
      </c>
      <c r="E549" s="7" t="n">
        <v>118.6153100052227</v>
      </c>
      <c r="F549" s="7" t="n">
        <v>129.2279904974846</v>
      </c>
      <c r="G549" s="7" t="n">
        <v>126.081850955837</v>
      </c>
      <c r="H549" s="7" t="n">
        <v>154.8789164573661</v>
      </c>
      <c r="I549" s="7" t="n">
        <v>129.758285802374</v>
      </c>
      <c r="J549" s="7" t="n">
        <v>147.959391056864</v>
      </c>
      <c r="K549" s="7" t="n">
        <v>88.39249954487529</v>
      </c>
      <c r="L549" s="7" t="n">
        <v>122.2527448327933</v>
      </c>
      <c r="M549" s="7" t="n">
        <v>125.4417559296098</v>
      </c>
      <c r="N549" s="7" t="n">
        <v>145.1798330562364</v>
      </c>
      <c r="O549" s="8">
        <f>N549*$B$2/100</f>
        <v/>
      </c>
    </row>
    <row r="550">
      <c r="A550" s="6" t="n">
        <v>46238.47005655093</v>
      </c>
      <c r="B550" s="7" t="n">
        <v>155.3264644531418</v>
      </c>
      <c r="C550" s="7" t="n">
        <v>132.3976003060012</v>
      </c>
      <c r="D550" s="7" t="n">
        <v>119.3249855946102</v>
      </c>
      <c r="E550" s="7" t="n">
        <v>160.7306831088756</v>
      </c>
      <c r="F550" s="7" t="n">
        <v>107.2587409460789</v>
      </c>
      <c r="G550" s="7" t="n">
        <v>92.32246475423221</v>
      </c>
      <c r="H550" s="7" t="n">
        <v>137.9760599388198</v>
      </c>
      <c r="I550" s="7" t="n">
        <v>89.11728166141295</v>
      </c>
      <c r="J550" s="7" t="n">
        <v>147.8703213510509</v>
      </c>
      <c r="K550" s="7" t="n">
        <v>110.883973612728</v>
      </c>
      <c r="L550" s="7" t="n">
        <v>128.7379230387015</v>
      </c>
      <c r="M550" s="7" t="n">
        <v>140.3365384615385</v>
      </c>
      <c r="N550" s="7" t="n">
        <v>143.4747148173001</v>
      </c>
      <c r="O550" s="8">
        <f>N550*$B$2/100</f>
        <v/>
      </c>
    </row>
    <row r="551">
      <c r="A551" s="6" t="n">
        <v>46238.47006824074</v>
      </c>
      <c r="B551" s="7" t="n">
        <v>147.0717193020163</v>
      </c>
      <c r="C551" s="7" t="n">
        <v>118.8759502301006</v>
      </c>
      <c r="D551" s="7" t="n">
        <v>155.8655369528526</v>
      </c>
      <c r="E551" s="7" t="n">
        <v>141.7155553709741</v>
      </c>
      <c r="F551" s="7" t="n">
        <v>126.3991477272727</v>
      </c>
      <c r="G551" s="7" t="n">
        <v>117.1444428163235</v>
      </c>
      <c r="H551" s="7" t="n">
        <v>145.5698338856317</v>
      </c>
      <c r="I551" s="7" t="n">
        <v>108.8862562352323</v>
      </c>
      <c r="J551" s="7" t="n">
        <v>143.0806005793512</v>
      </c>
      <c r="K551" s="7" t="n">
        <v>147.7737153553529</v>
      </c>
      <c r="L551" s="7" t="n">
        <v>120.8066159818829</v>
      </c>
      <c r="M551" s="7" t="n">
        <v>89.22899262899263</v>
      </c>
      <c r="N551" s="7" t="n">
        <v>141.5924906045964</v>
      </c>
      <c r="O551" s="8">
        <f>N551*$B$2/100</f>
        <v/>
      </c>
    </row>
    <row r="552">
      <c r="A552" s="6" t="n">
        <v>46238.47007991898</v>
      </c>
      <c r="B552" s="7" t="n">
        <v>122.3741925620151</v>
      </c>
      <c r="C552" s="7" t="n">
        <v>160.522076394445</v>
      </c>
      <c r="D552" s="7" t="n">
        <v>127.4423211140284</v>
      </c>
      <c r="E552" s="7" t="n">
        <v>128.749789899916</v>
      </c>
      <c r="F552" s="7" t="n">
        <v>128.5464046347836</v>
      </c>
      <c r="G552" s="7" t="n">
        <v>127.8417545516554</v>
      </c>
      <c r="H552" s="7" t="n">
        <v>158.8692158205219</v>
      </c>
      <c r="I552" s="7" t="n">
        <v>144.6190313487657</v>
      </c>
      <c r="J552" s="7" t="n">
        <v>146.8804981240521</v>
      </c>
      <c r="K552" s="7" t="n">
        <v>157.2757506116095</v>
      </c>
      <c r="L552" s="7" t="n">
        <v>151.4481838262363</v>
      </c>
      <c r="M552" s="7" t="n">
        <v>126.1598412698413</v>
      </c>
      <c r="N552" s="7" t="n">
        <v>150.0086790180311</v>
      </c>
      <c r="O552" s="8">
        <f>N552*$B$2/100</f>
        <v/>
      </c>
    </row>
    <row r="553">
      <c r="A553" s="6" t="n">
        <v>46238.47009159722</v>
      </c>
      <c r="B553" s="7" t="n">
        <v>114.783869412494</v>
      </c>
      <c r="C553" s="7" t="n">
        <v>159.2291274583608</v>
      </c>
      <c r="D553" s="7" t="n">
        <v>151.3278279130484</v>
      </c>
      <c r="E553" s="7" t="n">
        <v>104.4180143632476</v>
      </c>
      <c r="F553" s="7" t="n">
        <v>121.8486707566462</v>
      </c>
      <c r="G553" s="7" t="n">
        <v>118.3878076561185</v>
      </c>
      <c r="H553" s="7" t="n">
        <v>148.5210873328668</v>
      </c>
      <c r="I553" s="7" t="n">
        <v>135.3836996336996</v>
      </c>
      <c r="J553" s="7" t="n">
        <v>118.0348170688557</v>
      </c>
      <c r="K553" s="7" t="n">
        <v>147.0127551503895</v>
      </c>
      <c r="L553" s="7" t="n">
        <v>145.9676793000049</v>
      </c>
      <c r="M553" s="7" t="n">
        <v>132.9596484218937</v>
      </c>
      <c r="N553" s="7" t="n">
        <v>142.8540700048254</v>
      </c>
      <c r="O553" s="8">
        <f>N553*$B$2/100</f>
        <v/>
      </c>
    </row>
    <row r="554">
      <c r="A554" s="6" t="n">
        <v>46238.47010326389</v>
      </c>
      <c r="B554" s="7" t="n">
        <v>110.4101559978483</v>
      </c>
      <c r="C554" s="7" t="n">
        <v>160.39935949425</v>
      </c>
      <c r="D554" s="7" t="n">
        <v>154.7805676310398</v>
      </c>
      <c r="E554" s="7" t="n">
        <v>114.9414730598122</v>
      </c>
      <c r="F554" s="7" t="n">
        <v>109.7409344990684</v>
      </c>
      <c r="G554" s="7" t="n">
        <v>117.5874475855539</v>
      </c>
      <c r="H554" s="7" t="n">
        <v>158.1451087753605</v>
      </c>
      <c r="I554" s="7" t="n">
        <v>108.0167612171222</v>
      </c>
      <c r="J554" s="7" t="n">
        <v>150.8148901048513</v>
      </c>
      <c r="K554" s="7" t="n">
        <v>92.51568212430249</v>
      </c>
      <c r="L554" s="7" t="n">
        <v>125.390317948718</v>
      </c>
      <c r="M554" s="7" t="n">
        <v>122.4686723181847</v>
      </c>
      <c r="N554" s="7" t="n">
        <v>144.7747836388828</v>
      </c>
      <c r="O554" s="8">
        <f>N554*$B$2/100</f>
        <v/>
      </c>
    </row>
    <row r="555">
      <c r="A555" s="6" t="n">
        <v>46238.470115</v>
      </c>
      <c r="B555" s="7" t="n">
        <v>149.5042174320525</v>
      </c>
      <c r="C555" s="7" t="n">
        <v>159.2691419215932</v>
      </c>
      <c r="D555" s="7" t="n">
        <v>108.049408014572</v>
      </c>
      <c r="E555" s="7" t="n">
        <v>132.715052198145</v>
      </c>
      <c r="F555" s="7" t="n">
        <v>134.4742549739561</v>
      </c>
      <c r="G555" s="7" t="n">
        <v>122.5076585472899</v>
      </c>
      <c r="H555" s="7" t="n">
        <v>149.3234093077203</v>
      </c>
      <c r="I555" s="7" t="n">
        <v>100.6809648606728</v>
      </c>
      <c r="J555" s="7" t="n">
        <v>142.9043442706736</v>
      </c>
      <c r="K555" s="7" t="n">
        <v>117.902514336127</v>
      </c>
      <c r="L555" s="7" t="n">
        <v>102.7856821048838</v>
      </c>
      <c r="M555" s="7" t="n">
        <v>133.3784726765232</v>
      </c>
      <c r="N555" s="7" t="n">
        <v>144.1812053563273</v>
      </c>
      <c r="O555" s="8">
        <f>N555*$B$2/100</f>
        <v/>
      </c>
    </row>
    <row r="556">
      <c r="A556" s="6" t="n">
        <v>46238.47012670139</v>
      </c>
      <c r="B556" s="7" t="n">
        <v>147.6991376776703</v>
      </c>
      <c r="C556" s="7" t="n">
        <v>116.992174049147</v>
      </c>
      <c r="D556" s="7" t="n">
        <v>154.7917386092446</v>
      </c>
      <c r="E556" s="7" t="n">
        <v>160.4789368831625</v>
      </c>
      <c r="F556" s="7" t="n">
        <v>120.224864347271</v>
      </c>
      <c r="G556" s="7" t="n">
        <v>118.2629757785467</v>
      </c>
      <c r="H556" s="7" t="n">
        <v>141.2926415065731</v>
      </c>
      <c r="I556" s="7" t="n">
        <v>102.9518699080588</v>
      </c>
      <c r="J556" s="7" t="n">
        <v>148.5034326123987</v>
      </c>
      <c r="K556" s="7" t="n">
        <v>132.4371904547501</v>
      </c>
      <c r="L556" s="7" t="n">
        <v>93.63975609756098</v>
      </c>
      <c r="M556" s="7" t="n">
        <v>103.7884856943475</v>
      </c>
      <c r="N556" s="7" t="n">
        <v>143.703101369002</v>
      </c>
      <c r="O556" s="8">
        <f>N556*$B$2/100</f>
        <v/>
      </c>
    </row>
    <row r="557">
      <c r="A557" s="6" t="n">
        <v>46238.47013834491</v>
      </c>
      <c r="B557" s="7" t="n">
        <v>119.3403042668322</v>
      </c>
      <c r="C557" s="7" t="n">
        <v>160.9306380878909</v>
      </c>
      <c r="D557" s="7" t="n">
        <v>152.9137536640037</v>
      </c>
      <c r="E557" s="7" t="n">
        <v>150.9221465219951</v>
      </c>
      <c r="F557" s="7" t="n">
        <v>149.9111976726986</v>
      </c>
      <c r="G557" s="7" t="n">
        <v>128.4556152758133</v>
      </c>
      <c r="H557" s="7" t="n">
        <v>159.5946130128733</v>
      </c>
      <c r="I557" s="7" t="n">
        <v>121.7604382332643</v>
      </c>
      <c r="J557" s="7" t="n">
        <v>124.0262003097574</v>
      </c>
      <c r="K557" s="7" t="n">
        <v>118.3812029574369</v>
      </c>
      <c r="L557" s="7" t="n">
        <v>126.6844156170651</v>
      </c>
      <c r="M557" s="7" t="n">
        <v>103.2024928744629</v>
      </c>
      <c r="N557" s="7" t="n">
        <v>146.5390466725278</v>
      </c>
      <c r="O557" s="8">
        <f>N557*$B$2/100</f>
        <v/>
      </c>
    </row>
    <row r="558">
      <c r="A558" s="6" t="n">
        <v>46238.47015003472</v>
      </c>
      <c r="B558" s="7" t="n">
        <v>141.755596733724</v>
      </c>
      <c r="C558" s="7" t="n">
        <v>159.4280059928226</v>
      </c>
      <c r="D558" s="7" t="n">
        <v>118.0319611046906</v>
      </c>
      <c r="E558" s="7" t="n">
        <v>142.7677924532547</v>
      </c>
      <c r="F558" s="7" t="n">
        <v>108.2541216795201</v>
      </c>
      <c r="G558" s="7" t="n">
        <v>124.1673364167109</v>
      </c>
      <c r="H558" s="7" t="n">
        <v>151.635893298725</v>
      </c>
      <c r="I558" s="7" t="n">
        <v>135.2822061458817</v>
      </c>
      <c r="J558" s="7" t="n">
        <v>142.9532854350758</v>
      </c>
      <c r="K558" s="7" t="n">
        <v>93.12347654807337</v>
      </c>
      <c r="L558" s="7" t="n">
        <v>123.041034070532</v>
      </c>
      <c r="M558" s="7" t="n">
        <v>115.1515768920582</v>
      </c>
      <c r="N558" s="7" t="n">
        <v>141.7838093121458</v>
      </c>
      <c r="O558" s="8">
        <f>N558*$B$2/100</f>
        <v/>
      </c>
    </row>
    <row r="559">
      <c r="A559" s="6" t="n">
        <v>46238.47016178241</v>
      </c>
      <c r="B559" s="7" t="n">
        <v>153.0100206359421</v>
      </c>
      <c r="C559" s="7" t="n">
        <v>151.9111159094605</v>
      </c>
      <c r="D559" s="7" t="n">
        <v>151.9083238653655</v>
      </c>
      <c r="E559" s="7" t="n">
        <v>155.3973290663571</v>
      </c>
      <c r="F559" s="7" t="n">
        <v>152.4449556209316</v>
      </c>
      <c r="G559" s="7" t="n">
        <v>151.8695950842239</v>
      </c>
      <c r="H559" s="7" t="n">
        <v>151.5122758860503</v>
      </c>
      <c r="I559" s="7" t="n">
        <v>151.728105670283</v>
      </c>
      <c r="J559" s="7" t="n">
        <v>150.7650617935102</v>
      </c>
      <c r="K559" s="7" t="n">
        <v>151.5493631587086</v>
      </c>
      <c r="L559" s="7" t="n">
        <v>151.630262510124</v>
      </c>
      <c r="M559" s="7" t="n">
        <v>151.7173752106295</v>
      </c>
      <c r="N559" s="7" t="n">
        <v>152.2571078180889</v>
      </c>
      <c r="O559" s="8">
        <f>N559*$B$2/100</f>
        <v/>
      </c>
    </row>
    <row r="560">
      <c r="A560" s="6" t="n">
        <v>46238.47017344907</v>
      </c>
      <c r="B560" s="7" t="n">
        <v>133.3808769369745</v>
      </c>
      <c r="C560" s="7" t="n">
        <v>140.2412878720012</v>
      </c>
      <c r="D560" s="7" t="n">
        <v>150.306874814666</v>
      </c>
      <c r="E560" s="7" t="n">
        <v>137.9724417951708</v>
      </c>
      <c r="F560" s="7" t="n">
        <v>146.0955531176933</v>
      </c>
      <c r="G560" s="7" t="n">
        <v>120.1463871050057</v>
      </c>
      <c r="H560" s="7" t="n">
        <v>154.4185092305759</v>
      </c>
      <c r="I560" s="7" t="n">
        <v>141.3668739848671</v>
      </c>
      <c r="J560" s="7" t="n">
        <v>139.9380576336935</v>
      </c>
      <c r="K560" s="7" t="n">
        <v>134.8156768907258</v>
      </c>
      <c r="L560" s="7" t="n">
        <v>155.1821995350248</v>
      </c>
      <c r="M560" s="7" t="n">
        <v>116.901010739103</v>
      </c>
      <c r="N560" s="7" t="n">
        <v>145.8468214770528</v>
      </c>
      <c r="O560" s="8">
        <f>N560*$B$2/100</f>
        <v/>
      </c>
    </row>
    <row r="561">
      <c r="A561" s="6" t="n">
        <v>46238.47018510417</v>
      </c>
      <c r="B561" s="7" t="n">
        <v>123.4159538683325</v>
      </c>
      <c r="C561" s="7" t="n">
        <v>158.8110356870273</v>
      </c>
      <c r="D561" s="7" t="n">
        <v>149.9272575700533</v>
      </c>
      <c r="E561" s="7" t="n">
        <v>85.75184734823684</v>
      </c>
      <c r="F561" s="7" t="n">
        <v>126.7754012996514</v>
      </c>
      <c r="G561" s="7" t="n">
        <v>126.7952547035418</v>
      </c>
      <c r="H561" s="7" t="n">
        <v>153.0674149589812</v>
      </c>
      <c r="I561" s="7" t="n">
        <v>125.8313370549022</v>
      </c>
      <c r="J561" s="7" t="n">
        <v>137.6848240203193</v>
      </c>
      <c r="K561" s="7" t="n">
        <v>138.1209536307962</v>
      </c>
      <c r="L561" s="7" t="n">
        <v>125.4504933205274</v>
      </c>
      <c r="M561" s="7" t="n">
        <v>105.1817059483726</v>
      </c>
      <c r="N561" s="7" t="n">
        <v>143.5381273940686</v>
      </c>
      <c r="O561" s="8">
        <f>N561*$B$2/100</f>
        <v/>
      </c>
    </row>
    <row r="562">
      <c r="A562" s="6" t="n">
        <v>46238.47019677083</v>
      </c>
      <c r="B562" s="7" t="n">
        <v>142.0919631148394</v>
      </c>
      <c r="C562" s="7" t="n">
        <v>155.8156063475253</v>
      </c>
      <c r="D562" s="7" t="n">
        <v>149.4881989469976</v>
      </c>
      <c r="E562" s="7" t="n">
        <v>130.9799465914244</v>
      </c>
      <c r="F562" s="7" t="n">
        <v>117.0995031467373</v>
      </c>
      <c r="G562" s="7" t="n">
        <v>130.8741414584247</v>
      </c>
      <c r="H562" s="7" t="n">
        <v>147.0796933415361</v>
      </c>
      <c r="I562" s="7" t="n">
        <v>116.5778261922053</v>
      </c>
      <c r="J562" s="7" t="n">
        <v>150.070114756748</v>
      </c>
      <c r="K562" s="7" t="n">
        <v>120.3553003827592</v>
      </c>
      <c r="L562" s="7" t="n">
        <v>132.4524304113004</v>
      </c>
      <c r="M562" s="7" t="n">
        <v>109.2383430367355</v>
      </c>
      <c r="N562" s="7" t="n">
        <v>143.4338767503213</v>
      </c>
      <c r="O562" s="8">
        <f>N562*$B$2/100</f>
        <v/>
      </c>
    </row>
    <row r="563">
      <c r="A563" s="6" t="n">
        <v>46238.47020842593</v>
      </c>
      <c r="B563" s="7" t="n">
        <v>124.0593625992064</v>
      </c>
      <c r="C563" s="7" t="n">
        <v>148.1600681651805</v>
      </c>
      <c r="D563" s="7" t="n">
        <v>148.0426266628927</v>
      </c>
      <c r="E563" s="7" t="n">
        <v>118.5488731432474</v>
      </c>
      <c r="F563" s="7" t="n">
        <v>153.0340223544045</v>
      </c>
      <c r="G563" s="7" t="n">
        <v>110.1678177544748</v>
      </c>
      <c r="H563" s="7" t="n">
        <v>155.2248289623717</v>
      </c>
      <c r="I563" s="7" t="n">
        <v>141.6620876582376</v>
      </c>
      <c r="J563" s="7" t="n">
        <v>146.5345361476239</v>
      </c>
      <c r="K563" s="7" t="n">
        <v>112.0264505119454</v>
      </c>
      <c r="L563" s="7" t="n">
        <v>101.669380167938</v>
      </c>
      <c r="M563" s="7" t="n">
        <v>95.011645813282</v>
      </c>
      <c r="N563" s="7" t="n">
        <v>141.7254276789616</v>
      </c>
      <c r="O563" s="8">
        <f>N563*$B$2/100</f>
        <v/>
      </c>
    </row>
    <row r="564">
      <c r="A564" s="6" t="n">
        <v>46238.47022010417</v>
      </c>
      <c r="B564" s="7" t="n">
        <v>149.728362249466</v>
      </c>
      <c r="C564" s="7" t="n">
        <v>158.4933276904154</v>
      </c>
      <c r="D564" s="7" t="n">
        <v>120.3529399434022</v>
      </c>
      <c r="E564" s="7" t="n">
        <v>102.9550344683518</v>
      </c>
      <c r="F564" s="7" t="n">
        <v>136.393025991098</v>
      </c>
      <c r="G564" s="7" t="n">
        <v>110.3897354626356</v>
      </c>
      <c r="H564" s="7" t="n">
        <v>142.2064535546826</v>
      </c>
      <c r="I564" s="7" t="n">
        <v>155.0505576776165</v>
      </c>
      <c r="J564" s="7" t="n">
        <v>152.1317399263155</v>
      </c>
      <c r="K564" s="7" t="n">
        <v>101.6913737280296</v>
      </c>
      <c r="L564" s="7" t="n">
        <v>108.31402168118</v>
      </c>
      <c r="M564" s="7" t="n">
        <v>100.1508511178862</v>
      </c>
      <c r="N564" s="7" t="n">
        <v>143.7984980559945</v>
      </c>
      <c r="O564" s="8">
        <f>N564*$B$2/100</f>
        <v/>
      </c>
    </row>
    <row r="565">
      <c r="A565" s="6" t="n">
        <v>46238.47023175926</v>
      </c>
      <c r="B565" s="7" t="n">
        <v>140.4551872539145</v>
      </c>
      <c r="C565" s="7" t="n">
        <v>148.1365984424529</v>
      </c>
      <c r="D565" s="7" t="n">
        <v>160.0818965875729</v>
      </c>
      <c r="E565" s="7" t="n">
        <v>126.0051831525763</v>
      </c>
      <c r="F565" s="7" t="n">
        <v>122.6613040759479</v>
      </c>
      <c r="G565" s="7" t="n">
        <v>105.1266983505731</v>
      </c>
      <c r="H565" s="7" t="n">
        <v>139.5825786201244</v>
      </c>
      <c r="I565" s="7" t="n">
        <v>78.68385635285496</v>
      </c>
      <c r="J565" s="7" t="n">
        <v>153.4202225428385</v>
      </c>
      <c r="K565" s="7" t="n">
        <v>138.0425142392189</v>
      </c>
      <c r="L565" s="7" t="n">
        <v>81.27829848594088</v>
      </c>
      <c r="M565" s="7" t="n">
        <v>132.7509921644449</v>
      </c>
      <c r="N565" s="7" t="n">
        <v>145.0604265402844</v>
      </c>
      <c r="O565" s="8">
        <f>N565*$B$2/100</f>
        <v/>
      </c>
    </row>
    <row r="566">
      <c r="A566" s="6" t="n">
        <v>46238.4702434375</v>
      </c>
      <c r="B566" s="7" t="n">
        <v>115.5468134465552</v>
      </c>
      <c r="C566" s="7" t="n">
        <v>160.1854956700542</v>
      </c>
      <c r="D566" s="7" t="n">
        <v>148.2175162677335</v>
      </c>
      <c r="E566" s="7" t="n">
        <v>109.9697005632968</v>
      </c>
      <c r="F566" s="7" t="n">
        <v>112.0901901494447</v>
      </c>
      <c r="G566" s="7" t="n">
        <v>106.120070809425</v>
      </c>
      <c r="H566" s="7" t="n">
        <v>160.0224450636299</v>
      </c>
      <c r="I566" s="7" t="n">
        <v>124.9157690817513</v>
      </c>
      <c r="J566" s="7" t="n">
        <v>146.6607048071819</v>
      </c>
      <c r="K566" s="7" t="n">
        <v>99.23830533401211</v>
      </c>
      <c r="L566" s="7" t="n">
        <v>90.24702422629883</v>
      </c>
      <c r="M566" s="7" t="n">
        <v>114.2661483253589</v>
      </c>
      <c r="N566" s="7" t="n">
        <v>143.9007854485324</v>
      </c>
      <c r="O566" s="8">
        <f>N566*$B$2/100</f>
        <v/>
      </c>
    </row>
    <row r="567">
      <c r="A567" s="6" t="n">
        <v>46238.47025510417</v>
      </c>
      <c r="B567" s="7" t="n">
        <v>122.0347664830219</v>
      </c>
      <c r="C567" s="7" t="n">
        <v>102.5550340171932</v>
      </c>
      <c r="D567" s="7" t="n">
        <v>121.841710980864</v>
      </c>
      <c r="E567" s="7" t="n">
        <v>139.2914230239541</v>
      </c>
      <c r="F567" s="7" t="n">
        <v>155.2417197657205</v>
      </c>
      <c r="G567" s="7" t="n">
        <v>99.4718491898367</v>
      </c>
      <c r="H567" s="7" t="n">
        <v>163.3628539761462</v>
      </c>
      <c r="I567" s="7" t="n">
        <v>129.5138230001636</v>
      </c>
      <c r="J567" s="7" t="n">
        <v>150.6386315375541</v>
      </c>
      <c r="K567" s="7" t="n">
        <v>102.545419072889</v>
      </c>
      <c r="L567" s="7" t="n">
        <v>77.23361330698287</v>
      </c>
      <c r="M567" s="7" t="n">
        <v>78.30834091598423</v>
      </c>
      <c r="N567" s="7" t="n">
        <v>143.2672582808792</v>
      </c>
      <c r="O567" s="8">
        <f>N567*$B$2/100</f>
        <v/>
      </c>
    </row>
    <row r="568">
      <c r="A568" s="6" t="n">
        <v>46238.47026681713</v>
      </c>
      <c r="B568" s="7" t="n">
        <v>144.9663046717973</v>
      </c>
      <c r="C568" s="7" t="n">
        <v>158.1920152661678</v>
      </c>
      <c r="D568" s="7" t="n">
        <v>119.4806324110672</v>
      </c>
      <c r="E568" s="7" t="n">
        <v>125.1941863100635</v>
      </c>
      <c r="F568" s="7" t="n">
        <v>148.8475518594655</v>
      </c>
      <c r="G568" s="7" t="n">
        <v>126.7766162681143</v>
      </c>
      <c r="H568" s="7" t="n">
        <v>142.3830057865601</v>
      </c>
      <c r="I568" s="7" t="n">
        <v>115.6523871811642</v>
      </c>
      <c r="J568" s="7" t="n">
        <v>149.64697265625</v>
      </c>
      <c r="K568" s="7" t="n">
        <v>67.4642521902378</v>
      </c>
      <c r="L568" s="7" t="n">
        <v>139.1829198336441</v>
      </c>
      <c r="M568" s="7" t="n">
        <v>106.8464092984641</v>
      </c>
      <c r="N568" s="7" t="n">
        <v>143.2852133255406</v>
      </c>
      <c r="O568" s="8">
        <f>N568*$B$2/100</f>
        <v/>
      </c>
    </row>
    <row r="569">
      <c r="A569" s="6" t="n">
        <v>46238.47027848379</v>
      </c>
      <c r="B569" s="7" t="n">
        <v>140.102791864509</v>
      </c>
      <c r="C569" s="7" t="n">
        <v>125.2079289197933</v>
      </c>
      <c r="D569" s="7" t="n">
        <v>130.4029395810193</v>
      </c>
      <c r="E569" s="7" t="n">
        <v>158.1148779542813</v>
      </c>
      <c r="F569" s="7" t="n">
        <v>129.3957562951224</v>
      </c>
      <c r="G569" s="7" t="n">
        <v>121.7743152838927</v>
      </c>
      <c r="H569" s="7" t="n">
        <v>156.9844117747382</v>
      </c>
      <c r="I569" s="7" t="n">
        <v>121.9307109346806</v>
      </c>
      <c r="J569" s="7" t="n">
        <v>147.7125839256756</v>
      </c>
      <c r="K569" s="7" t="n">
        <v>142.6964290189199</v>
      </c>
      <c r="L569" s="7" t="n">
        <v>85.50862630208333</v>
      </c>
      <c r="M569" s="7" t="n">
        <v>80.67475102519039</v>
      </c>
      <c r="N569" s="7" t="n">
        <v>144.9270018263962</v>
      </c>
      <c r="O569" s="8">
        <f>N569*$B$2/100</f>
        <v/>
      </c>
    </row>
    <row r="570">
      <c r="A570" s="6" t="n">
        <v>46238.47029024306</v>
      </c>
      <c r="B570" s="7" t="n">
        <v>130.6091255498242</v>
      </c>
      <c r="C570" s="7" t="n">
        <v>116.7406282892074</v>
      </c>
      <c r="D570" s="7" t="n">
        <v>153.2873295147116</v>
      </c>
      <c r="E570" s="7" t="n">
        <v>95.41493250843645</v>
      </c>
      <c r="F570" s="7" t="n">
        <v>113.9815239843929</v>
      </c>
      <c r="G570" s="7" t="n">
        <v>106.3843375105918</v>
      </c>
      <c r="H570" s="7" t="n">
        <v>161.640196422308</v>
      </c>
      <c r="I570" s="7" t="n">
        <v>131.5048333126782</v>
      </c>
      <c r="J570" s="7" t="n">
        <v>140.3714085349504</v>
      </c>
      <c r="K570" s="7" t="n">
        <v>118.4355313298924</v>
      </c>
      <c r="L570" s="7" t="n">
        <v>124.44334898886</v>
      </c>
      <c r="M570" s="7" t="n">
        <v>95.13232200199313</v>
      </c>
      <c r="N570" s="7" t="n">
        <v>142.9120898403229</v>
      </c>
      <c r="O570" s="8">
        <f>N570*$B$2/100</f>
        <v/>
      </c>
    </row>
    <row r="571">
      <c r="A571" s="6" t="n">
        <v>46238.47030193287</v>
      </c>
      <c r="B571" s="7" t="n">
        <v>110.4115899808642</v>
      </c>
      <c r="C571" s="7" t="n">
        <v>157.0834007816294</v>
      </c>
      <c r="D571" s="7" t="n">
        <v>158.4722686504587</v>
      </c>
      <c r="E571" s="7" t="n">
        <v>128.8711495608861</v>
      </c>
      <c r="F571" s="7" t="n">
        <v>116.4551993802796</v>
      </c>
      <c r="G571" s="7" t="n">
        <v>113.4942590250073</v>
      </c>
      <c r="H571" s="7" t="n">
        <v>139.2445625527074</v>
      </c>
      <c r="I571" s="7" t="n">
        <v>98.67955721679125</v>
      </c>
      <c r="J571" s="7" t="n">
        <v>148.0041918175721</v>
      </c>
      <c r="K571" s="7" t="n">
        <v>134.868273654731</v>
      </c>
      <c r="L571" s="7" t="n">
        <v>107.3618340901539</v>
      </c>
      <c r="M571" s="7" t="n">
        <v>131.9443162784818</v>
      </c>
      <c r="N571" s="7" t="n">
        <v>144.6535992618912</v>
      </c>
      <c r="O571" s="8">
        <f>N571*$B$2/100</f>
        <v/>
      </c>
    </row>
    <row r="572">
      <c r="A572" s="6" t="n">
        <v>46238.47031361111</v>
      </c>
      <c r="B572" s="7" t="n">
        <v>101.5454834985469</v>
      </c>
      <c r="C572" s="7" t="n">
        <v>158.5480879735738</v>
      </c>
      <c r="D572" s="7" t="n">
        <v>142.1739320236982</v>
      </c>
      <c r="E572" s="7" t="n">
        <v>103.6310995445673</v>
      </c>
      <c r="F572" s="7" t="n">
        <v>110.9385940409683</v>
      </c>
      <c r="G572" s="7" t="n">
        <v>102.0764486284694</v>
      </c>
      <c r="H572" s="7" t="n">
        <v>139.6990254534974</v>
      </c>
      <c r="I572" s="7" t="n">
        <v>104.4127643324264</v>
      </c>
      <c r="J572" s="7" t="n">
        <v>130.373977559522</v>
      </c>
      <c r="K572" s="7" t="n">
        <v>72.59616423554836</v>
      </c>
      <c r="L572" s="7" t="n">
        <v>92.62808873450699</v>
      </c>
      <c r="M572" s="7" t="n">
        <v>88.17840404538727</v>
      </c>
      <c r="N572" s="7" t="n">
        <v>129.1195985503206</v>
      </c>
      <c r="O572" s="8">
        <f>N572*$B$2/100</f>
        <v/>
      </c>
    </row>
    <row r="573">
      <c r="A573" s="6" t="n">
        <v>46238.47032533565</v>
      </c>
      <c r="B573" s="7" t="n">
        <v>79.21466863033874</v>
      </c>
      <c r="C573" s="7" t="n">
        <v>86.37661624995712</v>
      </c>
      <c r="D573" s="7" t="n">
        <v>103.5220144822929</v>
      </c>
      <c r="E573" s="7" t="n">
        <v>89.75244100895037</v>
      </c>
      <c r="F573" s="7" t="n">
        <v>106.0662064184407</v>
      </c>
      <c r="G573" s="7" t="n">
        <v>81.29476572212458</v>
      </c>
      <c r="H573" s="7" t="n">
        <v>118.4182054322661</v>
      </c>
      <c r="I573" s="7" t="n">
        <v>89.94944698916322</v>
      </c>
      <c r="J573" s="7" t="n">
        <v>84.18296333250187</v>
      </c>
      <c r="K573" s="7" t="n">
        <v>62.98289855072463</v>
      </c>
      <c r="L573" s="7" t="n">
        <v>74.58333333333333</v>
      </c>
      <c r="M573" s="7" t="n">
        <v>65.03666054296795</v>
      </c>
      <c r="N573" s="7" t="n">
        <v>88.69861898247672</v>
      </c>
      <c r="O573" s="8">
        <f>N573*$B$2/100</f>
        <v/>
      </c>
    </row>
    <row r="574">
      <c r="A574" s="6" t="n">
        <v>46238.47033704861</v>
      </c>
      <c r="B574" s="7" t="n">
        <v>146.7836390365586</v>
      </c>
      <c r="C574" s="7" t="n">
        <v>149.6609098771068</v>
      </c>
      <c r="D574" s="7" t="n">
        <v>149.5322868264124</v>
      </c>
      <c r="E574" s="7" t="n">
        <v>150.9696381469436</v>
      </c>
      <c r="F574" s="7" t="n">
        <v>150.6318136627418</v>
      </c>
      <c r="G574" s="7" t="n">
        <v>150.088917406704</v>
      </c>
      <c r="H574" s="7" t="n">
        <v>150.3051716575128</v>
      </c>
      <c r="I574" s="7" t="n">
        <v>153.010607049194</v>
      </c>
      <c r="J574" s="7" t="n">
        <v>151.5811192420976</v>
      </c>
      <c r="K574" s="7" t="n">
        <v>150.6517507677779</v>
      </c>
      <c r="L574" s="7" t="n">
        <v>149.8507171351337</v>
      </c>
      <c r="M574" s="7" t="n">
        <v>150.1045363780115</v>
      </c>
      <c r="N574" s="7" t="n">
        <v>150.3888830737121</v>
      </c>
      <c r="O574" s="8">
        <f>N574*$B$2/100</f>
        <v/>
      </c>
    </row>
    <row r="575">
      <c r="A575" s="6" t="n">
        <v>46238.47034866898</v>
      </c>
      <c r="B575" s="7" t="n">
        <v>145.7910581816972</v>
      </c>
      <c r="C575" s="7" t="n">
        <v>116.4006280114775</v>
      </c>
      <c r="D575" s="7" t="n">
        <v>117.1656300798643</v>
      </c>
      <c r="E575" s="7" t="n">
        <v>99.23042647994907</v>
      </c>
      <c r="F575" s="7" t="n">
        <v>119.7895368439098</v>
      </c>
      <c r="G575" s="7" t="n">
        <v>125.6450223530695</v>
      </c>
      <c r="H575" s="7" t="n">
        <v>153.5142775809095</v>
      </c>
      <c r="I575" s="7" t="n">
        <v>141.4064334350787</v>
      </c>
      <c r="J575" s="7" t="n">
        <v>121.2345398138573</v>
      </c>
      <c r="K575" s="7" t="n">
        <v>122.2969305633539</v>
      </c>
      <c r="L575" s="7" t="n">
        <v>122.7994943522408</v>
      </c>
      <c r="M575" s="7" t="n">
        <v>102.6123116908119</v>
      </c>
      <c r="N575" s="7" t="n">
        <v>134.5601376038973</v>
      </c>
      <c r="O575" s="8">
        <f>N575*$B$2/100</f>
        <v/>
      </c>
    </row>
    <row r="576">
      <c r="A576" s="6" t="n">
        <v>46238.47036033565</v>
      </c>
      <c r="B576" s="7" t="n">
        <v>68.74174351026734</v>
      </c>
      <c r="C576" s="7" t="n">
        <v>86.08919971523096</v>
      </c>
      <c r="D576" s="7" t="n">
        <v>94.21507239566508</v>
      </c>
      <c r="E576" s="7" t="n">
        <v>74.34507316530352</v>
      </c>
      <c r="F576" s="7" t="n">
        <v>106.4605754639897</v>
      </c>
      <c r="G576" s="7" t="n">
        <v>70.37780128883331</v>
      </c>
      <c r="H576" s="7" t="n">
        <v>68.16221049807744</v>
      </c>
      <c r="I576" s="7" t="n">
        <v>57.6220997421993</v>
      </c>
      <c r="J576" s="7" t="n">
        <v>68.63005973982469</v>
      </c>
      <c r="K576" s="7" t="n">
        <v>63.87152544443766</v>
      </c>
      <c r="L576" s="7" t="n">
        <v>72.49200583076887</v>
      </c>
      <c r="M576" s="7" t="n">
        <v>57.82951839110876</v>
      </c>
      <c r="N576" s="7" t="n">
        <v>76.34880854560394</v>
      </c>
      <c r="O576" s="8">
        <f>N576*$B$2/100</f>
        <v/>
      </c>
    </row>
    <row r="577">
      <c r="A577" s="6" t="n">
        <v>46238.47037207176</v>
      </c>
      <c r="B577" s="7" t="n">
        <v>65.09037693528093</v>
      </c>
      <c r="C577" s="7" t="n">
        <v>87.33266459451822</v>
      </c>
      <c r="D577" s="7" t="n">
        <v>80.57838236499221</v>
      </c>
      <c r="E577" s="7" t="n">
        <v>59.59342285557687</v>
      </c>
      <c r="F577" s="7" t="n">
        <v>103.6270878721859</v>
      </c>
      <c r="G577" s="7" t="n">
        <v>93.78916563421198</v>
      </c>
      <c r="H577" s="7" t="n">
        <v>83.84820522284765</v>
      </c>
      <c r="I577" s="7" t="n">
        <v>83.3016112129945</v>
      </c>
      <c r="J577" s="7" t="n">
        <v>65.00778235563403</v>
      </c>
      <c r="K577" s="7" t="n">
        <v>89.57480506822613</v>
      </c>
      <c r="L577" s="7" t="n">
        <v>55.21272715839779</v>
      </c>
      <c r="M577" s="7" t="n">
        <v>65.2961678591809</v>
      </c>
      <c r="N577" s="7" t="n">
        <v>75.18879110358287</v>
      </c>
      <c r="O577" s="8">
        <f>N577*$B$2/100</f>
        <v/>
      </c>
    </row>
    <row r="578">
      <c r="A578" s="6" t="n">
        <v>46238.47038387731</v>
      </c>
      <c r="B578" s="7" t="n">
        <v>150.0436879817153</v>
      </c>
      <c r="C578" s="7" t="n">
        <v>103.5429648949669</v>
      </c>
      <c r="D578" s="7" t="n">
        <v>75.54836792733138</v>
      </c>
      <c r="E578" s="7" t="n">
        <v>77.09586502204895</v>
      </c>
      <c r="F578" s="7" t="n">
        <v>80.59115206637945</v>
      </c>
      <c r="G578" s="7" t="n">
        <v>81.45394611485843</v>
      </c>
      <c r="H578" s="7" t="n">
        <v>71.27378180060636</v>
      </c>
      <c r="I578" s="7" t="n">
        <v>95.26956353305785</v>
      </c>
      <c r="J578" s="7" t="n">
        <v>64.74487564908445</v>
      </c>
      <c r="K578" s="7" t="n">
        <v>70.41431604488929</v>
      </c>
      <c r="L578" s="7" t="n">
        <v>74.42074670243684</v>
      </c>
      <c r="M578" s="7" t="n">
        <v>61.66187445127304</v>
      </c>
      <c r="N578" s="7" t="n">
        <v>115.1341116894078</v>
      </c>
      <c r="O578" s="8">
        <f>N578*$B$2/100</f>
        <v/>
      </c>
    </row>
    <row r="579">
      <c r="A579" s="6" t="n">
        <v>46238.47039559028</v>
      </c>
      <c r="B579" s="7" t="n">
        <v>157.0548987326387</v>
      </c>
      <c r="C579" s="7" t="n">
        <v>136.1036217303823</v>
      </c>
      <c r="D579" s="7" t="n">
        <v>160.4343184085519</v>
      </c>
      <c r="E579" s="7" t="n">
        <v>127.8786790000764</v>
      </c>
      <c r="F579" s="7" t="n">
        <v>132.8267309401341</v>
      </c>
      <c r="G579" s="7" t="n">
        <v>123.5376186021649</v>
      </c>
      <c r="H579" s="7" t="n">
        <v>142.6795354996435</v>
      </c>
      <c r="I579" s="7" t="n">
        <v>111.2156192859205</v>
      </c>
      <c r="J579" s="7" t="n">
        <v>155.4271309304379</v>
      </c>
      <c r="K579" s="7" t="n">
        <v>125.7840549936789</v>
      </c>
      <c r="L579" s="7" t="n">
        <v>136.8291302110139</v>
      </c>
      <c r="M579" s="7" t="n">
        <v>158.4762952650409</v>
      </c>
      <c r="N579" s="7" t="n">
        <v>149.8089784461848</v>
      </c>
      <c r="O579" s="8">
        <f>N579*$B$2/100</f>
        <v/>
      </c>
    </row>
    <row r="580">
      <c r="A580" s="6" t="n">
        <v>46238.47040726852</v>
      </c>
      <c r="B580" s="7" t="n">
        <v>120.9891500529013</v>
      </c>
      <c r="C580" s="7" t="n">
        <v>118.0211494688923</v>
      </c>
      <c r="D580" s="7" t="n">
        <v>159.5661315060197</v>
      </c>
      <c r="E580" s="7" t="n">
        <v>140.341049175033</v>
      </c>
      <c r="F580" s="7" t="n">
        <v>104.2704335319499</v>
      </c>
      <c r="G580" s="7" t="n">
        <v>115.5935509911203</v>
      </c>
      <c r="H580" s="7" t="n">
        <v>159.8828543501646</v>
      </c>
      <c r="I580" s="7" t="n">
        <v>103.6307940346634</v>
      </c>
      <c r="J580" s="7" t="n">
        <v>137.5139306081581</v>
      </c>
      <c r="K580" s="7" t="n">
        <v>142.9562935110383</v>
      </c>
      <c r="L580" s="7" t="n">
        <v>95.71439352014892</v>
      </c>
      <c r="M580" s="7" t="n">
        <v>124.0486311239193</v>
      </c>
      <c r="N580" s="7" t="n">
        <v>143.7976296296296</v>
      </c>
      <c r="O580" s="8">
        <f>N580*$B$2/100</f>
        <v/>
      </c>
    </row>
    <row r="581">
      <c r="A581" s="6" t="n">
        <v>46238.47041894676</v>
      </c>
      <c r="B581" s="7" t="n">
        <v>118.3523110082222</v>
      </c>
      <c r="C581" s="7" t="n">
        <v>156.6720524329343</v>
      </c>
      <c r="D581" s="7" t="n">
        <v>157.5138052070934</v>
      </c>
      <c r="E581" s="7" t="n">
        <v>112.874365087592</v>
      </c>
      <c r="F581" s="7" t="n">
        <v>105.8362779303689</v>
      </c>
      <c r="G581" s="7" t="n">
        <v>129.475249989627</v>
      </c>
      <c r="H581" s="7" t="n">
        <v>141.2333226888073</v>
      </c>
      <c r="I581" s="7" t="n">
        <v>129.5802568680527</v>
      </c>
      <c r="J581" s="7" t="n">
        <v>147.6467940708769</v>
      </c>
      <c r="K581" s="7" t="n">
        <v>86.3569613103643</v>
      </c>
      <c r="L581" s="7" t="n">
        <v>87.41332344056389</v>
      </c>
      <c r="M581" s="7" t="n">
        <v>105.6563251976624</v>
      </c>
      <c r="N581" s="7" t="n">
        <v>142.6918627987594</v>
      </c>
      <c r="O581" s="8">
        <f>N581*$B$2/100</f>
        <v/>
      </c>
    </row>
    <row r="582">
      <c r="A582" s="6" t="n">
        <v>46238.470430625</v>
      </c>
      <c r="B582" s="7" t="n">
        <v>158.4830548360337</v>
      </c>
      <c r="C582" s="7" t="n">
        <v>135.4698378475497</v>
      </c>
      <c r="D582" s="7" t="n">
        <v>125.5223815096548</v>
      </c>
      <c r="E582" s="7" t="n">
        <v>114.1063628546862</v>
      </c>
      <c r="F582" s="7" t="n">
        <v>128.0549078600978</v>
      </c>
      <c r="G582" s="7" t="n">
        <v>93.06629742911466</v>
      </c>
      <c r="H582" s="7" t="n">
        <v>133.8231312690798</v>
      </c>
      <c r="I582" s="7" t="n">
        <v>117.2038487357351</v>
      </c>
      <c r="J582" s="7" t="n">
        <v>147.893679602353</v>
      </c>
      <c r="K582" s="7" t="n">
        <v>133.0067275159336</v>
      </c>
      <c r="L582" s="7" t="n">
        <v>84.6163910145643</v>
      </c>
      <c r="M582" s="7" t="n">
        <v>75.51987860394537</v>
      </c>
      <c r="N582" s="7" t="n">
        <v>143.4832405083951</v>
      </c>
      <c r="O582" s="8">
        <f>N582*$B$2/100</f>
        <v/>
      </c>
    </row>
    <row r="583">
      <c r="A583" s="6" t="n">
        <v>46238.47044231481</v>
      </c>
      <c r="B583" s="7" t="n">
        <v>121.0097698771119</v>
      </c>
      <c r="C583" s="7" t="n">
        <v>146.9699473860639</v>
      </c>
      <c r="D583" s="7" t="n">
        <v>156.8098011386809</v>
      </c>
      <c r="E583" s="7" t="n">
        <v>93.18477602905568</v>
      </c>
      <c r="F583" s="7" t="n">
        <v>131.7707807150474</v>
      </c>
      <c r="G583" s="7" t="n">
        <v>94.15940138420842</v>
      </c>
      <c r="H583" s="7" t="n">
        <v>159.9007052246143</v>
      </c>
      <c r="I583" s="7" t="n">
        <v>121.1734377422856</v>
      </c>
      <c r="J583" s="7" t="n">
        <v>152.0550067823728</v>
      </c>
      <c r="K583" s="7" t="n">
        <v>92.38894878706199</v>
      </c>
      <c r="L583" s="7" t="n">
        <v>133.9068304244775</v>
      </c>
      <c r="M583" s="7" t="n">
        <v>77.2171879567378</v>
      </c>
      <c r="N583" s="7" t="n">
        <v>142.9103320123628</v>
      </c>
      <c r="O583" s="8">
        <f>N583*$B$2/100</f>
        <v/>
      </c>
    </row>
    <row r="584">
      <c r="A584" s="6" t="n">
        <v>46238.47045401621</v>
      </c>
      <c r="B584" s="7" t="n">
        <v>155.1376711013578</v>
      </c>
      <c r="C584" s="7" t="n">
        <v>154.0423794975196</v>
      </c>
      <c r="D584" s="7" t="n">
        <v>113.2662594322673</v>
      </c>
      <c r="E584" s="7" t="n">
        <v>135.9817269714441</v>
      </c>
      <c r="F584" s="7" t="n">
        <v>127.8370030885723</v>
      </c>
      <c r="G584" s="7" t="n">
        <v>112.8588571192121</v>
      </c>
      <c r="H584" s="7" t="n">
        <v>148.2676725919802</v>
      </c>
      <c r="I584" s="7" t="n">
        <v>89.87030553787396</v>
      </c>
      <c r="J584" s="7" t="n">
        <v>141.8768898973334</v>
      </c>
      <c r="K584" s="7" t="n">
        <v>111.2334529147982</v>
      </c>
      <c r="L584" s="7" t="n">
        <v>119.689988720648</v>
      </c>
      <c r="M584" s="7" t="n">
        <v>79.87817967156811</v>
      </c>
      <c r="N584" s="7" t="n">
        <v>143.5107152909011</v>
      </c>
      <c r="O584" s="8">
        <f>N584*$B$2/100</f>
        <v/>
      </c>
    </row>
    <row r="585">
      <c r="A585" s="6" t="n">
        <v>46238.47046570602</v>
      </c>
      <c r="B585" s="7" t="n">
        <v>103.8785741555649</v>
      </c>
      <c r="C585" s="7" t="n">
        <v>151.761855495251</v>
      </c>
      <c r="D585" s="7" t="n">
        <v>156.0780453805335</v>
      </c>
      <c r="E585" s="7" t="n">
        <v>153.6803458130145</v>
      </c>
      <c r="F585" s="7" t="n">
        <v>113.7741984328273</v>
      </c>
      <c r="G585" s="7" t="n">
        <v>115.8978071026586</v>
      </c>
      <c r="H585" s="7" t="n">
        <v>144.0369234700396</v>
      </c>
      <c r="I585" s="7" t="n">
        <v>123.0468558796826</v>
      </c>
      <c r="J585" s="7" t="n">
        <v>147.8328413595345</v>
      </c>
      <c r="K585" s="7" t="n">
        <v>78.41194690265486</v>
      </c>
      <c r="L585" s="7" t="n">
        <v>98.38225493994575</v>
      </c>
      <c r="M585" s="7" t="n">
        <v>98.87013398874177</v>
      </c>
      <c r="N585" s="7" t="n">
        <v>141.1082784095024</v>
      </c>
      <c r="O585" s="8">
        <f>N585*$B$2/100</f>
        <v/>
      </c>
    </row>
    <row r="586">
      <c r="A586" s="6" t="n">
        <v>46238.47047741898</v>
      </c>
      <c r="B586" s="7" t="n">
        <v>133.324550391966</v>
      </c>
      <c r="C586" s="7" t="n">
        <v>158.3266411968853</v>
      </c>
      <c r="D586" s="7" t="n">
        <v>130.2762182798114</v>
      </c>
      <c r="E586" s="7" t="n">
        <v>94.74952879581151</v>
      </c>
      <c r="F586" s="7" t="n">
        <v>104.2913805077552</v>
      </c>
      <c r="G586" s="7" t="n">
        <v>115.2607680215585</v>
      </c>
      <c r="H586" s="7" t="n">
        <v>157.7361880197916</v>
      </c>
      <c r="I586" s="7" t="n">
        <v>111.5437129919889</v>
      </c>
      <c r="J586" s="7" t="n">
        <v>126.9090600610791</v>
      </c>
      <c r="K586" s="7" t="n">
        <v>95.922789766002</v>
      </c>
      <c r="L586" s="7" t="n">
        <v>98.33940704138357</v>
      </c>
      <c r="M586" s="7" t="n">
        <v>92.82967959527825</v>
      </c>
      <c r="N586" s="7" t="n">
        <v>142.7591280544262</v>
      </c>
      <c r="O586" s="8">
        <f>N586*$B$2/100</f>
        <v/>
      </c>
    </row>
    <row r="587">
      <c r="A587" s="6" t="n">
        <v>46238.47048912037</v>
      </c>
      <c r="B587" s="7" t="n">
        <v>152.9314101290482</v>
      </c>
      <c r="C587" s="7" t="n">
        <v>152.7169370688659</v>
      </c>
      <c r="D587" s="7" t="n">
        <v>116.6611430809557</v>
      </c>
      <c r="E587" s="7" t="n">
        <v>147.6901834996825</v>
      </c>
      <c r="F587" s="7" t="n">
        <v>106.3832767402377</v>
      </c>
      <c r="G587" s="7" t="n">
        <v>112.985631882538</v>
      </c>
      <c r="H587" s="7" t="n">
        <v>139.7927215189873</v>
      </c>
      <c r="I587" s="7" t="n">
        <v>100.9436171000963</v>
      </c>
      <c r="J587" s="7" t="n">
        <v>146.0478734611564</v>
      </c>
      <c r="K587" s="7" t="n">
        <v>103.6387513455328</v>
      </c>
      <c r="L587" s="7" t="n">
        <v>126.6590038314176</v>
      </c>
      <c r="M587" s="7" t="n">
        <v>77.02459724950884</v>
      </c>
      <c r="N587" s="7" t="n">
        <v>141.6886438968151</v>
      </c>
      <c r="O587" s="8">
        <f>N587*$B$2/100</f>
        <v/>
      </c>
    </row>
    <row r="588">
      <c r="A588" s="6" t="n">
        <v>46238.47050078704</v>
      </c>
      <c r="B588" s="7" t="n">
        <v>152.4482215861571</v>
      </c>
      <c r="C588" s="7" t="n">
        <v>138.9997815305966</v>
      </c>
      <c r="D588" s="7" t="n">
        <v>125.4244226848912</v>
      </c>
      <c r="E588" s="7" t="n">
        <v>155.3058105752469</v>
      </c>
      <c r="F588" s="7" t="n">
        <v>125.1604431541362</v>
      </c>
      <c r="G588" s="7" t="n">
        <v>157.7204189938582</v>
      </c>
      <c r="H588" s="7" t="n">
        <v>143.8184153685037</v>
      </c>
      <c r="I588" s="7" t="n">
        <v>90.51796843919905</v>
      </c>
      <c r="J588" s="7" t="n">
        <v>145.959690364927</v>
      </c>
      <c r="K588" s="7" t="n">
        <v>90.5817472698908</v>
      </c>
      <c r="L588" s="7" t="n">
        <v>104.9124470686467</v>
      </c>
      <c r="M588" s="7" t="n">
        <v>111.1598057609535</v>
      </c>
      <c r="N588" s="7" t="n">
        <v>143.7301298025068</v>
      </c>
      <c r="O588" s="8">
        <f>N588*$B$2/100</f>
        <v/>
      </c>
    </row>
    <row r="589">
      <c r="A589" s="6" t="n">
        <v>46238.47051255787</v>
      </c>
      <c r="B589" s="7" t="n">
        <v>151.4269118642663</v>
      </c>
      <c r="C589" s="7" t="n">
        <v>153.6454081573832</v>
      </c>
      <c r="D589" s="7" t="n">
        <v>151.7565603874289</v>
      </c>
      <c r="E589" s="7" t="n">
        <v>153.0508860403984</v>
      </c>
      <c r="F589" s="7" t="n">
        <v>151.5352188563468</v>
      </c>
      <c r="G589" s="7" t="n">
        <v>151.6606669035932</v>
      </c>
      <c r="H589" s="7" t="n">
        <v>155.4389251501639</v>
      </c>
      <c r="I589" s="7" t="n">
        <v>151.8693020621756</v>
      </c>
      <c r="J589" s="7" t="n">
        <v>151.3514999913345</v>
      </c>
      <c r="K589" s="7" t="n">
        <v>151.5021759131215</v>
      </c>
      <c r="L589" s="7" t="n">
        <v>151.9004184948428</v>
      </c>
      <c r="M589" s="7" t="n">
        <v>150.4375049286334</v>
      </c>
      <c r="N589" s="7" t="n">
        <v>152.3103727548066</v>
      </c>
      <c r="O589" s="8">
        <f>N589*$B$2/100</f>
        <v/>
      </c>
    </row>
    <row r="590">
      <c r="A590" s="6" t="n">
        <v>46238.47052421296</v>
      </c>
      <c r="B590" s="7" t="n">
        <v>140.7303326148514</v>
      </c>
      <c r="C590" s="7" t="n">
        <v>103.4041883471446</v>
      </c>
      <c r="D590" s="7" t="n">
        <v>159.0305103011442</v>
      </c>
      <c r="E590" s="7" t="n">
        <v>113.140600223175</v>
      </c>
      <c r="F590" s="7" t="n">
        <v>112.2631453368726</v>
      </c>
      <c r="G590" s="7" t="n">
        <v>117.9543365367397</v>
      </c>
      <c r="H590" s="7" t="n">
        <v>157.5637215854303</v>
      </c>
      <c r="I590" s="7" t="n">
        <v>126.762834417932</v>
      </c>
      <c r="J590" s="7" t="n">
        <v>150.8220095913357</v>
      </c>
      <c r="K590" s="7" t="n">
        <v>90.7778440435366</v>
      </c>
      <c r="L590" s="7" t="n">
        <v>110.7876688256264</v>
      </c>
      <c r="M590" s="7" t="n">
        <v>115.2786049475697</v>
      </c>
      <c r="N590" s="7" t="n">
        <v>143.6386491557223</v>
      </c>
      <c r="O590" s="8">
        <f>N590*$B$2/100</f>
        <v/>
      </c>
    </row>
    <row r="591">
      <c r="A591" s="6" t="n">
        <v>46238.47053590278</v>
      </c>
      <c r="B591" s="7" t="n">
        <v>152.6761916707111</v>
      </c>
      <c r="C591" s="7" t="n">
        <v>153.9580853951352</v>
      </c>
      <c r="D591" s="7" t="n">
        <v>141.0792192881745</v>
      </c>
      <c r="E591" s="7" t="n">
        <v>155.0861885341715</v>
      </c>
      <c r="F591" s="7" t="n">
        <v>130.9601557739688</v>
      </c>
      <c r="G591" s="7" t="n">
        <v>109.6966605716485</v>
      </c>
      <c r="H591" s="7" t="n">
        <v>145.082341839142</v>
      </c>
      <c r="I591" s="7" t="n">
        <v>130.826604029118</v>
      </c>
      <c r="J591" s="7" t="n">
        <v>148.984997068699</v>
      </c>
      <c r="K591" s="7" t="n">
        <v>85.08510119483053</v>
      </c>
      <c r="L591" s="7" t="n">
        <v>96.38164926416181</v>
      </c>
      <c r="M591" s="7" t="n">
        <v>86.93245033112582</v>
      </c>
      <c r="N591" s="7" t="n">
        <v>144.5015928875718</v>
      </c>
      <c r="O591" s="8">
        <f>N591*$B$2/100</f>
        <v/>
      </c>
    </row>
    <row r="592">
      <c r="A592" s="6" t="n">
        <v>46238.47054767361</v>
      </c>
      <c r="B592" s="7" t="n">
        <v>92.7603334215401</v>
      </c>
      <c r="C592" s="7" t="n">
        <v>101.8992373285313</v>
      </c>
      <c r="D592" s="7" t="n">
        <v>102.8262824152943</v>
      </c>
      <c r="E592" s="7" t="n">
        <v>148.3271777091028</v>
      </c>
      <c r="F592" s="7" t="n">
        <v>87.84572072072072</v>
      </c>
      <c r="G592" s="7" t="n">
        <v>71.16457870276824</v>
      </c>
      <c r="H592" s="7" t="n">
        <v>134.7142221620472</v>
      </c>
      <c r="I592" s="7" t="n">
        <v>61.90343061955965</v>
      </c>
      <c r="J592" s="7" t="n">
        <v>111.5312182741117</v>
      </c>
      <c r="K592" s="7" t="n">
        <v>81.39767752638127</v>
      </c>
      <c r="L592" s="7" t="n">
        <v>63.52348552801418</v>
      </c>
      <c r="M592" s="7" t="n">
        <v>68.1275308354666</v>
      </c>
      <c r="N592" s="7" t="n">
        <v>103.5927830930363</v>
      </c>
      <c r="O592" s="8">
        <f>N592*$B$2/100</f>
        <v/>
      </c>
    </row>
    <row r="593">
      <c r="A593" s="6" t="n">
        <v>46238.47055939815</v>
      </c>
      <c r="B593" s="7" t="n">
        <v>71.06685141530654</v>
      </c>
      <c r="C593" s="7" t="n">
        <v>96.67405661839943</v>
      </c>
      <c r="D593" s="7" t="n">
        <v>75.51877392107694</v>
      </c>
      <c r="E593" s="7" t="n">
        <v>65.68482647296207</v>
      </c>
      <c r="F593" s="7" t="n">
        <v>82.78955527859684</v>
      </c>
      <c r="G593" s="7" t="n">
        <v>100.2744218156714</v>
      </c>
      <c r="H593" s="7" t="n">
        <v>82.85598274912829</v>
      </c>
      <c r="I593" s="7" t="n">
        <v>55.75002071422653</v>
      </c>
      <c r="J593" s="7" t="n">
        <v>96.51257736641871</v>
      </c>
      <c r="K593" s="7" t="n">
        <v>84.40359462178725</v>
      </c>
      <c r="L593" s="7" t="n">
        <v>62.2617186823089</v>
      </c>
      <c r="M593" s="7" t="n">
        <v>74.49596209755572</v>
      </c>
      <c r="N593" s="7" t="n">
        <v>79.0575609105756</v>
      </c>
      <c r="O593" s="8">
        <f>N593*$B$2/100</f>
        <v/>
      </c>
    </row>
    <row r="594">
      <c r="A594" s="6" t="n">
        <v>46238.47057109954</v>
      </c>
      <c r="B594" s="7" t="n">
        <v>91.2158776527193</v>
      </c>
      <c r="C594" s="7" t="n">
        <v>80.43783224349626</v>
      </c>
      <c r="D594" s="7" t="n">
        <v>79.7162150965283</v>
      </c>
      <c r="E594" s="7" t="n">
        <v>99.42288039653643</v>
      </c>
      <c r="F594" s="7" t="n">
        <v>109.3450728965396</v>
      </c>
      <c r="G594" s="7" t="n">
        <v>93.48981038454723</v>
      </c>
      <c r="H594" s="7" t="n">
        <v>107.6987725171369</v>
      </c>
      <c r="I594" s="7" t="n">
        <v>62.13845816266823</v>
      </c>
      <c r="J594" s="7" t="n">
        <v>66.06351541084442</v>
      </c>
      <c r="K594" s="7" t="n">
        <v>76.29251402873403</v>
      </c>
      <c r="L594" s="7" t="n">
        <v>81.86934260193594</v>
      </c>
      <c r="M594" s="7" t="n">
        <v>99.34686397424041</v>
      </c>
      <c r="N594" s="7" t="n">
        <v>89.69832680432906</v>
      </c>
      <c r="O594" s="8">
        <f>N594*$B$2/100</f>
        <v/>
      </c>
    </row>
    <row r="595">
      <c r="A595" s="6" t="n">
        <v>46238.47058280092</v>
      </c>
      <c r="B595" s="7" t="n">
        <v>76.48535719308114</v>
      </c>
      <c r="C595" s="7" t="n">
        <v>93.86713305602075</v>
      </c>
      <c r="D595" s="7" t="n">
        <v>99.7639831500117</v>
      </c>
      <c r="E595" s="7" t="n">
        <v>99.25650628411832</v>
      </c>
      <c r="F595" s="7" t="n">
        <v>108.1987797570409</v>
      </c>
      <c r="G595" s="7" t="n">
        <v>96.98324149108591</v>
      </c>
      <c r="H595" s="7" t="n">
        <v>83.5170308733183</v>
      </c>
      <c r="I595" s="7" t="n">
        <v>94.10148316408338</v>
      </c>
      <c r="J595" s="7" t="n">
        <v>67.78639618138425</v>
      </c>
      <c r="K595" s="7" t="n">
        <v>62.37088607594936</v>
      </c>
      <c r="L595" s="7" t="n">
        <v>60.71006708729335</v>
      </c>
      <c r="M595" s="7" t="n">
        <v>69.75965463108321</v>
      </c>
      <c r="N595" s="7" t="n">
        <v>85.98629474363109</v>
      </c>
      <c r="O595" s="8">
        <f>N595*$B$2/100</f>
        <v/>
      </c>
    </row>
    <row r="596">
      <c r="A596" s="6" t="n">
        <v>46238.47059445602</v>
      </c>
      <c r="B596" s="7" t="n">
        <v>70.21706443150553</v>
      </c>
      <c r="C596" s="7" t="n">
        <v>153.8830336506444</v>
      </c>
      <c r="D596" s="7" t="n">
        <v>78.66386267560527</v>
      </c>
      <c r="E596" s="7" t="n">
        <v>79.84086700336701</v>
      </c>
      <c r="F596" s="7" t="n">
        <v>66.73701943844492</v>
      </c>
      <c r="G596" s="7" t="n">
        <v>66.35677645788337</v>
      </c>
      <c r="H596" s="7" t="n">
        <v>155.8070168716553</v>
      </c>
      <c r="I596" s="7" t="n">
        <v>97.42898221211716</v>
      </c>
      <c r="J596" s="7" t="n">
        <v>145.0781207394885</v>
      </c>
      <c r="K596" s="7" t="n">
        <v>84.29949058168464</v>
      </c>
      <c r="L596" s="7" t="n">
        <v>57.33784049369129</v>
      </c>
      <c r="M596" s="7" t="n">
        <v>65.62927030653319</v>
      </c>
      <c r="N596" s="7" t="n">
        <v>126.6862788907922</v>
      </c>
      <c r="O596" s="8">
        <f>N596*$B$2/100</f>
        <v/>
      </c>
    </row>
    <row r="597">
      <c r="A597" s="6" t="n">
        <v>46238.47060614583</v>
      </c>
      <c r="B597" s="7" t="n">
        <v>141.2066653458326</v>
      </c>
      <c r="C597" s="7" t="n">
        <v>158.6087538547799</v>
      </c>
      <c r="D597" s="7" t="n">
        <v>102.6939370820805</v>
      </c>
      <c r="E597" s="7" t="n">
        <v>115.9517356448134</v>
      </c>
      <c r="F597" s="7" t="n">
        <v>100.3623625131837</v>
      </c>
      <c r="G597" s="7" t="n">
        <v>115.8144277853501</v>
      </c>
      <c r="H597" s="7" t="n">
        <v>144.707544240919</v>
      </c>
      <c r="I597" s="7" t="n">
        <v>114.2628215631657</v>
      </c>
      <c r="J597" s="7" t="n">
        <v>159.5080623696248</v>
      </c>
      <c r="K597" s="7" t="n">
        <v>142.9149150063974</v>
      </c>
      <c r="L597" s="7" t="n">
        <v>136.819343120031</v>
      </c>
      <c r="M597" s="7" t="n">
        <v>93.25988129814371</v>
      </c>
      <c r="N597" s="7" t="n">
        <v>143.3365763523578</v>
      </c>
      <c r="O597" s="8">
        <f>N597*$B$2/100</f>
        <v/>
      </c>
    </row>
    <row r="598">
      <c r="A598" s="6" t="n">
        <v>46238.47061777778</v>
      </c>
      <c r="B598" s="7" t="n">
        <v>155.5529190717855</v>
      </c>
      <c r="C598" s="7" t="n">
        <v>155.5261919574685</v>
      </c>
      <c r="D598" s="7" t="n">
        <v>106.7844389606619</v>
      </c>
      <c r="E598" s="7" t="n">
        <v>157.1643875970466</v>
      </c>
      <c r="F598" s="7" t="n">
        <v>114.9469712936812</v>
      </c>
      <c r="G598" s="7" t="n">
        <v>116.4512218104152</v>
      </c>
      <c r="H598" s="7" t="n">
        <v>142.4045536952117</v>
      </c>
      <c r="I598" s="7" t="n">
        <v>123.5983591613491</v>
      </c>
      <c r="J598" s="7" t="n">
        <v>126.1160610234135</v>
      </c>
      <c r="K598" s="7" t="n">
        <v>110.1074016870619</v>
      </c>
      <c r="L598" s="7" t="n">
        <v>121.7098105047516</v>
      </c>
      <c r="M598" s="7" t="n">
        <v>126.5195625450384</v>
      </c>
      <c r="N598" s="7" t="n">
        <v>145.2899192600141</v>
      </c>
      <c r="O598" s="8">
        <f>N598*$B$2/100</f>
        <v/>
      </c>
    </row>
    <row r="599">
      <c r="A599" s="6" t="n">
        <v>46238.47062947917</v>
      </c>
      <c r="B599" s="7" t="n">
        <v>134.2010518371775</v>
      </c>
      <c r="C599" s="7" t="n">
        <v>156.0607130280934</v>
      </c>
      <c r="D599" s="7" t="n">
        <v>121.4454812117534</v>
      </c>
      <c r="E599" s="7" t="n">
        <v>148.9763514768716</v>
      </c>
      <c r="F599" s="7" t="n">
        <v>144.2847546728972</v>
      </c>
      <c r="G599" s="7" t="n">
        <v>128.3986073875484</v>
      </c>
      <c r="H599" s="7" t="n">
        <v>158.8688775754481</v>
      </c>
      <c r="I599" s="7" t="n">
        <v>129.5104389566827</v>
      </c>
      <c r="J599" s="7" t="n">
        <v>137.2113112391931</v>
      </c>
      <c r="K599" s="7" t="n">
        <v>82.05866236905722</v>
      </c>
      <c r="L599" s="7" t="n">
        <v>98.68281411406514</v>
      </c>
      <c r="M599" s="7" t="n">
        <v>94.47216301474977</v>
      </c>
      <c r="N599" s="7" t="n">
        <v>144.1624288565304</v>
      </c>
      <c r="O599" s="8">
        <f>N599*$B$2/100</f>
        <v/>
      </c>
    </row>
    <row r="600">
      <c r="A600" s="6" t="n">
        <v>46238.47064114583</v>
      </c>
      <c r="B600" s="7" t="n">
        <v>139.6100931934178</v>
      </c>
      <c r="C600" s="7" t="n">
        <v>159.9165039121006</v>
      </c>
      <c r="D600" s="7" t="n">
        <v>114.3379082988529</v>
      </c>
      <c r="E600" s="7" t="n">
        <v>112.0941514860978</v>
      </c>
      <c r="F600" s="7" t="n">
        <v>98.98398209763853</v>
      </c>
      <c r="G600" s="7" t="n">
        <v>133.2632073256633</v>
      </c>
      <c r="H600" s="7" t="n">
        <v>138.0415735301762</v>
      </c>
      <c r="I600" s="7" t="n">
        <v>119.8133088869715</v>
      </c>
      <c r="J600" s="7" t="n">
        <v>162.2718674856558</v>
      </c>
      <c r="K600" s="7" t="n">
        <v>104.1712822154634</v>
      </c>
      <c r="L600" s="7" t="n">
        <v>121.0895804016886</v>
      </c>
      <c r="M600" s="7" t="n">
        <v>100.602069449316</v>
      </c>
      <c r="N600" s="7" t="n">
        <v>145.2259440400364</v>
      </c>
      <c r="O600" s="8">
        <f>N600*$B$2/100</f>
        <v/>
      </c>
    </row>
    <row r="601">
      <c r="A601" s="6" t="n">
        <v>46238.47065283565</v>
      </c>
      <c r="B601" s="7" t="n">
        <v>150.2628052677346</v>
      </c>
      <c r="C601" s="7" t="n">
        <v>146.6036009873675</v>
      </c>
      <c r="D601" s="7" t="n">
        <v>151.2989336789214</v>
      </c>
      <c r="E601" s="7" t="n">
        <v>116.227196969697</v>
      </c>
      <c r="F601" s="7" t="n">
        <v>137.9742200635158</v>
      </c>
      <c r="G601" s="7" t="n">
        <v>126.6997974068071</v>
      </c>
      <c r="H601" s="7" t="n">
        <v>137.3687686512401</v>
      </c>
      <c r="I601" s="7" t="n">
        <v>115.4613195802952</v>
      </c>
      <c r="J601" s="7" t="n">
        <v>138.3195307108351</v>
      </c>
      <c r="K601" s="7" t="n">
        <v>91.61786919492206</v>
      </c>
      <c r="L601" s="7" t="n">
        <v>125.9358200081359</v>
      </c>
      <c r="M601" s="7" t="n">
        <v>105.719792746114</v>
      </c>
      <c r="N601" s="7" t="n">
        <v>142.4555598381191</v>
      </c>
      <c r="O601" s="8">
        <f>N601*$B$2/100</f>
        <v/>
      </c>
    </row>
    <row r="602">
      <c r="A602" s="6" t="n">
        <v>46238.47066446759</v>
      </c>
      <c r="B602" s="7" t="n">
        <v>106.4919450426537</v>
      </c>
      <c r="C602" s="7" t="n">
        <v>156.5862616048468</v>
      </c>
      <c r="D602" s="7" t="n">
        <v>145.8383488578827</v>
      </c>
      <c r="E602" s="7" t="n">
        <v>118.5988802898073</v>
      </c>
      <c r="F602" s="7" t="n">
        <v>103.1316397228637</v>
      </c>
      <c r="G602" s="7" t="n">
        <v>127.6018227529855</v>
      </c>
      <c r="H602" s="7" t="n">
        <v>155.699847440686</v>
      </c>
      <c r="I602" s="7" t="n">
        <v>96.82972559309063</v>
      </c>
      <c r="J602" s="7" t="n">
        <v>128.05619776956</v>
      </c>
      <c r="K602" s="7" t="n">
        <v>141.3150058892815</v>
      </c>
      <c r="L602" s="7" t="n">
        <v>117.9383218800373</v>
      </c>
      <c r="M602" s="7" t="n">
        <v>112.9975130564536</v>
      </c>
      <c r="N602" s="7" t="n">
        <v>140.4301801801802</v>
      </c>
      <c r="O602" s="8">
        <f>N602*$B$2/100</f>
        <v/>
      </c>
    </row>
    <row r="603">
      <c r="A603" s="6" t="n">
        <v>46238.47067613426</v>
      </c>
      <c r="B603" s="7" t="n">
        <v>140.6403746882965</v>
      </c>
      <c r="C603" s="7" t="n">
        <v>154.5193875521973</v>
      </c>
      <c r="D603" s="7" t="n">
        <v>141.5113114262884</v>
      </c>
      <c r="E603" s="7" t="n">
        <v>140.5653250465302</v>
      </c>
      <c r="F603" s="7" t="n">
        <v>138.7295062098074</v>
      </c>
      <c r="G603" s="7" t="n">
        <v>135.2269928129336</v>
      </c>
      <c r="H603" s="7" t="n">
        <v>145.2365721088329</v>
      </c>
      <c r="I603" s="7" t="n">
        <v>144.3107960741549</v>
      </c>
      <c r="J603" s="7" t="n">
        <v>158.5309034750467</v>
      </c>
      <c r="K603" s="7" t="n">
        <v>143.9791029911742</v>
      </c>
      <c r="L603" s="7" t="n">
        <v>141.0153275748579</v>
      </c>
      <c r="M603" s="7" t="n">
        <v>141.1051430972641</v>
      </c>
      <c r="N603" s="7" t="n">
        <v>146.4298115516651</v>
      </c>
      <c r="O603" s="8">
        <f>N603*$B$2/100</f>
        <v/>
      </c>
    </row>
    <row r="604">
      <c r="A604" s="6" t="n">
        <v>46238.4706878588</v>
      </c>
      <c r="B604" s="7" t="n">
        <v>156.9851057341548</v>
      </c>
      <c r="C604" s="7" t="n">
        <v>151.5265304048475</v>
      </c>
      <c r="D604" s="7" t="n">
        <v>152.7668907960003</v>
      </c>
      <c r="E604" s="7" t="n">
        <v>150.5322077812247</v>
      </c>
      <c r="F604" s="7" t="n">
        <v>151.4269976580796</v>
      </c>
      <c r="G604" s="7" t="n">
        <v>151.1594018672324</v>
      </c>
      <c r="H604" s="7" t="n">
        <v>152.5622318183061</v>
      </c>
      <c r="I604" s="7" t="n">
        <v>152.5374827787427</v>
      </c>
      <c r="J604" s="7" t="n">
        <v>150.0902184768338</v>
      </c>
      <c r="K604" s="7" t="n">
        <v>151.8884178256901</v>
      </c>
      <c r="L604" s="7" t="n">
        <v>152.5182881021692</v>
      </c>
      <c r="M604" s="7" t="n">
        <v>151.6735009378019</v>
      </c>
      <c r="N604" s="7" t="n">
        <v>152.460980820724</v>
      </c>
      <c r="O604" s="8">
        <f>N604*$B$2/100</f>
        <v/>
      </c>
    </row>
    <row r="605">
      <c r="A605" s="6" t="n">
        <v>46238.47069952546</v>
      </c>
      <c r="B605" s="7" t="n">
        <v>138.9960559543739</v>
      </c>
      <c r="C605" s="7" t="n">
        <v>157.037919850969</v>
      </c>
      <c r="D605" s="7" t="n">
        <v>157.630707304756</v>
      </c>
      <c r="E605" s="7" t="n">
        <v>115.1103939647946</v>
      </c>
      <c r="F605" s="7" t="n">
        <v>148.2108792672384</v>
      </c>
      <c r="G605" s="7" t="n">
        <v>105.6476973868278</v>
      </c>
      <c r="H605" s="7" t="n">
        <v>157.4566888800477</v>
      </c>
      <c r="I605" s="7" t="n">
        <v>144.8140366365041</v>
      </c>
      <c r="J605" s="7" t="n">
        <v>117.0869393139842</v>
      </c>
      <c r="K605" s="7" t="n">
        <v>120.6577910958904</v>
      </c>
      <c r="L605" s="7" t="n">
        <v>105.8414012317065</v>
      </c>
      <c r="M605" s="7" t="n">
        <v>128.067910501108</v>
      </c>
      <c r="N605" s="7" t="n">
        <v>147.7209784037897</v>
      </c>
      <c r="O605" s="8">
        <f>N605*$B$2/100</f>
        <v/>
      </c>
    </row>
    <row r="606">
      <c r="A606" s="6" t="n">
        <v>46238.47071123843</v>
      </c>
      <c r="B606" s="7" t="n">
        <v>133.3217426710098</v>
      </c>
      <c r="C606" s="7" t="n">
        <v>161.1834540886456</v>
      </c>
      <c r="D606" s="7" t="n">
        <v>116.286730641959</v>
      </c>
      <c r="E606" s="7" t="n">
        <v>106.5897231944002</v>
      </c>
      <c r="F606" s="7" t="n">
        <v>139.3396395244791</v>
      </c>
      <c r="G606" s="7" t="n">
        <v>123.3582422888876</v>
      </c>
      <c r="H606" s="7" t="n">
        <v>150.3048633893466</v>
      </c>
      <c r="I606" s="7" t="n">
        <v>114.6868193766429</v>
      </c>
      <c r="J606" s="7" t="n">
        <v>159.4076541954066</v>
      </c>
      <c r="K606" s="7" t="n">
        <v>114.3845196615231</v>
      </c>
      <c r="L606" s="7" t="n">
        <v>106.372571170357</v>
      </c>
      <c r="M606" s="7" t="n">
        <v>87.06650646688811</v>
      </c>
      <c r="N606" s="7" t="n">
        <v>147.2308671183281</v>
      </c>
      <c r="O606" s="8">
        <f>N606*$B$2/100</f>
        <v/>
      </c>
    </row>
    <row r="607">
      <c r="A607" s="6" t="n">
        <v>46238.47072291667</v>
      </c>
      <c r="B607" s="7" t="n">
        <v>155.7747479141515</v>
      </c>
      <c r="C607" s="7" t="n">
        <v>146.7211340287283</v>
      </c>
      <c r="D607" s="7" t="n">
        <v>104.5355367459358</v>
      </c>
      <c r="E607" s="7" t="n">
        <v>156.373613602486</v>
      </c>
      <c r="F607" s="7" t="n">
        <v>117.5004195557126</v>
      </c>
      <c r="G607" s="7" t="n">
        <v>101.4638250140213</v>
      </c>
      <c r="H607" s="7" t="n">
        <v>145.7909771290443</v>
      </c>
      <c r="I607" s="7" t="n">
        <v>91.25919058368268</v>
      </c>
      <c r="J607" s="7" t="n">
        <v>150.5035052991876</v>
      </c>
      <c r="K607" s="7" t="n">
        <v>132.7039369077148</v>
      </c>
      <c r="L607" s="7" t="n">
        <v>101.2508605098886</v>
      </c>
      <c r="M607" s="7" t="n">
        <v>85.28673780487804</v>
      </c>
      <c r="N607" s="7" t="n">
        <v>145.1876779598069</v>
      </c>
      <c r="O607" s="8">
        <f>N607*$B$2/100</f>
        <v/>
      </c>
    </row>
    <row r="608">
      <c r="A608" s="6" t="n">
        <v>46238.47073460648</v>
      </c>
      <c r="B608" s="7" t="n">
        <v>142.7573007867203</v>
      </c>
      <c r="C608" s="7" t="n">
        <v>154.7775157935818</v>
      </c>
      <c r="D608" s="7" t="n">
        <v>122.7792188115512</v>
      </c>
      <c r="E608" s="7" t="n">
        <v>142.1083166178059</v>
      </c>
      <c r="F608" s="7" t="n">
        <v>107.213078470825</v>
      </c>
      <c r="G608" s="7" t="n">
        <v>132.0958153499718</v>
      </c>
      <c r="H608" s="7" t="n">
        <v>157.3816066085266</v>
      </c>
      <c r="I608" s="7" t="n">
        <v>119.9807718165927</v>
      </c>
      <c r="J608" s="7" t="n">
        <v>137.5847603971795</v>
      </c>
      <c r="K608" s="7" t="n">
        <v>138.7416694160343</v>
      </c>
      <c r="L608" s="7" t="n">
        <v>100.0728433098592</v>
      </c>
      <c r="M608" s="7" t="n">
        <v>87.55370531134086</v>
      </c>
      <c r="N608" s="7" t="n">
        <v>143.8029569108063</v>
      </c>
      <c r="O608" s="8">
        <f>N608*$B$2/100</f>
        <v/>
      </c>
    </row>
    <row r="609">
      <c r="A609" s="6" t="n">
        <v>46238.4707462963</v>
      </c>
      <c r="B609" s="7" t="n">
        <v>139.7729035833025</v>
      </c>
      <c r="C609" s="7" t="n">
        <v>159.2812016694562</v>
      </c>
      <c r="D609" s="7" t="n">
        <v>115.7855328972682</v>
      </c>
      <c r="E609" s="7" t="n">
        <v>125.0492441155833</v>
      </c>
      <c r="F609" s="7" t="n">
        <v>105.3212432571282</v>
      </c>
      <c r="G609" s="7" t="n">
        <v>101.8468402961396</v>
      </c>
      <c r="H609" s="7" t="n">
        <v>153.0548380784659</v>
      </c>
      <c r="I609" s="7" t="n">
        <v>93.74649904519414</v>
      </c>
      <c r="J609" s="7" t="n">
        <v>156.7313262664859</v>
      </c>
      <c r="K609" s="7" t="n">
        <v>129.489883070666</v>
      </c>
      <c r="L609" s="7" t="n">
        <v>138.559919406646</v>
      </c>
      <c r="M609" s="7" t="n">
        <v>94.72597912095219</v>
      </c>
      <c r="N609" s="7" t="n">
        <v>144.8563023572959</v>
      </c>
      <c r="O609" s="8">
        <f>N609*$B$2/100</f>
        <v/>
      </c>
    </row>
    <row r="610">
      <c r="A610" s="6" t="n">
        <v>46238.47075803241</v>
      </c>
      <c r="B610" s="7" t="n">
        <v>159.0738544293481</v>
      </c>
      <c r="C610" s="7" t="n">
        <v>154.3610531664527</v>
      </c>
      <c r="D610" s="7" t="n">
        <v>103.6192266165474</v>
      </c>
      <c r="E610" s="7" t="n">
        <v>161.1639485448979</v>
      </c>
      <c r="F610" s="7" t="n">
        <v>122.2363510412608</v>
      </c>
      <c r="G610" s="7" t="n">
        <v>137.883153949314</v>
      </c>
      <c r="H610" s="7" t="n">
        <v>146.7345021795317</v>
      </c>
      <c r="I610" s="7" t="n">
        <v>123.7395612853569</v>
      </c>
      <c r="J610" s="7" t="n">
        <v>118.7092315061931</v>
      </c>
      <c r="K610" s="7" t="n">
        <v>140.5708138048573</v>
      </c>
      <c r="L610" s="7" t="n">
        <v>111.8690124979885</v>
      </c>
      <c r="M610" s="7" t="n">
        <v>154.5871143375681</v>
      </c>
      <c r="N610" s="7" t="n">
        <v>148.9252317020355</v>
      </c>
      <c r="O610" s="8">
        <f>N610*$B$2/100</f>
        <v/>
      </c>
    </row>
    <row r="611">
      <c r="A611" s="6" t="n">
        <v>46238.47076969907</v>
      </c>
      <c r="B611" s="7" t="n">
        <v>115.2037469740027</v>
      </c>
      <c r="C611" s="7" t="n">
        <v>157.9792661321803</v>
      </c>
      <c r="D611" s="7" t="n">
        <v>145.6754845665856</v>
      </c>
      <c r="E611" s="7" t="n">
        <v>135.9597198679632</v>
      </c>
      <c r="F611" s="7" t="n">
        <v>112.0911332941867</v>
      </c>
      <c r="G611" s="7" t="n">
        <v>96.90235168876416</v>
      </c>
      <c r="H611" s="7" t="n">
        <v>159.395092380776</v>
      </c>
      <c r="I611" s="7" t="n">
        <v>105.3848426650909</v>
      </c>
      <c r="J611" s="7" t="n">
        <v>106.6738286539677</v>
      </c>
      <c r="K611" s="7" t="n">
        <v>105.7462424574877</v>
      </c>
      <c r="L611" s="7" t="n">
        <v>126.3705303444505</v>
      </c>
      <c r="M611" s="7" t="n">
        <v>100.9925869120654</v>
      </c>
      <c r="N611" s="7" t="n">
        <v>143.4327749010052</v>
      </c>
      <c r="O611" s="8">
        <f>N611*$B$2/100</f>
        <v/>
      </c>
    </row>
    <row r="612">
      <c r="A612" s="6" t="n">
        <v>46238.47078137731</v>
      </c>
      <c r="B612" s="7" t="n">
        <v>138.2628415300547</v>
      </c>
      <c r="C612" s="7" t="n">
        <v>162.0081166671102</v>
      </c>
      <c r="D612" s="7" t="n">
        <v>129.3894821937625</v>
      </c>
      <c r="E612" s="7" t="n">
        <v>117.5452082144894</v>
      </c>
      <c r="F612" s="7" t="n">
        <v>157.5376519910988</v>
      </c>
      <c r="G612" s="7" t="n">
        <v>135.566975308642</v>
      </c>
      <c r="H612" s="7" t="n">
        <v>152.1871125397711</v>
      </c>
      <c r="I612" s="7" t="n">
        <v>127.7077001247171</v>
      </c>
      <c r="J612" s="7" t="n">
        <v>157.1553160327704</v>
      </c>
      <c r="K612" s="7" t="n">
        <v>139.6659744882824</v>
      </c>
      <c r="L612" s="7" t="n">
        <v>110.7044232437121</v>
      </c>
      <c r="M612" s="7" t="n">
        <v>98.60508083140877</v>
      </c>
      <c r="N612" s="7" t="n">
        <v>149.8806501855779</v>
      </c>
      <c r="O612" s="8">
        <f>N612*$B$2/100</f>
        <v/>
      </c>
    </row>
    <row r="613">
      <c r="A613" s="6" t="n">
        <v>46238.47079310185</v>
      </c>
      <c r="B613" s="7" t="n">
        <v>150.4391797884322</v>
      </c>
      <c r="C613" s="7" t="n">
        <v>115.5838719766472</v>
      </c>
      <c r="D613" s="7" t="n">
        <v>131.9768132136746</v>
      </c>
      <c r="E613" s="7" t="n">
        <v>158.5414299012581</v>
      </c>
      <c r="F613" s="7" t="n">
        <v>118.9860804513122</v>
      </c>
      <c r="G613" s="7" t="n">
        <v>117.4085008173863</v>
      </c>
      <c r="H613" s="7" t="n">
        <v>146.2230691523556</v>
      </c>
      <c r="I613" s="7" t="n">
        <v>100.1876991714468</v>
      </c>
      <c r="J613" s="7" t="n">
        <v>143.3380789498012</v>
      </c>
      <c r="K613" s="7" t="n">
        <v>86.17087062652563</v>
      </c>
      <c r="L613" s="7" t="n">
        <v>123.485817789425</v>
      </c>
      <c r="M613" s="7" t="n">
        <v>132.3804319268562</v>
      </c>
      <c r="N613" s="7" t="n">
        <v>144.4480698993079</v>
      </c>
      <c r="O613" s="8">
        <f>N613*$B$2/100</f>
        <v/>
      </c>
    </row>
    <row r="614">
      <c r="A614" s="6" t="n">
        <v>46238.4708047801</v>
      </c>
      <c r="B614" s="7" t="n">
        <v>106.1815968841285</v>
      </c>
      <c r="C614" s="7" t="n">
        <v>153.9363883668532</v>
      </c>
      <c r="D614" s="7" t="n">
        <v>117.9401642270618</v>
      </c>
      <c r="E614" s="7" t="n">
        <v>126.2455728611052</v>
      </c>
      <c r="F614" s="7" t="n">
        <v>128.0016799891614</v>
      </c>
      <c r="G614" s="7" t="n">
        <v>124.6613737605978</v>
      </c>
      <c r="H614" s="7" t="n">
        <v>141.2542571234735</v>
      </c>
      <c r="I614" s="7" t="n">
        <v>138.0949996831231</v>
      </c>
      <c r="J614" s="7" t="n">
        <v>161.6408351046136</v>
      </c>
      <c r="K614" s="7" t="n">
        <v>148.0006102770658</v>
      </c>
      <c r="L614" s="7" t="n">
        <v>132.5526303823944</v>
      </c>
      <c r="M614" s="7" t="n">
        <v>76.70621856424326</v>
      </c>
      <c r="N614" s="7" t="n">
        <v>144.7161724766546</v>
      </c>
      <c r="O614" s="8">
        <f>N614*$B$2/100</f>
        <v/>
      </c>
    </row>
    <row r="615">
      <c r="A615" s="6" t="n">
        <v>46238.47081648148</v>
      </c>
      <c r="B615" s="7" t="n">
        <v>136.4068772136954</v>
      </c>
      <c r="C615" s="7" t="n">
        <v>159.2552746099324</v>
      </c>
      <c r="D615" s="7" t="n">
        <v>102.1394559231502</v>
      </c>
      <c r="E615" s="7" t="n">
        <v>128.6082493238259</v>
      </c>
      <c r="F615" s="7" t="n">
        <v>133.545791792256</v>
      </c>
      <c r="G615" s="7" t="n">
        <v>105.7053993250844</v>
      </c>
      <c r="H615" s="7" t="n">
        <v>142.4492718112069</v>
      </c>
      <c r="I615" s="7" t="n">
        <v>111.5350996140607</v>
      </c>
      <c r="J615" s="7" t="n">
        <v>155.4213686367435</v>
      </c>
      <c r="K615" s="7" t="n">
        <v>146.2735179487179</v>
      </c>
      <c r="L615" s="7" t="n">
        <v>114.7566707300555</v>
      </c>
      <c r="M615" s="7" t="n">
        <v>75.88463326206191</v>
      </c>
      <c r="N615" s="7" t="n">
        <v>144.7075173348524</v>
      </c>
      <c r="O615" s="8">
        <f>N615*$B$2/100</f>
        <v/>
      </c>
    </row>
    <row r="616">
      <c r="A616" s="6" t="n">
        <v>46238.47082814815</v>
      </c>
      <c r="B616" s="7" t="n">
        <v>123.2270675902603</v>
      </c>
      <c r="C616" s="7" t="n">
        <v>160.0318237043302</v>
      </c>
      <c r="D616" s="7" t="n">
        <v>157.7581900154207</v>
      </c>
      <c r="E616" s="7" t="n">
        <v>93.7958256424819</v>
      </c>
      <c r="F616" s="7" t="n">
        <v>143.233765970802</v>
      </c>
      <c r="G616" s="7" t="n">
        <v>97.02714192282538</v>
      </c>
      <c r="H616" s="7" t="n">
        <v>148.6282105789671</v>
      </c>
      <c r="I616" s="7" t="n">
        <v>120.4302023557837</v>
      </c>
      <c r="J616" s="7" t="n">
        <v>138.9026385676347</v>
      </c>
      <c r="K616" s="7" t="n">
        <v>144.5624362461748</v>
      </c>
      <c r="L616" s="7" t="n">
        <v>102.4249461804423</v>
      </c>
      <c r="M616" s="7" t="n">
        <v>144.0219657019474</v>
      </c>
      <c r="N616" s="7" t="n">
        <v>145.1392454297938</v>
      </c>
      <c r="O616" s="8">
        <f>N616*$B$2/100</f>
        <v/>
      </c>
    </row>
    <row r="617">
      <c r="A617" s="6" t="n">
        <v>46238.47083986111</v>
      </c>
      <c r="B617" s="7" t="n">
        <v>144.948763777182</v>
      </c>
      <c r="C617" s="7" t="n">
        <v>118.5018558528613</v>
      </c>
      <c r="D617" s="7" t="n">
        <v>118.40820434511</v>
      </c>
      <c r="E617" s="7" t="n">
        <v>98.13727698417402</v>
      </c>
      <c r="F617" s="7" t="n">
        <v>116.4781002638522</v>
      </c>
      <c r="G617" s="7" t="n">
        <v>107.2794372515037</v>
      </c>
      <c r="H617" s="7" t="n">
        <v>163.1236938663482</v>
      </c>
      <c r="I617" s="7" t="n">
        <v>133.7552675403664</v>
      </c>
      <c r="J617" s="7" t="n">
        <v>127.8068497211069</v>
      </c>
      <c r="K617" s="7" t="n">
        <v>132.5375708884688</v>
      </c>
      <c r="L617" s="7" t="n">
        <v>108.0709438618137</v>
      </c>
      <c r="M617" s="7" t="n">
        <v>110.9620600454652</v>
      </c>
      <c r="N617" s="7" t="n">
        <v>145.0237062404871</v>
      </c>
      <c r="O617" s="8">
        <f>N617*$B$2/100</f>
        <v/>
      </c>
    </row>
    <row r="618">
      <c r="A618" s="6" t="n">
        <v>46238.47085152777</v>
      </c>
      <c r="B618" s="7" t="n">
        <v>144.8919315244579</v>
      </c>
      <c r="C618" s="7" t="n">
        <v>145.9629500564531</v>
      </c>
      <c r="D618" s="7" t="n">
        <v>150.4575145450314</v>
      </c>
      <c r="E618" s="7" t="n">
        <v>147.5286362258048</v>
      </c>
      <c r="F618" s="7" t="n">
        <v>146.9552394014682</v>
      </c>
      <c r="G618" s="7" t="n">
        <v>148.0618033561392</v>
      </c>
      <c r="H618" s="7" t="n">
        <v>151.7921394321731</v>
      </c>
      <c r="I618" s="7" t="n">
        <v>149.3031730954748</v>
      </c>
      <c r="J618" s="7" t="n">
        <v>147.1346577505703</v>
      </c>
      <c r="K618" s="7" t="n">
        <v>145.0129149855347</v>
      </c>
      <c r="L618" s="7" t="n">
        <v>156.414552356401</v>
      </c>
      <c r="M618" s="7" t="n">
        <v>148.9676384672662</v>
      </c>
      <c r="N618" s="7" t="n">
        <v>148.9410618497822</v>
      </c>
      <c r="O618" s="8">
        <f>N618*$B$2/100</f>
        <v/>
      </c>
    </row>
    <row r="619">
      <c r="A619" s="6" t="n">
        <v>46238.47086340278</v>
      </c>
      <c r="B619" s="7" t="n">
        <v>156.9296094906059</v>
      </c>
      <c r="C619" s="7" t="n">
        <v>156.9461531489578</v>
      </c>
      <c r="D619" s="7" t="n">
        <v>151.4032674990971</v>
      </c>
      <c r="E619" s="7" t="n">
        <v>151.737334042423</v>
      </c>
      <c r="F619" s="7" t="n">
        <v>151.5929015466427</v>
      </c>
      <c r="G619" s="7" t="n">
        <v>153.3123913516772</v>
      </c>
      <c r="H619" s="7" t="n">
        <v>151.4113923231835</v>
      </c>
      <c r="I619" s="7" t="n">
        <v>151.298395973873</v>
      </c>
      <c r="J619" s="7" t="n">
        <v>151.5845774208208</v>
      </c>
      <c r="K619" s="7" t="n">
        <v>151.124610723795</v>
      </c>
      <c r="L619" s="7" t="n">
        <v>151.7609275812929</v>
      </c>
      <c r="M619" s="7" t="n">
        <v>151.4265801049545</v>
      </c>
      <c r="N619" s="7" t="n">
        <v>152.9231613280293</v>
      </c>
      <c r="O619" s="8">
        <f>N619*$B$2/100</f>
        <v/>
      </c>
    </row>
    <row r="620">
      <c r="A620" s="6" t="n">
        <v>46238.47087509259</v>
      </c>
      <c r="B620" s="7" t="n">
        <v>137.5272732069598</v>
      </c>
      <c r="C620" s="7" t="n">
        <v>156.2816821168267</v>
      </c>
      <c r="D620" s="7" t="n">
        <v>114.606097071801</v>
      </c>
      <c r="E620" s="7" t="n">
        <v>90.11996346290469</v>
      </c>
      <c r="F620" s="7" t="n">
        <v>93.84690183831358</v>
      </c>
      <c r="G620" s="7" t="n">
        <v>118.6359061701634</v>
      </c>
      <c r="H620" s="7" t="n">
        <v>160.1008205002741</v>
      </c>
      <c r="I620" s="7" t="n">
        <v>143.0683044499461</v>
      </c>
      <c r="J620" s="7" t="n">
        <v>116.393015391791</v>
      </c>
      <c r="K620" s="7" t="n">
        <v>91.09351753453772</v>
      </c>
      <c r="L620" s="7" t="n">
        <v>137.1023626562679</v>
      </c>
      <c r="M620" s="7" t="n">
        <v>128.9455777792544</v>
      </c>
      <c r="N620" s="7" t="n">
        <v>145.9142681451213</v>
      </c>
      <c r="O620" s="8">
        <f>N620*$B$2/100</f>
        <v/>
      </c>
    </row>
    <row r="621">
      <c r="A621" s="6" t="n">
        <v>46238.47088670139</v>
      </c>
      <c r="B621" s="7" t="n">
        <v>133.8491317715325</v>
      </c>
      <c r="C621" s="7" t="n">
        <v>157.3050539587563</v>
      </c>
      <c r="D621" s="7" t="n">
        <v>111.0407691499422</v>
      </c>
      <c r="E621" s="7" t="n">
        <v>133.6629905935777</v>
      </c>
      <c r="F621" s="7" t="n">
        <v>126.4174227664904</v>
      </c>
      <c r="G621" s="7" t="n">
        <v>110.4300299813629</v>
      </c>
      <c r="H621" s="7" t="n">
        <v>153.3428283568419</v>
      </c>
      <c r="I621" s="7" t="n">
        <v>106.337290948551</v>
      </c>
      <c r="J621" s="7" t="n">
        <v>155.5974246869328</v>
      </c>
      <c r="K621" s="7" t="n">
        <v>133.1884758364312</v>
      </c>
      <c r="L621" s="7" t="n">
        <v>102.2625413450937</v>
      </c>
      <c r="M621" s="7" t="n">
        <v>77.65205657919226</v>
      </c>
      <c r="N621" s="7" t="n">
        <v>144.6300778039036</v>
      </c>
      <c r="O621" s="8">
        <f>N621*$B$2/100</f>
        <v/>
      </c>
    </row>
    <row r="622">
      <c r="A622" s="6" t="n">
        <v>46238.47089839121</v>
      </c>
      <c r="B622" s="7" t="n">
        <v>153.1867625981769</v>
      </c>
      <c r="C622" s="7" t="n">
        <v>156.1160576347069</v>
      </c>
      <c r="D622" s="7" t="n">
        <v>129.9375736738703</v>
      </c>
      <c r="E622" s="7" t="n">
        <v>141.8936047628193</v>
      </c>
      <c r="F622" s="7" t="n">
        <v>147.9711856400567</v>
      </c>
      <c r="G622" s="7" t="n">
        <v>122.1570885541321</v>
      </c>
      <c r="H622" s="7" t="n">
        <v>146.0203551320918</v>
      </c>
      <c r="I622" s="7" t="n">
        <v>105.5464345873105</v>
      </c>
      <c r="J622" s="7" t="n">
        <v>113.5917433550974</v>
      </c>
      <c r="K622" s="7" t="n">
        <v>94.70068435586505</v>
      </c>
      <c r="L622" s="7" t="n">
        <v>129.2799197362763</v>
      </c>
      <c r="M622" s="7" t="n">
        <v>136.7344086021506</v>
      </c>
      <c r="N622" s="7" t="n">
        <v>145.3982687468545</v>
      </c>
      <c r="O622" s="8">
        <f>N622*$B$2/100</f>
        <v/>
      </c>
    </row>
    <row r="623">
      <c r="A623" s="6" t="n">
        <v>46238.47091008102</v>
      </c>
      <c r="B623" s="7" t="n">
        <v>128.1965196473973</v>
      </c>
      <c r="C623" s="7" t="n">
        <v>156.2515039171796</v>
      </c>
      <c r="D623" s="7" t="n">
        <v>134.4753154557064</v>
      </c>
      <c r="E623" s="7" t="n">
        <v>111.7198100407056</v>
      </c>
      <c r="F623" s="7" t="n">
        <v>120.9560605367839</v>
      </c>
      <c r="G623" s="7" t="n">
        <v>102.7368824978794</v>
      </c>
      <c r="H623" s="7" t="n">
        <v>158.4543109338614</v>
      </c>
      <c r="I623" s="7" t="n">
        <v>133.3125796584247</v>
      </c>
      <c r="J623" s="7" t="n">
        <v>139.2598667189338</v>
      </c>
      <c r="K623" s="7" t="n">
        <v>96.13462465841505</v>
      </c>
      <c r="L623" s="7" t="n">
        <v>116.8707526708973</v>
      </c>
      <c r="M623" s="7" t="n">
        <v>108.1901962479467</v>
      </c>
      <c r="N623" s="7" t="n">
        <v>142.9034556920497</v>
      </c>
      <c r="O623" s="8">
        <f>N623*$B$2/100</f>
        <v/>
      </c>
    </row>
    <row r="624">
      <c r="A624" s="6" t="n">
        <v>46238.47092173611</v>
      </c>
      <c r="B624" s="7" t="n">
        <v>140.7300602953182</v>
      </c>
      <c r="C624" s="7" t="n">
        <v>155.9617832848899</v>
      </c>
      <c r="D624" s="7" t="n">
        <v>119.6465754772683</v>
      </c>
      <c r="E624" s="7" t="n">
        <v>92.71082229442639</v>
      </c>
      <c r="F624" s="7" t="n">
        <v>113.152791477609</v>
      </c>
      <c r="G624" s="7" t="n">
        <v>98.65640862944163</v>
      </c>
      <c r="H624" s="7" t="n">
        <v>142.2779994905324</v>
      </c>
      <c r="I624" s="7" t="n">
        <v>135.1909043143207</v>
      </c>
      <c r="J624" s="7" t="n">
        <v>159.5871215570225</v>
      </c>
      <c r="K624" s="7" t="n">
        <v>151.4586826799607</v>
      </c>
      <c r="L624" s="7" t="n">
        <v>115.6447802780217</v>
      </c>
      <c r="M624" s="7" t="n">
        <v>111.2115215682648</v>
      </c>
      <c r="N624" s="7" t="n">
        <v>144.332906187243</v>
      </c>
      <c r="O624" s="8">
        <f>N624*$B$2/100</f>
        <v/>
      </c>
    </row>
    <row r="625">
      <c r="A625" s="6" t="n">
        <v>46238.47093342592</v>
      </c>
      <c r="B625" s="7" t="n">
        <v>156.0919901358091</v>
      </c>
      <c r="C625" s="7" t="n">
        <v>129.6121886351842</v>
      </c>
      <c r="D625" s="7" t="n">
        <v>141.0168114416074</v>
      </c>
      <c r="E625" s="7" t="n">
        <v>160.2898018298068</v>
      </c>
      <c r="F625" s="7" t="n">
        <v>113.1610965655321</v>
      </c>
      <c r="G625" s="7" t="n">
        <v>103.3345788356859</v>
      </c>
      <c r="H625" s="7" t="n">
        <v>132.009679251879</v>
      </c>
      <c r="I625" s="7" t="n">
        <v>136.1938656367882</v>
      </c>
      <c r="J625" s="7" t="n">
        <v>127.9608999399038</v>
      </c>
      <c r="K625" s="7" t="n">
        <v>148.9565503998166</v>
      </c>
      <c r="L625" s="7" t="n">
        <v>105.6965771399855</v>
      </c>
      <c r="M625" s="7" t="n">
        <v>77.38570033633503</v>
      </c>
      <c r="N625" s="7" t="n">
        <v>144.4946459412781</v>
      </c>
      <c r="O625" s="8">
        <f>N625*$B$2/100</f>
        <v/>
      </c>
    </row>
    <row r="626">
      <c r="A626" s="6" t="n">
        <v>46238.47094510416</v>
      </c>
      <c r="B626" s="7" t="n">
        <v>146.3869430937048</v>
      </c>
      <c r="C626" s="7" t="n">
        <v>158.663132244092</v>
      </c>
      <c r="D626" s="7" t="n">
        <v>108.2095025380711</v>
      </c>
      <c r="E626" s="7" t="n">
        <v>117.8591344153142</v>
      </c>
      <c r="F626" s="7" t="n">
        <v>124.1586365966171</v>
      </c>
      <c r="G626" s="7" t="n">
        <v>111.0892078805137</v>
      </c>
      <c r="H626" s="7" t="n">
        <v>156.6300541244144</v>
      </c>
      <c r="I626" s="7" t="n">
        <v>97.40215229254858</v>
      </c>
      <c r="J626" s="7" t="n">
        <v>109.5754362416107</v>
      </c>
      <c r="K626" s="7" t="n">
        <v>73.41735147514483</v>
      </c>
      <c r="L626" s="7" t="n">
        <v>122.583223880597</v>
      </c>
      <c r="M626" s="7" t="n">
        <v>141.9137036508163</v>
      </c>
      <c r="N626" s="7" t="n">
        <v>145.0727688877489</v>
      </c>
      <c r="O626" s="8">
        <f>N626*$B$2/100</f>
        <v/>
      </c>
    </row>
    <row r="627">
      <c r="A627" s="6" t="n">
        <v>46238.47095680556</v>
      </c>
      <c r="B627" s="7" t="n">
        <v>122.8441311159315</v>
      </c>
      <c r="C627" s="7" t="n">
        <v>157.3875623257823</v>
      </c>
      <c r="D627" s="7" t="n">
        <v>143.6575113330586</v>
      </c>
      <c r="E627" s="7" t="n">
        <v>134.621819615656</v>
      </c>
      <c r="F627" s="7" t="n">
        <v>94.5686286827062</v>
      </c>
      <c r="G627" s="7" t="n">
        <v>101.5031389172077</v>
      </c>
      <c r="H627" s="7" t="n">
        <v>149.5600931710821</v>
      </c>
      <c r="I627" s="7" t="n">
        <v>102.7868365180467</v>
      </c>
      <c r="J627" s="7" t="n">
        <v>157.0357102182133</v>
      </c>
      <c r="K627" s="7" t="n">
        <v>114.5663519677522</v>
      </c>
      <c r="L627" s="7" t="n">
        <v>130.981120166845</v>
      </c>
      <c r="M627" s="7" t="n">
        <v>102.3831182134808</v>
      </c>
      <c r="N627" s="7" t="n">
        <v>143.4185313388552</v>
      </c>
      <c r="O627" s="8">
        <f>N627*$B$2/100</f>
        <v/>
      </c>
    </row>
    <row r="628">
      <c r="A628" s="6" t="n">
        <v>46238.47096846065</v>
      </c>
      <c r="B628" s="7" t="n">
        <v>152.0610526203789</v>
      </c>
      <c r="C628" s="7" t="n">
        <v>131.447265625</v>
      </c>
      <c r="D628" s="7" t="n">
        <v>147.5471734348266</v>
      </c>
      <c r="E628" s="7" t="n">
        <v>161.2960144407294</v>
      </c>
      <c r="F628" s="7" t="n">
        <v>109.5528360979005</v>
      </c>
      <c r="G628" s="7" t="n">
        <v>133.5012286503049</v>
      </c>
      <c r="H628" s="7" t="n">
        <v>136.5080505758735</v>
      </c>
      <c r="I628" s="7" t="n">
        <v>103.9880110667077</v>
      </c>
      <c r="J628" s="7" t="n">
        <v>150.2189467372839</v>
      </c>
      <c r="K628" s="7" t="n">
        <v>114.0677256729763</v>
      </c>
      <c r="L628" s="7" t="n">
        <v>114.706376066062</v>
      </c>
      <c r="M628" s="7" t="n">
        <v>131.4019161226694</v>
      </c>
      <c r="N628" s="7" t="n">
        <v>145.5966734373204</v>
      </c>
      <c r="O628" s="8">
        <f>N628*$B$2/100</f>
        <v/>
      </c>
    </row>
    <row r="629">
      <c r="A629" s="6" t="n">
        <v>46238.47098012731</v>
      </c>
      <c r="B629" s="7" t="n">
        <v>139.0237721638161</v>
      </c>
      <c r="C629" s="7" t="n">
        <v>159.3661989591214</v>
      </c>
      <c r="D629" s="7" t="n">
        <v>109.0560300996543</v>
      </c>
      <c r="E629" s="7" t="n">
        <v>104.3703051643192</v>
      </c>
      <c r="F629" s="7" t="n">
        <v>117.4566128310484</v>
      </c>
      <c r="G629" s="7" t="n">
        <v>109.644638282694</v>
      </c>
      <c r="H629" s="7" t="n">
        <v>157.8802090847014</v>
      </c>
      <c r="I629" s="7" t="n">
        <v>114.5453513749454</v>
      </c>
      <c r="J629" s="7" t="n">
        <v>117.7569187260117</v>
      </c>
      <c r="K629" s="7" t="n">
        <v>115.2055271853409</v>
      </c>
      <c r="L629" s="7" t="n">
        <v>102.1682259384867</v>
      </c>
      <c r="M629" s="7" t="n">
        <v>79.68365988206202</v>
      </c>
      <c r="N629" s="7" t="n">
        <v>143.7410536383199</v>
      </c>
      <c r="O629" s="8">
        <f>N629*$B$2/100</f>
        <v/>
      </c>
    </row>
    <row r="630">
      <c r="A630" s="6" t="n">
        <v>46238.47099181713</v>
      </c>
      <c r="B630" s="7" t="n">
        <v>134.2391251617076</v>
      </c>
      <c r="C630" s="7" t="n">
        <v>160.0435720448663</v>
      </c>
      <c r="D630" s="7" t="n">
        <v>105.3946029746621</v>
      </c>
      <c r="E630" s="7" t="n">
        <v>99.91352916839057</v>
      </c>
      <c r="F630" s="7" t="n">
        <v>97.58297222769352</v>
      </c>
      <c r="G630" s="7" t="n">
        <v>114.6191951663504</v>
      </c>
      <c r="H630" s="7" t="n">
        <v>145.0576624184022</v>
      </c>
      <c r="I630" s="7" t="n">
        <v>80.18095590959615</v>
      </c>
      <c r="J630" s="7" t="n">
        <v>157.5239713734464</v>
      </c>
      <c r="K630" s="7" t="n">
        <v>141.9362541441101</v>
      </c>
      <c r="L630" s="7" t="n">
        <v>127.4945652173913</v>
      </c>
      <c r="M630" s="7" t="n">
        <v>133.5235626430206</v>
      </c>
      <c r="N630" s="7" t="n">
        <v>143.5520685842854</v>
      </c>
      <c r="O630" s="8">
        <f>N630*$B$2/100</f>
        <v/>
      </c>
    </row>
    <row r="631">
      <c r="A631" s="6" t="n">
        <v>46238.47100351852</v>
      </c>
      <c r="B631" s="7" t="n">
        <v>155.6723162674408</v>
      </c>
      <c r="C631" s="7" t="n">
        <v>158.7539345855832</v>
      </c>
      <c r="D631" s="7" t="n">
        <v>113.1072627612196</v>
      </c>
      <c r="E631" s="7" t="n">
        <v>94.53334656609766</v>
      </c>
      <c r="F631" s="7" t="n">
        <v>112.3334151730911</v>
      </c>
      <c r="G631" s="7" t="n">
        <v>119.1586834934748</v>
      </c>
      <c r="H631" s="7" t="n">
        <v>143.0196763994793</v>
      </c>
      <c r="I631" s="7" t="n">
        <v>100.9107931832527</v>
      </c>
      <c r="J631" s="7" t="n">
        <v>113.6293137383545</v>
      </c>
      <c r="K631" s="7" t="n">
        <v>103.0190607023268</v>
      </c>
      <c r="L631" s="7" t="n">
        <v>129.8161741396922</v>
      </c>
      <c r="M631" s="7" t="n">
        <v>118.8606329113924</v>
      </c>
      <c r="N631" s="7" t="n">
        <v>141.7935664441461</v>
      </c>
      <c r="O631" s="8">
        <f>N631*$B$2/100</f>
        <v/>
      </c>
    </row>
    <row r="632">
      <c r="A632" s="6" t="n">
        <v>46238.47101518518</v>
      </c>
      <c r="B632" s="7" t="n">
        <v>140.1043906189927</v>
      </c>
      <c r="C632" s="7" t="n">
        <v>159.7749621874557</v>
      </c>
      <c r="D632" s="7" t="n">
        <v>122.4284767898547</v>
      </c>
      <c r="E632" s="7" t="n">
        <v>79.50003213574138</v>
      </c>
      <c r="F632" s="7" t="n">
        <v>128.0772932330827</v>
      </c>
      <c r="G632" s="7" t="n">
        <v>97.97195380626916</v>
      </c>
      <c r="H632" s="7" t="n">
        <v>156.2688674072101</v>
      </c>
      <c r="I632" s="7" t="n">
        <v>109.2820129546587</v>
      </c>
      <c r="J632" s="7" t="n">
        <v>127.2250237868696</v>
      </c>
      <c r="K632" s="7" t="n">
        <v>135.7139505119454</v>
      </c>
      <c r="L632" s="7" t="n">
        <v>83.11627316577811</v>
      </c>
      <c r="M632" s="7" t="n">
        <v>128.3987662996799</v>
      </c>
      <c r="N632" s="7" t="n">
        <v>143.7591747708809</v>
      </c>
      <c r="O632" s="8">
        <f>N632*$B$2/100</f>
        <v/>
      </c>
    </row>
    <row r="633">
      <c r="A633" s="6" t="n">
        <v>46238.47102724537</v>
      </c>
      <c r="B633" s="7" t="n">
        <v>149.0297017300834</v>
      </c>
      <c r="C633" s="7" t="n">
        <v>150.7679702334566</v>
      </c>
      <c r="D633" s="7" t="n">
        <v>146.834479240964</v>
      </c>
      <c r="E633" s="7" t="n">
        <v>148.3651986406103</v>
      </c>
      <c r="F633" s="7" t="n">
        <v>149.6986929890985</v>
      </c>
      <c r="G633" s="7" t="n">
        <v>148.8904097286573</v>
      </c>
      <c r="H633" s="7" t="n">
        <v>148.0137603958481</v>
      </c>
      <c r="I633" s="7" t="n">
        <v>150.3300215040892</v>
      </c>
      <c r="J633" s="7" t="n">
        <v>155.2730019960525</v>
      </c>
      <c r="K633" s="7" t="n">
        <v>151.5054372327203</v>
      </c>
      <c r="L633" s="7" t="n">
        <v>149.8946922443215</v>
      </c>
      <c r="M633" s="7" t="n">
        <v>150.0793023684264</v>
      </c>
      <c r="N633" s="7" t="n">
        <v>150.058133915348</v>
      </c>
      <c r="O633" s="8">
        <f>N633*$B$2/100</f>
        <v/>
      </c>
    </row>
    <row r="634">
      <c r="A634" s="6" t="n">
        <v>46238.47103895833</v>
      </c>
      <c r="B634" s="7" t="n">
        <v>148.2418543831005</v>
      </c>
      <c r="C634" s="7" t="n">
        <v>160.1232771445179</v>
      </c>
      <c r="D634" s="7" t="n">
        <v>158.7579693654267</v>
      </c>
      <c r="E634" s="7" t="n">
        <v>150.3607984344423</v>
      </c>
      <c r="F634" s="7" t="n">
        <v>148.9631900686542</v>
      </c>
      <c r="G634" s="7" t="n">
        <v>147.317085454496</v>
      </c>
      <c r="H634" s="7" t="n">
        <v>151.1392164351946</v>
      </c>
      <c r="I634" s="7" t="n">
        <v>155.465844222601</v>
      </c>
      <c r="J634" s="7" t="n">
        <v>150.4116429121726</v>
      </c>
      <c r="K634" s="7" t="n">
        <v>153.634306869601</v>
      </c>
      <c r="L634" s="7" t="n">
        <v>150.7441349310722</v>
      </c>
      <c r="M634" s="7" t="n">
        <v>150.4046627810158</v>
      </c>
      <c r="N634" s="7" t="n">
        <v>153.2988438094624</v>
      </c>
      <c r="O634" s="8">
        <f>N634*$B$2/100</f>
        <v/>
      </c>
    </row>
    <row r="635">
      <c r="A635" s="6" t="n">
        <v>46238.47105061343</v>
      </c>
      <c r="B635" s="7" t="n">
        <v>114.5173665791776</v>
      </c>
      <c r="C635" s="7" t="n">
        <v>154.9244606053915</v>
      </c>
      <c r="D635" s="7" t="n">
        <v>132.7278023770683</v>
      </c>
      <c r="E635" s="7" t="n">
        <v>133.5202442406965</v>
      </c>
      <c r="F635" s="7" t="n">
        <v>90.77219145007811</v>
      </c>
      <c r="G635" s="7" t="n">
        <v>134.0638899601491</v>
      </c>
      <c r="H635" s="7" t="n">
        <v>155.5032563955609</v>
      </c>
      <c r="I635" s="7" t="n">
        <v>133.796972077412</v>
      </c>
      <c r="J635" s="7" t="n">
        <v>128.8110456735719</v>
      </c>
      <c r="K635" s="7" t="n">
        <v>97.96641022862715</v>
      </c>
      <c r="L635" s="7" t="n">
        <v>90.22384206529992</v>
      </c>
      <c r="M635" s="7" t="n">
        <v>79.75785692906315</v>
      </c>
      <c r="N635" s="7" t="n">
        <v>139.7451139914576</v>
      </c>
      <c r="O635" s="8">
        <f>N635*$B$2/100</f>
        <v/>
      </c>
    </row>
    <row r="636">
      <c r="A636" s="6" t="n">
        <v>46238.47106226852</v>
      </c>
      <c r="B636" s="7" t="n">
        <v>132.3553881527198</v>
      </c>
      <c r="C636" s="7" t="n">
        <v>158.7058599803589</v>
      </c>
      <c r="D636" s="7" t="n">
        <v>125.2423468612251</v>
      </c>
      <c r="E636" s="7" t="n">
        <v>106.9763645726056</v>
      </c>
      <c r="F636" s="7" t="n">
        <v>96.39525691699605</v>
      </c>
      <c r="G636" s="7" t="n">
        <v>102.6562392743319</v>
      </c>
      <c r="H636" s="7" t="n">
        <v>125.5286757714582</v>
      </c>
      <c r="I636" s="7" t="n">
        <v>90.60234735224256</v>
      </c>
      <c r="J636" s="7" t="n">
        <v>157.1133751562901</v>
      </c>
      <c r="K636" s="7" t="n">
        <v>144.6892829916142</v>
      </c>
      <c r="L636" s="7" t="n">
        <v>87.81767762274505</v>
      </c>
      <c r="M636" s="7" t="n">
        <v>134.3999313540415</v>
      </c>
      <c r="N636" s="7" t="n">
        <v>141.7908943271546</v>
      </c>
      <c r="O636" s="8">
        <f>N636*$B$2/100</f>
        <v/>
      </c>
    </row>
    <row r="637">
      <c r="A637" s="6" t="n">
        <v>46238.47107393519</v>
      </c>
      <c r="B637" s="7" t="n">
        <v>154.1582703610411</v>
      </c>
      <c r="C637" s="7" t="n">
        <v>100.6831287467885</v>
      </c>
      <c r="D637" s="7" t="n">
        <v>141.5528252702599</v>
      </c>
      <c r="E637" s="7" t="n">
        <v>157.9731624392521</v>
      </c>
      <c r="F637" s="7" t="n">
        <v>118.6992619926199</v>
      </c>
      <c r="G637" s="7" t="n">
        <v>106.6762984366896</v>
      </c>
      <c r="H637" s="7" t="n">
        <v>136.0820252343771</v>
      </c>
      <c r="I637" s="7" t="n">
        <v>135.4349433863473</v>
      </c>
      <c r="J637" s="7" t="n">
        <v>128.1830043492807</v>
      </c>
      <c r="K637" s="7" t="n">
        <v>92.21378122308354</v>
      </c>
      <c r="L637" s="7" t="n">
        <v>96.25726580135441</v>
      </c>
      <c r="M637" s="7" t="n">
        <v>91.10878834292338</v>
      </c>
      <c r="N637" s="7" t="n">
        <v>141.9912278908087</v>
      </c>
      <c r="O637" s="8">
        <f>N637*$B$2/100</f>
        <v/>
      </c>
    </row>
    <row r="638">
      <c r="A638" s="6" t="n">
        <v>46238.47108561343</v>
      </c>
      <c r="B638" s="7" t="n">
        <v>135.4087751371115</v>
      </c>
      <c r="C638" s="7" t="n">
        <v>157.8560515850727</v>
      </c>
      <c r="D638" s="7" t="n">
        <v>91.42165823783232</v>
      </c>
      <c r="E638" s="7" t="n">
        <v>105.2504884004884</v>
      </c>
      <c r="F638" s="7" t="n">
        <v>119.502604776399</v>
      </c>
      <c r="G638" s="7" t="n">
        <v>117.5216149971719</v>
      </c>
      <c r="H638" s="7" t="n">
        <v>155.8726846785906</v>
      </c>
      <c r="I638" s="7" t="n">
        <v>134.2079491028665</v>
      </c>
      <c r="J638" s="7" t="n">
        <v>134.5066465934207</v>
      </c>
      <c r="K638" s="7" t="n">
        <v>115.5328012769354</v>
      </c>
      <c r="L638" s="7" t="n">
        <v>96.42604017756376</v>
      </c>
      <c r="M638" s="7" t="n">
        <v>115.4019178082192</v>
      </c>
      <c r="N638" s="7" t="n">
        <v>141.3326096003184</v>
      </c>
      <c r="O638" s="8">
        <f>N638*$B$2/100</f>
        <v/>
      </c>
    </row>
    <row r="639">
      <c r="A639" s="6" t="n">
        <v>46238.47109728009</v>
      </c>
      <c r="B639" s="7" t="n">
        <v>103.9552588613262</v>
      </c>
      <c r="C639" s="7" t="n">
        <v>153.3408034930051</v>
      </c>
      <c r="D639" s="7" t="n">
        <v>139.473526057203</v>
      </c>
      <c r="E639" s="7" t="n">
        <v>140.522589604233</v>
      </c>
      <c r="F639" s="7" t="n">
        <v>113.9055358331484</v>
      </c>
      <c r="G639" s="7" t="n">
        <v>105.9320815608039</v>
      </c>
      <c r="H639" s="7" t="n">
        <v>139.9272766873987</v>
      </c>
      <c r="I639" s="7" t="n">
        <v>135.8116426153572</v>
      </c>
      <c r="J639" s="7" t="n">
        <v>158.7630183577328</v>
      </c>
      <c r="K639" s="7" t="n">
        <v>132.8976131232145</v>
      </c>
      <c r="L639" s="7" t="n">
        <v>79.1915668501133</v>
      </c>
      <c r="M639" s="7" t="n">
        <v>70.41541738346851</v>
      </c>
      <c r="N639" s="7" t="n">
        <v>142.3463753253924</v>
      </c>
      <c r="O639" s="8">
        <f>N639*$B$2/100</f>
        <v/>
      </c>
    </row>
    <row r="640">
      <c r="A640" s="6" t="n">
        <v>46238.47110894676</v>
      </c>
      <c r="B640" s="7" t="n">
        <v>153.8442201383617</v>
      </c>
      <c r="C640" s="7" t="n">
        <v>108.8307289074682</v>
      </c>
      <c r="D640" s="7" t="n">
        <v>146.1771009385451</v>
      </c>
      <c r="E640" s="7" t="n">
        <v>159.983624511693</v>
      </c>
      <c r="F640" s="7" t="n">
        <v>129.8546210157084</v>
      </c>
      <c r="G640" s="7" t="n">
        <v>107.4865189335201</v>
      </c>
      <c r="H640" s="7" t="n">
        <v>137.8093241243216</v>
      </c>
      <c r="I640" s="7" t="n">
        <v>113.0089391662052</v>
      </c>
      <c r="J640" s="7" t="n">
        <v>118.9147118880422</v>
      </c>
      <c r="K640" s="7" t="n">
        <v>108.5808158553011</v>
      </c>
      <c r="L640" s="7" t="n">
        <v>85.16349124613801</v>
      </c>
      <c r="M640" s="7" t="n">
        <v>134.1393593037278</v>
      </c>
      <c r="N640" s="7" t="n">
        <v>143.7889157558758</v>
      </c>
      <c r="O640" s="8">
        <f>N640*$B$2/100</f>
        <v/>
      </c>
    </row>
    <row r="641">
      <c r="A641" s="6" t="n">
        <v>46238.47112059028</v>
      </c>
      <c r="B641" s="7" t="n">
        <v>118.4889891402925</v>
      </c>
      <c r="C641" s="7" t="n">
        <v>157.437463303406</v>
      </c>
      <c r="D641" s="7" t="n">
        <v>99.20636615071085</v>
      </c>
      <c r="E641" s="7" t="n">
        <v>107.8045142765991</v>
      </c>
      <c r="F641" s="7" t="n">
        <v>145.0068573667712</v>
      </c>
      <c r="G641" s="7" t="n">
        <v>91.12740313951437</v>
      </c>
      <c r="H641" s="7" t="n">
        <v>156.895223265619</v>
      </c>
      <c r="I641" s="7" t="n">
        <v>95.51149153504208</v>
      </c>
      <c r="J641" s="7" t="n">
        <v>119.2596634070592</v>
      </c>
      <c r="K641" s="7" t="n">
        <v>106.9713469322962</v>
      </c>
      <c r="L641" s="7" t="n">
        <v>122.6937122229684</v>
      </c>
      <c r="M641" s="7" t="n">
        <v>86.39390507567178</v>
      </c>
      <c r="N641" s="7" t="n">
        <v>142.15786819438</v>
      </c>
      <c r="O641" s="8">
        <f>N641*$B$2/100</f>
        <v/>
      </c>
    </row>
    <row r="642">
      <c r="A642" s="6" t="n">
        <v>46238.47113226852</v>
      </c>
      <c r="B642" s="7" t="n">
        <v>131.5774822956021</v>
      </c>
      <c r="C642" s="7" t="n">
        <v>159.4589482317695</v>
      </c>
      <c r="D642" s="7" t="n">
        <v>102.4340091813313</v>
      </c>
      <c r="E642" s="7" t="n">
        <v>99.56428571428572</v>
      </c>
      <c r="F642" s="7" t="n">
        <v>125.5982810287483</v>
      </c>
      <c r="G642" s="7" t="n">
        <v>127.7723634718176</v>
      </c>
      <c r="H642" s="7" t="n">
        <v>139.9274536686838</v>
      </c>
      <c r="I642" s="7" t="n">
        <v>128.402580988492</v>
      </c>
      <c r="J642" s="7" t="n">
        <v>158.8219259986867</v>
      </c>
      <c r="K642" s="7" t="n">
        <v>130.5569658205077</v>
      </c>
      <c r="L642" s="7" t="n">
        <v>111.1400407885792</v>
      </c>
      <c r="M642" s="7" t="n">
        <v>127.9653515857495</v>
      </c>
      <c r="N642" s="7" t="n">
        <v>143.9576034152804</v>
      </c>
      <c r="O642" s="8">
        <f>N642*$B$2/100</f>
        <v/>
      </c>
    </row>
    <row r="643">
      <c r="A643" s="6" t="n">
        <v>46238.47114392361</v>
      </c>
      <c r="B643" s="7" t="n">
        <v>131.4089753703217</v>
      </c>
      <c r="C643" s="7" t="n">
        <v>158.6890879358187</v>
      </c>
      <c r="D643" s="7" t="n">
        <v>154.7452027706924</v>
      </c>
      <c r="E643" s="7" t="n">
        <v>119.2372758119244</v>
      </c>
      <c r="F643" s="7" t="n">
        <v>97.6788734813034</v>
      </c>
      <c r="G643" s="7" t="n">
        <v>105.7752914549259</v>
      </c>
      <c r="H643" s="7" t="n">
        <v>133.882528270119</v>
      </c>
      <c r="I643" s="7" t="n">
        <v>111.36625854428</v>
      </c>
      <c r="J643" s="7" t="n">
        <v>106.4523768065471</v>
      </c>
      <c r="K643" s="7" t="n">
        <v>107.8019858156028</v>
      </c>
      <c r="L643" s="7" t="n">
        <v>102.4818245778612</v>
      </c>
      <c r="M643" s="7" t="n">
        <v>127.5641794882784</v>
      </c>
      <c r="N643" s="7" t="n">
        <v>141.2087247790066</v>
      </c>
      <c r="O643" s="8">
        <f>N643*$B$2/100</f>
        <v/>
      </c>
    </row>
    <row r="644">
      <c r="A644" s="6" t="n">
        <v>46238.471155625</v>
      </c>
      <c r="B644" s="7" t="n">
        <v>130.5329060779625</v>
      </c>
      <c r="C644" s="7" t="n">
        <v>158.5317115787417</v>
      </c>
      <c r="D644" s="7" t="n">
        <v>105.8506192279866</v>
      </c>
      <c r="E644" s="7" t="n">
        <v>115.6786479701182</v>
      </c>
      <c r="F644" s="7" t="n">
        <v>122.7786147113281</v>
      </c>
      <c r="G644" s="7" t="n">
        <v>102.613584941992</v>
      </c>
      <c r="H644" s="7" t="n">
        <v>157.743061183393</v>
      </c>
      <c r="I644" s="7" t="n">
        <v>142.1268239056566</v>
      </c>
      <c r="J644" s="7" t="n">
        <v>146.339819995135</v>
      </c>
      <c r="K644" s="7" t="n">
        <v>79.15301132975551</v>
      </c>
      <c r="L644" s="7" t="n">
        <v>115.1384607532918</v>
      </c>
      <c r="M644" s="7" t="n">
        <v>105.6350936692507</v>
      </c>
      <c r="N644" s="7" t="n">
        <v>144.3162824611588</v>
      </c>
      <c r="O644" s="8">
        <f>N644*$B$2/100</f>
        <v/>
      </c>
    </row>
    <row r="645">
      <c r="A645" s="6" t="n">
        <v>46238.47116726852</v>
      </c>
      <c r="B645" s="7" t="n">
        <v>134.6192483892752</v>
      </c>
      <c r="C645" s="7" t="n">
        <v>158.5114335441402</v>
      </c>
      <c r="D645" s="7" t="n">
        <v>105.1439115983943</v>
      </c>
      <c r="E645" s="7" t="n">
        <v>113.015533833447</v>
      </c>
      <c r="F645" s="7" t="n">
        <v>87.4400632786237</v>
      </c>
      <c r="G645" s="7" t="n">
        <v>99.95493708547697</v>
      </c>
      <c r="H645" s="7" t="n">
        <v>139.2499368358475</v>
      </c>
      <c r="I645" s="7" t="n">
        <v>101.343991416309</v>
      </c>
      <c r="J645" s="7" t="n">
        <v>156.2757432660338</v>
      </c>
      <c r="K645" s="7" t="n">
        <v>108.7123717814528</v>
      </c>
      <c r="L645" s="7" t="n">
        <v>93.03087228775303</v>
      </c>
      <c r="M645" s="7" t="n">
        <v>135.1840405155342</v>
      </c>
      <c r="N645" s="7" t="n">
        <v>141.7460740799714</v>
      </c>
      <c r="O645" s="8">
        <f>N645*$B$2/100</f>
        <v/>
      </c>
    </row>
    <row r="646">
      <c r="A646" s="6" t="n">
        <v>46238.47117894676</v>
      </c>
      <c r="B646" s="7" t="n">
        <v>152.8371056637158</v>
      </c>
      <c r="C646" s="7" t="n">
        <v>101.9186955973256</v>
      </c>
      <c r="D646" s="7" t="n">
        <v>160.5366002681587</v>
      </c>
      <c r="E646" s="7" t="n">
        <v>139.9170554829765</v>
      </c>
      <c r="F646" s="7" t="n">
        <v>117.1565656565657</v>
      </c>
      <c r="G646" s="7" t="n">
        <v>107.3909644786757</v>
      </c>
      <c r="H646" s="7" t="n">
        <v>131.413904467221</v>
      </c>
      <c r="I646" s="7" t="n">
        <v>100.9886294640393</v>
      </c>
      <c r="J646" s="7" t="n">
        <v>132.0122382485</v>
      </c>
      <c r="K646" s="7" t="n">
        <v>100.6558053330145</v>
      </c>
      <c r="L646" s="7" t="n">
        <v>91.08500649285786</v>
      </c>
      <c r="M646" s="7" t="n">
        <v>126.2256968048946</v>
      </c>
      <c r="N646" s="7" t="n">
        <v>142.3856979382064</v>
      </c>
      <c r="O646" s="8">
        <f>N646*$B$2/100</f>
        <v/>
      </c>
    </row>
    <row r="647">
      <c r="A647" s="6" t="n">
        <v>46238.47119064815</v>
      </c>
      <c r="B647" s="7" t="n">
        <v>141.9526194918903</v>
      </c>
      <c r="C647" s="7" t="n">
        <v>158.4515143171806</v>
      </c>
      <c r="D647" s="7" t="n">
        <v>88.05968677265375</v>
      </c>
      <c r="E647" s="7" t="n">
        <v>104.1935200632189</v>
      </c>
      <c r="F647" s="7" t="n">
        <v>123.5075768649807</v>
      </c>
      <c r="G647" s="7" t="n">
        <v>113.7553170826454</v>
      </c>
      <c r="H647" s="7" t="n">
        <v>156.8755564988453</v>
      </c>
      <c r="I647" s="7" t="n">
        <v>113.8119262393231</v>
      </c>
      <c r="J647" s="7" t="n">
        <v>128.5952359631056</v>
      </c>
      <c r="K647" s="7" t="n">
        <v>81.52640803926151</v>
      </c>
      <c r="L647" s="7" t="n">
        <v>123.0871864944682</v>
      </c>
      <c r="M647" s="7" t="n">
        <v>105.1345605392792</v>
      </c>
      <c r="N647" s="7" t="n">
        <v>143.5117428443562</v>
      </c>
      <c r="O647" s="8">
        <f>N647*$B$2/100</f>
        <v/>
      </c>
    </row>
    <row r="648">
      <c r="A648" s="6" t="n">
        <v>46238.47120233796</v>
      </c>
      <c r="B648" s="7" t="n">
        <v>147.7898720760682</v>
      </c>
      <c r="C648" s="7" t="n">
        <v>149.7893497281555</v>
      </c>
      <c r="D648" s="7" t="n">
        <v>150.1092208512534</v>
      </c>
      <c r="E648" s="7" t="n">
        <v>149.7875711368607</v>
      </c>
      <c r="F648" s="7" t="n">
        <v>150.1627270514398</v>
      </c>
      <c r="G648" s="7" t="n">
        <v>148.0069489705637</v>
      </c>
      <c r="H648" s="7" t="n">
        <v>149.2022886966668</v>
      </c>
      <c r="I648" s="7" t="n">
        <v>150.9711312408402</v>
      </c>
      <c r="J648" s="7" t="n">
        <v>153.3512892396268</v>
      </c>
      <c r="K648" s="7" t="n">
        <v>150.6418447521127</v>
      </c>
      <c r="L648" s="7" t="n">
        <v>149.7159331148643</v>
      </c>
      <c r="M648" s="7" t="n">
        <v>150.2222618109786</v>
      </c>
      <c r="N648" s="7" t="n">
        <v>150.0344379119339</v>
      </c>
      <c r="O648" s="8">
        <f>N648*$B$2/100</f>
        <v/>
      </c>
    </row>
    <row r="649">
      <c r="A649" s="6" t="n">
        <v>46238.47121405093</v>
      </c>
      <c r="B649" s="7" t="n">
        <v>148.3253195140484</v>
      </c>
      <c r="C649" s="7" t="n">
        <v>160.6975325896374</v>
      </c>
      <c r="D649" s="7" t="n">
        <v>155.5850180072029</v>
      </c>
      <c r="E649" s="7" t="n">
        <v>151.0210955164029</v>
      </c>
      <c r="F649" s="7" t="n">
        <v>147.6182526300791</v>
      </c>
      <c r="G649" s="7" t="n">
        <v>146.0312525020684</v>
      </c>
      <c r="H649" s="7" t="n">
        <v>151.5214624094168</v>
      </c>
      <c r="I649" s="7" t="n">
        <v>150.1208394034764</v>
      </c>
      <c r="J649" s="7" t="n">
        <v>145.8151586620926</v>
      </c>
      <c r="K649" s="7" t="n">
        <v>150.945436050975</v>
      </c>
      <c r="L649" s="7" t="n">
        <v>146.2223614401222</v>
      </c>
      <c r="M649" s="7" t="n">
        <v>155.3060605903864</v>
      </c>
      <c r="N649" s="7" t="n">
        <v>152.4563594891927</v>
      </c>
      <c r="O649" s="8">
        <f>N649*$B$2/100</f>
        <v/>
      </c>
    </row>
    <row r="650">
      <c r="A650" s="6" t="n">
        <v>46238.47122569445</v>
      </c>
      <c r="B650" s="7" t="n">
        <v>130.5036352517497</v>
      </c>
      <c r="C650" s="7" t="n">
        <v>158.1628775118762</v>
      </c>
      <c r="D650" s="7" t="n">
        <v>121.0818831630553</v>
      </c>
      <c r="E650" s="7" t="n">
        <v>85.11083633093526</v>
      </c>
      <c r="F650" s="7" t="n">
        <v>139.9676011029412</v>
      </c>
      <c r="G650" s="7" t="n">
        <v>133.3305494922654</v>
      </c>
      <c r="H650" s="7" t="n">
        <v>158.9683314519328</v>
      </c>
      <c r="I650" s="7" t="n">
        <v>99.61343984188422</v>
      </c>
      <c r="J650" s="7" t="n">
        <v>99.92349127182045</v>
      </c>
      <c r="K650" s="7" t="n">
        <v>117.4803942126232</v>
      </c>
      <c r="L650" s="7" t="n">
        <v>133.1954064309966</v>
      </c>
      <c r="M650" s="7" t="n">
        <v>104.2833848266392</v>
      </c>
      <c r="N650" s="7" t="n">
        <v>143.5178802669589</v>
      </c>
      <c r="O650" s="8">
        <f>N650*$B$2/100</f>
        <v/>
      </c>
    </row>
    <row r="651">
      <c r="A651" s="6" t="n">
        <v>46238.47123738426</v>
      </c>
      <c r="B651" s="7" t="n">
        <v>133.8291428031972</v>
      </c>
      <c r="C651" s="7" t="n">
        <v>159.1809006813272</v>
      </c>
      <c r="D651" s="7" t="n">
        <v>117.5826968356975</v>
      </c>
      <c r="E651" s="7" t="n">
        <v>105.4953502324884</v>
      </c>
      <c r="F651" s="7" t="n">
        <v>94.70084033613445</v>
      </c>
      <c r="G651" s="7" t="n">
        <v>96.79518572317909</v>
      </c>
      <c r="H651" s="7" t="n">
        <v>134.1535431256911</v>
      </c>
      <c r="I651" s="7" t="n">
        <v>94.97079169869332</v>
      </c>
      <c r="J651" s="7" t="n">
        <v>155.6594858750204</v>
      </c>
      <c r="K651" s="7" t="n">
        <v>99.06483412322275</v>
      </c>
      <c r="L651" s="7" t="n">
        <v>131.1990008873698</v>
      </c>
      <c r="M651" s="7" t="n">
        <v>102.4892345729886</v>
      </c>
      <c r="N651" s="7" t="n">
        <v>140.7553865888346</v>
      </c>
      <c r="O651" s="8">
        <f>N651*$B$2/100</f>
        <v/>
      </c>
    </row>
    <row r="652">
      <c r="A652" s="6" t="n">
        <v>46238.47124903935</v>
      </c>
      <c r="B652" s="7" t="n">
        <v>154.0966201339877</v>
      </c>
      <c r="C652" s="7" t="n">
        <v>136.703217603912</v>
      </c>
      <c r="D652" s="7" t="n">
        <v>115.746996772154</v>
      </c>
      <c r="E652" s="7" t="n">
        <v>162.2596381748845</v>
      </c>
      <c r="F652" s="7" t="n">
        <v>135.3329475563785</v>
      </c>
      <c r="G652" s="7" t="n">
        <v>119.5763242745279</v>
      </c>
      <c r="H652" s="7" t="n">
        <v>142.7065091623389</v>
      </c>
      <c r="I652" s="7" t="n">
        <v>114.0006068421452</v>
      </c>
      <c r="J652" s="7" t="n">
        <v>120.5261931746631</v>
      </c>
      <c r="K652" s="7" t="n">
        <v>89.42411983380713</v>
      </c>
      <c r="L652" s="7" t="n">
        <v>72.84922775189997</v>
      </c>
      <c r="M652" s="7" t="n">
        <v>136.9594736007611</v>
      </c>
      <c r="N652" s="7" t="n">
        <v>144.3305912292123</v>
      </c>
      <c r="O652" s="8">
        <f>N652*$B$2/100</f>
        <v/>
      </c>
    </row>
    <row r="653">
      <c r="A653" s="6" t="n">
        <v>46238.47126075232</v>
      </c>
      <c r="B653" s="7" t="n">
        <v>135.1801114059179</v>
      </c>
      <c r="C653" s="7" t="n">
        <v>155.8066744272008</v>
      </c>
      <c r="D653" s="7" t="n">
        <v>112.8932324506095</v>
      </c>
      <c r="E653" s="7" t="n">
        <v>90.37247324613556</v>
      </c>
      <c r="F653" s="7" t="n">
        <v>128.7931111859082</v>
      </c>
      <c r="G653" s="7" t="n">
        <v>111.0916645123167</v>
      </c>
      <c r="H653" s="7" t="n">
        <v>155.5741038164631</v>
      </c>
      <c r="I653" s="7" t="n">
        <v>127.3451661094117</v>
      </c>
      <c r="J653" s="7" t="n">
        <v>106.9170946053259</v>
      </c>
      <c r="K653" s="7" t="n">
        <v>133.3878776079691</v>
      </c>
      <c r="L653" s="7" t="n">
        <v>104.134129060388</v>
      </c>
      <c r="M653" s="7" t="n">
        <v>84.87474066390041</v>
      </c>
      <c r="N653" s="7" t="n">
        <v>141.8097673373047</v>
      </c>
      <c r="O653" s="8">
        <f>N653*$B$2/100</f>
        <v/>
      </c>
    </row>
    <row r="654">
      <c r="A654" s="6" t="n">
        <v>46238.47127246528</v>
      </c>
      <c r="B654" s="7" t="n">
        <v>134.3712053259981</v>
      </c>
      <c r="C654" s="7" t="n">
        <v>159.0907439039769</v>
      </c>
      <c r="D654" s="7" t="n">
        <v>102.4542006790436</v>
      </c>
      <c r="E654" s="7" t="n">
        <v>121.6867491644838</v>
      </c>
      <c r="F654" s="7" t="n">
        <v>116.2772674770365</v>
      </c>
      <c r="G654" s="7" t="n">
        <v>122.5519921779516</v>
      </c>
      <c r="H654" s="7" t="n">
        <v>142.741362140265</v>
      </c>
      <c r="I654" s="7" t="n">
        <v>122.7556826908309</v>
      </c>
      <c r="J654" s="7" t="n">
        <v>156.0024459557667</v>
      </c>
      <c r="K654" s="7" t="n">
        <v>136.8223856109862</v>
      </c>
      <c r="L654" s="7" t="n">
        <v>100.0009006755066</v>
      </c>
      <c r="M654" s="7" t="n">
        <v>86.42117945466075</v>
      </c>
      <c r="N654" s="7" t="n">
        <v>143.8308669699238</v>
      </c>
      <c r="O654" s="8">
        <f>N654*$B$2/100</f>
        <v/>
      </c>
    </row>
    <row r="655">
      <c r="A655" s="6" t="n">
        <v>46238.47128414352</v>
      </c>
      <c r="B655" s="7" t="n">
        <v>132.9187911890239</v>
      </c>
      <c r="C655" s="7" t="n">
        <v>156.9948939578501</v>
      </c>
      <c r="D655" s="7" t="n">
        <v>152.6277553501388</v>
      </c>
      <c r="E655" s="7" t="n">
        <v>94.7267984623833</v>
      </c>
      <c r="F655" s="7" t="n">
        <v>144.672517707096</v>
      </c>
      <c r="G655" s="7" t="n">
        <v>147.9723549354032</v>
      </c>
      <c r="H655" s="7" t="n">
        <v>134.0807647375989</v>
      </c>
      <c r="I655" s="7" t="n">
        <v>94.60114873937043</v>
      </c>
      <c r="J655" s="7" t="n">
        <v>111.5220360024829</v>
      </c>
      <c r="K655" s="7" t="n">
        <v>87.66985973315087</v>
      </c>
      <c r="L655" s="7" t="n">
        <v>76.51736332130986</v>
      </c>
      <c r="M655" s="7" t="n">
        <v>137.9214295504386</v>
      </c>
      <c r="N655" s="7" t="n">
        <v>143.4694346478572</v>
      </c>
      <c r="O655" s="8">
        <f>N655*$B$2/100</f>
        <v/>
      </c>
    </row>
    <row r="656">
      <c r="A656" s="6" t="n">
        <v>46238.47129586805</v>
      </c>
      <c r="B656" s="7" t="n">
        <v>134.2126016321482</v>
      </c>
      <c r="C656" s="7" t="n">
        <v>157.0542741129701</v>
      </c>
      <c r="D656" s="7" t="n">
        <v>103.7149931693989</v>
      </c>
      <c r="E656" s="7" t="n">
        <v>87.70353691715921</v>
      </c>
      <c r="F656" s="7" t="n">
        <v>109.0989520354696</v>
      </c>
      <c r="G656" s="7" t="n">
        <v>132.4953216587177</v>
      </c>
      <c r="H656" s="7" t="n">
        <v>154.7450224755754</v>
      </c>
      <c r="I656" s="7" t="n">
        <v>106.1073804075986</v>
      </c>
      <c r="J656" s="7" t="n">
        <v>129.8820024137584</v>
      </c>
      <c r="K656" s="7" t="n">
        <v>132.6768589298124</v>
      </c>
      <c r="L656" s="7" t="n">
        <v>138.7783550711053</v>
      </c>
      <c r="M656" s="7" t="n">
        <v>75.87908982748364</v>
      </c>
      <c r="N656" s="7" t="n">
        <v>142.784798847306</v>
      </c>
      <c r="O656" s="8">
        <f>N656*$B$2/100</f>
        <v/>
      </c>
    </row>
    <row r="657">
      <c r="A657" s="6" t="n">
        <v>46238.47130756945</v>
      </c>
      <c r="B657" s="7" t="n">
        <v>130.9888577240784</v>
      </c>
      <c r="C657" s="7" t="n">
        <v>155.8682630385487</v>
      </c>
      <c r="D657" s="7" t="n">
        <v>104.2114500626828</v>
      </c>
      <c r="E657" s="7" t="n">
        <v>108.841043521574</v>
      </c>
      <c r="F657" s="7" t="n">
        <v>121.8185210136291</v>
      </c>
      <c r="G657" s="7" t="n">
        <v>118.1549361424443</v>
      </c>
      <c r="H657" s="7" t="n">
        <v>136.2851144056903</v>
      </c>
      <c r="I657" s="7" t="n">
        <v>130.535263995869</v>
      </c>
      <c r="J657" s="7" t="n">
        <v>158.2174132863022</v>
      </c>
      <c r="K657" s="7" t="n">
        <v>149.661758496939</v>
      </c>
      <c r="L657" s="7" t="n">
        <v>81.25336235280987</v>
      </c>
      <c r="M657" s="7" t="n">
        <v>106.5263514217269</v>
      </c>
      <c r="N657" s="7" t="n">
        <v>142.9098475990408</v>
      </c>
      <c r="O657" s="8">
        <f>N657*$B$2/100</f>
        <v/>
      </c>
    </row>
    <row r="658">
      <c r="A658" s="6" t="n">
        <v>46238.47131923611</v>
      </c>
      <c r="B658" s="7" t="n">
        <v>152.6827785094913</v>
      </c>
      <c r="C658" s="7" t="n">
        <v>124.3177666851544</v>
      </c>
      <c r="D658" s="7" t="n">
        <v>139.5413074095703</v>
      </c>
      <c r="E658" s="7" t="n">
        <v>161.0346027388515</v>
      </c>
      <c r="F658" s="7" t="n">
        <v>94.37896009673518</v>
      </c>
      <c r="G658" s="7" t="n">
        <v>116.3225889192886</v>
      </c>
      <c r="H658" s="7" t="n">
        <v>149.920994827464</v>
      </c>
      <c r="I658" s="7" t="n">
        <v>101.2516174567698</v>
      </c>
      <c r="J658" s="7" t="n">
        <v>88.86883045092</v>
      </c>
      <c r="K658" s="7" t="n">
        <v>135.2880418535127</v>
      </c>
      <c r="L658" s="7" t="n">
        <v>104.6597641250686</v>
      </c>
      <c r="M658" s="7" t="n">
        <v>112.9483070431026</v>
      </c>
      <c r="N658" s="7" t="n">
        <v>144.1338457358022</v>
      </c>
      <c r="O658" s="8">
        <f>N658*$B$2/100</f>
        <v/>
      </c>
    </row>
    <row r="659">
      <c r="A659" s="6" t="n">
        <v>46238.4713308912</v>
      </c>
      <c r="B659" s="7" t="n">
        <v>144.4674007728217</v>
      </c>
      <c r="C659" s="7" t="n">
        <v>157.8539448061827</v>
      </c>
      <c r="D659" s="7" t="n">
        <v>100.5300816886292</v>
      </c>
      <c r="E659" s="7" t="n">
        <v>93.07730977225988</v>
      </c>
      <c r="F659" s="7" t="n">
        <v>123.0864628820961</v>
      </c>
      <c r="G659" s="7" t="n">
        <v>110.3889105058366</v>
      </c>
      <c r="H659" s="7" t="n">
        <v>158.2205082902963</v>
      </c>
      <c r="I659" s="7" t="n">
        <v>144.8633991318727</v>
      </c>
      <c r="J659" s="7" t="n">
        <v>145.7093728728284</v>
      </c>
      <c r="K659" s="7" t="n">
        <v>92.66922152088969</v>
      </c>
      <c r="L659" s="7" t="n">
        <v>94.50321364298568</v>
      </c>
      <c r="M659" s="7" t="n">
        <v>83.91128842994603</v>
      </c>
      <c r="N659" s="7" t="n">
        <v>144.3671790695307</v>
      </c>
      <c r="O659" s="8">
        <f>N659*$B$2/100</f>
        <v/>
      </c>
    </row>
    <row r="660">
      <c r="A660" s="6" t="n">
        <v>46238.47134258102</v>
      </c>
      <c r="B660" s="7" t="n">
        <v>133.9899260093544</v>
      </c>
      <c r="C660" s="7" t="n">
        <v>156.5613002995534</v>
      </c>
      <c r="D660" s="7" t="n">
        <v>109.3308765219014</v>
      </c>
      <c r="E660" s="7" t="n">
        <v>111.2099898063201</v>
      </c>
      <c r="F660" s="7" t="n">
        <v>131.4363768498943</v>
      </c>
      <c r="G660" s="7" t="n">
        <v>95.12175541878513</v>
      </c>
      <c r="H660" s="7" t="n">
        <v>134.3605793006005</v>
      </c>
      <c r="I660" s="7" t="n">
        <v>110.3474248659434</v>
      </c>
      <c r="J660" s="7" t="n">
        <v>158.1568397300875</v>
      </c>
      <c r="K660" s="7" t="n">
        <v>141.3294871396137</v>
      </c>
      <c r="L660" s="7" t="n">
        <v>114.0865175660992</v>
      </c>
      <c r="M660" s="7" t="n">
        <v>108.9846986378056</v>
      </c>
      <c r="N660" s="7" t="n">
        <v>144.4711996948312</v>
      </c>
      <c r="O660" s="8">
        <f>N660*$B$2/100</f>
        <v/>
      </c>
    </row>
    <row r="661">
      <c r="A661" s="6" t="n">
        <v>46238.47135427083</v>
      </c>
      <c r="B661" s="7" t="n">
        <v>130.6141502308015</v>
      </c>
      <c r="C661" s="7" t="n">
        <v>159.5888166153144</v>
      </c>
      <c r="D661" s="7" t="n">
        <v>156.000083571113</v>
      </c>
      <c r="E661" s="7" t="n">
        <v>113.7732278326128</v>
      </c>
      <c r="F661" s="7" t="n">
        <v>119.2350309566607</v>
      </c>
      <c r="G661" s="7" t="n">
        <v>109.6887702730446</v>
      </c>
      <c r="H661" s="7" t="n">
        <v>148.5490541702493</v>
      </c>
      <c r="I661" s="7" t="n">
        <v>123.3343625136215</v>
      </c>
      <c r="J661" s="7" t="n">
        <v>95.50838517717068</v>
      </c>
      <c r="K661" s="7" t="n">
        <v>124.6697450237316</v>
      </c>
      <c r="L661" s="7" t="n">
        <v>80.31426633506669</v>
      </c>
      <c r="M661" s="7" t="n">
        <v>117.8902873426739</v>
      </c>
      <c r="N661" s="7" t="n">
        <v>143.6879951739393</v>
      </c>
      <c r="O661" s="8">
        <f>N661*$B$2/100</f>
        <v/>
      </c>
    </row>
    <row r="662">
      <c r="A662" s="6" t="n">
        <v>46238.47136591435</v>
      </c>
      <c r="B662" s="7" t="n">
        <v>137.2171040211441</v>
      </c>
      <c r="C662" s="7" t="n">
        <v>138.4759808161019</v>
      </c>
      <c r="D662" s="7" t="n">
        <v>112.1681120747165</v>
      </c>
      <c r="E662" s="7" t="n">
        <v>161.4880549631472</v>
      </c>
      <c r="F662" s="7" t="n">
        <v>119.7905196231817</v>
      </c>
      <c r="G662" s="7" t="n">
        <v>134.5633915477936</v>
      </c>
      <c r="H662" s="7" t="n">
        <v>157.4939257293044</v>
      </c>
      <c r="I662" s="7" t="n">
        <v>131.7832177342581</v>
      </c>
      <c r="J662" s="7" t="n">
        <v>138.9711166924266</v>
      </c>
      <c r="K662" s="7" t="n">
        <v>97.12514380672377</v>
      </c>
      <c r="L662" s="7" t="n">
        <v>96.62613230853692</v>
      </c>
      <c r="M662" s="7" t="n">
        <v>78.36235922442819</v>
      </c>
      <c r="N662" s="7" t="n">
        <v>144.0846332620619</v>
      </c>
      <c r="O662" s="8">
        <f>N662*$B$2/100</f>
        <v/>
      </c>
    </row>
    <row r="663">
      <c r="A663" s="6" t="n">
        <v>46238.47137759259</v>
      </c>
      <c r="B663" s="7" t="n">
        <v>150.4170335097432</v>
      </c>
      <c r="C663" s="7" t="n">
        <v>151.7432159235225</v>
      </c>
      <c r="D663" s="7" t="n">
        <v>150.8648520447871</v>
      </c>
      <c r="E663" s="7" t="n">
        <v>151.4544896658147</v>
      </c>
      <c r="F663" s="7" t="n">
        <v>149.5473705381717</v>
      </c>
      <c r="G663" s="7" t="n">
        <v>150.2371131791216</v>
      </c>
      <c r="H663" s="7" t="n">
        <v>150.345633710667</v>
      </c>
      <c r="I663" s="7" t="n">
        <v>150.0329438364113</v>
      </c>
      <c r="J663" s="7" t="n">
        <v>152.6584209614766</v>
      </c>
      <c r="K663" s="7" t="n">
        <v>151.398151438585</v>
      </c>
      <c r="L663" s="7" t="n">
        <v>150.1442155643808</v>
      </c>
      <c r="M663" s="7" t="n">
        <v>150.7726801001784</v>
      </c>
      <c r="N663" s="7" t="n">
        <v>150.857640349358</v>
      </c>
      <c r="O663" s="8">
        <f>N663*$B$2/100</f>
        <v/>
      </c>
    </row>
    <row r="664">
      <c r="A664" s="6" t="n">
        <v>46238.47138928241</v>
      </c>
      <c r="B664" s="7" t="n">
        <v>154.9948810943567</v>
      </c>
      <c r="C664" s="7" t="n">
        <v>129.4293843433531</v>
      </c>
      <c r="D664" s="7" t="n">
        <v>157.9169351556086</v>
      </c>
      <c r="E664" s="7" t="n">
        <v>161.2605167685231</v>
      </c>
      <c r="F664" s="7" t="n">
        <v>141.888337236534</v>
      </c>
      <c r="G664" s="7" t="n">
        <v>129.933111250371</v>
      </c>
      <c r="H664" s="7" t="n">
        <v>144.3532416093392</v>
      </c>
      <c r="I664" s="7" t="n">
        <v>138.3761735189382</v>
      </c>
      <c r="J664" s="7" t="n">
        <v>142.0730429903046</v>
      </c>
      <c r="K664" s="7" t="n">
        <v>128.9874004561259</v>
      </c>
      <c r="L664" s="7" t="n">
        <v>134.4127995532088</v>
      </c>
      <c r="M664" s="7" t="n">
        <v>134.0837594461288</v>
      </c>
      <c r="N664" s="7" t="n">
        <v>149.6123963334788</v>
      </c>
      <c r="O664" s="8">
        <f>N664*$B$2/100</f>
        <v/>
      </c>
    </row>
    <row r="665">
      <c r="A665" s="6" t="n">
        <v>46238.47140099537</v>
      </c>
      <c r="B665" s="7" t="n">
        <v>66.49698970997815</v>
      </c>
      <c r="C665" s="7" t="n">
        <v>83.06001242940906</v>
      </c>
      <c r="D665" s="7" t="n">
        <v>71.21831012925249</v>
      </c>
      <c r="E665" s="7" t="n">
        <v>60.76034678501394</v>
      </c>
      <c r="F665" s="7" t="n">
        <v>77.04662216828478</v>
      </c>
      <c r="G665" s="7" t="n">
        <v>67.55986146772557</v>
      </c>
      <c r="H665" s="7" t="n">
        <v>62.3028922903559</v>
      </c>
      <c r="I665" s="7" t="n">
        <v>63.3029497513291</v>
      </c>
      <c r="J665" s="7" t="n">
        <v>58.1553056053396</v>
      </c>
      <c r="K665" s="7" t="n">
        <v>73.46768620424878</v>
      </c>
      <c r="L665" s="7" t="n">
        <v>72.44720125430359</v>
      </c>
      <c r="M665" s="7" t="n">
        <v>79.49628821728882</v>
      </c>
      <c r="N665" s="7" t="n">
        <v>70.87035903345458</v>
      </c>
      <c r="O665" s="8">
        <f>N665*$B$2/100</f>
        <v/>
      </c>
    </row>
    <row r="666">
      <c r="A666" s="6" t="n">
        <v>46238.47141277778</v>
      </c>
      <c r="B666" s="7" t="n">
        <v>98.9623509942337</v>
      </c>
      <c r="C666" s="7" t="n">
        <v>118.7052764863741</v>
      </c>
      <c r="D666" s="7" t="n">
        <v>83.74311689271592</v>
      </c>
      <c r="E666" s="7" t="n">
        <v>71.001026957638</v>
      </c>
      <c r="F666" s="7" t="n">
        <v>101.3808860677505</v>
      </c>
      <c r="G666" s="7" t="n">
        <v>71.69852559236026</v>
      </c>
      <c r="H666" s="7" t="n">
        <v>122.2419707231811</v>
      </c>
      <c r="I666" s="7" t="n">
        <v>86.43501907622372</v>
      </c>
      <c r="J666" s="7" t="n">
        <v>86.21490360151523</v>
      </c>
      <c r="K666" s="7" t="n">
        <v>118.0132641574079</v>
      </c>
      <c r="L666" s="7" t="n">
        <v>73.06682290903764</v>
      </c>
      <c r="M666" s="7" t="n">
        <v>79.49170031404218</v>
      </c>
      <c r="N666" s="7" t="n">
        <v>97.66673844828647</v>
      </c>
      <c r="O666" s="8">
        <f>N666*$B$2/100</f>
        <v/>
      </c>
    </row>
    <row r="667">
      <c r="A667" s="6" t="n">
        <v>46238.47142451389</v>
      </c>
      <c r="B667" s="7" t="n">
        <v>104.2183297571753</v>
      </c>
      <c r="C667" s="7" t="n">
        <v>158.5151440379989</v>
      </c>
      <c r="D667" s="7" t="n">
        <v>100.0077181376234</v>
      </c>
      <c r="E667" s="7" t="n">
        <v>91.13641565575647</v>
      </c>
      <c r="F667" s="7" t="n">
        <v>93.829373650108</v>
      </c>
      <c r="G667" s="7" t="n">
        <v>92.1613024264154</v>
      </c>
      <c r="H667" s="7" t="n">
        <v>155.7257811499552</v>
      </c>
      <c r="I667" s="7" t="n">
        <v>131.1318618707888</v>
      </c>
      <c r="J667" s="7" t="n">
        <v>103.5015179708158</v>
      </c>
      <c r="K667" s="7" t="n">
        <v>67.1949124815966</v>
      </c>
      <c r="L667" s="7" t="n">
        <v>118.7056348653668</v>
      </c>
      <c r="M667" s="7" t="n">
        <v>100.5707320676664</v>
      </c>
      <c r="N667" s="7" t="n">
        <v>135.2644425007289</v>
      </c>
      <c r="O667" s="8">
        <f>N667*$B$2/100</f>
        <v/>
      </c>
    </row>
    <row r="668">
      <c r="A668" s="6" t="n">
        <v>46238.47143623843</v>
      </c>
      <c r="B668" s="7" t="n">
        <v>122.0190795347529</v>
      </c>
      <c r="C668" s="7" t="n">
        <v>146.3299306794583</v>
      </c>
      <c r="D668" s="7" t="n">
        <v>140.3845048815742</v>
      </c>
      <c r="E668" s="7" t="n">
        <v>153.5553743198288</v>
      </c>
      <c r="F668" s="7" t="n">
        <v>129.6217494977563</v>
      </c>
      <c r="G668" s="7" t="n">
        <v>144.2924383688211</v>
      </c>
      <c r="H668" s="7" t="n">
        <v>133.1279419096685</v>
      </c>
      <c r="I668" s="7" t="n">
        <v>142.5166799981179</v>
      </c>
      <c r="J668" s="7" t="n">
        <v>143.3073879081931</v>
      </c>
      <c r="K668" s="7" t="n">
        <v>134.4404325083925</v>
      </c>
      <c r="L668" s="7" t="n">
        <v>129.2383030882837</v>
      </c>
      <c r="M668" s="7" t="n">
        <v>142.4494821603226</v>
      </c>
      <c r="N668" s="7" t="n">
        <v>139.4181807243412</v>
      </c>
      <c r="O668" s="8">
        <f>N668*$B$2/100</f>
        <v/>
      </c>
    </row>
    <row r="669">
      <c r="A669" s="6" t="n">
        <v>46238.47144789352</v>
      </c>
      <c r="B669" s="7" t="n">
        <v>118.8943672919473</v>
      </c>
      <c r="C669" s="7" t="n">
        <v>158.7176664487684</v>
      </c>
      <c r="D669" s="7" t="n">
        <v>143.3478186410926</v>
      </c>
      <c r="E669" s="7" t="n">
        <v>120.7352363691285</v>
      </c>
      <c r="F669" s="7" t="n">
        <v>116.5122449973222</v>
      </c>
      <c r="G669" s="7" t="n">
        <v>105.1917715392062</v>
      </c>
      <c r="H669" s="7" t="n">
        <v>143.9755272386033</v>
      </c>
      <c r="I669" s="7" t="n">
        <v>68.48844920968277</v>
      </c>
      <c r="J669" s="7" t="n">
        <v>158.3854021765813</v>
      </c>
      <c r="K669" s="7" t="n">
        <v>99.59996351696461</v>
      </c>
      <c r="L669" s="7" t="n">
        <v>100.8820878400524</v>
      </c>
      <c r="M669" s="7" t="n">
        <v>122.6438834273748</v>
      </c>
      <c r="N669" s="7" t="n">
        <v>143.0968970801055</v>
      </c>
      <c r="O669" s="8">
        <f>N669*$B$2/100</f>
        <v/>
      </c>
    </row>
    <row r="670">
      <c r="A670" s="6" t="n">
        <v>46238.47145961806</v>
      </c>
      <c r="B670" s="7" t="n">
        <v>70.62375179973063</v>
      </c>
      <c r="C670" s="7" t="n">
        <v>98.52351545155281</v>
      </c>
      <c r="D670" s="7" t="n">
        <v>117.1158980896109</v>
      </c>
      <c r="E670" s="7" t="n">
        <v>128.323497629671</v>
      </c>
      <c r="F670" s="7" t="n">
        <v>88.13236900591404</v>
      </c>
      <c r="G670" s="7" t="n">
        <v>101.5379658249256</v>
      </c>
      <c r="H670" s="7" t="n">
        <v>83.42725077352652</v>
      </c>
      <c r="I670" s="7" t="n">
        <v>65.05658307210031</v>
      </c>
      <c r="J670" s="7" t="n">
        <v>63.10399586380087</v>
      </c>
      <c r="K670" s="7" t="n">
        <v>67.14721141374838</v>
      </c>
      <c r="L670" s="7" t="n">
        <v>68.76348469049199</v>
      </c>
      <c r="M670" s="7" t="n">
        <v>89.83866573524276</v>
      </c>
      <c r="N670" s="7" t="n">
        <v>94.3780316021558</v>
      </c>
      <c r="O670" s="8">
        <f>N670*$B$2/100</f>
        <v/>
      </c>
    </row>
    <row r="671">
      <c r="A671" s="6" t="n">
        <v>46238.47147136574</v>
      </c>
      <c r="B671" s="7" t="n">
        <v>159.5452544626729</v>
      </c>
      <c r="C671" s="7" t="n">
        <v>150.3596558758998</v>
      </c>
      <c r="D671" s="7" t="n">
        <v>133.4336374374827</v>
      </c>
      <c r="E671" s="7" t="n">
        <v>141.0452288563442</v>
      </c>
      <c r="F671" s="7" t="n">
        <v>129.7891841225854</v>
      </c>
      <c r="G671" s="7" t="n">
        <v>111.8582220342056</v>
      </c>
      <c r="H671" s="7" t="n">
        <v>136.1229892404389</v>
      </c>
      <c r="I671" s="7" t="n">
        <v>137.3609457937912</v>
      </c>
      <c r="J671" s="7" t="n">
        <v>141.1826039237207</v>
      </c>
      <c r="K671" s="7" t="n">
        <v>89.45496339179294</v>
      </c>
      <c r="L671" s="7" t="n">
        <v>130.9888578130639</v>
      </c>
      <c r="M671" s="7" t="n">
        <v>119.8407345342829</v>
      </c>
      <c r="N671" s="7" t="n">
        <v>149.437482163242</v>
      </c>
      <c r="O671" s="8">
        <f>N671*$B$2/100</f>
        <v/>
      </c>
    </row>
    <row r="672">
      <c r="A672" s="6" t="n">
        <v>46238.47148306713</v>
      </c>
      <c r="B672" s="7" t="n">
        <v>132.3211765527842</v>
      </c>
      <c r="C672" s="7" t="n">
        <v>160.3830576155163</v>
      </c>
      <c r="D672" s="7" t="n">
        <v>103.5382147211705</v>
      </c>
      <c r="E672" s="7" t="n">
        <v>107.1830099632931</v>
      </c>
      <c r="F672" s="7" t="n">
        <v>141.76064131991</v>
      </c>
      <c r="G672" s="7" t="n">
        <v>131.0830571752171</v>
      </c>
      <c r="H672" s="7" t="n">
        <v>159.6981062837887</v>
      </c>
      <c r="I672" s="7" t="n">
        <v>114.7446832388755</v>
      </c>
      <c r="J672" s="7" t="n">
        <v>129.2984642872336</v>
      </c>
      <c r="K672" s="7" t="n">
        <v>105.8074412532637</v>
      </c>
      <c r="L672" s="7" t="n">
        <v>110.9587420304071</v>
      </c>
      <c r="M672" s="7" t="n">
        <v>107.9315331533153</v>
      </c>
      <c r="N672" s="7" t="n">
        <v>143.7507765151515</v>
      </c>
      <c r="O672" s="8">
        <f>N672*$B$2/100</f>
        <v/>
      </c>
    </row>
    <row r="673">
      <c r="A673" s="6" t="n">
        <v>46238.47149474537</v>
      </c>
      <c r="B673" s="7" t="n">
        <v>112.5950222284454</v>
      </c>
      <c r="C673" s="7" t="n">
        <v>157.8817745437163</v>
      </c>
      <c r="D673" s="7" t="n">
        <v>130.7897012826164</v>
      </c>
      <c r="E673" s="7" t="n">
        <v>124.3374912567032</v>
      </c>
      <c r="F673" s="7" t="n">
        <v>133.1513350293635</v>
      </c>
      <c r="G673" s="7" t="n">
        <v>102.9718960620576</v>
      </c>
      <c r="H673" s="7" t="n">
        <v>145.7676942902458</v>
      </c>
      <c r="I673" s="7" t="n">
        <v>102.2631863186319</v>
      </c>
      <c r="J673" s="7" t="n">
        <v>156.8742012439295</v>
      </c>
      <c r="K673" s="7" t="n">
        <v>101.8211662283486</v>
      </c>
      <c r="L673" s="7" t="n">
        <v>95.38219532185865</v>
      </c>
      <c r="M673" s="7" t="n">
        <v>121.7908728721478</v>
      </c>
      <c r="N673" s="7" t="n">
        <v>141.3178761475937</v>
      </c>
      <c r="O673" s="8">
        <f>N673*$B$2/100</f>
        <v/>
      </c>
    </row>
    <row r="674">
      <c r="A674" s="6" t="n">
        <v>46238.47150655092</v>
      </c>
      <c r="B674" s="7" t="n">
        <v>154.5420288265562</v>
      </c>
      <c r="C674" s="7" t="n">
        <v>145.8837782916404</v>
      </c>
      <c r="D674" s="7" t="n">
        <v>120.4334356985076</v>
      </c>
      <c r="E674" s="7" t="n">
        <v>157.4532426057458</v>
      </c>
      <c r="F674" s="7" t="n">
        <v>123.3439094441629</v>
      </c>
      <c r="G674" s="7" t="n">
        <v>120.1795564358813</v>
      </c>
      <c r="H674" s="7" t="n">
        <v>145.3803824483524</v>
      </c>
      <c r="I674" s="7" t="n">
        <v>99.93147577220638</v>
      </c>
      <c r="J674" s="7" t="n">
        <v>116.3742582736894</v>
      </c>
      <c r="K674" s="7" t="n">
        <v>114.5229810996564</v>
      </c>
      <c r="L674" s="7" t="n">
        <v>113.6457202349967</v>
      </c>
      <c r="M674" s="7" t="n">
        <v>96.31206225680934</v>
      </c>
      <c r="N674" s="7" t="n">
        <v>143.7457593864265</v>
      </c>
      <c r="O674" s="8">
        <f>N674*$B$2/100</f>
        <v/>
      </c>
    </row>
    <row r="675">
      <c r="A675" s="6" t="n">
        <v>46238.47151822917</v>
      </c>
      <c r="B675" s="7" t="n">
        <v>136.6848118465933</v>
      </c>
      <c r="C675" s="7" t="n">
        <v>159.6708990817119</v>
      </c>
      <c r="D675" s="7" t="n">
        <v>95.25958334858858</v>
      </c>
      <c r="E675" s="7" t="n">
        <v>88.25990430622009</v>
      </c>
      <c r="F675" s="7" t="n">
        <v>113.7319173363949</v>
      </c>
      <c r="G675" s="7" t="n">
        <v>94.14162895927602</v>
      </c>
      <c r="H675" s="7" t="n">
        <v>155.1044626589079</v>
      </c>
      <c r="I675" s="7" t="n">
        <v>111.8087819548872</v>
      </c>
      <c r="J675" s="7" t="n">
        <v>141.6326612186889</v>
      </c>
      <c r="K675" s="7" t="n">
        <v>141.4943190742971</v>
      </c>
      <c r="L675" s="7" t="n">
        <v>80.3732325694783</v>
      </c>
      <c r="M675" s="7" t="n">
        <v>104.0460429734419</v>
      </c>
      <c r="N675" s="7" t="n">
        <v>142.7699183832103</v>
      </c>
      <c r="O675" s="8">
        <f>N675*$B$2/100</f>
        <v/>
      </c>
    </row>
    <row r="676">
      <c r="A676" s="6" t="n">
        <v>46238.47152990741</v>
      </c>
      <c r="B676" s="7" t="n">
        <v>106.7552811994872</v>
      </c>
      <c r="C676" s="7" t="n">
        <v>157.2200489723232</v>
      </c>
      <c r="D676" s="7" t="n">
        <v>133.1882481389578</v>
      </c>
      <c r="E676" s="7" t="n">
        <v>108.9920568829671</v>
      </c>
      <c r="F676" s="7" t="n">
        <v>133.4607530968179</v>
      </c>
      <c r="G676" s="7" t="n">
        <v>104.815627527517</v>
      </c>
      <c r="H676" s="7" t="n">
        <v>141.5857948947604</v>
      </c>
      <c r="I676" s="7" t="n">
        <v>114.9691014759376</v>
      </c>
      <c r="J676" s="7" t="n">
        <v>156.2820796023825</v>
      </c>
      <c r="K676" s="7" t="n">
        <v>151.8866610279118</v>
      </c>
      <c r="L676" s="7" t="n">
        <v>111.8576786619361</v>
      </c>
      <c r="M676" s="7" t="n">
        <v>63.22213012847078</v>
      </c>
      <c r="N676" s="7" t="n">
        <v>140.0838183721058</v>
      </c>
      <c r="O676" s="8">
        <f>N676*$B$2/100</f>
        <v/>
      </c>
    </row>
    <row r="677">
      <c r="A677" s="6" t="n">
        <v>46238.47154158565</v>
      </c>
      <c r="B677" s="7" t="n">
        <v>154.854681273971</v>
      </c>
      <c r="C677" s="7" t="n">
        <v>139.9337492778741</v>
      </c>
      <c r="D677" s="7" t="n">
        <v>119.1454018976706</v>
      </c>
      <c r="E677" s="7" t="n">
        <v>159.9785861587707</v>
      </c>
      <c r="F677" s="7" t="n">
        <v>128.9945015782507</v>
      </c>
      <c r="G677" s="7" t="n">
        <v>128.7416767695608</v>
      </c>
      <c r="H677" s="7" t="n">
        <v>140.1423893561285</v>
      </c>
      <c r="I677" s="7" t="n">
        <v>87.39872110181997</v>
      </c>
      <c r="J677" s="7" t="n">
        <v>100.9648875388732</v>
      </c>
      <c r="K677" s="7" t="n">
        <v>132.6028351753965</v>
      </c>
      <c r="L677" s="7" t="n">
        <v>110.7628191375241</v>
      </c>
      <c r="M677" s="7" t="n">
        <v>114.5624497588424</v>
      </c>
      <c r="N677" s="7" t="n">
        <v>142.8482065217391</v>
      </c>
      <c r="O677" s="8">
        <f>N677*$B$2/100</f>
        <v/>
      </c>
    </row>
    <row r="678">
      <c r="A678" s="6" t="n">
        <v>46238.47155326389</v>
      </c>
      <c r="B678" s="7" t="n">
        <v>150.762400787439</v>
      </c>
      <c r="C678" s="7" t="n">
        <v>150.9982810712342</v>
      </c>
      <c r="D678" s="7" t="n">
        <v>152.7931258303448</v>
      </c>
      <c r="E678" s="7" t="n">
        <v>151.4734623199003</v>
      </c>
      <c r="F678" s="7" t="n">
        <v>151.4851489271984</v>
      </c>
      <c r="G678" s="7" t="n">
        <v>151.1678266637886</v>
      </c>
      <c r="H678" s="7" t="n">
        <v>151.1860385965586</v>
      </c>
      <c r="I678" s="7" t="n">
        <v>151.5153276596814</v>
      </c>
      <c r="J678" s="7" t="n">
        <v>151.2504028770159</v>
      </c>
      <c r="K678" s="7" t="n">
        <v>150.3899902484733</v>
      </c>
      <c r="L678" s="7" t="n">
        <v>151.0842265533201</v>
      </c>
      <c r="M678" s="7" t="n">
        <v>151.3133412092317</v>
      </c>
      <c r="N678" s="7" t="n">
        <v>151.3289017521577</v>
      </c>
      <c r="O678" s="8">
        <f>N678*$B$2/100</f>
        <v/>
      </c>
    </row>
    <row r="679">
      <c r="A679" s="6" t="n">
        <v>46238.4715649537</v>
      </c>
      <c r="B679" s="7" t="n">
        <v>137.7375443467531</v>
      </c>
      <c r="C679" s="7" t="n">
        <v>160.8085968841353</v>
      </c>
      <c r="D679" s="7" t="n">
        <v>153.0528296834087</v>
      </c>
      <c r="E679" s="7" t="n">
        <v>117.2104518866105</v>
      </c>
      <c r="F679" s="7" t="n">
        <v>103.0242587601078</v>
      </c>
      <c r="G679" s="7" t="n">
        <v>128.479754322111</v>
      </c>
      <c r="H679" s="7" t="n">
        <v>148.4989799526698</v>
      </c>
      <c r="I679" s="7" t="n">
        <v>121.5402016228178</v>
      </c>
      <c r="J679" s="7" t="n">
        <v>158.133942983289</v>
      </c>
      <c r="K679" s="7" t="n">
        <v>92.82197975031947</v>
      </c>
      <c r="L679" s="7" t="n">
        <v>137.7591036414566</v>
      </c>
      <c r="M679" s="7" t="n">
        <v>123.8605016938216</v>
      </c>
      <c r="N679" s="7" t="n">
        <v>145.8207858979067</v>
      </c>
      <c r="O679" s="8">
        <f>N679*$B$2/100</f>
        <v/>
      </c>
    </row>
    <row r="680">
      <c r="A680" s="6" t="n">
        <v>46238.47157663194</v>
      </c>
      <c r="B680" s="7" t="n">
        <v>148.7809602417257</v>
      </c>
      <c r="C680" s="7" t="n">
        <v>107.1828508287293</v>
      </c>
      <c r="D680" s="7" t="n">
        <v>108.3129718039744</v>
      </c>
      <c r="E680" s="7" t="n">
        <v>160.0150226610386</v>
      </c>
      <c r="F680" s="7" t="n">
        <v>106.0297308662742</v>
      </c>
      <c r="G680" s="7" t="n">
        <v>123.9909779862865</v>
      </c>
      <c r="H680" s="7" t="n">
        <v>136.5116848947586</v>
      </c>
      <c r="I680" s="7" t="n">
        <v>113.5126999059266</v>
      </c>
      <c r="J680" s="7" t="n">
        <v>117.8072477758355</v>
      </c>
      <c r="K680" s="7" t="n">
        <v>144.4136255045721</v>
      </c>
      <c r="L680" s="7" t="n">
        <v>103.0592114026908</v>
      </c>
      <c r="M680" s="7" t="n">
        <v>75.77810077519379</v>
      </c>
      <c r="N680" s="7" t="n">
        <v>141.2222982996691</v>
      </c>
      <c r="O680" s="8">
        <f>N680*$B$2/100</f>
        <v/>
      </c>
    </row>
    <row r="681">
      <c r="A681" s="6" t="n">
        <v>46238.47158833333</v>
      </c>
      <c r="B681" s="7" t="n">
        <v>134.0730139207245</v>
      </c>
      <c r="C681" s="7" t="n">
        <v>158.8453868978085</v>
      </c>
      <c r="D681" s="7" t="n">
        <v>78.91273569727781</v>
      </c>
      <c r="E681" s="7" t="n">
        <v>99.29043552066203</v>
      </c>
      <c r="F681" s="7" t="n">
        <v>142.5947700147512</v>
      </c>
      <c r="G681" s="7" t="n">
        <v>126.4912837387864</v>
      </c>
      <c r="H681" s="7" t="n">
        <v>158.6463511916199</v>
      </c>
      <c r="I681" s="7" t="n">
        <v>119.9228279030911</v>
      </c>
      <c r="J681" s="7" t="n">
        <v>119.7334490062644</v>
      </c>
      <c r="K681" s="7" t="n">
        <v>71.80827675396056</v>
      </c>
      <c r="L681" s="7" t="n">
        <v>130.6768178709825</v>
      </c>
      <c r="M681" s="7" t="n">
        <v>73.67172915677899</v>
      </c>
      <c r="N681" s="7" t="n">
        <v>141.6348526217191</v>
      </c>
      <c r="O681" s="8">
        <f>N681*$B$2/100</f>
        <v/>
      </c>
    </row>
    <row r="682">
      <c r="A682" s="6" t="n">
        <v>46238.47160002315</v>
      </c>
      <c r="B682" s="7" t="n">
        <v>87.45301686324203</v>
      </c>
      <c r="C682" s="7" t="n">
        <v>152.9832265495645</v>
      </c>
      <c r="D682" s="7" t="n">
        <v>136.4063578009694</v>
      </c>
      <c r="E682" s="7" t="n">
        <v>139.0761851466944</v>
      </c>
      <c r="F682" s="7" t="n">
        <v>119.027133632344</v>
      </c>
      <c r="G682" s="7" t="n">
        <v>115.0824921263022</v>
      </c>
      <c r="H682" s="7" t="n">
        <v>135.744448440169</v>
      </c>
      <c r="I682" s="7" t="n">
        <v>95.69937270682921</v>
      </c>
      <c r="J682" s="7" t="n">
        <v>158.2463064540934</v>
      </c>
      <c r="K682" s="7" t="n">
        <v>135.1254547904595</v>
      </c>
      <c r="L682" s="7" t="n">
        <v>89.70598074412533</v>
      </c>
      <c r="M682" s="7" t="n">
        <v>101.2635560463832</v>
      </c>
      <c r="N682" s="7" t="n">
        <v>138.4239393996353</v>
      </c>
      <c r="O682" s="8">
        <f>N682*$B$2/100</f>
        <v/>
      </c>
    </row>
    <row r="683">
      <c r="A683" s="6" t="n">
        <v>46238.47161170139</v>
      </c>
      <c r="B683" s="7" t="n">
        <v>66.85408580904665</v>
      </c>
      <c r="C683" s="7" t="n">
        <v>71.60122699386503</v>
      </c>
      <c r="D683" s="7" t="n">
        <v>62.33021460123126</v>
      </c>
      <c r="E683" s="7" t="n">
        <v>67.86340340514246</v>
      </c>
      <c r="F683" s="7" t="n">
        <v>79.83139315378807</v>
      </c>
      <c r="G683" s="7" t="n">
        <v>64.98571029863243</v>
      </c>
      <c r="H683" s="7" t="n">
        <v>82.81125723303525</v>
      </c>
      <c r="I683" s="7" t="n">
        <v>102.9844704801286</v>
      </c>
      <c r="J683" s="7" t="n">
        <v>76.94323054931591</v>
      </c>
      <c r="K683" s="7" t="n">
        <v>56.18511859885171</v>
      </c>
      <c r="L683" s="7" t="n">
        <v>64.75499226550414</v>
      </c>
      <c r="M683" s="7" t="n">
        <v>69.72329908358789</v>
      </c>
      <c r="N683" s="7" t="n">
        <v>71.06094655619955</v>
      </c>
      <c r="O683" s="8">
        <f>N683*$B$2/100</f>
        <v/>
      </c>
    </row>
    <row r="684">
      <c r="A684" s="6" t="n">
        <v>46238.47162344908</v>
      </c>
      <c r="B684" s="7" t="n">
        <v>67.33679837659851</v>
      </c>
      <c r="C684" s="7" t="n">
        <v>100.924605122578</v>
      </c>
      <c r="D684" s="7" t="n">
        <v>90.56953740889485</v>
      </c>
      <c r="E684" s="7" t="n">
        <v>90.04439195526069</v>
      </c>
      <c r="F684" s="7" t="n">
        <v>104.2302051726629</v>
      </c>
      <c r="G684" s="7" t="n">
        <v>88.7976194757093</v>
      </c>
      <c r="H684" s="7" t="n">
        <v>84.91847343730188</v>
      </c>
      <c r="I684" s="7" t="n">
        <v>79.86802115691378</v>
      </c>
      <c r="J684" s="7" t="n">
        <v>75.75078946230047</v>
      </c>
      <c r="K684" s="7" t="n">
        <v>55.31721687085009</v>
      </c>
      <c r="L684" s="7" t="n">
        <v>87.99223482946748</v>
      </c>
      <c r="M684" s="7" t="n">
        <v>67.90951732486003</v>
      </c>
      <c r="N684" s="7" t="n">
        <v>84.83965736040609</v>
      </c>
      <c r="O684" s="8">
        <f>N684*$B$2/100</f>
        <v/>
      </c>
    </row>
    <row r="685">
      <c r="A685" s="6" t="n">
        <v>46238.47163517361</v>
      </c>
      <c r="B685" s="7" t="n">
        <v>68.36877226108227</v>
      </c>
      <c r="C685" s="7" t="n">
        <v>120.1507041966451</v>
      </c>
      <c r="D685" s="7" t="n">
        <v>79.62048399687744</v>
      </c>
      <c r="E685" s="7" t="n">
        <v>75.07315734089765</v>
      </c>
      <c r="F685" s="7" t="n">
        <v>107.705959632151</v>
      </c>
      <c r="G685" s="7" t="n">
        <v>74.83799739073712</v>
      </c>
      <c r="H685" s="7" t="n">
        <v>95.52543565147882</v>
      </c>
      <c r="I685" s="7" t="n">
        <v>62.99840608141245</v>
      </c>
      <c r="J685" s="7" t="n">
        <v>69.29031419059508</v>
      </c>
      <c r="K685" s="7" t="n">
        <v>66.17219195849546</v>
      </c>
      <c r="L685" s="7" t="n">
        <v>73.58327433438458</v>
      </c>
      <c r="M685" s="7" t="n">
        <v>66.85932012457756</v>
      </c>
      <c r="N685" s="7" t="n">
        <v>84.30925247591914</v>
      </c>
      <c r="O685" s="8">
        <f>N685*$B$2/100</f>
        <v/>
      </c>
    </row>
    <row r="686">
      <c r="A686" s="6" t="n">
        <v>46238.47164686343</v>
      </c>
      <c r="B686" s="7" t="n">
        <v>156.9479468922625</v>
      </c>
      <c r="C686" s="7" t="n">
        <v>135.0392831939782</v>
      </c>
      <c r="D686" s="7" t="n">
        <v>102.9757606433834</v>
      </c>
      <c r="E686" s="7" t="n">
        <v>118.1422943774621</v>
      </c>
      <c r="F686" s="7" t="n">
        <v>109.2295628456701</v>
      </c>
      <c r="G686" s="7" t="n">
        <v>86.4614158351538</v>
      </c>
      <c r="H686" s="7" t="n">
        <v>142.8513223546444</v>
      </c>
      <c r="I686" s="7" t="n">
        <v>134.7020384835207</v>
      </c>
      <c r="J686" s="7" t="n">
        <v>145.5337916313526</v>
      </c>
      <c r="K686" s="7" t="n">
        <v>105.7559376107763</v>
      </c>
      <c r="L686" s="7" t="n">
        <v>83.474941247199</v>
      </c>
      <c r="M686" s="7" t="n">
        <v>83.63713235294118</v>
      </c>
      <c r="N686" s="7" t="n">
        <v>142.5113489169208</v>
      </c>
      <c r="O686" s="8">
        <f>N686*$B$2/100</f>
        <v/>
      </c>
    </row>
    <row r="687">
      <c r="A687" s="6" t="n">
        <v>46238.47165856481</v>
      </c>
      <c r="B687" s="7" t="n">
        <v>109.251905992061</v>
      </c>
      <c r="C687" s="7" t="n">
        <v>158.0688804622053</v>
      </c>
      <c r="D687" s="7" t="n">
        <v>128.6843871923974</v>
      </c>
      <c r="E687" s="7" t="n">
        <v>100.3558756741414</v>
      </c>
      <c r="F687" s="7" t="n">
        <v>121.180550174351</v>
      </c>
      <c r="G687" s="7" t="n">
        <v>106.211010934203</v>
      </c>
      <c r="H687" s="7" t="n">
        <v>158.4931888338854</v>
      </c>
      <c r="I687" s="7" t="n">
        <v>123.3163796555867</v>
      </c>
      <c r="J687" s="7" t="n">
        <v>129.8151971859182</v>
      </c>
      <c r="K687" s="7" t="n">
        <v>114.873374674935</v>
      </c>
      <c r="L687" s="7" t="n">
        <v>90.96574007590522</v>
      </c>
      <c r="M687" s="7" t="n">
        <v>126.2809391028951</v>
      </c>
      <c r="N687" s="7" t="n">
        <v>142.4107796281084</v>
      </c>
      <c r="O687" s="8">
        <f>N687*$B$2/100</f>
        <v/>
      </c>
    </row>
    <row r="688">
      <c r="A688" s="6" t="n">
        <v>46238.47167025463</v>
      </c>
      <c r="B688" s="7" t="n">
        <v>118.1526497695853</v>
      </c>
      <c r="C688" s="7" t="n">
        <v>158.0964615183099</v>
      </c>
      <c r="D688" s="7" t="n">
        <v>143.7084304339611</v>
      </c>
      <c r="E688" s="7" t="n">
        <v>117.158037393517</v>
      </c>
      <c r="F688" s="7" t="n">
        <v>109.6443295462276</v>
      </c>
      <c r="G688" s="7" t="n">
        <v>101.4693350234009</v>
      </c>
      <c r="H688" s="7" t="n">
        <v>141.1039434091749</v>
      </c>
      <c r="I688" s="7" t="n">
        <v>97.29521633969362</v>
      </c>
      <c r="J688" s="7" t="n">
        <v>158.0179615411707</v>
      </c>
      <c r="K688" s="7" t="n">
        <v>144.1513509236916</v>
      </c>
      <c r="L688" s="7" t="n">
        <v>95.72208922742111</v>
      </c>
      <c r="M688" s="7" t="n">
        <v>87.47882164389834</v>
      </c>
      <c r="N688" s="7" t="n">
        <v>143.3167008925045</v>
      </c>
      <c r="O688" s="8">
        <f>N688*$B$2/100</f>
        <v/>
      </c>
    </row>
    <row r="689">
      <c r="A689" s="6" t="n">
        <v>46238.47168190972</v>
      </c>
      <c r="B689" s="7" t="n">
        <v>137.9089635194649</v>
      </c>
      <c r="C689" s="7" t="n">
        <v>157.2664155613549</v>
      </c>
      <c r="D689" s="7" t="n">
        <v>157.7512186830331</v>
      </c>
      <c r="E689" s="7" t="n">
        <v>115.2235119782662</v>
      </c>
      <c r="F689" s="7" t="n">
        <v>111.5797686878136</v>
      </c>
      <c r="G689" s="7" t="n">
        <v>106.6381046489742</v>
      </c>
      <c r="H689" s="7" t="n">
        <v>136.8770539846797</v>
      </c>
      <c r="I689" s="7" t="n">
        <v>105.4477260373256</v>
      </c>
      <c r="J689" s="7" t="n">
        <v>130.970349519118</v>
      </c>
      <c r="K689" s="7" t="n">
        <v>136.2671398968299</v>
      </c>
      <c r="L689" s="7" t="n">
        <v>91.70213510675534</v>
      </c>
      <c r="M689" s="7" t="n">
        <v>82.93976362943195</v>
      </c>
      <c r="N689" s="7" t="n">
        <v>143.5829227927026</v>
      </c>
      <c r="O689" s="8">
        <f>N689*$B$2/100</f>
        <v/>
      </c>
    </row>
    <row r="690">
      <c r="A690" s="6" t="n">
        <v>46238.47169362268</v>
      </c>
      <c r="B690" s="7" t="n">
        <v>133.2469188208086</v>
      </c>
      <c r="C690" s="7" t="n">
        <v>159.5727374453994</v>
      </c>
      <c r="D690" s="7" t="n">
        <v>96.28146331764862</v>
      </c>
      <c r="E690" s="7" t="n">
        <v>90.44803474944379</v>
      </c>
      <c r="F690" s="7" t="n">
        <v>122.6948188546942</v>
      </c>
      <c r="G690" s="7" t="n">
        <v>101.3045714285714</v>
      </c>
      <c r="H690" s="7" t="n">
        <v>158.7757833970411</v>
      </c>
      <c r="I690" s="7" t="n">
        <v>100.5626143432126</v>
      </c>
      <c r="J690" s="7" t="n">
        <v>129.2154435310818</v>
      </c>
      <c r="K690" s="7" t="n">
        <v>131.9412735751723</v>
      </c>
      <c r="L690" s="7" t="n">
        <v>103.2565036420395</v>
      </c>
      <c r="M690" s="7" t="n">
        <v>103.4151644885083</v>
      </c>
      <c r="N690" s="7" t="n">
        <v>143.7785772985108</v>
      </c>
      <c r="O690" s="8">
        <f>N690*$B$2/100</f>
        <v/>
      </c>
    </row>
    <row r="691">
      <c r="A691" s="6" t="n">
        <v>46238.47170533565</v>
      </c>
      <c r="B691" s="7" t="n">
        <v>144.0262255352757</v>
      </c>
      <c r="C691" s="7" t="n">
        <v>157.1891575027272</v>
      </c>
      <c r="D691" s="7" t="n">
        <v>114.1003278688525</v>
      </c>
      <c r="E691" s="7" t="n">
        <v>95.65461825056998</v>
      </c>
      <c r="F691" s="7" t="n">
        <v>105.3613308844306</v>
      </c>
      <c r="G691" s="7" t="n">
        <v>119.7868254446789</v>
      </c>
      <c r="H691" s="7" t="n">
        <v>142.0160218443191</v>
      </c>
      <c r="I691" s="7" t="n">
        <v>110.9357259380098</v>
      </c>
      <c r="J691" s="7" t="n">
        <v>158.0065205382719</v>
      </c>
      <c r="K691" s="7" t="n">
        <v>118.4805748578648</v>
      </c>
      <c r="L691" s="7" t="n">
        <v>124.4177655574884</v>
      </c>
      <c r="M691" s="7" t="n">
        <v>107.1695773041557</v>
      </c>
      <c r="N691" s="7" t="n">
        <v>143.9264731344145</v>
      </c>
      <c r="O691" s="8">
        <f>N691*$B$2/100</f>
        <v/>
      </c>
    </row>
    <row r="692">
      <c r="A692" s="6" t="n">
        <v>46238.47171697917</v>
      </c>
      <c r="B692" s="7" t="n">
        <v>153.0753847244876</v>
      </c>
      <c r="C692" s="7" t="n">
        <v>143.4909231809263</v>
      </c>
      <c r="D692" s="7" t="n">
        <v>121.7281153692333</v>
      </c>
      <c r="E692" s="7" t="n">
        <v>158.6091223706267</v>
      </c>
      <c r="F692" s="7" t="n">
        <v>144.6390303248772</v>
      </c>
      <c r="G692" s="7" t="n">
        <v>133.0890254953344</v>
      </c>
      <c r="H692" s="7" t="n">
        <v>147.1655565347488</v>
      </c>
      <c r="I692" s="7" t="n">
        <v>100.1595961765654</v>
      </c>
      <c r="J692" s="7" t="n">
        <v>131.4582496880256</v>
      </c>
      <c r="K692" s="7" t="n">
        <v>107.90174379611</v>
      </c>
      <c r="L692" s="7" t="n">
        <v>86.34039087947883</v>
      </c>
      <c r="M692" s="7" t="n">
        <v>88.67951841765802</v>
      </c>
      <c r="N692" s="7" t="n">
        <v>145.3851674641148</v>
      </c>
      <c r="O692" s="8">
        <f>N692*$B$2/100</f>
        <v/>
      </c>
    </row>
    <row r="693">
      <c r="A693" s="6" t="n">
        <v>46238.47172866898</v>
      </c>
      <c r="B693" s="7" t="n">
        <v>147.8348818039355</v>
      </c>
      <c r="C693" s="7" t="n">
        <v>150.7694760900141</v>
      </c>
      <c r="D693" s="7" t="n">
        <v>150.1144796011674</v>
      </c>
      <c r="E693" s="7" t="n">
        <v>150.675049192591</v>
      </c>
      <c r="F693" s="7" t="n">
        <v>150.0312871737759</v>
      </c>
      <c r="G693" s="7" t="n">
        <v>150.6681190607084</v>
      </c>
      <c r="H693" s="7" t="n">
        <v>150.7888998294868</v>
      </c>
      <c r="I693" s="7" t="n">
        <v>153.1983782835966</v>
      </c>
      <c r="J693" s="7" t="n">
        <v>150.8012257634994</v>
      </c>
      <c r="K693" s="7" t="n">
        <v>149.4291552983831</v>
      </c>
      <c r="L693" s="7" t="n">
        <v>150.6615812212073</v>
      </c>
      <c r="M693" s="7" t="n">
        <v>149.8984388868585</v>
      </c>
      <c r="N693" s="7" t="n">
        <v>150.4914579263078</v>
      </c>
      <c r="O693" s="8">
        <f>N693*$B$2/100</f>
        <v/>
      </c>
    </row>
    <row r="694">
      <c r="A694" s="6" t="n">
        <v>46238.47174032407</v>
      </c>
      <c r="B694" s="7" t="n">
        <v>156.6260673077866</v>
      </c>
      <c r="C694" s="7" t="n">
        <v>120.5959333004995</v>
      </c>
      <c r="D694" s="7" t="n">
        <v>140.8188770719883</v>
      </c>
      <c r="E694" s="7" t="n">
        <v>124.7297123573839</v>
      </c>
      <c r="F694" s="7" t="n">
        <v>116.7646089491697</v>
      </c>
      <c r="G694" s="7" t="n">
        <v>118.5140031809695</v>
      </c>
      <c r="H694" s="7" t="n">
        <v>147.2693858739486</v>
      </c>
      <c r="I694" s="7" t="n">
        <v>82.57823808335414</v>
      </c>
      <c r="J694" s="7" t="n">
        <v>157.49009031974</v>
      </c>
      <c r="K694" s="7" t="n">
        <v>139.6993135206583</v>
      </c>
      <c r="L694" s="7" t="n">
        <v>125.0997784558793</v>
      </c>
      <c r="M694" s="7" t="n">
        <v>137.4249260760048</v>
      </c>
      <c r="N694" s="7" t="n">
        <v>146.5444077093587</v>
      </c>
      <c r="O694" s="8">
        <f>N694*$B$2/100</f>
        <v/>
      </c>
    </row>
    <row r="695">
      <c r="A695" s="6" t="n">
        <v>46238.47175200231</v>
      </c>
      <c r="B695" s="7" t="n">
        <v>130.6548822439799</v>
      </c>
      <c r="C695" s="7" t="n">
        <v>157.559826424977</v>
      </c>
      <c r="D695" s="7" t="n">
        <v>154.487859641205</v>
      </c>
      <c r="E695" s="7" t="n">
        <v>114.4244816990159</v>
      </c>
      <c r="F695" s="7" t="n">
        <v>132.1181972103523</v>
      </c>
      <c r="G695" s="7" t="n">
        <v>102.1328636520274</v>
      </c>
      <c r="H695" s="7" t="n">
        <v>136.7971465911566</v>
      </c>
      <c r="I695" s="7" t="n">
        <v>86.85640449438202</v>
      </c>
      <c r="J695" s="7" t="n">
        <v>125.2393565600711</v>
      </c>
      <c r="K695" s="7" t="n">
        <v>128.2779930412779</v>
      </c>
      <c r="L695" s="7" t="n">
        <v>90.43477202167163</v>
      </c>
      <c r="M695" s="7" t="n">
        <v>80.42531982056821</v>
      </c>
      <c r="N695" s="7" t="n">
        <v>140.2914851710163</v>
      </c>
      <c r="O695" s="8">
        <f>N695*$B$2/100</f>
        <v/>
      </c>
    </row>
    <row r="696">
      <c r="A696" s="6" t="n">
        <v>46238.47176369213</v>
      </c>
      <c r="B696" s="7" t="n">
        <v>142.9690400221455</v>
      </c>
      <c r="C696" s="7" t="n">
        <v>159.01300494211</v>
      </c>
      <c r="D696" s="7" t="n">
        <v>96.078607523863</v>
      </c>
      <c r="E696" s="7" t="n">
        <v>97.93397691217174</v>
      </c>
      <c r="F696" s="7" t="n">
        <v>136.1983320633308</v>
      </c>
      <c r="G696" s="7" t="n">
        <v>126.8644883670046</v>
      </c>
      <c r="H696" s="7" t="n">
        <v>156.6097417745524</v>
      </c>
      <c r="I696" s="7" t="n">
        <v>131.394105235395</v>
      </c>
      <c r="J696" s="7" t="n">
        <v>140.9490097546556</v>
      </c>
      <c r="K696" s="7" t="n">
        <v>125.3347757305044</v>
      </c>
      <c r="L696" s="7" t="n">
        <v>85.2540658629339</v>
      </c>
      <c r="M696" s="7" t="n">
        <v>64.92133883367711</v>
      </c>
      <c r="N696" s="7" t="n">
        <v>144.4839164951485</v>
      </c>
      <c r="O696" s="8">
        <f>N696*$B$2/100</f>
        <v/>
      </c>
    </row>
    <row r="697">
      <c r="A697" s="6" t="n">
        <v>46238.4717753588</v>
      </c>
      <c r="B697" s="7" t="n">
        <v>100.2362666108612</v>
      </c>
      <c r="C697" s="7" t="n">
        <v>154.4469392832886</v>
      </c>
      <c r="D697" s="7" t="n">
        <v>107.131754180857</v>
      </c>
      <c r="E697" s="7" t="n">
        <v>103.4188276862894</v>
      </c>
      <c r="F697" s="7" t="n">
        <v>137.9838068263096</v>
      </c>
      <c r="G697" s="7" t="n">
        <v>122.5282454171343</v>
      </c>
      <c r="H697" s="7" t="n">
        <v>143.0301955618604</v>
      </c>
      <c r="I697" s="7" t="n">
        <v>108.5742413549753</v>
      </c>
      <c r="J697" s="7" t="n">
        <v>159.4071043486817</v>
      </c>
      <c r="K697" s="7" t="n">
        <v>107.2271561984984</v>
      </c>
      <c r="L697" s="7" t="n">
        <v>97.58385177170679</v>
      </c>
      <c r="M697" s="7" t="n">
        <v>131.9044611133044</v>
      </c>
      <c r="N697" s="7" t="n">
        <v>140.8251073177613</v>
      </c>
      <c r="O697" s="8">
        <f>N697*$B$2/100</f>
        <v/>
      </c>
    </row>
    <row r="698">
      <c r="A698" s="6" t="n">
        <v>46238.47178701389</v>
      </c>
      <c r="B698" s="7" t="n">
        <v>157.239522482509</v>
      </c>
      <c r="C698" s="7" t="n">
        <v>147.8084802034401</v>
      </c>
      <c r="D698" s="7" t="n">
        <v>118.384687541877</v>
      </c>
      <c r="E698" s="7" t="n">
        <v>155.3258253695741</v>
      </c>
      <c r="F698" s="7" t="n">
        <v>124.6608084358524</v>
      </c>
      <c r="G698" s="7" t="n">
        <v>112.0705874782832</v>
      </c>
      <c r="H698" s="7" t="n">
        <v>145.5754198631557</v>
      </c>
      <c r="I698" s="7" t="n">
        <v>143.4469710555576</v>
      </c>
      <c r="J698" s="7" t="n">
        <v>133.0329366177692</v>
      </c>
      <c r="K698" s="7" t="n">
        <v>118.7407407407407</v>
      </c>
      <c r="L698" s="7" t="n">
        <v>138.3045377254693</v>
      </c>
      <c r="M698" s="7" t="n">
        <v>134.7958019839939</v>
      </c>
      <c r="N698" s="7" t="n">
        <v>147.3261260593024</v>
      </c>
      <c r="O698" s="8">
        <f>N698*$B$2/100</f>
        <v/>
      </c>
    </row>
    <row r="699">
      <c r="A699" s="6" t="n">
        <v>46238.47179868056</v>
      </c>
      <c r="B699" s="7" t="n">
        <v>138.5715959104298</v>
      </c>
      <c r="C699" s="7" t="n">
        <v>160.6929144987918</v>
      </c>
      <c r="D699" s="7" t="n">
        <v>115.088063754953</v>
      </c>
      <c r="E699" s="7" t="n">
        <v>113.953592704273</v>
      </c>
      <c r="F699" s="7" t="n">
        <v>122.9890307387209</v>
      </c>
      <c r="G699" s="7" t="n">
        <v>104.3938860787332</v>
      </c>
      <c r="H699" s="7" t="n">
        <v>158.1171811589205</v>
      </c>
      <c r="I699" s="7" t="n">
        <v>140.3814645039962</v>
      </c>
      <c r="J699" s="7" t="n">
        <v>139.5902499835969</v>
      </c>
      <c r="K699" s="7" t="n">
        <v>105.3541581819663</v>
      </c>
      <c r="L699" s="7" t="n">
        <v>84.33586272311805</v>
      </c>
      <c r="M699" s="7" t="n">
        <v>79.67938257993384</v>
      </c>
      <c r="N699" s="7" t="n">
        <v>144.6260832762304</v>
      </c>
      <c r="O699" s="8">
        <f>N699*$B$2/100</f>
        <v/>
      </c>
    </row>
    <row r="700">
      <c r="A700" s="6" t="n">
        <v>46238.47181039352</v>
      </c>
      <c r="B700" s="7" t="n">
        <v>138.6138453145997</v>
      </c>
      <c r="C700" s="7" t="n">
        <v>157.1132486388385</v>
      </c>
      <c r="D700" s="7" t="n">
        <v>101.7481636935992</v>
      </c>
      <c r="E700" s="7" t="n">
        <v>116.2192712906058</v>
      </c>
      <c r="F700" s="7" t="n">
        <v>115.2933603355996</v>
      </c>
      <c r="G700" s="7" t="n">
        <v>131.9745459903488</v>
      </c>
      <c r="H700" s="7" t="n">
        <v>147.622143055427</v>
      </c>
      <c r="I700" s="7" t="n">
        <v>79.68289713937918</v>
      </c>
      <c r="J700" s="7" t="n">
        <v>158.7674946511507</v>
      </c>
      <c r="K700" s="7" t="n">
        <v>115.8205848774919</v>
      </c>
      <c r="L700" s="7" t="n">
        <v>93.04343298211222</v>
      </c>
      <c r="M700" s="7" t="n">
        <v>104.3378151260504</v>
      </c>
      <c r="N700" s="7" t="n">
        <v>144.2668261153169</v>
      </c>
      <c r="O700" s="8">
        <f>N700*$B$2/100</f>
        <v/>
      </c>
    </row>
    <row r="701">
      <c r="A701" s="6" t="n">
        <v>46238.47182202547</v>
      </c>
      <c r="B701" s="7" t="n">
        <v>124.72819075519</v>
      </c>
      <c r="C701" s="7" t="n">
        <v>159.122649147024</v>
      </c>
      <c r="D701" s="7" t="n">
        <v>158.6707038391225</v>
      </c>
      <c r="E701" s="7" t="n">
        <v>113.1215072358242</v>
      </c>
      <c r="F701" s="7" t="n">
        <v>120.500534961294</v>
      </c>
      <c r="G701" s="7" t="n">
        <v>126.8835653531267</v>
      </c>
      <c r="H701" s="7" t="n">
        <v>139.6180355183484</v>
      </c>
      <c r="I701" s="7" t="n">
        <v>105.3254660146006</v>
      </c>
      <c r="J701" s="7" t="n">
        <v>127.8933405313693</v>
      </c>
      <c r="K701" s="7" t="n">
        <v>101.8368530473794</v>
      </c>
      <c r="L701" s="7" t="n">
        <v>80.13046783625731</v>
      </c>
      <c r="M701" s="7" t="n">
        <v>120.0487448689612</v>
      </c>
      <c r="N701" s="7" t="n">
        <v>142.7096843713877</v>
      </c>
      <c r="O701" s="8">
        <f>N701*$B$2/100</f>
        <v/>
      </c>
    </row>
    <row r="702">
      <c r="A702" s="6" t="n">
        <v>46238.47183371528</v>
      </c>
      <c r="B702" s="7" t="n">
        <v>149.0858899007514</v>
      </c>
      <c r="C702" s="7" t="n">
        <v>153.2876526458616</v>
      </c>
      <c r="D702" s="7" t="n">
        <v>107.1596763819776</v>
      </c>
      <c r="E702" s="7" t="n">
        <v>87.25741880208739</v>
      </c>
      <c r="F702" s="7" t="n">
        <v>128.5178255484784</v>
      </c>
      <c r="G702" s="7" t="n">
        <v>92.32130689751466</v>
      </c>
      <c r="H702" s="7" t="n">
        <v>158.1996324591111</v>
      </c>
      <c r="I702" s="7" t="n">
        <v>138.0290924359666</v>
      </c>
      <c r="J702" s="7" t="n">
        <v>137.300596941696</v>
      </c>
      <c r="K702" s="7" t="n">
        <v>106.0208333333333</v>
      </c>
      <c r="L702" s="7" t="n">
        <v>94.65564017134697</v>
      </c>
      <c r="M702" s="7" t="n">
        <v>133.228049983558</v>
      </c>
      <c r="N702" s="7" t="n">
        <v>144.5506992310451</v>
      </c>
      <c r="O702" s="8">
        <f>N702*$B$2/100</f>
        <v/>
      </c>
    </row>
    <row r="703">
      <c r="A703" s="6" t="n">
        <v>46238.47184534722</v>
      </c>
      <c r="B703" s="7" t="n">
        <v>130.2334686665915</v>
      </c>
      <c r="C703" s="7" t="n">
        <v>159.4296914917984</v>
      </c>
      <c r="D703" s="7" t="n">
        <v>106.0499774250686</v>
      </c>
      <c r="E703" s="7" t="n">
        <v>100.1336556584446</v>
      </c>
      <c r="F703" s="7" t="n">
        <v>106.2726283178431</v>
      </c>
      <c r="G703" s="7" t="n">
        <v>94.4327758613161</v>
      </c>
      <c r="H703" s="7" t="n">
        <v>137.9835673187572</v>
      </c>
      <c r="I703" s="7" t="n">
        <v>106.4759519038076</v>
      </c>
      <c r="J703" s="7" t="n">
        <v>158.5118398064776</v>
      </c>
      <c r="K703" s="7" t="n">
        <v>143.2592797783934</v>
      </c>
      <c r="L703" s="7" t="n">
        <v>95.98834455248068</v>
      </c>
      <c r="M703" s="7" t="n">
        <v>119.3311065225313</v>
      </c>
      <c r="N703" s="7" t="n">
        <v>141.6715526076615</v>
      </c>
      <c r="O703" s="8">
        <f>N703*$B$2/100</f>
        <v/>
      </c>
    </row>
    <row r="704">
      <c r="A704" s="6" t="n">
        <v>46238.47185701389</v>
      </c>
      <c r="B704" s="7" t="n">
        <v>156.7358463316002</v>
      </c>
      <c r="C704" s="7" t="n">
        <v>114.7649364261951</v>
      </c>
      <c r="D704" s="7" t="n">
        <v>118.2075362120798</v>
      </c>
      <c r="E704" s="7" t="n">
        <v>156.8533486429777</v>
      </c>
      <c r="F704" s="7" t="n">
        <v>125.9060479152553</v>
      </c>
      <c r="G704" s="7" t="n">
        <v>111.4451869756861</v>
      </c>
      <c r="H704" s="7" t="n">
        <v>138.6842385516507</v>
      </c>
      <c r="I704" s="7" t="n">
        <v>110.0475318847426</v>
      </c>
      <c r="J704" s="7" t="n">
        <v>126.5470818571695</v>
      </c>
      <c r="K704" s="7" t="n">
        <v>67.39807865505854</v>
      </c>
      <c r="L704" s="7" t="n">
        <v>117.441595782916</v>
      </c>
      <c r="M704" s="7" t="n">
        <v>128.0867622334307</v>
      </c>
      <c r="N704" s="7" t="n">
        <v>142.7778345540226</v>
      </c>
      <c r="O704" s="8">
        <f>N704*$B$2/100</f>
        <v/>
      </c>
    </row>
    <row r="705">
      <c r="A705" s="6" t="n">
        <v>46238.47186868056</v>
      </c>
      <c r="B705" s="7" t="n">
        <v>105.4888897965852</v>
      </c>
      <c r="C705" s="7" t="n">
        <v>156.5869417622209</v>
      </c>
      <c r="D705" s="7" t="n">
        <v>129.1817055206117</v>
      </c>
      <c r="E705" s="7" t="n">
        <v>146.1824145293648</v>
      </c>
      <c r="F705" s="7" t="n">
        <v>108.3556420233463</v>
      </c>
      <c r="G705" s="7" t="n">
        <v>108.1046931407942</v>
      </c>
      <c r="H705" s="7" t="n">
        <v>158.1691442804831</v>
      </c>
      <c r="I705" s="7" t="n">
        <v>101.0667368896246</v>
      </c>
      <c r="J705" s="7" t="n">
        <v>121.207410154198</v>
      </c>
      <c r="K705" s="7" t="n">
        <v>85.45889698231009</v>
      </c>
      <c r="L705" s="7" t="n">
        <v>75.54687037366021</v>
      </c>
      <c r="M705" s="7" t="n">
        <v>141.8125866427465</v>
      </c>
      <c r="N705" s="7" t="n">
        <v>140.3985212069731</v>
      </c>
      <c r="O705" s="8">
        <f>N705*$B$2/100</f>
        <v/>
      </c>
    </row>
    <row r="706">
      <c r="A706" s="6" t="n">
        <v>46238.47188037037</v>
      </c>
      <c r="B706" s="7" t="n">
        <v>128.3681369404328</v>
      </c>
      <c r="C706" s="7" t="n">
        <v>159.6035464955717</v>
      </c>
      <c r="D706" s="7" t="n">
        <v>124.0757603023214</v>
      </c>
      <c r="E706" s="7" t="n">
        <v>129.3147058823529</v>
      </c>
      <c r="F706" s="7" t="n">
        <v>120.0946636027065</v>
      </c>
      <c r="G706" s="7" t="n">
        <v>103.8668137322487</v>
      </c>
      <c r="H706" s="7" t="n">
        <v>137.7824418499412</v>
      </c>
      <c r="I706" s="7" t="n">
        <v>97.27535101404057</v>
      </c>
      <c r="J706" s="7" t="n">
        <v>159.1207869099521</v>
      </c>
      <c r="K706" s="7" t="n">
        <v>131.3927018061187</v>
      </c>
      <c r="L706" s="7" t="n">
        <v>101.6946572683624</v>
      </c>
      <c r="M706" s="7" t="n">
        <v>135.333830259326</v>
      </c>
      <c r="N706" s="7" t="n">
        <v>145.1313031245666</v>
      </c>
      <c r="O706" s="8">
        <f>N706*$B$2/100</f>
        <v/>
      </c>
    </row>
    <row r="707">
      <c r="A707" s="6" t="n">
        <v>46238.47189207176</v>
      </c>
      <c r="B707" s="7" t="n">
        <v>113.8808493373005</v>
      </c>
      <c r="C707" s="7" t="n">
        <v>158.467917890547</v>
      </c>
      <c r="D707" s="7" t="n">
        <v>156.5587133660939</v>
      </c>
      <c r="E707" s="7" t="n">
        <v>135.1558535079899</v>
      </c>
      <c r="F707" s="7" t="n">
        <v>114.8047909081629</v>
      </c>
      <c r="G707" s="7" t="n">
        <v>103.4426684933592</v>
      </c>
      <c r="H707" s="7" t="n">
        <v>147.1174036266961</v>
      </c>
      <c r="I707" s="7" t="n">
        <v>124.0926908000922</v>
      </c>
      <c r="J707" s="7" t="n">
        <v>139.5643679433252</v>
      </c>
      <c r="K707" s="7" t="n">
        <v>120.7561546895246</v>
      </c>
      <c r="L707" s="7" t="n">
        <v>109.6864432216108</v>
      </c>
      <c r="M707" s="7" t="n">
        <v>94.15546357009414</v>
      </c>
      <c r="N707" s="7" t="n">
        <v>142.132501200192</v>
      </c>
      <c r="O707" s="8">
        <f>N707*$B$2/100</f>
        <v/>
      </c>
    </row>
    <row r="708">
      <c r="A708" s="6" t="n">
        <v>46238.47190379629</v>
      </c>
      <c r="B708" s="7" t="n">
        <v>149.0463060050444</v>
      </c>
      <c r="C708" s="7" t="n">
        <v>150.5900688023411</v>
      </c>
      <c r="D708" s="7" t="n">
        <v>152.2082312414204</v>
      </c>
      <c r="E708" s="7" t="n">
        <v>151.6885295396692</v>
      </c>
      <c r="F708" s="7" t="n">
        <v>151.7595826712235</v>
      </c>
      <c r="G708" s="7" t="n">
        <v>153.4104593416791</v>
      </c>
      <c r="H708" s="7" t="n">
        <v>152.0790737396557</v>
      </c>
      <c r="I708" s="7" t="n">
        <v>151.6382958868316</v>
      </c>
      <c r="J708" s="7" t="n">
        <v>152.0254505954297</v>
      </c>
      <c r="K708" s="7" t="n">
        <v>151.8000196222178</v>
      </c>
      <c r="L708" s="7" t="n">
        <v>151.6706071806673</v>
      </c>
      <c r="M708" s="7" t="n">
        <v>151.5401192333854</v>
      </c>
      <c r="N708" s="7" t="n">
        <v>151.6758864535511</v>
      </c>
      <c r="O708" s="8">
        <f>N708*$B$2/100</f>
        <v/>
      </c>
    </row>
    <row r="709">
      <c r="A709" s="6" t="n">
        <v>46238.47191546296</v>
      </c>
      <c r="B709" s="7" t="n">
        <v>127.1276599651152</v>
      </c>
      <c r="C709" s="7" t="n">
        <v>161.8885815620933</v>
      </c>
      <c r="D709" s="7" t="n">
        <v>116.9045305477955</v>
      </c>
      <c r="E709" s="7" t="n">
        <v>116.2469879518072</v>
      </c>
      <c r="F709" s="7" t="n">
        <v>118.6667376672063</v>
      </c>
      <c r="G709" s="7" t="n">
        <v>124.4364221899023</v>
      </c>
      <c r="H709" s="7" t="n">
        <v>144.8573636119323</v>
      </c>
      <c r="I709" s="7" t="n">
        <v>107.3180640864353</v>
      </c>
      <c r="J709" s="7" t="n">
        <v>156.2846482232823</v>
      </c>
      <c r="K709" s="7" t="n">
        <v>128.5263487834502</v>
      </c>
      <c r="L709" s="7" t="n">
        <v>128.2564313644783</v>
      </c>
      <c r="M709" s="7" t="n">
        <v>89.29613960867266</v>
      </c>
      <c r="N709" s="7" t="n">
        <v>146.1588997014694</v>
      </c>
      <c r="O709" s="8">
        <f>N709*$B$2/100</f>
        <v/>
      </c>
    </row>
    <row r="710">
      <c r="A710" s="6" t="n">
        <v>46238.47192710648</v>
      </c>
      <c r="B710" s="7" t="n">
        <v>137.8683894868259</v>
      </c>
      <c r="C710" s="7" t="n">
        <v>155.4330196114092</v>
      </c>
      <c r="D710" s="7" t="n">
        <v>159.4402506915024</v>
      </c>
      <c r="E710" s="7" t="n">
        <v>113.6360084159904</v>
      </c>
      <c r="F710" s="7" t="n">
        <v>121.6952850604889</v>
      </c>
      <c r="G710" s="7" t="n">
        <v>122.7936922555991</v>
      </c>
      <c r="H710" s="7" t="n">
        <v>145.991043428084</v>
      </c>
      <c r="I710" s="7" t="n">
        <v>82.26227664625765</v>
      </c>
      <c r="J710" s="7" t="n">
        <v>111.3762536723736</v>
      </c>
      <c r="K710" s="7" t="n">
        <v>120.3826208363806</v>
      </c>
      <c r="L710" s="7" t="n">
        <v>126.6761029529899</v>
      </c>
      <c r="M710" s="7" t="n">
        <v>70.29982641628531</v>
      </c>
      <c r="N710" s="7" t="n">
        <v>143.0686534346349</v>
      </c>
      <c r="O710" s="8">
        <f>N710*$B$2/100</f>
        <v/>
      </c>
    </row>
    <row r="711">
      <c r="A711" s="6" t="n">
        <v>46238.47193880787</v>
      </c>
      <c r="B711" s="7" t="n">
        <v>135.0994892975748</v>
      </c>
      <c r="C711" s="7" t="n">
        <v>160.1362228214101</v>
      </c>
      <c r="D711" s="7" t="n">
        <v>115.526862484852</v>
      </c>
      <c r="E711" s="7" t="n">
        <v>105.9632057517446</v>
      </c>
      <c r="F711" s="7" t="n">
        <v>109.2650602409639</v>
      </c>
      <c r="G711" s="7" t="n">
        <v>115.9000999000999</v>
      </c>
      <c r="H711" s="7" t="n">
        <v>159.1581723710035</v>
      </c>
      <c r="I711" s="7" t="n">
        <v>144.2010668247148</v>
      </c>
      <c r="J711" s="7" t="n">
        <v>135.9257868196835</v>
      </c>
      <c r="K711" s="7" t="n">
        <v>74.2800899887514</v>
      </c>
      <c r="L711" s="7" t="n">
        <v>103.3557240495515</v>
      </c>
      <c r="M711" s="7" t="n">
        <v>101.6328900949796</v>
      </c>
      <c r="N711" s="7" t="n">
        <v>146.1558661417323</v>
      </c>
      <c r="O711" s="8">
        <f>N711*$B$2/100</f>
        <v/>
      </c>
    </row>
    <row r="712">
      <c r="A712" s="6" t="n">
        <v>46238.47195048611</v>
      </c>
      <c r="B712" s="7" t="n">
        <v>131.7397722608206</v>
      </c>
      <c r="C712" s="7" t="n">
        <v>156.5252832731059</v>
      </c>
      <c r="D712" s="7" t="n">
        <v>156.9714071473413</v>
      </c>
      <c r="E712" s="7" t="n">
        <v>96.77611019736842</v>
      </c>
      <c r="F712" s="7" t="n">
        <v>134.982001114051</v>
      </c>
      <c r="G712" s="7" t="n">
        <v>102.2273689516129</v>
      </c>
      <c r="H712" s="7" t="n">
        <v>140.2397307147518</v>
      </c>
      <c r="I712" s="7" t="n">
        <v>127.329217949698</v>
      </c>
      <c r="J712" s="7" t="n">
        <v>128.8647103465722</v>
      </c>
      <c r="K712" s="7" t="n">
        <v>83.54496198549332</v>
      </c>
      <c r="L712" s="7" t="n">
        <v>96.51494690319808</v>
      </c>
      <c r="M712" s="7" t="n">
        <v>86.78724143924909</v>
      </c>
      <c r="N712" s="7" t="n">
        <v>141.1874573314117</v>
      </c>
      <c r="O712" s="8">
        <f>N712*$B$2/100</f>
        <v/>
      </c>
    </row>
    <row r="713">
      <c r="A713" s="6" t="n">
        <v>46238.4719621412</v>
      </c>
      <c r="B713" s="7" t="n">
        <v>149.9448427089483</v>
      </c>
      <c r="C713" s="7" t="n">
        <v>108.0571677440059</v>
      </c>
      <c r="D713" s="7" t="n">
        <v>143.2309617519427</v>
      </c>
      <c r="E713" s="7" t="n">
        <v>158.8862231915667</v>
      </c>
      <c r="F713" s="7" t="n">
        <v>144.5462630644843</v>
      </c>
      <c r="G713" s="7" t="n">
        <v>128.1577860829329</v>
      </c>
      <c r="H713" s="7" t="n">
        <v>141.3239919505106</v>
      </c>
      <c r="I713" s="7" t="n">
        <v>98.06275533363595</v>
      </c>
      <c r="J713" s="7" t="n">
        <v>143.9355419517465</v>
      </c>
      <c r="K713" s="7" t="n">
        <v>96.84921658986175</v>
      </c>
      <c r="L713" s="7" t="n">
        <v>135.2135987568771</v>
      </c>
      <c r="M713" s="7" t="n">
        <v>107.69761994003</v>
      </c>
      <c r="N713" s="7" t="n">
        <v>144.3986933280538</v>
      </c>
      <c r="O713" s="8">
        <f>N713*$B$2/100</f>
        <v/>
      </c>
    </row>
    <row r="714">
      <c r="A714" s="6" t="n">
        <v>46238.47197383102</v>
      </c>
      <c r="B714" s="7" t="n">
        <v>151.1595579287222</v>
      </c>
      <c r="C714" s="7" t="n">
        <v>144.6575289409132</v>
      </c>
      <c r="D714" s="7" t="n">
        <v>123.7984946163972</v>
      </c>
      <c r="E714" s="7" t="n">
        <v>119.2027257240204</v>
      </c>
      <c r="F714" s="7" t="n">
        <v>117.6911975399238</v>
      </c>
      <c r="G714" s="7" t="n">
        <v>124.458527522358</v>
      </c>
      <c r="H714" s="7" t="n">
        <v>136.1133186307412</v>
      </c>
      <c r="I714" s="7" t="n">
        <v>125.982947845805</v>
      </c>
      <c r="J714" s="7" t="n">
        <v>159.7141719055784</v>
      </c>
      <c r="K714" s="7" t="n">
        <v>119.3291295528706</v>
      </c>
      <c r="L714" s="7" t="n">
        <v>95.63623486082584</v>
      </c>
      <c r="M714" s="7" t="n">
        <v>135.4680973301791</v>
      </c>
      <c r="N714" s="7" t="n">
        <v>143.7550814869072</v>
      </c>
      <c r="O714" s="8">
        <f>N714*$B$2/100</f>
        <v/>
      </c>
    </row>
    <row r="715">
      <c r="A715" s="6" t="n">
        <v>46238.47198548611</v>
      </c>
      <c r="B715" s="7" t="n">
        <v>140.8970312458731</v>
      </c>
      <c r="C715" s="7" t="n">
        <v>159.0596660688814</v>
      </c>
      <c r="D715" s="7" t="n">
        <v>99.100979694598</v>
      </c>
      <c r="E715" s="7" t="n">
        <v>87.95091496232509</v>
      </c>
      <c r="F715" s="7" t="n">
        <v>117.2200953428676</v>
      </c>
      <c r="G715" s="7" t="n">
        <v>93.50710790025634</v>
      </c>
      <c r="H715" s="7" t="n">
        <v>138.7853439922481</v>
      </c>
      <c r="I715" s="7" t="n">
        <v>83.39656269891789</v>
      </c>
      <c r="J715" s="7" t="n">
        <v>155.4936344373168</v>
      </c>
      <c r="K715" s="7" t="n">
        <v>114.4343178944949</v>
      </c>
      <c r="L715" s="7" t="n">
        <v>122.1998341625207</v>
      </c>
      <c r="M715" s="7" t="n">
        <v>105.6817942569741</v>
      </c>
      <c r="N715" s="7" t="n">
        <v>142.5251991562737</v>
      </c>
      <c r="O715" s="8">
        <f>N715*$B$2/100</f>
        <v/>
      </c>
    </row>
    <row r="716">
      <c r="A716" s="6" t="n">
        <v>46238.47199715278</v>
      </c>
      <c r="B716" s="7" t="n">
        <v>135.2351877387707</v>
      </c>
      <c r="C716" s="7" t="n">
        <v>157.7573450821506</v>
      </c>
      <c r="D716" s="7" t="n">
        <v>158.4286499909289</v>
      </c>
      <c r="E716" s="7" t="n">
        <v>118.1528170060948</v>
      </c>
      <c r="F716" s="7" t="n">
        <v>139.7973640383621</v>
      </c>
      <c r="G716" s="7" t="n">
        <v>139.530210497597</v>
      </c>
      <c r="H716" s="7" t="n">
        <v>135.8573706516722</v>
      </c>
      <c r="I716" s="7" t="n">
        <v>81.66670887678865</v>
      </c>
      <c r="J716" s="7" t="n">
        <v>91.68159750847302</v>
      </c>
      <c r="K716" s="7" t="n">
        <v>88.08338100686498</v>
      </c>
      <c r="L716" s="7" t="n">
        <v>103.0783443812307</v>
      </c>
      <c r="M716" s="7" t="n">
        <v>78.15373123179204</v>
      </c>
      <c r="N716" s="7" t="n">
        <v>142.4261279913454</v>
      </c>
      <c r="O716" s="8">
        <f>N716*$B$2/100</f>
        <v/>
      </c>
    </row>
    <row r="717">
      <c r="A717" s="6" t="n">
        <v>46238.47200881944</v>
      </c>
      <c r="B717" s="7" t="n">
        <v>90.43158062460165</v>
      </c>
      <c r="C717" s="7" t="n">
        <v>155.7945245621582</v>
      </c>
      <c r="D717" s="7" t="n">
        <v>133.9537260436109</v>
      </c>
      <c r="E717" s="7" t="n">
        <v>98.45062944249379</v>
      </c>
      <c r="F717" s="7" t="n">
        <v>142.4114993134413</v>
      </c>
      <c r="G717" s="7" t="n">
        <v>119.2831916950791</v>
      </c>
      <c r="H717" s="7" t="n">
        <v>158.3949565637066</v>
      </c>
      <c r="I717" s="7" t="n">
        <v>149.1119967300225</v>
      </c>
      <c r="J717" s="7" t="n">
        <v>126.495772527218</v>
      </c>
      <c r="K717" s="7" t="n">
        <v>107.630976037405</v>
      </c>
      <c r="L717" s="7" t="n">
        <v>89.00333810205055</v>
      </c>
      <c r="M717" s="7" t="n">
        <v>98.8609707884911</v>
      </c>
      <c r="N717" s="7" t="n">
        <v>143.7355480930679</v>
      </c>
      <c r="O717" s="8">
        <f>N717*$B$2/100</f>
        <v/>
      </c>
    </row>
    <row r="718">
      <c r="A718" s="6" t="n">
        <v>46238.47202050926</v>
      </c>
      <c r="B718" s="7" t="n">
        <v>103.0357890729107</v>
      </c>
      <c r="C718" s="7" t="n">
        <v>157.6284829891579</v>
      </c>
      <c r="D718" s="7" t="n">
        <v>112.1223564233542</v>
      </c>
      <c r="E718" s="7" t="n">
        <v>82.16933858116541</v>
      </c>
      <c r="F718" s="7" t="n">
        <v>117.0231662418578</v>
      </c>
      <c r="G718" s="7" t="n">
        <v>133.498370273794</v>
      </c>
      <c r="H718" s="7" t="n">
        <v>132.2819650774306</v>
      </c>
      <c r="I718" s="7" t="n">
        <v>84.7316809617073</v>
      </c>
      <c r="J718" s="7" t="n">
        <v>160.1764443035804</v>
      </c>
      <c r="K718" s="7" t="n">
        <v>111.8182235904976</v>
      </c>
      <c r="L718" s="7" t="n">
        <v>126.2356687898089</v>
      </c>
      <c r="M718" s="7" t="n">
        <v>76.16900896535013</v>
      </c>
      <c r="N718" s="7" t="n">
        <v>141.5687954665778</v>
      </c>
      <c r="O718" s="8">
        <f>N718*$B$2/100</f>
        <v/>
      </c>
    </row>
    <row r="719">
      <c r="A719" s="6" t="n">
        <v>46238.47203217592</v>
      </c>
      <c r="B719" s="7" t="n">
        <v>152.1578565949906</v>
      </c>
      <c r="C719" s="7" t="n">
        <v>116.9154580827733</v>
      </c>
      <c r="D719" s="7" t="n">
        <v>137.8074795891493</v>
      </c>
      <c r="E719" s="7" t="n">
        <v>159.5028341020509</v>
      </c>
      <c r="F719" s="7" t="n">
        <v>94.68527274010303</v>
      </c>
      <c r="G719" s="7" t="n">
        <v>125.9728362682653</v>
      </c>
      <c r="H719" s="7" t="n">
        <v>136.1262998535726</v>
      </c>
      <c r="I719" s="7" t="n">
        <v>110.546270553658</v>
      </c>
      <c r="J719" s="7" t="n">
        <v>128.3199835002062</v>
      </c>
      <c r="K719" s="7" t="n">
        <v>137.1311374221424</v>
      </c>
      <c r="L719" s="7" t="n">
        <v>100.6268109407875</v>
      </c>
      <c r="M719" s="7" t="n">
        <v>96.88633134413186</v>
      </c>
      <c r="N719" s="7" t="n">
        <v>142.5147343181994</v>
      </c>
      <c r="O719" s="8">
        <f>N719*$B$2/100</f>
        <v/>
      </c>
    </row>
    <row r="720">
      <c r="A720" s="6" t="n">
        <v>46238.47204387731</v>
      </c>
      <c r="B720" s="7" t="n">
        <v>123.1671660295485</v>
      </c>
      <c r="C720" s="7" t="n">
        <v>159.5436147186147</v>
      </c>
      <c r="D720" s="7" t="n">
        <v>110.1482092365693</v>
      </c>
      <c r="E720" s="7" t="n">
        <v>98.27858006234493</v>
      </c>
      <c r="F720" s="7" t="n">
        <v>121.0666118421053</v>
      </c>
      <c r="G720" s="7" t="n">
        <v>101.0208530278596</v>
      </c>
      <c r="H720" s="7" t="n">
        <v>159.1686596844757</v>
      </c>
      <c r="I720" s="7" t="n">
        <v>106.6311475409836</v>
      </c>
      <c r="J720" s="7" t="n">
        <v>141.1800089831738</v>
      </c>
      <c r="K720" s="7" t="n">
        <v>111.990660606438</v>
      </c>
      <c r="L720" s="7" t="n">
        <v>137.3622705037799</v>
      </c>
      <c r="M720" s="7" t="n">
        <v>80.94821880474986</v>
      </c>
      <c r="N720" s="7" t="n">
        <v>143.1590666433716</v>
      </c>
      <c r="O720" s="8">
        <f>N720*$B$2/100</f>
        <v/>
      </c>
    </row>
    <row r="721">
      <c r="A721" s="6" t="n">
        <v>46238.47205559027</v>
      </c>
      <c r="B721" s="7" t="n">
        <v>100.43136478112</v>
      </c>
      <c r="C721" s="7" t="n">
        <v>159.00970914505</v>
      </c>
      <c r="D721" s="7" t="n">
        <v>92.31448784989234</v>
      </c>
      <c r="E721" s="7" t="n">
        <v>148.2471398068772</v>
      </c>
      <c r="F721" s="7" t="n">
        <v>111.0866297251331</v>
      </c>
      <c r="G721" s="7" t="n">
        <v>81.89309498773221</v>
      </c>
      <c r="H721" s="7" t="n">
        <v>133.3234809790951</v>
      </c>
      <c r="I721" s="7" t="n">
        <v>133.4131985731272</v>
      </c>
      <c r="J721" s="7" t="n">
        <v>157.8245201503117</v>
      </c>
      <c r="K721" s="7" t="n">
        <v>138.5495308477954</v>
      </c>
      <c r="L721" s="7" t="n">
        <v>89.9901307015204</v>
      </c>
      <c r="M721" s="7" t="n">
        <v>87.09613721533583</v>
      </c>
      <c r="N721" s="7" t="n">
        <v>140.2699852223729</v>
      </c>
      <c r="O721" s="8">
        <f>N721*$B$2/100</f>
        <v/>
      </c>
    </row>
    <row r="722">
      <c r="A722" s="6" t="n">
        <v>46238.47206744213</v>
      </c>
      <c r="B722" s="7" t="n">
        <v>139.5607747122789</v>
      </c>
      <c r="C722" s="7" t="n">
        <v>157.5267560993587</v>
      </c>
      <c r="D722" s="7" t="n">
        <v>154.6796167660817</v>
      </c>
      <c r="E722" s="7" t="n">
        <v>151.7947975405938</v>
      </c>
      <c r="F722" s="7" t="n">
        <v>146.7415355396399</v>
      </c>
      <c r="G722" s="7" t="n">
        <v>145.0342119060102</v>
      </c>
      <c r="H722" s="7" t="n">
        <v>149.5200670672493</v>
      </c>
      <c r="I722" s="7" t="n">
        <v>148.135961376027</v>
      </c>
      <c r="J722" s="7" t="n">
        <v>147.5570993195007</v>
      </c>
      <c r="K722" s="7" t="n">
        <v>145.0173452231468</v>
      </c>
      <c r="L722" s="7" t="n">
        <v>141.4854700375057</v>
      </c>
      <c r="M722" s="7" t="n">
        <v>145.0526032713582</v>
      </c>
      <c r="N722" s="7" t="n">
        <v>149.3773674877434</v>
      </c>
      <c r="O722" s="8">
        <f>N722*$B$2/100</f>
        <v/>
      </c>
    </row>
    <row r="723">
      <c r="A723" s="6" t="n">
        <v>46238.47207921297</v>
      </c>
      <c r="B723" s="7" t="n">
        <v>148.0299045737824</v>
      </c>
      <c r="C723" s="7" t="n">
        <v>152.9547482768537</v>
      </c>
      <c r="D723" s="7" t="n">
        <v>147.9753146247991</v>
      </c>
      <c r="E723" s="7" t="n">
        <v>149.9468867634632</v>
      </c>
      <c r="F723" s="7" t="n">
        <v>149.489343122352</v>
      </c>
      <c r="G723" s="7" t="n">
        <v>149.5489429424709</v>
      </c>
      <c r="H723" s="7" t="n">
        <v>153.1910520653866</v>
      </c>
      <c r="I723" s="7" t="n">
        <v>148.7795295123586</v>
      </c>
      <c r="J723" s="7" t="n">
        <v>151.221538901078</v>
      </c>
      <c r="K723" s="7" t="n">
        <v>149.5922942111484</v>
      </c>
      <c r="L723" s="7" t="n">
        <v>151.0394300433024</v>
      </c>
      <c r="M723" s="7" t="n">
        <v>151.144775055775</v>
      </c>
      <c r="N723" s="7" t="n">
        <v>150.3859544383346</v>
      </c>
      <c r="O723" s="8">
        <f>N723*$B$2/100</f>
        <v/>
      </c>
    </row>
    <row r="724">
      <c r="A724" s="6" t="n">
        <v>46238.47209092593</v>
      </c>
      <c r="B724" s="7" t="n">
        <v>136.9074901925007</v>
      </c>
      <c r="C724" s="7" t="n">
        <v>156.9791620812607</v>
      </c>
      <c r="D724" s="7" t="n">
        <v>125.8018098809718</v>
      </c>
      <c r="E724" s="7" t="n">
        <v>96.12350243034162</v>
      </c>
      <c r="F724" s="7" t="n">
        <v>96.80162286117481</v>
      </c>
      <c r="G724" s="7" t="n">
        <v>126.8396424127317</v>
      </c>
      <c r="H724" s="7" t="n">
        <v>145.1875285171103</v>
      </c>
      <c r="I724" s="7" t="n">
        <v>126.5000165776997</v>
      </c>
      <c r="J724" s="7" t="n">
        <v>157.4740657047423</v>
      </c>
      <c r="K724" s="7" t="n">
        <v>123.6046816479401</v>
      </c>
      <c r="L724" s="7" t="n">
        <v>114.6370151429266</v>
      </c>
      <c r="M724" s="7" t="n">
        <v>117.3410144532315</v>
      </c>
      <c r="N724" s="7" t="n">
        <v>142.8400436463169</v>
      </c>
      <c r="O724" s="8">
        <f>N724*$B$2/100</f>
        <v/>
      </c>
    </row>
    <row r="725">
      <c r="A725" s="6" t="n">
        <v>46238.47210260417</v>
      </c>
      <c r="B725" s="7" t="n">
        <v>153.1600777964992</v>
      </c>
      <c r="C725" s="7" t="n">
        <v>144.3078212389068</v>
      </c>
      <c r="D725" s="7" t="n">
        <v>129.8220908755079</v>
      </c>
      <c r="E725" s="7" t="n">
        <v>160.7373220908711</v>
      </c>
      <c r="F725" s="7" t="n">
        <v>109.5494601095133</v>
      </c>
      <c r="G725" s="7" t="n">
        <v>89.22753196854175</v>
      </c>
      <c r="H725" s="7" t="n">
        <v>133.3742017548414</v>
      </c>
      <c r="I725" s="7" t="n">
        <v>126.2893793839585</v>
      </c>
      <c r="J725" s="7" t="n">
        <v>127.4710230449096</v>
      </c>
      <c r="K725" s="7" t="n">
        <v>73.50838497994896</v>
      </c>
      <c r="L725" s="7" t="n">
        <v>126.0366846268486</v>
      </c>
      <c r="M725" s="7" t="n">
        <v>107.9302846178446</v>
      </c>
      <c r="N725" s="7" t="n">
        <v>143.7446201763611</v>
      </c>
      <c r="O725" s="8">
        <f>N725*$B$2/100</f>
        <v/>
      </c>
    </row>
    <row r="726">
      <c r="A726" s="6" t="n">
        <v>46238.47211429398</v>
      </c>
      <c r="B726" s="7" t="n">
        <v>102.0093432071424</v>
      </c>
      <c r="C726" s="7" t="n">
        <v>158.3658601751521</v>
      </c>
      <c r="D726" s="7" t="n">
        <v>141.5939612331897</v>
      </c>
      <c r="E726" s="7" t="n">
        <v>138.9852424140634</v>
      </c>
      <c r="F726" s="7" t="n">
        <v>111.4813530958642</v>
      </c>
      <c r="G726" s="7" t="n">
        <v>134.4549658361516</v>
      </c>
      <c r="H726" s="7" t="n">
        <v>159.1236548759793</v>
      </c>
      <c r="I726" s="7" t="n">
        <v>144.7859514125536</v>
      </c>
      <c r="J726" s="7" t="n">
        <v>148.4700275960752</v>
      </c>
      <c r="K726" s="7" t="n">
        <v>119.5597041035637</v>
      </c>
      <c r="L726" s="7" t="n">
        <v>111.5604596267759</v>
      </c>
      <c r="M726" s="7" t="n">
        <v>105.1588898525585</v>
      </c>
      <c r="N726" s="7" t="n">
        <v>144.8624848991729</v>
      </c>
      <c r="O726" s="8">
        <f>N726*$B$2/100</f>
        <v/>
      </c>
    </row>
    <row r="727">
      <c r="A727" s="6" t="n">
        <v>46238.47212594908</v>
      </c>
      <c r="B727" s="7" t="n">
        <v>84.23780521719785</v>
      </c>
      <c r="C727" s="7" t="n">
        <v>157.5018105840225</v>
      </c>
      <c r="D727" s="7" t="n">
        <v>146.8325202208243</v>
      </c>
      <c r="E727" s="7" t="n">
        <v>120.4952435624077</v>
      </c>
      <c r="F727" s="7" t="n">
        <v>120.109241677683</v>
      </c>
      <c r="G727" s="7" t="n">
        <v>138.6420201790751</v>
      </c>
      <c r="H727" s="7" t="n">
        <v>147.2198649951784</v>
      </c>
      <c r="I727" s="7" t="n">
        <v>86.07469944617047</v>
      </c>
      <c r="J727" s="7" t="n">
        <v>158.7146574388486</v>
      </c>
      <c r="K727" s="7" t="n">
        <v>120.7206927175844</v>
      </c>
      <c r="L727" s="7" t="n">
        <v>128.6646898114213</v>
      </c>
      <c r="M727" s="7" t="n">
        <v>100.4488493723849</v>
      </c>
      <c r="N727" s="7" t="n">
        <v>144.5629164556962</v>
      </c>
      <c r="O727" s="8">
        <f>N727*$B$2/100</f>
        <v/>
      </c>
    </row>
    <row r="728">
      <c r="A728" s="6" t="n">
        <v>46238.47213765046</v>
      </c>
      <c r="B728" s="7" t="n">
        <v>131.105031884058</v>
      </c>
      <c r="C728" s="7" t="n">
        <v>159.4760787553353</v>
      </c>
      <c r="D728" s="7" t="n">
        <v>155.0598971689404</v>
      </c>
      <c r="E728" s="7" t="n">
        <v>114.0827168322412</v>
      </c>
      <c r="F728" s="7" t="n">
        <v>137.8941364818891</v>
      </c>
      <c r="G728" s="7" t="n">
        <v>129.1004114701285</v>
      </c>
      <c r="H728" s="7" t="n">
        <v>138.3048200794544</v>
      </c>
      <c r="I728" s="7" t="n">
        <v>128.9835316308764</v>
      </c>
      <c r="J728" s="7" t="n">
        <v>144.3657363471659</v>
      </c>
      <c r="K728" s="7" t="n">
        <v>83.6952695269527</v>
      </c>
      <c r="L728" s="7" t="n">
        <v>118.2768843725335</v>
      </c>
      <c r="M728" s="7" t="n">
        <v>130.6162398180084</v>
      </c>
      <c r="N728" s="7" t="n">
        <v>144.6197365813229</v>
      </c>
      <c r="O728" s="8">
        <f>N728*$B$2/100</f>
        <v/>
      </c>
    </row>
    <row r="729">
      <c r="A729" s="6" t="n">
        <v>46238.47214930555</v>
      </c>
      <c r="B729" s="7" t="n">
        <v>130.2742523302558</v>
      </c>
      <c r="C729" s="7" t="n">
        <v>156.5104452328632</v>
      </c>
      <c r="D729" s="7" t="n">
        <v>99.1412210845658</v>
      </c>
      <c r="E729" s="7" t="n">
        <v>84.69762622456669</v>
      </c>
      <c r="F729" s="7" t="n">
        <v>108.6508202975963</v>
      </c>
      <c r="G729" s="7" t="n">
        <v>93.07512383048982</v>
      </c>
      <c r="H729" s="7" t="n">
        <v>142.4347841434572</v>
      </c>
      <c r="I729" s="7" t="n">
        <v>118.8920756948551</v>
      </c>
      <c r="J729" s="7" t="n">
        <v>161.8787059110284</v>
      </c>
      <c r="K729" s="7" t="n">
        <v>104.9336053412463</v>
      </c>
      <c r="L729" s="7" t="n">
        <v>71.7964253798034</v>
      </c>
      <c r="M729" s="7" t="n">
        <v>67.48069007794028</v>
      </c>
      <c r="N729" s="7" t="n">
        <v>141.4848929065885</v>
      </c>
      <c r="O729" s="8">
        <f>N729*$B$2/100</f>
        <v/>
      </c>
    </row>
    <row r="730">
      <c r="A730" s="6" t="n">
        <v>46238.47216094907</v>
      </c>
      <c r="B730" s="7" t="n">
        <v>124.8856963613551</v>
      </c>
      <c r="C730" s="7" t="n">
        <v>159.7099584376194</v>
      </c>
      <c r="D730" s="7" t="n">
        <v>133.5903601524341</v>
      </c>
      <c r="E730" s="7" t="n">
        <v>98.1531660011409</v>
      </c>
      <c r="F730" s="7" t="n">
        <v>111.1649292272379</v>
      </c>
      <c r="G730" s="7" t="n">
        <v>117.7967313585291</v>
      </c>
      <c r="H730" s="7" t="n">
        <v>135.9534504295511</v>
      </c>
      <c r="I730" s="7" t="n">
        <v>139.9683396294297</v>
      </c>
      <c r="J730" s="7" t="n">
        <v>155.551725882902</v>
      </c>
      <c r="K730" s="7" t="n">
        <v>127.7962335216573</v>
      </c>
      <c r="L730" s="7" t="n">
        <v>112.5213434058433</v>
      </c>
      <c r="M730" s="7" t="n">
        <v>105.6909474530292</v>
      </c>
      <c r="N730" s="7" t="n">
        <v>143.7682322631788</v>
      </c>
      <c r="O730" s="8">
        <f>N730*$B$2/100</f>
        <v/>
      </c>
    </row>
    <row r="731">
      <c r="A731" s="6" t="n">
        <v>46238.47217262731</v>
      </c>
      <c r="B731" s="7" t="n">
        <v>152.9593437302804</v>
      </c>
      <c r="C731" s="7" t="n">
        <v>139.283430053093</v>
      </c>
      <c r="D731" s="7" t="n">
        <v>156.5661839122638</v>
      </c>
      <c r="E731" s="7" t="n">
        <v>118.9306127621824</v>
      </c>
      <c r="F731" s="7" t="n">
        <v>131.5242506811989</v>
      </c>
      <c r="G731" s="7" t="n">
        <v>127.743089042731</v>
      </c>
      <c r="H731" s="7" t="n">
        <v>147.6108297052914</v>
      </c>
      <c r="I731" s="7" t="n">
        <v>77.39270968503008</v>
      </c>
      <c r="J731" s="7" t="n">
        <v>153.7272630344386</v>
      </c>
      <c r="K731" s="7" t="n">
        <v>151.4501678498707</v>
      </c>
      <c r="L731" s="7" t="n">
        <v>129.4585833690527</v>
      </c>
      <c r="M731" s="7" t="n">
        <v>133.3156948881789</v>
      </c>
      <c r="N731" s="7" t="n">
        <v>147.5013006986142</v>
      </c>
      <c r="O731" s="8">
        <f>N731*$B$2/100</f>
        <v/>
      </c>
    </row>
    <row r="732">
      <c r="A732" s="6" t="n">
        <v>46238.47218428241</v>
      </c>
      <c r="B732" s="7" t="n">
        <v>132.7477282099058</v>
      </c>
      <c r="C732" s="7" t="n">
        <v>156.9384324197908</v>
      </c>
      <c r="D732" s="7" t="n">
        <v>113.2614112903226</v>
      </c>
      <c r="E732" s="7" t="n">
        <v>103.9034529451591</v>
      </c>
      <c r="F732" s="7" t="n">
        <v>107.3563484446452</v>
      </c>
      <c r="G732" s="7" t="n">
        <v>115.9459669366471</v>
      </c>
      <c r="H732" s="7" t="n">
        <v>156.3816160359239</v>
      </c>
      <c r="I732" s="7" t="n">
        <v>110.4700631527812</v>
      </c>
      <c r="J732" s="7" t="n">
        <v>148.8586380294895</v>
      </c>
      <c r="K732" s="7" t="n">
        <v>98.97301098901099</v>
      </c>
      <c r="L732" s="7" t="n">
        <v>117.9086598724726</v>
      </c>
      <c r="M732" s="7" t="n">
        <v>85.66873608205682</v>
      </c>
      <c r="N732" s="7" t="n">
        <v>142.9183778625954</v>
      </c>
      <c r="O732" s="8">
        <f>N732*$B$2/100</f>
        <v/>
      </c>
    </row>
    <row r="733">
      <c r="A733" s="6" t="n">
        <v>46238.47219596065</v>
      </c>
      <c r="B733" s="7" t="n">
        <v>103.7722165474975</v>
      </c>
      <c r="C733" s="7" t="n">
        <v>159.040329173252</v>
      </c>
      <c r="D733" s="7" t="n">
        <v>139.2427599986377</v>
      </c>
      <c r="E733" s="7" t="n">
        <v>111.8761301100629</v>
      </c>
      <c r="F733" s="7" t="n">
        <v>101.4446802490096</v>
      </c>
      <c r="G733" s="7" t="n">
        <v>102.1183198170098</v>
      </c>
      <c r="H733" s="7" t="n">
        <v>136.5096602105061</v>
      </c>
      <c r="I733" s="7" t="n">
        <v>109.3865791393144</v>
      </c>
      <c r="J733" s="7" t="n">
        <v>160.6470937334347</v>
      </c>
      <c r="K733" s="7" t="n">
        <v>94.03548387096774</v>
      </c>
      <c r="L733" s="7" t="n">
        <v>113.1734784212468</v>
      </c>
      <c r="M733" s="7" t="n">
        <v>75.71791458679978</v>
      </c>
      <c r="N733" s="7" t="n">
        <v>140.4737767016831</v>
      </c>
      <c r="O733" s="8">
        <f>N733*$B$2/100</f>
        <v/>
      </c>
    </row>
    <row r="734">
      <c r="A734" s="6" t="n">
        <v>46238.47220761574</v>
      </c>
      <c r="B734" s="7" t="n">
        <v>147.2732627001768</v>
      </c>
      <c r="C734" s="7" t="n">
        <v>102.6987591911765</v>
      </c>
      <c r="D734" s="7" t="n">
        <v>159.197828012295</v>
      </c>
      <c r="E734" s="7" t="n">
        <v>121.5544994102546</v>
      </c>
      <c r="F734" s="7" t="n">
        <v>128.4424700693132</v>
      </c>
      <c r="G734" s="7" t="n">
        <v>132.6183501555741</v>
      </c>
      <c r="H734" s="7" t="n">
        <v>142.4831149808772</v>
      </c>
      <c r="I734" s="7" t="n">
        <v>146.0084556080577</v>
      </c>
      <c r="J734" s="7" t="n">
        <v>137.1218371013625</v>
      </c>
      <c r="K734" s="7" t="n">
        <v>75.22145562770562</v>
      </c>
      <c r="L734" s="7" t="n">
        <v>122.4002075522228</v>
      </c>
      <c r="M734" s="7" t="n">
        <v>98.44867868889645</v>
      </c>
      <c r="N734" s="7" t="n">
        <v>144.6320137760235</v>
      </c>
      <c r="O734" s="8">
        <f>N734*$B$2/100</f>
        <v/>
      </c>
    </row>
    <row r="735">
      <c r="A735" s="6" t="n">
        <v>46238.47221929398</v>
      </c>
      <c r="B735" s="7" t="n">
        <v>104.7585614576765</v>
      </c>
      <c r="C735" s="7" t="n">
        <v>158.6408885861443</v>
      </c>
      <c r="D735" s="7" t="n">
        <v>146.5161910643853</v>
      </c>
      <c r="E735" s="7" t="n">
        <v>92.3336484744306</v>
      </c>
      <c r="F735" s="7" t="n">
        <v>128.8732035140278</v>
      </c>
      <c r="G735" s="7" t="n">
        <v>111.0317695152813</v>
      </c>
      <c r="H735" s="7" t="n">
        <v>153.8497466742948</v>
      </c>
      <c r="I735" s="7" t="n">
        <v>124.7453568687644</v>
      </c>
      <c r="J735" s="7" t="n">
        <v>142.5922443839147</v>
      </c>
      <c r="K735" s="7" t="n">
        <v>102.472231884058</v>
      </c>
      <c r="L735" s="7" t="n">
        <v>123.3661847478203</v>
      </c>
      <c r="M735" s="7" t="n">
        <v>82.49545913218971</v>
      </c>
      <c r="N735" s="7" t="n">
        <v>141.8156895907491</v>
      </c>
      <c r="O735" s="8">
        <f>N735*$B$2/100</f>
        <v/>
      </c>
    </row>
    <row r="736">
      <c r="A736" s="6" t="n">
        <v>46238.47223099537</v>
      </c>
      <c r="B736" s="7" t="n">
        <v>150.0138415075978</v>
      </c>
      <c r="C736" s="7" t="n">
        <v>108.1923552696685</v>
      </c>
      <c r="D736" s="7" t="n">
        <v>144.6254282610512</v>
      </c>
      <c r="E736" s="7" t="n">
        <v>144.0760761625146</v>
      </c>
      <c r="F736" s="7" t="n">
        <v>129.6350504224584</v>
      </c>
      <c r="G736" s="7" t="n">
        <v>115.0078841595383</v>
      </c>
      <c r="H736" s="7" t="n">
        <v>133.1388708396506</v>
      </c>
      <c r="I736" s="7" t="n">
        <v>134.5412687813022</v>
      </c>
      <c r="J736" s="7" t="n">
        <v>155.4040396363743</v>
      </c>
      <c r="K736" s="7" t="n">
        <v>115.8227327916316</v>
      </c>
      <c r="L736" s="7" t="n">
        <v>137.415602189781</v>
      </c>
      <c r="M736" s="7" t="n">
        <v>85.74083419919846</v>
      </c>
      <c r="N736" s="7" t="n">
        <v>143.1961574862767</v>
      </c>
      <c r="O736" s="8">
        <f>N736*$B$2/100</f>
        <v/>
      </c>
    </row>
    <row r="737">
      <c r="A737" s="6" t="n">
        <v>46238.47224271991</v>
      </c>
      <c r="B737" s="7" t="n">
        <v>152.5315295741151</v>
      </c>
      <c r="C737" s="7" t="n">
        <v>147.4149936409884</v>
      </c>
      <c r="D737" s="7" t="n">
        <v>155.7125949264825</v>
      </c>
      <c r="E737" s="7" t="n">
        <v>148.9412915402222</v>
      </c>
      <c r="F737" s="7" t="n">
        <v>149.437035926286</v>
      </c>
      <c r="G737" s="7" t="n">
        <v>149.2323929096489</v>
      </c>
      <c r="H737" s="7" t="n">
        <v>149.6969708616589</v>
      </c>
      <c r="I737" s="7" t="n">
        <v>148.1426330077918</v>
      </c>
      <c r="J737" s="7" t="n">
        <v>148.271547825188</v>
      </c>
      <c r="K737" s="7" t="n">
        <v>149.4652701857362</v>
      </c>
      <c r="L737" s="7" t="n">
        <v>145.9521923037243</v>
      </c>
      <c r="M737" s="7" t="n">
        <v>145.628786334081</v>
      </c>
      <c r="N737" s="7" t="n">
        <v>149.7931638450612</v>
      </c>
      <c r="O737" s="8">
        <f>N737*$B$2/100</f>
        <v/>
      </c>
    </row>
    <row r="738">
      <c r="A738" s="6" t="n">
        <v>46238.47225453704</v>
      </c>
      <c r="B738" s="7" t="n">
        <v>147.6471349398179</v>
      </c>
      <c r="C738" s="7" t="n">
        <v>148.9748250188705</v>
      </c>
      <c r="D738" s="7" t="n">
        <v>148.9413781626018</v>
      </c>
      <c r="E738" s="7" t="n">
        <v>149.0570448582964</v>
      </c>
      <c r="F738" s="7" t="n">
        <v>150.4874484262366</v>
      </c>
      <c r="G738" s="7" t="n">
        <v>149.4269121160655</v>
      </c>
      <c r="H738" s="7" t="n">
        <v>151.4621874565531</v>
      </c>
      <c r="I738" s="7" t="n">
        <v>151.4952620557164</v>
      </c>
      <c r="J738" s="7" t="n">
        <v>150.1258777012748</v>
      </c>
      <c r="K738" s="7" t="n">
        <v>149.8793507116897</v>
      </c>
      <c r="L738" s="7" t="n">
        <v>149.2630238620413</v>
      </c>
      <c r="M738" s="7" t="n">
        <v>148.2055611431126</v>
      </c>
      <c r="N738" s="7" t="n">
        <v>149.6925412005806</v>
      </c>
      <c r="O738" s="8">
        <f>N738*$B$2/100</f>
        <v/>
      </c>
    </row>
    <row r="739">
      <c r="A739" s="6" t="n">
        <v>46238.47226618056</v>
      </c>
      <c r="B739" s="7" t="n">
        <v>141.9847066140699</v>
      </c>
      <c r="C739" s="7" t="n">
        <v>102.7592801308853</v>
      </c>
      <c r="D739" s="7" t="n">
        <v>139.5743192488263</v>
      </c>
      <c r="E739" s="7" t="n">
        <v>138.2927703539706</v>
      </c>
      <c r="F739" s="7" t="n">
        <v>121.3421752163339</v>
      </c>
      <c r="G739" s="7" t="n">
        <v>125.4896005131024</v>
      </c>
      <c r="H739" s="7" t="n">
        <v>152.0944224666348</v>
      </c>
      <c r="I739" s="7" t="n">
        <v>117.0822891974263</v>
      </c>
      <c r="J739" s="7" t="n">
        <v>159.9919088004868</v>
      </c>
      <c r="K739" s="7" t="n">
        <v>133.5422474885134</v>
      </c>
      <c r="L739" s="7" t="n">
        <v>121.8294230769231</v>
      </c>
      <c r="M739" s="7" t="n">
        <v>109.4514608859566</v>
      </c>
      <c r="N739" s="7" t="n">
        <v>143.1955318629446</v>
      </c>
      <c r="O739" s="8">
        <f>N739*$B$2/100</f>
        <v/>
      </c>
    </row>
    <row r="740">
      <c r="A740" s="6" t="n">
        <v>46238.4722778588</v>
      </c>
      <c r="B740" s="7" t="n">
        <v>97.58065476190477</v>
      </c>
      <c r="C740" s="7" t="n">
        <v>117.1659309270319</v>
      </c>
      <c r="D740" s="7" t="n">
        <v>156.6003630422944</v>
      </c>
      <c r="E740" s="7" t="n">
        <v>140.5696527028952</v>
      </c>
      <c r="F740" s="7" t="n">
        <v>102.1649406562718</v>
      </c>
      <c r="G740" s="7" t="n">
        <v>114.1862917398946</v>
      </c>
      <c r="H740" s="7" t="n">
        <v>152.1087063526394</v>
      </c>
      <c r="I740" s="7" t="n">
        <v>143.7052587137027</v>
      </c>
      <c r="J740" s="7" t="n">
        <v>94.6229557843731</v>
      </c>
      <c r="K740" s="7" t="n">
        <v>114.7556920104871</v>
      </c>
      <c r="L740" s="7" t="n">
        <v>159.5151886027035</v>
      </c>
      <c r="M740" s="7" t="n">
        <v>109.5322309605431</v>
      </c>
      <c r="N740" s="7" t="n">
        <v>142.8714709687239</v>
      </c>
      <c r="O740" s="8">
        <f>N740*$B$2/100</f>
        <v/>
      </c>
    </row>
    <row r="741">
      <c r="A741" s="6" t="n">
        <v>46238.47228956019</v>
      </c>
      <c r="B741" s="7" t="n">
        <v>141.0084188565528</v>
      </c>
      <c r="C741" s="7" t="n">
        <v>107.7719395025973</v>
      </c>
      <c r="D741" s="7" t="n">
        <v>146.4379546747298</v>
      </c>
      <c r="E741" s="7" t="n">
        <v>82.5017965726921</v>
      </c>
      <c r="F741" s="7" t="n">
        <v>124.2834631649232</v>
      </c>
      <c r="G741" s="7" t="n">
        <v>111.2164287662515</v>
      </c>
      <c r="H741" s="7" t="n">
        <v>159.6303995928142</v>
      </c>
      <c r="I741" s="7" t="n">
        <v>95.8889428525174</v>
      </c>
      <c r="J741" s="7" t="n">
        <v>95.47739943391372</v>
      </c>
      <c r="K741" s="7" t="n">
        <v>129.8753830439224</v>
      </c>
      <c r="L741" s="7" t="n">
        <v>122.3912029760034</v>
      </c>
      <c r="M741" s="7" t="n">
        <v>152.6823627329819</v>
      </c>
      <c r="N741" s="7" t="n">
        <v>141.9851124423058</v>
      </c>
      <c r="O741" s="8">
        <f>N741*$B$2/100</f>
        <v/>
      </c>
    </row>
    <row r="742">
      <c r="A742" s="6" t="n">
        <v>46238.47230136574</v>
      </c>
      <c r="B742" s="7" t="n">
        <v>120.1162882210628</v>
      </c>
      <c r="C742" s="7" t="n">
        <v>157.4552227666548</v>
      </c>
      <c r="D742" s="7" t="n">
        <v>126.5398739495798</v>
      </c>
      <c r="E742" s="7" t="n">
        <v>135.3998421915148</v>
      </c>
      <c r="F742" s="7" t="n">
        <v>105.7192620250384</v>
      </c>
      <c r="G742" s="7" t="n">
        <v>128.9883629501494</v>
      </c>
      <c r="H742" s="7" t="n">
        <v>142.1568004772265</v>
      </c>
      <c r="I742" s="7" t="n">
        <v>108.4883488348835</v>
      </c>
      <c r="J742" s="7" t="n">
        <v>156.1419827269501</v>
      </c>
      <c r="K742" s="7" t="n">
        <v>135.6030290503213</v>
      </c>
      <c r="L742" s="7" t="n">
        <v>112.8048185422385</v>
      </c>
      <c r="M742" s="7" t="n">
        <v>126.891990005186</v>
      </c>
      <c r="N742" s="7" t="n">
        <v>141.4854329169537</v>
      </c>
      <c r="O742" s="8">
        <f>N742*$B$2/100</f>
        <v/>
      </c>
    </row>
    <row r="743">
      <c r="A743" s="6" t="n">
        <v>46238.47231306713</v>
      </c>
      <c r="B743" s="7" t="n">
        <v>153.2454329371817</v>
      </c>
      <c r="C743" s="7" t="n">
        <v>133.8949829373934</v>
      </c>
      <c r="D743" s="7" t="n">
        <v>159.2166704659573</v>
      </c>
      <c r="E743" s="7" t="n">
        <v>97.76503714354182</v>
      </c>
      <c r="F743" s="7" t="n">
        <v>121.3093425863742</v>
      </c>
      <c r="G743" s="7" t="n">
        <v>127.9154692957248</v>
      </c>
      <c r="H743" s="7" t="n">
        <v>143.055593347564</v>
      </c>
      <c r="I743" s="7" t="n">
        <v>119.3698461538462</v>
      </c>
      <c r="J743" s="7" t="n">
        <v>144.0663782082801</v>
      </c>
      <c r="K743" s="7" t="n">
        <v>108.855559364644</v>
      </c>
      <c r="L743" s="7" t="n">
        <v>80.90244793569602</v>
      </c>
      <c r="M743" s="7" t="n">
        <v>84.68098772480731</v>
      </c>
      <c r="N743" s="7" t="n">
        <v>143.8194072190159</v>
      </c>
      <c r="O743" s="8">
        <f>N743*$B$2/100</f>
        <v/>
      </c>
    </row>
    <row r="744">
      <c r="A744" s="6" t="n">
        <v>46238.47232474537</v>
      </c>
      <c r="B744" s="7" t="n">
        <v>104.0635897203051</v>
      </c>
      <c r="C744" s="7" t="n">
        <v>158.7996037511557</v>
      </c>
      <c r="D744" s="7" t="n">
        <v>134.9998623429234</v>
      </c>
      <c r="E744" s="7" t="n">
        <v>131.8870172555464</v>
      </c>
      <c r="F744" s="7" t="n">
        <v>130.5978925458566</v>
      </c>
      <c r="G744" s="7" t="n">
        <v>126.8959447190558</v>
      </c>
      <c r="H744" s="7" t="n">
        <v>158.8107730771874</v>
      </c>
      <c r="I744" s="7" t="n">
        <v>114.9588993138216</v>
      </c>
      <c r="J744" s="7" t="n">
        <v>86.15339294378596</v>
      </c>
      <c r="K744" s="7" t="n">
        <v>83.36441000889114</v>
      </c>
      <c r="L744" s="7" t="n">
        <v>102.9959677419355</v>
      </c>
      <c r="M744" s="7" t="n">
        <v>116.7154751131222</v>
      </c>
      <c r="N744" s="7" t="n">
        <v>143.2058169441705</v>
      </c>
      <c r="O744" s="8">
        <f>N744*$B$2/100</f>
        <v/>
      </c>
    </row>
    <row r="745">
      <c r="A745" s="6" t="n">
        <v>46238.47233643519</v>
      </c>
      <c r="B745" s="7" t="n">
        <v>101.637621557757</v>
      </c>
      <c r="C745" s="7" t="n">
        <v>159.4881031512406</v>
      </c>
      <c r="D745" s="7" t="n">
        <v>118.520756902877</v>
      </c>
      <c r="E745" s="7" t="n">
        <v>122.9483305806535</v>
      </c>
      <c r="F745" s="7" t="n">
        <v>132.5308089981836</v>
      </c>
      <c r="G745" s="7" t="n">
        <v>120.9331887431232</v>
      </c>
      <c r="H745" s="7" t="n">
        <v>152.2607143761233</v>
      </c>
      <c r="I745" s="7" t="n">
        <v>105.3273824813768</v>
      </c>
      <c r="J745" s="7" t="n">
        <v>161.0212862432929</v>
      </c>
      <c r="K745" s="7" t="n">
        <v>111.0528886241811</v>
      </c>
      <c r="L745" s="7" t="n">
        <v>117.2164399021882</v>
      </c>
      <c r="M745" s="7" t="n">
        <v>112.7191858866056</v>
      </c>
      <c r="N745" s="7" t="n">
        <v>143.5245741995747</v>
      </c>
      <c r="O745" s="8">
        <f>N745*$B$2/100</f>
        <v/>
      </c>
    </row>
    <row r="746">
      <c r="A746" s="6" t="n">
        <v>46238.472348125</v>
      </c>
      <c r="B746" s="7" t="n">
        <v>148.5479713004297</v>
      </c>
      <c r="C746" s="7" t="n">
        <v>102.2685829366532</v>
      </c>
      <c r="D746" s="7" t="n">
        <v>144.7085410686408</v>
      </c>
      <c r="E746" s="7" t="n">
        <v>162.0050900239825</v>
      </c>
      <c r="F746" s="7" t="n">
        <v>108.8647521759525</v>
      </c>
      <c r="G746" s="7" t="n">
        <v>133.3447760147688</v>
      </c>
      <c r="H746" s="7" t="n">
        <v>134.4845284417269</v>
      </c>
      <c r="I746" s="7" t="n">
        <v>91.80880747300741</v>
      </c>
      <c r="J746" s="7" t="n">
        <v>129.9162181852365</v>
      </c>
      <c r="K746" s="7" t="n">
        <v>68.57544397598058</v>
      </c>
      <c r="L746" s="7" t="n">
        <v>94.54032537210108</v>
      </c>
      <c r="M746" s="7" t="n">
        <v>79.023813303699</v>
      </c>
      <c r="N746" s="7" t="n">
        <v>140.3641013895251</v>
      </c>
      <c r="O746" s="8">
        <f>N746*$B$2/100</f>
        <v/>
      </c>
    </row>
    <row r="747">
      <c r="A747" s="6" t="n">
        <v>46238.47235981481</v>
      </c>
      <c r="B747" s="7" t="n">
        <v>137.4742066476162</v>
      </c>
      <c r="C747" s="7" t="n">
        <v>154.9120210085023</v>
      </c>
      <c r="D747" s="7" t="n">
        <v>112.6563377388208</v>
      </c>
      <c r="E747" s="7" t="n">
        <v>108.2426040823667</v>
      </c>
      <c r="F747" s="7" t="n">
        <v>126.3394405219412</v>
      </c>
      <c r="G747" s="7" t="n">
        <v>114.4508904837852</v>
      </c>
      <c r="H747" s="7" t="n">
        <v>158.7349168270372</v>
      </c>
      <c r="I747" s="7" t="n">
        <v>118.857976872123</v>
      </c>
      <c r="J747" s="7" t="n">
        <v>149.0911292031113</v>
      </c>
      <c r="K747" s="7" t="n">
        <v>98.53060448612344</v>
      </c>
      <c r="L747" s="7" t="n">
        <v>138.0292715417514</v>
      </c>
      <c r="M747" s="7" t="n">
        <v>78.65638286274937</v>
      </c>
      <c r="N747" s="7" t="n">
        <v>145.5770167989662</v>
      </c>
      <c r="O747" s="8">
        <f>N747*$B$2/100</f>
        <v/>
      </c>
    </row>
    <row r="748">
      <c r="A748" s="6" t="n">
        <v>46238.47237152778</v>
      </c>
      <c r="B748" s="7" t="n">
        <v>157.0109605711166</v>
      </c>
      <c r="C748" s="7" t="n">
        <v>139.3179015638001</v>
      </c>
      <c r="D748" s="7" t="n">
        <v>110.8929175888556</v>
      </c>
      <c r="E748" s="7" t="n">
        <v>102.9715857838715</v>
      </c>
      <c r="F748" s="7" t="n">
        <v>113.9534711050613</v>
      </c>
      <c r="G748" s="7" t="n">
        <v>120.6433573234779</v>
      </c>
      <c r="H748" s="7" t="n">
        <v>147.896711387745</v>
      </c>
      <c r="I748" s="7" t="n">
        <v>100.488863549981</v>
      </c>
      <c r="J748" s="7" t="n">
        <v>155.9668625146886</v>
      </c>
      <c r="K748" s="7" t="n">
        <v>130.1301033666339</v>
      </c>
      <c r="L748" s="7" t="n">
        <v>124.099989765633</v>
      </c>
      <c r="M748" s="7" t="n">
        <v>106.5439465747523</v>
      </c>
      <c r="N748" s="7" t="n">
        <v>145.3992392642546</v>
      </c>
      <c r="O748" s="8">
        <f>N748*$B$2/100</f>
        <v/>
      </c>
    </row>
    <row r="749">
      <c r="A749" s="6" t="n">
        <v>46238.4723832176</v>
      </c>
      <c r="B749" s="7" t="n">
        <v>150.1851420893331</v>
      </c>
      <c r="C749" s="7" t="n">
        <v>124.9577454778066</v>
      </c>
      <c r="D749" s="7" t="n">
        <v>131.4062463491569</v>
      </c>
      <c r="E749" s="7" t="n">
        <v>157.783761558056</v>
      </c>
      <c r="F749" s="7" t="n">
        <v>108.2818796530292</v>
      </c>
      <c r="G749" s="7" t="n">
        <v>122.1242090882945</v>
      </c>
      <c r="H749" s="7" t="n">
        <v>158.6751805268332</v>
      </c>
      <c r="I749" s="7" t="n">
        <v>117.7592460519613</v>
      </c>
      <c r="J749" s="7" t="n">
        <v>123.4264802441003</v>
      </c>
      <c r="K749" s="7" t="n">
        <v>139.6710968379447</v>
      </c>
      <c r="L749" s="7" t="n">
        <v>82.67565121190788</v>
      </c>
      <c r="M749" s="7" t="n">
        <v>99.62878787878788</v>
      </c>
      <c r="N749" s="7" t="n">
        <v>145.9243099538666</v>
      </c>
      <c r="O749" s="8">
        <f>N749*$B$2/100</f>
        <v/>
      </c>
    </row>
    <row r="750">
      <c r="A750" s="6" t="n">
        <v>46238.47239486111</v>
      </c>
      <c r="B750" s="7" t="n">
        <v>107.5608731759402</v>
      </c>
      <c r="C750" s="7" t="n">
        <v>159.7663452574752</v>
      </c>
      <c r="D750" s="7" t="n">
        <v>140.5019790904788</v>
      </c>
      <c r="E750" s="7" t="n">
        <v>138.9373038337858</v>
      </c>
      <c r="F750" s="7" t="n">
        <v>107.3738092745734</v>
      </c>
      <c r="G750" s="7" t="n">
        <v>101.6552495395141</v>
      </c>
      <c r="H750" s="7" t="n">
        <v>154.0964903519636</v>
      </c>
      <c r="I750" s="7" t="n">
        <v>120.7156190262004</v>
      </c>
      <c r="J750" s="7" t="n">
        <v>158.6610664168994</v>
      </c>
      <c r="K750" s="7" t="n">
        <v>91.31762967826658</v>
      </c>
      <c r="L750" s="7" t="n">
        <v>115.9998570918185</v>
      </c>
      <c r="M750" s="7" t="n">
        <v>92.17997527812113</v>
      </c>
      <c r="N750" s="7" t="n">
        <v>144.1051159154958</v>
      </c>
      <c r="O750" s="8">
        <f>N750*$B$2/100</f>
        <v/>
      </c>
    </row>
    <row r="751">
      <c r="A751" s="6" t="n">
        <v>46238.47240652778</v>
      </c>
      <c r="B751" s="7" t="n">
        <v>157.0582094452311</v>
      </c>
      <c r="C751" s="7" t="n">
        <v>125.4311550518447</v>
      </c>
      <c r="D751" s="7" t="n">
        <v>121.7243277577811</v>
      </c>
      <c r="E751" s="7" t="n">
        <v>112.83418834738</v>
      </c>
      <c r="F751" s="7" t="n">
        <v>107.4069584736251</v>
      </c>
      <c r="G751" s="7" t="n">
        <v>100.9911273810262</v>
      </c>
      <c r="H751" s="7" t="n">
        <v>145.978320543389</v>
      </c>
      <c r="I751" s="7" t="n">
        <v>118.0547923151229</v>
      </c>
      <c r="J751" s="7" t="n">
        <v>149.7308116432496</v>
      </c>
      <c r="K751" s="7" t="n">
        <v>120.8113034623218</v>
      </c>
      <c r="L751" s="7" t="n">
        <v>135.701281329203</v>
      </c>
      <c r="M751" s="7" t="n">
        <v>80.72445374852806</v>
      </c>
      <c r="N751" s="7" t="n">
        <v>144.2935348220972</v>
      </c>
      <c r="O751" s="8">
        <f>N751*$B$2/100</f>
        <v/>
      </c>
    </row>
    <row r="752">
      <c r="A752" s="6" t="n">
        <v>46238.47241824074</v>
      </c>
      <c r="B752" s="7" t="n">
        <v>150.623066922736</v>
      </c>
      <c r="C752" s="7" t="n">
        <v>149.8677298527896</v>
      </c>
      <c r="D752" s="7" t="n">
        <v>154.797130889435</v>
      </c>
      <c r="E752" s="7" t="n">
        <v>150.2586205607477</v>
      </c>
      <c r="F752" s="7" t="n">
        <v>149.2394096892902</v>
      </c>
      <c r="G752" s="7" t="n">
        <v>149.2922515654364</v>
      </c>
      <c r="H752" s="7" t="n">
        <v>151.1681628732901</v>
      </c>
      <c r="I752" s="7" t="n">
        <v>150.446137969062</v>
      </c>
      <c r="J752" s="7" t="n">
        <v>151.2010941949536</v>
      </c>
      <c r="K752" s="7" t="n">
        <v>150.3933962229017</v>
      </c>
      <c r="L752" s="7" t="n">
        <v>150.7243109386143</v>
      </c>
      <c r="M752" s="7" t="n">
        <v>150.8953224586799</v>
      </c>
      <c r="N752" s="7" t="n">
        <v>150.8382279319997</v>
      </c>
      <c r="O752" s="8">
        <f>N752*$B$2/100</f>
        <v/>
      </c>
    </row>
    <row r="753">
      <c r="A753" s="6" t="n">
        <v>46238.4724299537</v>
      </c>
      <c r="B753" s="7" t="n">
        <v>139.2126917154022</v>
      </c>
      <c r="C753" s="7" t="n">
        <v>151.6660981054916</v>
      </c>
      <c r="D753" s="7" t="n">
        <v>142.1647154755664</v>
      </c>
      <c r="E753" s="7" t="n">
        <v>141.0035861377766</v>
      </c>
      <c r="F753" s="7" t="n">
        <v>133.716375051712</v>
      </c>
      <c r="G753" s="7" t="n">
        <v>139.9356751314465</v>
      </c>
      <c r="H753" s="7" t="n">
        <v>140.468267481627</v>
      </c>
      <c r="I753" s="7" t="n">
        <v>140.8273722010435</v>
      </c>
      <c r="J753" s="7" t="n">
        <v>154.4420723828358</v>
      </c>
      <c r="K753" s="7" t="n">
        <v>147.7644200404728</v>
      </c>
      <c r="L753" s="7" t="n">
        <v>143.776653250215</v>
      </c>
      <c r="M753" s="7" t="n">
        <v>151.3593545507501</v>
      </c>
      <c r="N753" s="7" t="n">
        <v>145.8296473519264</v>
      </c>
      <c r="O753" s="8">
        <f>N753*$B$2/100</f>
        <v/>
      </c>
    </row>
    <row r="754">
      <c r="A754" s="6" t="n">
        <v>46238.47244163194</v>
      </c>
      <c r="B754" s="7" t="n">
        <v>156.2816212056866</v>
      </c>
      <c r="C754" s="7" t="n">
        <v>109.1747941735275</v>
      </c>
      <c r="D754" s="7" t="n">
        <v>134.3758643630426</v>
      </c>
      <c r="E754" s="7" t="n">
        <v>88.88684786004373</v>
      </c>
      <c r="F754" s="7" t="n">
        <v>115.2852117630505</v>
      </c>
      <c r="G754" s="7" t="n">
        <v>142.7548935490951</v>
      </c>
      <c r="H754" s="7" t="n">
        <v>140.8407363713682</v>
      </c>
      <c r="I754" s="7" t="n">
        <v>93.07126203750633</v>
      </c>
      <c r="J754" s="7" t="n">
        <v>159.9965731396252</v>
      </c>
      <c r="K754" s="7" t="n">
        <v>130.6431456402946</v>
      </c>
      <c r="L754" s="7" t="n">
        <v>133.1784792302277</v>
      </c>
      <c r="M754" s="7" t="n">
        <v>118.7871682706328</v>
      </c>
      <c r="N754" s="7" t="n">
        <v>143.3741500609205</v>
      </c>
      <c r="O754" s="8">
        <f>N754*$B$2/100</f>
        <v/>
      </c>
    </row>
    <row r="755">
      <c r="A755" s="6" t="n">
        <v>46238.47245325232</v>
      </c>
      <c r="B755" s="7" t="n">
        <v>143.534975494256</v>
      </c>
      <c r="C755" s="7" t="n">
        <v>127.5435430463576</v>
      </c>
      <c r="D755" s="7" t="n">
        <v>149.1529822995686</v>
      </c>
      <c r="E755" s="7" t="n">
        <v>160.218046515968</v>
      </c>
      <c r="F755" s="7" t="n">
        <v>102.3744256416004</v>
      </c>
      <c r="G755" s="7" t="n">
        <v>120.9513725490196</v>
      </c>
      <c r="H755" s="7" t="n">
        <v>155.6612429497973</v>
      </c>
      <c r="I755" s="7" t="n">
        <v>105.2252838221381</v>
      </c>
      <c r="J755" s="7" t="n">
        <v>123.7496073209042</v>
      </c>
      <c r="K755" s="7" t="n">
        <v>119.0156243691711</v>
      </c>
      <c r="L755" s="7" t="n">
        <v>126.2246395806029</v>
      </c>
      <c r="M755" s="7" t="n">
        <v>126.5511132780757</v>
      </c>
      <c r="N755" s="7" t="n">
        <v>143.0832096457955</v>
      </c>
      <c r="O755" s="8">
        <f>N755*$B$2/100</f>
        <v/>
      </c>
    </row>
    <row r="756">
      <c r="A756" s="6" t="n">
        <v>46238.47246494213</v>
      </c>
      <c r="B756" s="7" t="n">
        <v>134.1755314345573</v>
      </c>
      <c r="C756" s="7" t="n">
        <v>159.0264598427909</v>
      </c>
      <c r="D756" s="7" t="n">
        <v>110.2576566623703</v>
      </c>
      <c r="E756" s="7" t="n">
        <v>102.9567116150781</v>
      </c>
      <c r="F756" s="7" t="n">
        <v>98.2526048157934</v>
      </c>
      <c r="G756" s="7" t="n">
        <v>94.71794013259225</v>
      </c>
      <c r="H756" s="7" t="n">
        <v>149.4558664901034</v>
      </c>
      <c r="I756" s="7" t="n">
        <v>117.0420607544231</v>
      </c>
      <c r="J756" s="7" t="n">
        <v>159.2247446614573</v>
      </c>
      <c r="K756" s="7" t="n">
        <v>141.9729517024273</v>
      </c>
      <c r="L756" s="7" t="n">
        <v>90.05248009797918</v>
      </c>
      <c r="M756" s="7" t="n">
        <v>132.1894154818326</v>
      </c>
      <c r="N756" s="7" t="n">
        <v>144.6011307678278</v>
      </c>
      <c r="O756" s="8">
        <f>N756*$B$2/100</f>
        <v/>
      </c>
    </row>
    <row r="757">
      <c r="A757" s="6" t="n">
        <v>46238.4724766088</v>
      </c>
      <c r="B757" s="7" t="n">
        <v>116.3881251779047</v>
      </c>
      <c r="C757" s="7" t="n">
        <v>159.7051384520188</v>
      </c>
      <c r="D757" s="7" t="n">
        <v>158.9384847290764</v>
      </c>
      <c r="E757" s="7" t="n">
        <v>114.5714669388194</v>
      </c>
      <c r="F757" s="7" t="n">
        <v>125.04113018598</v>
      </c>
      <c r="G757" s="7" t="n">
        <v>128.9893168229688</v>
      </c>
      <c r="H757" s="7" t="n">
        <v>137.2952808088281</v>
      </c>
      <c r="I757" s="7" t="n">
        <v>102.1366789667897</v>
      </c>
      <c r="J757" s="7" t="n">
        <v>149.1426627562883</v>
      </c>
      <c r="K757" s="7" t="n">
        <v>127.320848108747</v>
      </c>
      <c r="L757" s="7" t="n">
        <v>103.4437191025478</v>
      </c>
      <c r="M757" s="7" t="n">
        <v>139.5662427231265</v>
      </c>
      <c r="N757" s="7" t="n">
        <v>144.2688504213355</v>
      </c>
      <c r="O757" s="8">
        <f>N757*$B$2/100</f>
        <v/>
      </c>
    </row>
    <row r="758">
      <c r="A758" s="6" t="n">
        <v>46238.47248829861</v>
      </c>
      <c r="B758" s="7" t="n">
        <v>141.6227622678178</v>
      </c>
      <c r="C758" s="7" t="n">
        <v>160.0430751685979</v>
      </c>
      <c r="D758" s="7" t="n">
        <v>146.0704681440812</v>
      </c>
      <c r="E758" s="7" t="n">
        <v>126.7007863431682</v>
      </c>
      <c r="F758" s="7" t="n">
        <v>119.3573490112239</v>
      </c>
      <c r="G758" s="7" t="n">
        <v>95.63636828383007</v>
      </c>
      <c r="H758" s="7" t="n">
        <v>158.4956743871286</v>
      </c>
      <c r="I758" s="7" t="n">
        <v>91.27145003092693</v>
      </c>
      <c r="J758" s="7" t="n">
        <v>109.3901805991132</v>
      </c>
      <c r="K758" s="7" t="n">
        <v>110.1317991631799</v>
      </c>
      <c r="L758" s="7" t="n">
        <v>105.0104892098702</v>
      </c>
      <c r="M758" s="7" t="n">
        <v>95.5698317839752</v>
      </c>
      <c r="N758" s="7" t="n">
        <v>145.239652870494</v>
      </c>
      <c r="O758" s="8">
        <f>N758*$B$2/100</f>
        <v/>
      </c>
    </row>
    <row r="759">
      <c r="A759" s="6" t="n">
        <v>46238.4725</v>
      </c>
      <c r="B759" s="7" t="n">
        <v>130.6890501691094</v>
      </c>
      <c r="C759" s="7" t="n">
        <v>143.7119851158251</v>
      </c>
      <c r="D759" s="7" t="n">
        <v>131.7795003543586</v>
      </c>
      <c r="E759" s="7" t="n">
        <v>105.8723965199051</v>
      </c>
      <c r="F759" s="7" t="n">
        <v>130.003724137931</v>
      </c>
      <c r="G759" s="7" t="n">
        <v>130.3073924544062</v>
      </c>
      <c r="H759" s="7" t="n">
        <v>157.0835528677686</v>
      </c>
      <c r="I759" s="7" t="n">
        <v>126.219197080292</v>
      </c>
      <c r="J759" s="7" t="n">
        <v>158.3188593299372</v>
      </c>
      <c r="K759" s="7" t="n">
        <v>120.2736985440452</v>
      </c>
      <c r="L759" s="7" t="n">
        <v>99.0597840400316</v>
      </c>
      <c r="M759" s="7" t="n">
        <v>116.6312314295147</v>
      </c>
      <c r="N759" s="7" t="n">
        <v>144.5221967703463</v>
      </c>
      <c r="O759" s="8">
        <f>N759*$B$2/100</f>
        <v/>
      </c>
    </row>
    <row r="760">
      <c r="A760" s="6" t="n">
        <v>46238.47251170139</v>
      </c>
      <c r="B760" s="7" t="n">
        <v>149.2569022103542</v>
      </c>
      <c r="C760" s="7" t="n">
        <v>159.536342750385</v>
      </c>
      <c r="D760" s="7" t="n">
        <v>92.86757459622228</v>
      </c>
      <c r="E760" s="7" t="n">
        <v>88.84798314268512</v>
      </c>
      <c r="F760" s="7" t="n">
        <v>103.3922457200403</v>
      </c>
      <c r="G760" s="7" t="n">
        <v>119.1379769062949</v>
      </c>
      <c r="H760" s="7" t="n">
        <v>139.2040392116608</v>
      </c>
      <c r="I760" s="7" t="n">
        <v>73.32853196527229</v>
      </c>
      <c r="J760" s="7" t="n">
        <v>150.5873845570512</v>
      </c>
      <c r="K760" s="7" t="n">
        <v>130.7273726020451</v>
      </c>
      <c r="L760" s="7" t="n">
        <v>139.3466635666124</v>
      </c>
      <c r="M760" s="7" t="n">
        <v>127.802756154008</v>
      </c>
      <c r="N760" s="7" t="n">
        <v>143.2473830205107</v>
      </c>
      <c r="O760" s="8">
        <f>N760*$B$2/100</f>
        <v/>
      </c>
    </row>
    <row r="761">
      <c r="A761" s="6" t="n">
        <v>46238.47252337963</v>
      </c>
      <c r="B761" s="7" t="n">
        <v>154.0751611793256</v>
      </c>
      <c r="C761" s="7" t="n">
        <v>125.9297332465842</v>
      </c>
      <c r="D761" s="7" t="n">
        <v>140.5640745883753</v>
      </c>
      <c r="E761" s="7" t="n">
        <v>139.1573658989025</v>
      </c>
      <c r="F761" s="7" t="n">
        <v>125.286694053753</v>
      </c>
      <c r="G761" s="7" t="n">
        <v>118.3293435712135</v>
      </c>
      <c r="H761" s="7" t="n">
        <v>156.98069652353</v>
      </c>
      <c r="I761" s="7" t="n">
        <v>118.3252716812274</v>
      </c>
      <c r="J761" s="7" t="n">
        <v>133.4471481192097</v>
      </c>
      <c r="K761" s="7" t="n">
        <v>81.41863945578231</v>
      </c>
      <c r="L761" s="7" t="n">
        <v>113.3911483752555</v>
      </c>
      <c r="M761" s="7" t="n">
        <v>108.7940882219191</v>
      </c>
      <c r="N761" s="7" t="n">
        <v>144.3530636188169</v>
      </c>
      <c r="O761" s="8">
        <f>N761*$B$2/100</f>
        <v/>
      </c>
    </row>
    <row r="762">
      <c r="A762" s="6" t="n">
        <v>46238.47253516204</v>
      </c>
      <c r="B762" s="7" t="n">
        <v>87.12301816919339</v>
      </c>
      <c r="C762" s="7" t="n">
        <v>154.6497163971531</v>
      </c>
      <c r="D762" s="7" t="n">
        <v>110.3164442841688</v>
      </c>
      <c r="E762" s="7" t="n">
        <v>81.71112525863441</v>
      </c>
      <c r="F762" s="7" t="n">
        <v>96.78548317155342</v>
      </c>
      <c r="G762" s="7" t="n">
        <v>87.34207050276562</v>
      </c>
      <c r="H762" s="7" t="n">
        <v>143.5120010914854</v>
      </c>
      <c r="I762" s="7" t="n">
        <v>134.6998191052668</v>
      </c>
      <c r="J762" s="7" t="n">
        <v>111.5106872243375</v>
      </c>
      <c r="K762" s="7" t="n">
        <v>83.44738292011019</v>
      </c>
      <c r="L762" s="7" t="n">
        <v>110.1154521667443</v>
      </c>
      <c r="M762" s="7" t="n">
        <v>86.27513314215486</v>
      </c>
      <c r="N762" s="7" t="n">
        <v>123.8541031343865</v>
      </c>
      <c r="O762" s="8">
        <f>N762*$B$2/100</f>
        <v/>
      </c>
    </row>
    <row r="763">
      <c r="A763" s="6" t="n">
        <v>46238.472546875</v>
      </c>
      <c r="B763" s="7" t="n">
        <v>64.49281102155923</v>
      </c>
      <c r="C763" s="7" t="n">
        <v>84.75933679853691</v>
      </c>
      <c r="D763" s="7" t="n">
        <v>74.14449365003843</v>
      </c>
      <c r="E763" s="7" t="n">
        <v>93.28423137876386</v>
      </c>
      <c r="F763" s="7" t="n">
        <v>75.12852571991139</v>
      </c>
      <c r="G763" s="7" t="n">
        <v>62.37224025974026</v>
      </c>
      <c r="H763" s="7" t="n">
        <v>69.66795059916851</v>
      </c>
      <c r="I763" s="7" t="n">
        <v>98.6370139610015</v>
      </c>
      <c r="J763" s="7" t="n">
        <v>93.4514773306164</v>
      </c>
      <c r="K763" s="7" t="n">
        <v>67.93583432354438</v>
      </c>
      <c r="L763" s="7" t="n">
        <v>64.75259697806189</v>
      </c>
      <c r="M763" s="7" t="n">
        <v>70.05710659898477</v>
      </c>
      <c r="N763" s="7" t="n">
        <v>74.26633183856502</v>
      </c>
      <c r="O763" s="8">
        <f>N763*$B$2/100</f>
        <v/>
      </c>
    </row>
    <row r="764">
      <c r="A764" s="6" t="n">
        <v>46238.47255865741</v>
      </c>
      <c r="B764" s="7" t="n">
        <v>64.57102069950035</v>
      </c>
      <c r="C764" s="7" t="n">
        <v>94.66192450145944</v>
      </c>
      <c r="D764" s="7" t="n">
        <v>116.9641171825343</v>
      </c>
      <c r="E764" s="7" t="n">
        <v>80.84359968243591</v>
      </c>
      <c r="F764" s="7" t="n">
        <v>120.7302158273381</v>
      </c>
      <c r="G764" s="7" t="n">
        <v>96.34593384730167</v>
      </c>
      <c r="H764" s="7" t="n">
        <v>84.00075518006325</v>
      </c>
      <c r="I764" s="7" t="n">
        <v>66.73133097762073</v>
      </c>
      <c r="J764" s="7" t="n">
        <v>64.54256651017215</v>
      </c>
      <c r="K764" s="7" t="n">
        <v>60.66277960351956</v>
      </c>
      <c r="L764" s="7" t="n">
        <v>67.61733032807413</v>
      </c>
      <c r="M764" s="7" t="n">
        <v>58.74023711589644</v>
      </c>
      <c r="N764" s="7" t="n">
        <v>88.30963866670817</v>
      </c>
      <c r="O764" s="8">
        <f>N764*$B$2/100</f>
        <v/>
      </c>
    </row>
    <row r="765">
      <c r="A765" s="6" t="n">
        <v>46238.47257038194</v>
      </c>
      <c r="B765" s="7" t="n">
        <v>75.40457250772576</v>
      </c>
      <c r="C765" s="7" t="n">
        <v>83.00764297344898</v>
      </c>
      <c r="D765" s="7" t="n">
        <v>76.71560822069986</v>
      </c>
      <c r="E765" s="7" t="n">
        <v>72.91649769585254</v>
      </c>
      <c r="F765" s="7" t="n">
        <v>101.675945728009</v>
      </c>
      <c r="G765" s="7" t="n">
        <v>67.643601707535</v>
      </c>
      <c r="H765" s="7" t="n">
        <v>59.59911636324923</v>
      </c>
      <c r="I765" s="7" t="n">
        <v>55.2091550757733</v>
      </c>
      <c r="J765" s="7" t="n">
        <v>156.6587648891332</v>
      </c>
      <c r="K765" s="7" t="n">
        <v>85.64523206751055</v>
      </c>
      <c r="L765" s="7" t="n">
        <v>60.15304443225453</v>
      </c>
      <c r="M765" s="7" t="n">
        <v>55.49064837905237</v>
      </c>
      <c r="N765" s="7" t="n">
        <v>106.1754874651811</v>
      </c>
      <c r="O765" s="8">
        <f>N765*$B$2/100</f>
        <v/>
      </c>
    </row>
    <row r="766">
      <c r="A766" s="6" t="n">
        <v>46238.47258210648</v>
      </c>
      <c r="B766" s="7" t="n">
        <v>157.1176502623123</v>
      </c>
      <c r="C766" s="7" t="n">
        <v>115.4446605718732</v>
      </c>
      <c r="D766" s="7" t="n">
        <v>138.0981872123209</v>
      </c>
      <c r="E766" s="7" t="n">
        <v>133.3923898113117</v>
      </c>
      <c r="F766" s="7" t="n">
        <v>112.8214687382847</v>
      </c>
      <c r="G766" s="7" t="n">
        <v>106.2266704523945</v>
      </c>
      <c r="H766" s="7" t="n">
        <v>145.5805684071381</v>
      </c>
      <c r="I766" s="7" t="n">
        <v>95.64905116502523</v>
      </c>
      <c r="J766" s="7" t="n">
        <v>145.6415548287658</v>
      </c>
      <c r="K766" s="7" t="n">
        <v>135.9182674716429</v>
      </c>
      <c r="L766" s="7" t="n">
        <v>129.5564580873672</v>
      </c>
      <c r="M766" s="7" t="n">
        <v>113.1350965575147</v>
      </c>
      <c r="N766" s="7" t="n">
        <v>143.0595053336739</v>
      </c>
      <c r="O766" s="8">
        <f>N766*$B$2/100</f>
        <v/>
      </c>
    </row>
    <row r="767">
      <c r="A767" s="6" t="n">
        <v>46238.47259384259</v>
      </c>
      <c r="B767" s="7" t="n">
        <v>150.3750055289443</v>
      </c>
      <c r="C767" s="7" t="n">
        <v>150.2184227125907</v>
      </c>
      <c r="D767" s="7" t="n">
        <v>150.4810616330035</v>
      </c>
      <c r="E767" s="7" t="n">
        <v>154.0918292641972</v>
      </c>
      <c r="F767" s="7" t="n">
        <v>151.0040852534694</v>
      </c>
      <c r="G767" s="7" t="n">
        <v>151.0576403445312</v>
      </c>
      <c r="H767" s="7" t="n">
        <v>151.3318185541155</v>
      </c>
      <c r="I767" s="7" t="n">
        <v>150.7165795636706</v>
      </c>
      <c r="J767" s="7" t="n">
        <v>151.1884743364687</v>
      </c>
      <c r="K767" s="7" t="n">
        <v>151.4496366014669</v>
      </c>
      <c r="L767" s="7" t="n">
        <v>151.087562390737</v>
      </c>
      <c r="M767" s="7" t="n">
        <v>151.3368296124379</v>
      </c>
      <c r="N767" s="7" t="n">
        <v>151.2474269223712</v>
      </c>
      <c r="O767" s="8">
        <f>N767*$B$2/100</f>
        <v/>
      </c>
    </row>
    <row r="768">
      <c r="A768" s="6" t="n">
        <v>46238.47260552083</v>
      </c>
      <c r="B768" s="7" t="n">
        <v>134.7443039083952</v>
      </c>
      <c r="C768" s="7" t="n">
        <v>145.5576353296356</v>
      </c>
      <c r="D768" s="7" t="n">
        <v>136.3620763788453</v>
      </c>
      <c r="E768" s="7" t="n">
        <v>135.695537314841</v>
      </c>
      <c r="F768" s="7" t="n">
        <v>154.1133112210738</v>
      </c>
      <c r="G768" s="7" t="n">
        <v>148.4324510274817</v>
      </c>
      <c r="H768" s="7" t="n">
        <v>156.1243951431252</v>
      </c>
      <c r="I768" s="7" t="n">
        <v>140.3186816417735</v>
      </c>
      <c r="J768" s="7" t="n">
        <v>154.1499451401373</v>
      </c>
      <c r="K768" s="7" t="n">
        <v>143.4593345486015</v>
      </c>
      <c r="L768" s="7" t="n">
        <v>138.867419990062</v>
      </c>
      <c r="M768" s="7" t="n">
        <v>142.2901268615554</v>
      </c>
      <c r="N768" s="7" t="n">
        <v>148.1193976802872</v>
      </c>
      <c r="O768" s="8">
        <f>N768*$B$2/100</f>
        <v/>
      </c>
    </row>
    <row r="769">
      <c r="A769" s="6" t="n">
        <v>46238.47261719908</v>
      </c>
      <c r="B769" s="7" t="n">
        <v>109.8878973879975</v>
      </c>
      <c r="C769" s="7" t="n">
        <v>102.6367482766817</v>
      </c>
      <c r="D769" s="7" t="n">
        <v>160.5280386601274</v>
      </c>
      <c r="E769" s="7" t="n">
        <v>145.1154303346063</v>
      </c>
      <c r="F769" s="7" t="n">
        <v>143.4070668217193</v>
      </c>
      <c r="G769" s="7" t="n">
        <v>104.0872680507073</v>
      </c>
      <c r="H769" s="7" t="n">
        <v>148.8148800556264</v>
      </c>
      <c r="I769" s="7" t="n">
        <v>133.4930679785331</v>
      </c>
      <c r="J769" s="7" t="n">
        <v>163.1726347141598</v>
      </c>
      <c r="K769" s="7" t="n">
        <v>104.2583517176174</v>
      </c>
      <c r="L769" s="7" t="n">
        <v>132.5394935825352</v>
      </c>
      <c r="M769" s="7" t="n">
        <v>75.371239163692</v>
      </c>
      <c r="N769" s="7" t="n">
        <v>144.4413499604117</v>
      </c>
      <c r="O769" s="8">
        <f>N769*$B$2/100</f>
        <v/>
      </c>
    </row>
    <row r="770">
      <c r="A770" s="6" t="n">
        <v>46238.47262891204</v>
      </c>
      <c r="B770" s="7" t="n">
        <v>104.0165014404338</v>
      </c>
      <c r="C770" s="7" t="n">
        <v>157.6402008976277</v>
      </c>
      <c r="D770" s="7" t="n">
        <v>142.0724845335976</v>
      </c>
      <c r="E770" s="7" t="n">
        <v>142.1136833151051</v>
      </c>
      <c r="F770" s="7" t="n">
        <v>110.0212891007641</v>
      </c>
      <c r="G770" s="7" t="n">
        <v>94.88133203694701</v>
      </c>
      <c r="H770" s="7" t="n">
        <v>157.8147262226408</v>
      </c>
      <c r="I770" s="7" t="n">
        <v>103.4381217668126</v>
      </c>
      <c r="J770" s="7" t="n">
        <v>140.3462741102484</v>
      </c>
      <c r="K770" s="7" t="n">
        <v>77.46115084525357</v>
      </c>
      <c r="L770" s="7" t="n">
        <v>124.6384150342113</v>
      </c>
      <c r="M770" s="7" t="n">
        <v>100.2159984081186</v>
      </c>
      <c r="N770" s="7" t="n">
        <v>141.407527971619</v>
      </c>
      <c r="O770" s="8">
        <f>N770*$B$2/100</f>
        <v/>
      </c>
    </row>
    <row r="771">
      <c r="A771" s="6" t="n">
        <v>46238.47264059028</v>
      </c>
      <c r="B771" s="7" t="n">
        <v>110.3664934149672</v>
      </c>
      <c r="C771" s="7" t="n">
        <v>157.3049934185712</v>
      </c>
      <c r="D771" s="7" t="n">
        <v>148.5526397263707</v>
      </c>
      <c r="E771" s="7" t="n">
        <v>138.1667880040393</v>
      </c>
      <c r="F771" s="7" t="n">
        <v>112.7366779735201</v>
      </c>
      <c r="G771" s="7" t="n">
        <v>125.7700516620571</v>
      </c>
      <c r="H771" s="7" t="n">
        <v>143.0255473908572</v>
      </c>
      <c r="I771" s="7" t="n">
        <v>131.7569135563721</v>
      </c>
      <c r="J771" s="7" t="n">
        <v>160.9399333927364</v>
      </c>
      <c r="K771" s="7" t="n">
        <v>100.4493077266637</v>
      </c>
      <c r="L771" s="7" t="n">
        <v>133.9261009968643</v>
      </c>
      <c r="M771" s="7" t="n">
        <v>92.17276749798874</v>
      </c>
      <c r="N771" s="7" t="n">
        <v>143.7434162158086</v>
      </c>
      <c r="O771" s="8">
        <f>N771*$B$2/100</f>
        <v/>
      </c>
    </row>
    <row r="772">
      <c r="A772" s="6" t="n">
        <v>46238.47265226852</v>
      </c>
      <c r="B772" s="7" t="n">
        <v>124.5211241239719</v>
      </c>
      <c r="C772" s="7" t="n">
        <v>158.2292789354357</v>
      </c>
      <c r="D772" s="7" t="n">
        <v>154.8516635949171</v>
      </c>
      <c r="E772" s="7" t="n">
        <v>112.4627766599598</v>
      </c>
      <c r="F772" s="7" t="n">
        <v>128.2134014541167</v>
      </c>
      <c r="G772" s="7" t="n">
        <v>124.5696281090371</v>
      </c>
      <c r="H772" s="7" t="n">
        <v>147.3319507161684</v>
      </c>
      <c r="I772" s="7" t="n">
        <v>114.2656690893544</v>
      </c>
      <c r="J772" s="7" t="n">
        <v>130.8767255062287</v>
      </c>
      <c r="K772" s="7" t="n">
        <v>104.1121844811468</v>
      </c>
      <c r="L772" s="7" t="n">
        <v>139.1058703071672</v>
      </c>
      <c r="M772" s="7" t="n">
        <v>100.3521856334901</v>
      </c>
      <c r="N772" s="7" t="n">
        <v>143.0009479589863</v>
      </c>
      <c r="O772" s="8">
        <f>N772*$B$2/100</f>
        <v/>
      </c>
    </row>
    <row r="773">
      <c r="A773" s="6" t="n">
        <v>46238.47266388889</v>
      </c>
      <c r="B773" s="7" t="n">
        <v>115.8231112206949</v>
      </c>
      <c r="C773" s="7" t="n">
        <v>157.9424667784444</v>
      </c>
      <c r="D773" s="7" t="n">
        <v>146.748340605146</v>
      </c>
      <c r="E773" s="7" t="n">
        <v>118.9873673243472</v>
      </c>
      <c r="F773" s="7" t="n">
        <v>123.4296713192256</v>
      </c>
      <c r="G773" s="7" t="n">
        <v>114.1567379242118</v>
      </c>
      <c r="H773" s="7" t="n">
        <v>160.6832454887706</v>
      </c>
      <c r="I773" s="7" t="n">
        <v>91.78163246526181</v>
      </c>
      <c r="J773" s="7" t="n">
        <v>83.11822188158651</v>
      </c>
      <c r="K773" s="7" t="n">
        <v>84.01955507714388</v>
      </c>
      <c r="L773" s="7" t="n">
        <v>129.2518829485122</v>
      </c>
      <c r="M773" s="7" t="n">
        <v>109.020719291963</v>
      </c>
      <c r="N773" s="7" t="n">
        <v>143.0772987603954</v>
      </c>
      <c r="O773" s="8">
        <f>N773*$B$2/100</f>
        <v/>
      </c>
    </row>
    <row r="774">
      <c r="A774" s="6" t="n">
        <v>46238.47267568287</v>
      </c>
      <c r="B774" s="7" t="n">
        <v>134.5375882613856</v>
      </c>
      <c r="C774" s="7" t="n">
        <v>157.63737073503</v>
      </c>
      <c r="D774" s="7" t="n">
        <v>113.7369613767735</v>
      </c>
      <c r="E774" s="7" t="n">
        <v>108.6940805051302</v>
      </c>
      <c r="F774" s="7" t="n">
        <v>97.41528211876954</v>
      </c>
      <c r="G774" s="7" t="n">
        <v>118.0968191798706</v>
      </c>
      <c r="H774" s="7" t="n">
        <v>146.2370434574691</v>
      </c>
      <c r="I774" s="7" t="n">
        <v>127.8313796778036</v>
      </c>
      <c r="J774" s="7" t="n">
        <v>159.4767627737652</v>
      </c>
      <c r="K774" s="7" t="n">
        <v>104.8818984547461</v>
      </c>
      <c r="L774" s="7" t="n">
        <v>86.82214140364549</v>
      </c>
      <c r="M774" s="7" t="n">
        <v>106.1941071428571</v>
      </c>
      <c r="N774" s="7" t="n">
        <v>142.3129565842765</v>
      </c>
      <c r="O774" s="8">
        <f>N774*$B$2/100</f>
        <v/>
      </c>
    </row>
    <row r="775">
      <c r="A775" s="6" t="n">
        <v>46238.47268738426</v>
      </c>
      <c r="B775" s="7" t="n">
        <v>128.9234939379294</v>
      </c>
      <c r="C775" s="7" t="n">
        <v>156.8544444635124</v>
      </c>
      <c r="D775" s="7" t="n">
        <v>158.2964252673436</v>
      </c>
      <c r="E775" s="7" t="n">
        <v>119.9588023952096</v>
      </c>
      <c r="F775" s="7" t="n">
        <v>99.72516068164397</v>
      </c>
      <c r="G775" s="7" t="n">
        <v>125.403444630429</v>
      </c>
      <c r="H775" s="7" t="n">
        <v>141.8564988890788</v>
      </c>
      <c r="I775" s="7" t="n">
        <v>90.68671799807507</v>
      </c>
      <c r="J775" s="7" t="n">
        <v>122.8104104803493</v>
      </c>
      <c r="K775" s="7" t="n">
        <v>101.4448736998514</v>
      </c>
      <c r="L775" s="7" t="n">
        <v>73.69901112484548</v>
      </c>
      <c r="M775" s="7" t="n">
        <v>74.81265492498369</v>
      </c>
      <c r="N775" s="7" t="n">
        <v>142.5014658690226</v>
      </c>
      <c r="O775" s="8">
        <f>N775*$B$2/100</f>
        <v/>
      </c>
    </row>
    <row r="776">
      <c r="A776" s="6" t="n">
        <v>46238.4726990625</v>
      </c>
      <c r="B776" s="7" t="n">
        <v>141.3405085879991</v>
      </c>
      <c r="C776" s="7" t="n">
        <v>160.4042388289317</v>
      </c>
      <c r="D776" s="7" t="n">
        <v>116.9941801789679</v>
      </c>
      <c r="E776" s="7" t="n">
        <v>119.1423380210037</v>
      </c>
      <c r="F776" s="7" t="n">
        <v>104.9094802969732</v>
      </c>
      <c r="G776" s="7" t="n">
        <v>126.3646959186966</v>
      </c>
      <c r="H776" s="7" t="n">
        <v>160.1739823046951</v>
      </c>
      <c r="I776" s="7" t="n">
        <v>122.6911392405063</v>
      </c>
      <c r="J776" s="7" t="n">
        <v>142.427441463305</v>
      </c>
      <c r="K776" s="7" t="n">
        <v>89.37782857142857</v>
      </c>
      <c r="L776" s="7" t="n">
        <v>117.1067383216205</v>
      </c>
      <c r="M776" s="7" t="n">
        <v>139.8493601462523</v>
      </c>
      <c r="N776" s="7" t="n">
        <v>146.5505328226326</v>
      </c>
      <c r="O776" s="8">
        <f>N776*$B$2/100</f>
        <v/>
      </c>
    </row>
    <row r="777">
      <c r="A777" s="6" t="n">
        <v>46238.47271069444</v>
      </c>
      <c r="B777" s="7" t="n">
        <v>133.8180211544594</v>
      </c>
      <c r="C777" s="7" t="n">
        <v>157.709751478997</v>
      </c>
      <c r="D777" s="7" t="n">
        <v>117.2423502003012</v>
      </c>
      <c r="E777" s="7" t="n">
        <v>103.2830388404853</v>
      </c>
      <c r="F777" s="7" t="n">
        <v>132.9651603028838</v>
      </c>
      <c r="G777" s="7" t="n">
        <v>136.7450827146021</v>
      </c>
      <c r="H777" s="7" t="n">
        <v>144.1906318832599</v>
      </c>
      <c r="I777" s="7" t="n">
        <v>115.9150852546309</v>
      </c>
      <c r="J777" s="7" t="n">
        <v>159.6937704790139</v>
      </c>
      <c r="K777" s="7" t="n">
        <v>97.9975456194643</v>
      </c>
      <c r="L777" s="7" t="n">
        <v>83.34334946099652</v>
      </c>
      <c r="M777" s="7" t="n">
        <v>131.9846458871265</v>
      </c>
      <c r="N777" s="7" t="n">
        <v>144.070041500274</v>
      </c>
      <c r="O777" s="8">
        <f>N777*$B$2/100</f>
        <v/>
      </c>
    </row>
    <row r="778">
      <c r="A778" s="6" t="n">
        <v>46238.47272239583</v>
      </c>
      <c r="B778" s="7" t="n">
        <v>150.4255241917188</v>
      </c>
      <c r="C778" s="7" t="n">
        <v>156.591867486752</v>
      </c>
      <c r="D778" s="7" t="n">
        <v>99.55001682651859</v>
      </c>
      <c r="E778" s="7" t="n">
        <v>98.79907914582837</v>
      </c>
      <c r="F778" s="7" t="n">
        <v>136.7482812806914</v>
      </c>
      <c r="G778" s="7" t="n">
        <v>118.4186967533963</v>
      </c>
      <c r="H778" s="7" t="n">
        <v>140.8449096098953</v>
      </c>
      <c r="I778" s="7" t="n">
        <v>104.6594885598923</v>
      </c>
      <c r="J778" s="7" t="n">
        <v>133.6500014559008</v>
      </c>
      <c r="K778" s="7" t="n">
        <v>113.5715278743223</v>
      </c>
      <c r="L778" s="7" t="n">
        <v>117.2973490427099</v>
      </c>
      <c r="M778" s="7" t="n">
        <v>126.4808478588337</v>
      </c>
      <c r="N778" s="7" t="n">
        <v>141.963592420727</v>
      </c>
      <c r="O778" s="8">
        <f>N778*$B$2/100</f>
        <v/>
      </c>
    </row>
    <row r="779">
      <c r="A779" s="6" t="n">
        <v>46238.47273408565</v>
      </c>
      <c r="B779" s="7" t="n">
        <v>100.9403502687706</v>
      </c>
      <c r="C779" s="7" t="n">
        <v>136.2500046660072</v>
      </c>
      <c r="D779" s="7" t="n">
        <v>118.907378992886</v>
      </c>
      <c r="E779" s="7" t="n">
        <v>158.3770009891748</v>
      </c>
      <c r="F779" s="7" t="n">
        <v>146.1095744470969</v>
      </c>
      <c r="G779" s="7" t="n">
        <v>115.4297869511749</v>
      </c>
      <c r="H779" s="7" t="n">
        <v>158.1673831804886</v>
      </c>
      <c r="I779" s="7" t="n">
        <v>124.3843754872914</v>
      </c>
      <c r="J779" s="7" t="n">
        <v>126.1019226957384</v>
      </c>
      <c r="K779" s="7" t="n">
        <v>69.51289917724166</v>
      </c>
      <c r="L779" s="7" t="n">
        <v>117.5269240226211</v>
      </c>
      <c r="M779" s="7" t="n">
        <v>130.4689271756482</v>
      </c>
      <c r="N779" s="7" t="n">
        <v>142.6877141077546</v>
      </c>
      <c r="O779" s="8">
        <f>N779*$B$2/100</f>
        <v/>
      </c>
    </row>
    <row r="780">
      <c r="A780" s="6" t="n">
        <v>46238.47274576389</v>
      </c>
      <c r="B780" s="7" t="n">
        <v>129.3913068289899</v>
      </c>
      <c r="C780" s="7" t="n">
        <v>160.657529123677</v>
      </c>
      <c r="D780" s="7" t="n">
        <v>118.7701164464216</v>
      </c>
      <c r="E780" s="7" t="n">
        <v>95.35554438018607</v>
      </c>
      <c r="F780" s="7" t="n">
        <v>121.9174408046378</v>
      </c>
      <c r="G780" s="7" t="n">
        <v>104.0438280166435</v>
      </c>
      <c r="H780" s="7" t="n">
        <v>143.5316667772543</v>
      </c>
      <c r="I780" s="7" t="n">
        <v>81.56669213139801</v>
      </c>
      <c r="J780" s="7" t="n">
        <v>160.0379895026439</v>
      </c>
      <c r="K780" s="7" t="n">
        <v>114.2369997739091</v>
      </c>
      <c r="L780" s="7" t="n">
        <v>127.7245402808362</v>
      </c>
      <c r="M780" s="7" t="n">
        <v>98.79534298300818</v>
      </c>
      <c r="N780" s="7" t="n">
        <v>144.4084660270992</v>
      </c>
      <c r="O780" s="8">
        <f>N780*$B$2/100</f>
        <v/>
      </c>
    </row>
    <row r="781">
      <c r="A781" s="6" t="n">
        <v>46238.47275740741</v>
      </c>
      <c r="B781" s="7" t="n">
        <v>150.8629405730562</v>
      </c>
      <c r="C781" s="7" t="n">
        <v>154.8091986857191</v>
      </c>
      <c r="D781" s="7" t="n">
        <v>113.2723412917672</v>
      </c>
      <c r="E781" s="7" t="n">
        <v>117.674962667994</v>
      </c>
      <c r="F781" s="7" t="n">
        <v>128.8940926188567</v>
      </c>
      <c r="G781" s="7" t="n">
        <v>104.6973715368222</v>
      </c>
      <c r="H781" s="7" t="n">
        <v>144.3191939546599</v>
      </c>
      <c r="I781" s="7" t="n">
        <v>116.3249708807455</v>
      </c>
      <c r="J781" s="7" t="n">
        <v>127.9663294624686</v>
      </c>
      <c r="K781" s="7" t="n">
        <v>122.8243013915601</v>
      </c>
      <c r="L781" s="7" t="n">
        <v>110.5157150541766</v>
      </c>
      <c r="M781" s="7" t="n">
        <v>114.6690622261174</v>
      </c>
      <c r="N781" s="7" t="n">
        <v>140.072301541976</v>
      </c>
      <c r="O781" s="8">
        <f>N781*$B$2/100</f>
        <v/>
      </c>
    </row>
    <row r="782">
      <c r="A782" s="6" t="n">
        <v>46238.47276915509</v>
      </c>
      <c r="B782" s="7" t="n">
        <v>151.2863196765712</v>
      </c>
      <c r="C782" s="7" t="n">
        <v>153.949865845295</v>
      </c>
      <c r="D782" s="7" t="n">
        <v>155.6359317244745</v>
      </c>
      <c r="E782" s="7" t="n">
        <v>151.6427385421028</v>
      </c>
      <c r="F782" s="7" t="n">
        <v>151.4822395159379</v>
      </c>
      <c r="G782" s="7" t="n">
        <v>151.9252835400675</v>
      </c>
      <c r="H782" s="7" t="n">
        <v>154.5680623984344</v>
      </c>
      <c r="I782" s="7" t="n">
        <v>151.715514541387</v>
      </c>
      <c r="J782" s="7" t="n">
        <v>151.9523511082994</v>
      </c>
      <c r="K782" s="7" t="n">
        <v>152.0303796763723</v>
      </c>
      <c r="L782" s="7" t="n">
        <v>151.41290952388</v>
      </c>
      <c r="M782" s="7" t="n">
        <v>151.8486664294765</v>
      </c>
      <c r="N782" s="7" t="n">
        <v>152.6662225663</v>
      </c>
      <c r="O782" s="8">
        <f>N782*$B$2/100</f>
        <v/>
      </c>
    </row>
    <row r="783">
      <c r="A783" s="6" t="n">
        <v>46238.47278083333</v>
      </c>
      <c r="B783" s="7" t="n">
        <v>114.1867571565301</v>
      </c>
      <c r="C783" s="7" t="n">
        <v>147.9222799452531</v>
      </c>
      <c r="D783" s="7" t="n">
        <v>145.4547720540423</v>
      </c>
      <c r="E783" s="7" t="n">
        <v>112.1959121877366</v>
      </c>
      <c r="F783" s="7" t="n">
        <v>124.3283722148266</v>
      </c>
      <c r="G783" s="7" t="n">
        <v>142.0139091580635</v>
      </c>
      <c r="H783" s="7" t="n">
        <v>156.558864498432</v>
      </c>
      <c r="I783" s="7" t="n">
        <v>122.4412991656734</v>
      </c>
      <c r="J783" s="7" t="n">
        <v>159.2539562089953</v>
      </c>
      <c r="K783" s="7" t="n">
        <v>130.573431291701</v>
      </c>
      <c r="L783" s="7" t="n">
        <v>113.8404549221844</v>
      </c>
      <c r="M783" s="7" t="n">
        <v>106.6206951615479</v>
      </c>
      <c r="N783" s="7" t="n">
        <v>143.431704189459</v>
      </c>
      <c r="O783" s="8">
        <f>N783*$B$2/100</f>
        <v/>
      </c>
    </row>
    <row r="784">
      <c r="A784" s="6" t="n">
        <v>46238.47279246528</v>
      </c>
      <c r="B784" s="7" t="n">
        <v>133.2320348313901</v>
      </c>
      <c r="C784" s="7" t="n">
        <v>158.5073010006201</v>
      </c>
      <c r="D784" s="7" t="n">
        <v>159.2849211762922</v>
      </c>
      <c r="E784" s="7" t="n">
        <v>117.5553657400217</v>
      </c>
      <c r="F784" s="7" t="n">
        <v>106.3248006035784</v>
      </c>
      <c r="G784" s="7" t="n">
        <v>136.2768</v>
      </c>
      <c r="H784" s="7" t="n">
        <v>135.6600148643627</v>
      </c>
      <c r="I784" s="7" t="n">
        <v>121.2483093829248</v>
      </c>
      <c r="J784" s="7" t="n">
        <v>150.1078453577713</v>
      </c>
      <c r="K784" s="7" t="n">
        <v>105.4266013564431</v>
      </c>
      <c r="L784" s="7" t="n">
        <v>121.8970097493948</v>
      </c>
      <c r="M784" s="7" t="n">
        <v>93.15543817111188</v>
      </c>
      <c r="N784" s="7" t="n">
        <v>145.7470484354228</v>
      </c>
      <c r="O784" s="8">
        <f>N784*$B$2/100</f>
        <v/>
      </c>
    </row>
    <row r="785">
      <c r="A785" s="6" t="n">
        <v>46238.47280415509</v>
      </c>
      <c r="B785" s="7" t="n">
        <v>96.48919519576319</v>
      </c>
      <c r="C785" s="7" t="n">
        <v>156.4184719111157</v>
      </c>
      <c r="D785" s="7" t="n">
        <v>143.2509032455603</v>
      </c>
      <c r="E785" s="7" t="n">
        <v>145.9710096284953</v>
      </c>
      <c r="F785" s="7" t="n">
        <v>118.2776098581725</v>
      </c>
      <c r="G785" s="7" t="n">
        <v>110.2252692831497</v>
      </c>
      <c r="H785" s="7" t="n">
        <v>160.1999401376833</v>
      </c>
      <c r="I785" s="7" t="n">
        <v>143.2536546243301</v>
      </c>
      <c r="J785" s="7" t="n">
        <v>134.2589903110658</v>
      </c>
      <c r="K785" s="7" t="n">
        <v>88.90996967399545</v>
      </c>
      <c r="L785" s="7" t="n">
        <v>104.3216850167544</v>
      </c>
      <c r="M785" s="7" t="n">
        <v>88.1720119251965</v>
      </c>
      <c r="N785" s="7" t="n">
        <v>143.5069237444818</v>
      </c>
      <c r="O785" s="8">
        <f>N785*$B$2/100</f>
        <v/>
      </c>
    </row>
    <row r="786">
      <c r="A786" s="6" t="n">
        <v>46238.47281579861</v>
      </c>
      <c r="B786" s="7" t="n">
        <v>139.6057604587515</v>
      </c>
      <c r="C786" s="7" t="n">
        <v>156.9994176857167</v>
      </c>
      <c r="D786" s="7" t="n">
        <v>114.5844878199516</v>
      </c>
      <c r="E786" s="7" t="n">
        <v>101.6650046743534</v>
      </c>
      <c r="F786" s="7" t="n">
        <v>105.1002814552278</v>
      </c>
      <c r="G786" s="7" t="n">
        <v>124.691853429498</v>
      </c>
      <c r="H786" s="7" t="n">
        <v>144.3126009364185</v>
      </c>
      <c r="I786" s="7" t="n">
        <v>113.8708139819115</v>
      </c>
      <c r="J786" s="7" t="n">
        <v>160.604890362</v>
      </c>
      <c r="K786" s="7" t="n">
        <v>123.3724190187535</v>
      </c>
      <c r="L786" s="7" t="n">
        <v>134.5601735357918</v>
      </c>
      <c r="M786" s="7" t="n">
        <v>78.52035415263208</v>
      </c>
      <c r="N786" s="7" t="n">
        <v>144.7945251707162</v>
      </c>
      <c r="O786" s="8">
        <f>N786*$B$2/100</f>
        <v/>
      </c>
    </row>
    <row r="787">
      <c r="A787" s="6" t="n">
        <v>46238.47282747685</v>
      </c>
      <c r="B787" s="7" t="n">
        <v>156.2536526795961</v>
      </c>
      <c r="C787" s="7" t="n">
        <v>152.42229260139</v>
      </c>
      <c r="D787" s="7" t="n">
        <v>96.20763709108026</v>
      </c>
      <c r="E787" s="7" t="n">
        <v>157.7635276532137</v>
      </c>
      <c r="F787" s="7" t="n">
        <v>129.1569124657673</v>
      </c>
      <c r="G787" s="7" t="n">
        <v>111.9296515450362</v>
      </c>
      <c r="H787" s="7" t="n">
        <v>131.1564849031095</v>
      </c>
      <c r="I787" s="7" t="n">
        <v>104.9293103448276</v>
      </c>
      <c r="J787" s="7" t="n">
        <v>141.3229369846082</v>
      </c>
      <c r="K787" s="7" t="n">
        <v>118.0366517132767</v>
      </c>
      <c r="L787" s="7" t="n">
        <v>140.9629444166249</v>
      </c>
      <c r="M787" s="7" t="n">
        <v>122.6413988136295</v>
      </c>
      <c r="N787" s="7" t="n">
        <v>145.1827379489022</v>
      </c>
      <c r="O787" s="8">
        <f>N787*$B$2/100</f>
        <v/>
      </c>
    </row>
    <row r="788">
      <c r="A788" s="6" t="n">
        <v>46238.47283913194</v>
      </c>
      <c r="B788" s="7" t="n">
        <v>125.2254396530956</v>
      </c>
      <c r="C788" s="7" t="n">
        <v>154.1418514007308</v>
      </c>
      <c r="D788" s="7" t="n">
        <v>129.96845228799</v>
      </c>
      <c r="E788" s="7" t="n">
        <v>148.1799834052051</v>
      </c>
      <c r="F788" s="7" t="n">
        <v>102.3895961598664</v>
      </c>
      <c r="G788" s="7" t="n">
        <v>129.1145741324921</v>
      </c>
      <c r="H788" s="7" t="n">
        <v>159.6553833780161</v>
      </c>
      <c r="I788" s="7" t="n">
        <v>117.6291520443973</v>
      </c>
      <c r="J788" s="7" t="n">
        <v>128.6136694416953</v>
      </c>
      <c r="K788" s="7" t="n">
        <v>97.44433719433719</v>
      </c>
      <c r="L788" s="7" t="n">
        <v>99.6648224988474</v>
      </c>
      <c r="M788" s="7" t="n">
        <v>80.0049082924309</v>
      </c>
      <c r="N788" s="7" t="n">
        <v>142.799969364505</v>
      </c>
      <c r="O788" s="8">
        <f>N788*$B$2/100</f>
        <v/>
      </c>
    </row>
    <row r="789">
      <c r="A789" s="6" t="n">
        <v>46238.4728508449</v>
      </c>
      <c r="B789" s="7" t="n">
        <v>135.7507170008096</v>
      </c>
      <c r="C789" s="7" t="n">
        <v>159.0315030364372</v>
      </c>
      <c r="D789" s="7" t="n">
        <v>97.67105015968438</v>
      </c>
      <c r="E789" s="7" t="n">
        <v>108.2702604733054</v>
      </c>
      <c r="F789" s="7" t="n">
        <v>104.3807470214166</v>
      </c>
      <c r="G789" s="7" t="n">
        <v>134.600765171504</v>
      </c>
      <c r="H789" s="7" t="n">
        <v>144.4126053422441</v>
      </c>
      <c r="I789" s="7" t="n">
        <v>135.015549662488</v>
      </c>
      <c r="J789" s="7" t="n">
        <v>158.8331447067611</v>
      </c>
      <c r="K789" s="7" t="n">
        <v>91.41670401912445</v>
      </c>
      <c r="L789" s="7" t="n">
        <v>96.10720736467984</v>
      </c>
      <c r="M789" s="7" t="n">
        <v>102.6798599740274</v>
      </c>
      <c r="N789" s="7" t="n">
        <v>143.4587502864563</v>
      </c>
      <c r="O789" s="8">
        <f>N789*$B$2/100</f>
        <v/>
      </c>
    </row>
    <row r="790">
      <c r="A790" s="6" t="n">
        <v>46238.4728625463</v>
      </c>
      <c r="B790" s="7" t="n">
        <v>156.0156521181648</v>
      </c>
      <c r="C790" s="7" t="n">
        <v>154.766554068143</v>
      </c>
      <c r="D790" s="7" t="n">
        <v>155.3927913332206</v>
      </c>
      <c r="E790" s="7" t="n">
        <v>122.8279603588076</v>
      </c>
      <c r="F790" s="7" t="n">
        <v>140.5742480439667</v>
      </c>
      <c r="G790" s="7" t="n">
        <v>111.9615492901098</v>
      </c>
      <c r="H790" s="7" t="n">
        <v>142.6415020586856</v>
      </c>
      <c r="I790" s="7" t="n">
        <v>144.4677313354364</v>
      </c>
      <c r="J790" s="7" t="n">
        <v>130.2874624865243</v>
      </c>
      <c r="K790" s="7" t="n">
        <v>93.23842347119124</v>
      </c>
      <c r="L790" s="7" t="n">
        <v>121.2823918304705</v>
      </c>
      <c r="M790" s="7" t="n">
        <v>116.2393619926804</v>
      </c>
      <c r="N790" s="7" t="n">
        <v>146.3550445027525</v>
      </c>
      <c r="O790" s="8">
        <f>N790*$B$2/100</f>
        <v/>
      </c>
    </row>
    <row r="791">
      <c r="A791" s="6" t="n">
        <v>46238.47287424769</v>
      </c>
      <c r="B791" s="7" t="n">
        <v>98.62729651711766</v>
      </c>
      <c r="C791" s="7" t="n">
        <v>152.5880659556391</v>
      </c>
      <c r="D791" s="7" t="n">
        <v>154.6428839571602</v>
      </c>
      <c r="E791" s="7" t="n">
        <v>130.9580300170756</v>
      </c>
      <c r="F791" s="7" t="n">
        <v>114.6717121363183</v>
      </c>
      <c r="G791" s="7" t="n">
        <v>126.2010688913511</v>
      </c>
      <c r="H791" s="7" t="n">
        <v>158.2241011787569</v>
      </c>
      <c r="I791" s="7" t="n">
        <v>110.8909488341969</v>
      </c>
      <c r="J791" s="7" t="n">
        <v>148.4185518669094</v>
      </c>
      <c r="K791" s="7" t="n">
        <v>81.61675675675676</v>
      </c>
      <c r="L791" s="7" t="n">
        <v>102.1553045582896</v>
      </c>
      <c r="M791" s="7" t="n">
        <v>82.25636984502233</v>
      </c>
      <c r="N791" s="7" t="n">
        <v>143.0139145683625</v>
      </c>
      <c r="O791" s="8">
        <f>N791*$B$2/100</f>
        <v/>
      </c>
    </row>
    <row r="792">
      <c r="A792" s="6" t="n">
        <v>46238.47288596065</v>
      </c>
      <c r="B792" s="7" t="n">
        <v>125.9788552411422</v>
      </c>
      <c r="C792" s="7" t="n">
        <v>158.4476616738878</v>
      </c>
      <c r="D792" s="7" t="n">
        <v>119.1292675131476</v>
      </c>
      <c r="E792" s="7" t="n">
        <v>107.5419377404687</v>
      </c>
      <c r="F792" s="7" t="n">
        <v>109.04833984375</v>
      </c>
      <c r="G792" s="7" t="n">
        <v>96.06950122649224</v>
      </c>
      <c r="H792" s="7" t="n">
        <v>147.0946241753597</v>
      </c>
      <c r="I792" s="7" t="n">
        <v>125.0862080559478</v>
      </c>
      <c r="J792" s="7" t="n">
        <v>156.2546639498689</v>
      </c>
      <c r="K792" s="7" t="n">
        <v>132.3820906706632</v>
      </c>
      <c r="L792" s="7" t="n">
        <v>116.5465719224121</v>
      </c>
      <c r="M792" s="7" t="n">
        <v>80.06743914638213</v>
      </c>
      <c r="N792" s="7" t="n">
        <v>142.9231761823724</v>
      </c>
      <c r="O792" s="8">
        <f>N792*$B$2/100</f>
        <v/>
      </c>
    </row>
    <row r="793">
      <c r="A793" s="6" t="n">
        <v>46238.47289760417</v>
      </c>
      <c r="B793" s="7" t="n">
        <v>153.3194366750086</v>
      </c>
      <c r="C793" s="7" t="n">
        <v>149.6864653075284</v>
      </c>
      <c r="D793" s="7" t="n">
        <v>97.72566081103267</v>
      </c>
      <c r="E793" s="7" t="n">
        <v>156.1005967517021</v>
      </c>
      <c r="F793" s="7" t="n">
        <v>125.9629809175444</v>
      </c>
      <c r="G793" s="7" t="n">
        <v>122.0257943060968</v>
      </c>
      <c r="H793" s="7" t="n">
        <v>142.9017937421327</v>
      </c>
      <c r="I793" s="7" t="n">
        <v>114.6160004478782</v>
      </c>
      <c r="J793" s="7" t="n">
        <v>137.9165777619725</v>
      </c>
      <c r="K793" s="7" t="n">
        <v>119.3424334344456</v>
      </c>
      <c r="L793" s="7" t="n">
        <v>129.9022759828107</v>
      </c>
      <c r="M793" s="7" t="n">
        <v>96.7068282451643</v>
      </c>
      <c r="N793" s="7" t="n">
        <v>143.7076862513532</v>
      </c>
      <c r="O793" s="8">
        <f>N793*$B$2/100</f>
        <v/>
      </c>
    </row>
    <row r="794">
      <c r="A794" s="6" t="n">
        <v>46238.47290925926</v>
      </c>
      <c r="B794" s="7" t="n">
        <v>138.7598211267972</v>
      </c>
      <c r="C794" s="7" t="n">
        <v>156.5630443605032</v>
      </c>
      <c r="D794" s="7" t="n">
        <v>108.3357102908277</v>
      </c>
      <c r="E794" s="7" t="n">
        <v>147.1438658572217</v>
      </c>
      <c r="F794" s="7" t="n">
        <v>113.1785513440558</v>
      </c>
      <c r="G794" s="7" t="n">
        <v>102.3464034853739</v>
      </c>
      <c r="H794" s="7" t="n">
        <v>157.5912131951114</v>
      </c>
      <c r="I794" s="7" t="n">
        <v>103.2124571892959</v>
      </c>
      <c r="J794" s="7" t="n">
        <v>143.3365448610275</v>
      </c>
      <c r="K794" s="7" t="n">
        <v>117.2314283337493</v>
      </c>
      <c r="L794" s="7" t="n">
        <v>106.5183480755439</v>
      </c>
      <c r="M794" s="7" t="n">
        <v>114.9930703624733</v>
      </c>
      <c r="N794" s="7" t="n">
        <v>144.2356343054018</v>
      </c>
      <c r="O794" s="8">
        <f>N794*$B$2/100</f>
        <v/>
      </c>
    </row>
    <row r="795">
      <c r="A795" s="6" t="n">
        <v>46238.4729209838</v>
      </c>
      <c r="B795" s="7" t="n">
        <v>131.0701854102152</v>
      </c>
      <c r="C795" s="7" t="n">
        <v>157.1812441387934</v>
      </c>
      <c r="D795" s="7" t="n">
        <v>124.1041303927259</v>
      </c>
      <c r="E795" s="7" t="n">
        <v>109.8631451045597</v>
      </c>
      <c r="F795" s="7" t="n">
        <v>119.8560476027005</v>
      </c>
      <c r="G795" s="7" t="n">
        <v>129.3618542512839</v>
      </c>
      <c r="H795" s="7" t="n">
        <v>133.7010302290904</v>
      </c>
      <c r="I795" s="7" t="n">
        <v>143.1104463756157</v>
      </c>
      <c r="J795" s="7" t="n">
        <v>160.0455482215527</v>
      </c>
      <c r="K795" s="7" t="n">
        <v>134.1123401940339</v>
      </c>
      <c r="L795" s="7" t="n">
        <v>139.5950603930052</v>
      </c>
      <c r="M795" s="7" t="n">
        <v>111.878065446815</v>
      </c>
      <c r="N795" s="7" t="n">
        <v>146.6715581390945</v>
      </c>
      <c r="O795" s="8">
        <f>N795*$B$2/100</f>
        <v/>
      </c>
    </row>
    <row r="796">
      <c r="A796" s="6" t="n">
        <v>46238.47293265046</v>
      </c>
      <c r="B796" s="7" t="n">
        <v>150.2946751885784</v>
      </c>
      <c r="C796" s="7" t="n">
        <v>141.6174244008532</v>
      </c>
      <c r="D796" s="7" t="n">
        <v>158.0426968614706</v>
      </c>
      <c r="E796" s="7" t="n">
        <v>102.9817710927383</v>
      </c>
      <c r="F796" s="7" t="n">
        <v>116.9316234739773</v>
      </c>
      <c r="G796" s="7" t="n">
        <v>128.3755823293173</v>
      </c>
      <c r="H796" s="7" t="n">
        <v>145.0665766785683</v>
      </c>
      <c r="I796" s="7" t="n">
        <v>113.6499762920816</v>
      </c>
      <c r="J796" s="7" t="n">
        <v>131.7114172700456</v>
      </c>
      <c r="K796" s="7" t="n">
        <v>134.7339075699851</v>
      </c>
      <c r="L796" s="7" t="n">
        <v>137.050736113555</v>
      </c>
      <c r="M796" s="7" t="n">
        <v>127.727156311963</v>
      </c>
      <c r="N796" s="7" t="n">
        <v>144.9235294117647</v>
      </c>
      <c r="O796" s="8">
        <f>N796*$B$2/100</f>
        <v/>
      </c>
    </row>
    <row r="797">
      <c r="A797" s="6" t="n">
        <v>46238.47294434028</v>
      </c>
      <c r="B797" s="7" t="n">
        <v>150.7951263155815</v>
      </c>
      <c r="C797" s="7" t="n">
        <v>153.5286815400993</v>
      </c>
      <c r="D797" s="7" t="n">
        <v>151.4012170041132</v>
      </c>
      <c r="E797" s="7" t="n">
        <v>151.5773434749503</v>
      </c>
      <c r="F797" s="7" t="n">
        <v>151.1069775739305</v>
      </c>
      <c r="G797" s="7" t="n">
        <v>151.2778026634212</v>
      </c>
      <c r="H797" s="7" t="n">
        <v>152.1071292290576</v>
      </c>
      <c r="I797" s="7" t="n">
        <v>151.211940632876</v>
      </c>
      <c r="J797" s="7" t="n">
        <v>152.5283487327504</v>
      </c>
      <c r="K797" s="7" t="n">
        <v>153.4056029810152</v>
      </c>
      <c r="L797" s="7" t="n">
        <v>151.2077148051538</v>
      </c>
      <c r="M797" s="7" t="n">
        <v>151.2958687117926</v>
      </c>
      <c r="N797" s="7" t="n">
        <v>151.8628895923108</v>
      </c>
      <c r="O797" s="8">
        <f>N797*$B$2/100</f>
        <v/>
      </c>
    </row>
    <row r="798">
      <c r="A798" s="6" t="n">
        <v>46238.47295601852</v>
      </c>
      <c r="B798" s="7" t="n">
        <v>109.3768960455496</v>
      </c>
      <c r="C798" s="7" t="n">
        <v>160.0556943687617</v>
      </c>
      <c r="D798" s="7" t="n">
        <v>142.8715721210243</v>
      </c>
      <c r="E798" s="7" t="n">
        <v>103.1444055645643</v>
      </c>
      <c r="F798" s="7" t="n">
        <v>123.9240835047722</v>
      </c>
      <c r="G798" s="7" t="n">
        <v>82.49640470887687</v>
      </c>
      <c r="H798" s="7" t="n">
        <v>134.0448743103806</v>
      </c>
      <c r="I798" s="7" t="n">
        <v>114.9159360149923</v>
      </c>
      <c r="J798" s="7" t="n">
        <v>158.3025858959329</v>
      </c>
      <c r="K798" s="7" t="n">
        <v>136.6426240522123</v>
      </c>
      <c r="L798" s="7" t="n">
        <v>81.36193973916954</v>
      </c>
      <c r="M798" s="7" t="n">
        <v>86.95852861809402</v>
      </c>
      <c r="N798" s="7" t="n">
        <v>142.3891955759583</v>
      </c>
      <c r="O798" s="8">
        <f>N798*$B$2/100</f>
        <v/>
      </c>
    </row>
    <row r="799">
      <c r="A799" s="6" t="n">
        <v>46238.47296771991</v>
      </c>
      <c r="B799" s="7" t="n">
        <v>152.1553499890742</v>
      </c>
      <c r="C799" s="7" t="n">
        <v>142.4072391127144</v>
      </c>
      <c r="D799" s="7" t="n">
        <v>115.6637161300298</v>
      </c>
      <c r="E799" s="7" t="n">
        <v>156.812550666677</v>
      </c>
      <c r="F799" s="7" t="n">
        <v>122.3231228642675</v>
      </c>
      <c r="G799" s="7" t="n">
        <v>108.6188551815766</v>
      </c>
      <c r="H799" s="7" t="n">
        <v>139.4482703523208</v>
      </c>
      <c r="I799" s="7" t="n">
        <v>112.6898468638557</v>
      </c>
      <c r="J799" s="7" t="n">
        <v>135.1100620759347</v>
      </c>
      <c r="K799" s="7" t="n">
        <v>140.9157876876962</v>
      </c>
      <c r="L799" s="7" t="n">
        <v>129.2997076551052</v>
      </c>
      <c r="M799" s="7" t="n">
        <v>77.52312378842426</v>
      </c>
      <c r="N799" s="7" t="n">
        <v>142.5881278710746</v>
      </c>
      <c r="O799" s="8">
        <f>N799*$B$2/100</f>
        <v/>
      </c>
    </row>
    <row r="800">
      <c r="A800" s="6" t="n">
        <v>46238.472979375</v>
      </c>
      <c r="B800" s="7" t="n">
        <v>109.9863206518507</v>
      </c>
      <c r="C800" s="7" t="n">
        <v>158.1168178099005</v>
      </c>
      <c r="D800" s="7" t="n">
        <v>139.7343397706107</v>
      </c>
      <c r="E800" s="7" t="n">
        <v>140.7365712348609</v>
      </c>
      <c r="F800" s="7" t="n">
        <v>110.261027675451</v>
      </c>
      <c r="G800" s="7" t="n">
        <v>92.26382905393761</v>
      </c>
      <c r="H800" s="7" t="n">
        <v>155.5645846059866</v>
      </c>
      <c r="I800" s="7" t="n">
        <v>144.7381240441025</v>
      </c>
      <c r="J800" s="7" t="n">
        <v>126.5136131901508</v>
      </c>
      <c r="K800" s="7" t="n">
        <v>130.47753587333</v>
      </c>
      <c r="L800" s="7" t="n">
        <v>108.0098173680791</v>
      </c>
      <c r="M800" s="7" t="n">
        <v>103.5584033086853</v>
      </c>
      <c r="N800" s="7" t="n">
        <v>141.6166148289355</v>
      </c>
      <c r="O800" s="8">
        <f>N800*$B$2/100</f>
        <v/>
      </c>
    </row>
    <row r="801">
      <c r="A801" s="6" t="n">
        <v>46238.47299106482</v>
      </c>
      <c r="B801" s="7" t="n">
        <v>136.8670480575807</v>
      </c>
      <c r="C801" s="7" t="n">
        <v>158.9562051486168</v>
      </c>
      <c r="D801" s="7" t="n">
        <v>102.9283368904942</v>
      </c>
      <c r="E801" s="7" t="n">
        <v>122.4404924760602</v>
      </c>
      <c r="F801" s="7" t="n">
        <v>125.7834556320448</v>
      </c>
      <c r="G801" s="7" t="n">
        <v>118.6609388747994</v>
      </c>
      <c r="H801" s="7" t="n">
        <v>145.7146988748261</v>
      </c>
      <c r="I801" s="7" t="n">
        <v>87.12220837228628</v>
      </c>
      <c r="J801" s="7" t="n">
        <v>157.5654179009119</v>
      </c>
      <c r="K801" s="7" t="n">
        <v>128.8002811703717</v>
      </c>
      <c r="L801" s="7" t="n">
        <v>100.354080441473</v>
      </c>
      <c r="M801" s="7" t="n">
        <v>95.70397883382518</v>
      </c>
      <c r="N801" s="7" t="n">
        <v>143.2126137479845</v>
      </c>
      <c r="O801" s="8">
        <f>N801*$B$2/100</f>
        <v/>
      </c>
    </row>
    <row r="802">
      <c r="A802" s="6" t="n">
        <v>46238.47300274306</v>
      </c>
      <c r="B802" s="7" t="n">
        <v>155.7518852477919</v>
      </c>
      <c r="C802" s="7" t="n">
        <v>139.925685308794</v>
      </c>
      <c r="D802" s="7" t="n">
        <v>130.147884283247</v>
      </c>
      <c r="E802" s="7" t="n">
        <v>157.9151859884601</v>
      </c>
      <c r="F802" s="7" t="n">
        <v>130.5930376553685</v>
      </c>
      <c r="G802" s="7" t="n">
        <v>125.3167503220362</v>
      </c>
      <c r="H802" s="7" t="n">
        <v>138.0903629187188</v>
      </c>
      <c r="I802" s="7" t="n">
        <v>116.5966499527651</v>
      </c>
      <c r="J802" s="7" t="n">
        <v>126.6675424955762</v>
      </c>
      <c r="K802" s="7" t="n">
        <v>98.87915142648134</v>
      </c>
      <c r="L802" s="7" t="n">
        <v>112.7501597954618</v>
      </c>
      <c r="M802" s="7" t="n">
        <v>76.60920613742495</v>
      </c>
      <c r="N802" s="7" t="n">
        <v>144.3919748820126</v>
      </c>
      <c r="O802" s="8">
        <f>N802*$B$2/100</f>
        <v/>
      </c>
    </row>
    <row r="803">
      <c r="A803" s="6" t="n">
        <v>46238.47301439815</v>
      </c>
      <c r="B803" s="7" t="n">
        <v>134.4153084982538</v>
      </c>
      <c r="C803" s="7" t="n">
        <v>159.2302354131673</v>
      </c>
      <c r="D803" s="7" t="n">
        <v>133.600604625959</v>
      </c>
      <c r="E803" s="7" t="n">
        <v>160.4587681138121</v>
      </c>
      <c r="F803" s="7" t="n">
        <v>127.7868355688028</v>
      </c>
      <c r="G803" s="7" t="n">
        <v>119.0622255160299</v>
      </c>
      <c r="H803" s="7" t="n">
        <v>138.5785996754063</v>
      </c>
      <c r="I803" s="7" t="n">
        <v>120.9130289532294</v>
      </c>
      <c r="J803" s="7" t="n">
        <v>141.6608640856997</v>
      </c>
      <c r="K803" s="7" t="n">
        <v>84.77685197239943</v>
      </c>
      <c r="L803" s="7" t="n">
        <v>135.034878195584</v>
      </c>
      <c r="M803" s="7" t="n">
        <v>83.86632996632997</v>
      </c>
      <c r="N803" s="7" t="n">
        <v>145.2862286903847</v>
      </c>
      <c r="O803" s="8">
        <f>N803*$B$2/100</f>
        <v/>
      </c>
    </row>
    <row r="804">
      <c r="A804" s="6" t="n">
        <v>46238.47302607639</v>
      </c>
      <c r="B804" s="7" t="n">
        <v>141.4065853607514</v>
      </c>
      <c r="C804" s="7" t="n">
        <v>157.3606200283953</v>
      </c>
      <c r="D804" s="7" t="n">
        <v>85.31638831592255</v>
      </c>
      <c r="E804" s="7" t="n">
        <v>135.7015715202052</v>
      </c>
      <c r="F804" s="7" t="n">
        <v>126.6253112972606</v>
      </c>
      <c r="G804" s="7" t="n">
        <v>92.2354375</v>
      </c>
      <c r="H804" s="7" t="n">
        <v>135.5580700893714</v>
      </c>
      <c r="I804" s="7" t="n">
        <v>100.9362755424479</v>
      </c>
      <c r="J804" s="7" t="n">
        <v>160.180132014809</v>
      </c>
      <c r="K804" s="7" t="n">
        <v>151.3249686673165</v>
      </c>
      <c r="L804" s="7" t="n">
        <v>99.7668441768928</v>
      </c>
      <c r="M804" s="7" t="n">
        <v>80.21264607679466</v>
      </c>
      <c r="N804" s="7" t="n">
        <v>144.501948373059</v>
      </c>
      <c r="O804" s="8">
        <f>N804*$B$2/100</f>
        <v/>
      </c>
    </row>
    <row r="805">
      <c r="A805" s="6" t="n">
        <v>46238.47303777777</v>
      </c>
      <c r="B805" s="7" t="n">
        <v>119.7913200892648</v>
      </c>
      <c r="C805" s="7" t="n">
        <v>160.8963693335578</v>
      </c>
      <c r="D805" s="7" t="n">
        <v>159.3037628515685</v>
      </c>
      <c r="E805" s="7" t="n">
        <v>134.3530534351145</v>
      </c>
      <c r="F805" s="7" t="n">
        <v>133.4565495706479</v>
      </c>
      <c r="G805" s="7" t="n">
        <v>103.0206615486684</v>
      </c>
      <c r="H805" s="7" t="n">
        <v>134.5742561801522</v>
      </c>
      <c r="I805" s="7" t="n">
        <v>84.02807586723235</v>
      </c>
      <c r="J805" s="7" t="n">
        <v>140.5974404434391</v>
      </c>
      <c r="K805" s="7" t="n">
        <v>113.8239686155404</v>
      </c>
      <c r="L805" s="7" t="n">
        <v>108.0347995328922</v>
      </c>
      <c r="M805" s="7" t="n">
        <v>100.0982956797463</v>
      </c>
      <c r="N805" s="7" t="n">
        <v>144.0923507815752</v>
      </c>
      <c r="O805" s="8">
        <f>N805*$B$2/100</f>
        <v/>
      </c>
    </row>
    <row r="806">
      <c r="A806" s="6" t="n">
        <v>46238.47304947917</v>
      </c>
      <c r="B806" s="7" t="n">
        <v>138.9030017216858</v>
      </c>
      <c r="C806" s="7" t="n">
        <v>156.1348692561564</v>
      </c>
      <c r="D806" s="7" t="n">
        <v>130.9751000878821</v>
      </c>
      <c r="E806" s="7" t="n">
        <v>110.2698399604026</v>
      </c>
      <c r="F806" s="7" t="n">
        <v>120.2591434823382</v>
      </c>
      <c r="G806" s="7" t="n">
        <v>114.1366697533462</v>
      </c>
      <c r="H806" s="7" t="n">
        <v>156.0872005967938</v>
      </c>
      <c r="I806" s="7" t="n">
        <v>104.1814534106108</v>
      </c>
      <c r="J806" s="7" t="n">
        <v>115.8429943100996</v>
      </c>
      <c r="K806" s="7" t="n">
        <v>137.7189608457738</v>
      </c>
      <c r="L806" s="7" t="n">
        <v>91.37019450278514</v>
      </c>
      <c r="M806" s="7" t="n">
        <v>80.76287425149701</v>
      </c>
      <c r="N806" s="7" t="n">
        <v>144.0487137726551</v>
      </c>
      <c r="O806" s="8">
        <f>N806*$B$2/100</f>
        <v/>
      </c>
    </row>
    <row r="807">
      <c r="A807" s="6" t="n">
        <v>46238.47306114584</v>
      </c>
      <c r="B807" s="7" t="n">
        <v>96.13079013547497</v>
      </c>
      <c r="C807" s="7" t="n">
        <v>158.4683890735741</v>
      </c>
      <c r="D807" s="7" t="n">
        <v>143.0007688828584</v>
      </c>
      <c r="E807" s="7" t="n">
        <v>135.9915118978526</v>
      </c>
      <c r="F807" s="7" t="n">
        <v>132.6883700044903</v>
      </c>
      <c r="G807" s="7" t="n">
        <v>114.3032871083718</v>
      </c>
      <c r="H807" s="7" t="n">
        <v>146.1349963170154</v>
      </c>
      <c r="I807" s="7" t="n">
        <v>102.7036079698438</v>
      </c>
      <c r="J807" s="7" t="n">
        <v>156.2841751080677</v>
      </c>
      <c r="K807" s="7" t="n">
        <v>129.806800618238</v>
      </c>
      <c r="L807" s="7" t="n">
        <v>139.2585362640258</v>
      </c>
      <c r="M807" s="7" t="n">
        <v>76.48981843715518</v>
      </c>
      <c r="N807" s="7" t="n">
        <v>142.5446492130033</v>
      </c>
      <c r="O807" s="8">
        <f>N807*$B$2/100</f>
        <v/>
      </c>
    </row>
    <row r="808">
      <c r="A808" s="6" t="n">
        <v>46238.47307283565</v>
      </c>
      <c r="B808" s="7" t="n">
        <v>151.2968987724876</v>
      </c>
      <c r="C808" s="7" t="n">
        <v>147.9905547973397</v>
      </c>
      <c r="D808" s="7" t="n">
        <v>158.9054121867626</v>
      </c>
      <c r="E808" s="7" t="n">
        <v>130.1217147231437</v>
      </c>
      <c r="F808" s="7" t="n">
        <v>126.9531293463143</v>
      </c>
      <c r="G808" s="7" t="n">
        <v>110.8208119458703</v>
      </c>
      <c r="H808" s="7" t="n">
        <v>147.1132728803183</v>
      </c>
      <c r="I808" s="7" t="n">
        <v>99.42710104716728</v>
      </c>
      <c r="J808" s="7" t="n">
        <v>127.9752038422875</v>
      </c>
      <c r="K808" s="7" t="n">
        <v>140.6672092412707</v>
      </c>
      <c r="L808" s="7" t="n">
        <v>96.52414218204233</v>
      </c>
      <c r="M808" s="7" t="n">
        <v>81.0883929684578</v>
      </c>
      <c r="N808" s="7" t="n">
        <v>146.1534143874333</v>
      </c>
      <c r="O808" s="8">
        <f>N808*$B$2/100</f>
        <v/>
      </c>
    </row>
    <row r="809">
      <c r="A809" s="6" t="n">
        <v>46238.47308447917</v>
      </c>
      <c r="B809" s="7" t="n">
        <v>131.740146809712</v>
      </c>
      <c r="C809" s="7" t="n">
        <v>158.3138588666648</v>
      </c>
      <c r="D809" s="7" t="n">
        <v>131.230790767125</v>
      </c>
      <c r="E809" s="7" t="n">
        <v>119.1696871753434</v>
      </c>
      <c r="F809" s="7" t="n">
        <v>140.8739233620437</v>
      </c>
      <c r="G809" s="7" t="n">
        <v>123.4767227718532</v>
      </c>
      <c r="H809" s="7" t="n">
        <v>161.001381637807</v>
      </c>
      <c r="I809" s="7" t="n">
        <v>109.6135708951243</v>
      </c>
      <c r="J809" s="7" t="n">
        <v>133.862917827298</v>
      </c>
      <c r="K809" s="7" t="n">
        <v>130.6635916854657</v>
      </c>
      <c r="L809" s="7" t="n">
        <v>140.1138509968521</v>
      </c>
      <c r="M809" s="7" t="n">
        <v>99.14249768242617</v>
      </c>
      <c r="N809" s="7" t="n">
        <v>147.1455988537602</v>
      </c>
      <c r="O809" s="8">
        <f>N809*$B$2/100</f>
        <v/>
      </c>
    </row>
    <row r="810">
      <c r="A810" s="6" t="n">
        <v>46238.47309616898</v>
      </c>
      <c r="B810" s="7" t="n">
        <v>98.37719250610915</v>
      </c>
      <c r="C810" s="7" t="n">
        <v>156.6516229676941</v>
      </c>
      <c r="D810" s="7" t="n">
        <v>138.3877305742802</v>
      </c>
      <c r="E810" s="7" t="n">
        <v>140.2425646232601</v>
      </c>
      <c r="F810" s="7" t="n">
        <v>104.723348783314</v>
      </c>
      <c r="G810" s="7" t="n">
        <v>116.4032122611799</v>
      </c>
      <c r="H810" s="7" t="n">
        <v>145.8368585493043</v>
      </c>
      <c r="I810" s="7" t="n">
        <v>94.33974085148797</v>
      </c>
      <c r="J810" s="7" t="n">
        <v>157.0884825881626</v>
      </c>
      <c r="K810" s="7" t="n">
        <v>124.7924229632756</v>
      </c>
      <c r="L810" s="7" t="n">
        <v>130.5737932566794</v>
      </c>
      <c r="M810" s="7" t="n">
        <v>93.83098455598456</v>
      </c>
      <c r="N810" s="7" t="n">
        <v>143.1682299962637</v>
      </c>
      <c r="O810" s="8">
        <f>N810*$B$2/100</f>
        <v/>
      </c>
    </row>
    <row r="811">
      <c r="A811" s="6" t="n">
        <v>46238.47310782407</v>
      </c>
      <c r="B811" s="7" t="n">
        <v>151.6045317530497</v>
      </c>
      <c r="C811" s="7" t="n">
        <v>145.1138579514333</v>
      </c>
      <c r="D811" s="7" t="n">
        <v>114.8580542264753</v>
      </c>
      <c r="E811" s="7" t="n">
        <v>161.0444739756368</v>
      </c>
      <c r="F811" s="7" t="n">
        <v>128.5511865342163</v>
      </c>
      <c r="G811" s="7" t="n">
        <v>128.1453031004165</v>
      </c>
      <c r="H811" s="7" t="n">
        <v>138.0159311637417</v>
      </c>
      <c r="I811" s="7" t="n">
        <v>138.5009672565738</v>
      </c>
      <c r="J811" s="7" t="n">
        <v>139.8743337102245</v>
      </c>
      <c r="K811" s="7" t="n">
        <v>115.5710556541715</v>
      </c>
      <c r="L811" s="7" t="n">
        <v>130.7561897880539</v>
      </c>
      <c r="M811" s="7" t="n">
        <v>110.1775408310062</v>
      </c>
      <c r="N811" s="7" t="n">
        <v>144.3988730304529</v>
      </c>
      <c r="O811" s="8">
        <f>N811*$B$2/100</f>
        <v/>
      </c>
    </row>
    <row r="812">
      <c r="A812" s="6" t="n">
        <v>46238.47311957176</v>
      </c>
      <c r="B812" s="7" t="n">
        <v>153.4666495522994</v>
      </c>
      <c r="C812" s="7" t="n">
        <v>154.8093878077479</v>
      </c>
      <c r="D812" s="7" t="n">
        <v>151.4377425449347</v>
      </c>
      <c r="E812" s="7" t="n">
        <v>152.0226270476462</v>
      </c>
      <c r="F812" s="7" t="n">
        <v>151.6147540429444</v>
      </c>
      <c r="G812" s="7" t="n">
        <v>151.9226827241659</v>
      </c>
      <c r="H812" s="7" t="n">
        <v>156.6879944591107</v>
      </c>
      <c r="I812" s="7" t="n">
        <v>152.0694254286077</v>
      </c>
      <c r="J812" s="7" t="n">
        <v>153.2310709490549</v>
      </c>
      <c r="K812" s="7" t="n">
        <v>151.5492591940643</v>
      </c>
      <c r="L812" s="7" t="n">
        <v>151.1037089801186</v>
      </c>
      <c r="M812" s="7" t="n">
        <v>151.3085915979924</v>
      </c>
      <c r="N812" s="7" t="n">
        <v>152.8722254301165</v>
      </c>
      <c r="O812" s="8">
        <f>N812*$B$2/100</f>
        <v/>
      </c>
    </row>
    <row r="813">
      <c r="A813" s="6" t="n">
        <v>46238.47313122685</v>
      </c>
      <c r="B813" s="7" t="n">
        <v>110.4656604924156</v>
      </c>
      <c r="C813" s="7" t="n">
        <v>156.1305830659346</v>
      </c>
      <c r="D813" s="7" t="n">
        <v>138.0112732340861</v>
      </c>
      <c r="E813" s="7" t="n">
        <v>120.9865216825107</v>
      </c>
      <c r="F813" s="7" t="n">
        <v>130.8021598272138</v>
      </c>
      <c r="G813" s="7" t="n">
        <v>109.4207647991985</v>
      </c>
      <c r="H813" s="7" t="n">
        <v>142.05733601572</v>
      </c>
      <c r="I813" s="7" t="n">
        <v>109.0612767134657</v>
      </c>
      <c r="J813" s="7" t="n">
        <v>156.2408085986996</v>
      </c>
      <c r="K813" s="7" t="n">
        <v>109.2755338520113</v>
      </c>
      <c r="L813" s="7" t="n">
        <v>123.650325216363</v>
      </c>
      <c r="M813" s="7" t="n">
        <v>88.13200403836446</v>
      </c>
      <c r="N813" s="7" t="n">
        <v>142.2384362440629</v>
      </c>
      <c r="O813" s="8">
        <f>N813*$B$2/100</f>
        <v/>
      </c>
    </row>
    <row r="814">
      <c r="A814" s="6" t="n">
        <v>46238.47314289352</v>
      </c>
      <c r="B814" s="7" t="n">
        <v>153.0961804118096</v>
      </c>
      <c r="C814" s="7" t="n">
        <v>139.8573416696093</v>
      </c>
      <c r="D814" s="7" t="n">
        <v>125.9722825933557</v>
      </c>
      <c r="E814" s="7" t="n">
        <v>159.5150963205701</v>
      </c>
      <c r="F814" s="7" t="n">
        <v>115.9387680016819</v>
      </c>
      <c r="G814" s="7" t="n">
        <v>120.1961371961372</v>
      </c>
      <c r="H814" s="7" t="n">
        <v>138.1486646344238</v>
      </c>
      <c r="I814" s="7" t="n">
        <v>116.3253722955887</v>
      </c>
      <c r="J814" s="7" t="n">
        <v>140.5592565491</v>
      </c>
      <c r="K814" s="7" t="n">
        <v>91.23069888961463</v>
      </c>
      <c r="L814" s="7" t="n">
        <v>133.8115990864503</v>
      </c>
      <c r="M814" s="7" t="n">
        <v>83.97997524211753</v>
      </c>
      <c r="N814" s="7" t="n">
        <v>143.3633315552846</v>
      </c>
      <c r="O814" s="8">
        <f>N814*$B$2/100</f>
        <v/>
      </c>
    </row>
    <row r="815">
      <c r="A815" s="6" t="n">
        <v>46238.47315458333</v>
      </c>
      <c r="B815" s="7" t="n">
        <v>120.3450443515871</v>
      </c>
      <c r="C815" s="7" t="n">
        <v>160.2551347052391</v>
      </c>
      <c r="D815" s="7" t="n">
        <v>130.9059516590141</v>
      </c>
      <c r="E815" s="7" t="n">
        <v>143.2724804954557</v>
      </c>
      <c r="F815" s="7" t="n">
        <v>135.897101973552</v>
      </c>
      <c r="G815" s="7" t="n">
        <v>118.7601839212587</v>
      </c>
      <c r="H815" s="7" t="n">
        <v>158.796207911739</v>
      </c>
      <c r="I815" s="7" t="n">
        <v>110.5058041112455</v>
      </c>
      <c r="J815" s="7" t="n">
        <v>140.4164620078887</v>
      </c>
      <c r="K815" s="7" t="n">
        <v>79.41066997518611</v>
      </c>
      <c r="L815" s="7" t="n">
        <v>136.0767331582866</v>
      </c>
      <c r="M815" s="7" t="n">
        <v>90.65658621692353</v>
      </c>
      <c r="N815" s="7" t="n">
        <v>146.1673799151778</v>
      </c>
      <c r="O815" s="8">
        <f>N815*$B$2/100</f>
        <v/>
      </c>
    </row>
    <row r="816">
      <c r="A816" s="6" t="n">
        <v>46238.47316622685</v>
      </c>
      <c r="B816" s="7" t="n">
        <v>138.0099500925955</v>
      </c>
      <c r="C816" s="7" t="n">
        <v>160.2505902972982</v>
      </c>
      <c r="D816" s="7" t="n">
        <v>106.3107924900374</v>
      </c>
      <c r="E816" s="7" t="n">
        <v>113.2020877633868</v>
      </c>
      <c r="F816" s="7" t="n">
        <v>99.19574175824175</v>
      </c>
      <c r="G816" s="7" t="n">
        <v>112.4569720844936</v>
      </c>
      <c r="H816" s="7" t="n">
        <v>146.8058380863568</v>
      </c>
      <c r="I816" s="7" t="n">
        <v>99.30925277291301</v>
      </c>
      <c r="J816" s="7" t="n">
        <v>155.4932776079916</v>
      </c>
      <c r="K816" s="7" t="n">
        <v>110.9857409607876</v>
      </c>
      <c r="L816" s="7" t="n">
        <v>134.8751898734177</v>
      </c>
      <c r="M816" s="7" t="n">
        <v>88.813413304253</v>
      </c>
      <c r="N816" s="7" t="n">
        <v>143.5505289752092</v>
      </c>
      <c r="O816" s="8">
        <f>N816*$B$2/100</f>
        <v/>
      </c>
    </row>
    <row r="817">
      <c r="A817" s="6" t="n">
        <v>46238.47317791667</v>
      </c>
      <c r="B817" s="7" t="n">
        <v>151.8061003019283</v>
      </c>
      <c r="C817" s="7" t="n">
        <v>136.8817702534547</v>
      </c>
      <c r="D817" s="7" t="n">
        <v>154.1497493971645</v>
      </c>
      <c r="E817" s="7" t="n">
        <v>115.9412585071963</v>
      </c>
      <c r="F817" s="7" t="n">
        <v>123.2458619297537</v>
      </c>
      <c r="G817" s="7" t="n">
        <v>127.4846987501557</v>
      </c>
      <c r="H817" s="7" t="n">
        <v>148.0132950637676</v>
      </c>
      <c r="I817" s="7" t="n">
        <v>92.04551298534328</v>
      </c>
      <c r="J817" s="7" t="n">
        <v>123.2647763781937</v>
      </c>
      <c r="K817" s="7" t="n">
        <v>133.008476585655</v>
      </c>
      <c r="L817" s="7" t="n">
        <v>132.3123578468537</v>
      </c>
      <c r="M817" s="7" t="n">
        <v>97.92440457779152</v>
      </c>
      <c r="N817" s="7" t="n">
        <v>143.3802999444547</v>
      </c>
      <c r="O817" s="8">
        <f>N817*$B$2/100</f>
        <v/>
      </c>
    </row>
    <row r="818">
      <c r="A818" s="6" t="n">
        <v>46238.47318960648</v>
      </c>
      <c r="B818" s="7" t="n">
        <v>137.1947647349604</v>
      </c>
      <c r="C818" s="7" t="n">
        <v>159.9944233276919</v>
      </c>
      <c r="D818" s="7" t="n">
        <v>97.1841544097545</v>
      </c>
      <c r="E818" s="7" t="n">
        <v>92.59309111445783</v>
      </c>
      <c r="F818" s="7" t="n">
        <v>91.39263763135286</v>
      </c>
      <c r="G818" s="7" t="n">
        <v>106.9257827904409</v>
      </c>
      <c r="H818" s="7" t="n">
        <v>158.6275883739199</v>
      </c>
      <c r="I818" s="7" t="n">
        <v>145.7997133799453</v>
      </c>
      <c r="J818" s="7" t="n">
        <v>102.4810228017775</v>
      </c>
      <c r="K818" s="7" t="n">
        <v>129.9862470751158</v>
      </c>
      <c r="L818" s="7" t="n">
        <v>125.4472727272727</v>
      </c>
      <c r="M818" s="7" t="n">
        <v>99.13370109602961</v>
      </c>
      <c r="N818" s="7" t="n">
        <v>143.7511154259275</v>
      </c>
      <c r="O818" s="8">
        <f>N818*$B$2/100</f>
        <v/>
      </c>
    </row>
    <row r="819">
      <c r="A819" s="6" t="n">
        <v>46238.4732012963</v>
      </c>
      <c r="B819" s="7" t="n">
        <v>131.4599265319753</v>
      </c>
      <c r="C819" s="7" t="n">
        <v>159.1396255461478</v>
      </c>
      <c r="D819" s="7" t="n">
        <v>117.2485229474878</v>
      </c>
      <c r="E819" s="7" t="n">
        <v>102.6080851929729</v>
      </c>
      <c r="F819" s="7" t="n">
        <v>106.0659837934542</v>
      </c>
      <c r="G819" s="7" t="n">
        <v>124.1420513662998</v>
      </c>
      <c r="H819" s="7" t="n">
        <v>132.1620348299167</v>
      </c>
      <c r="I819" s="7" t="n">
        <v>143.8695437262357</v>
      </c>
      <c r="J819" s="7" t="n">
        <v>158.2908453469456</v>
      </c>
      <c r="K819" s="7" t="n">
        <v>150.8523689032371</v>
      </c>
      <c r="L819" s="7" t="n">
        <v>102.1206715082623</v>
      </c>
      <c r="M819" s="7" t="n">
        <v>133.6614741035856</v>
      </c>
      <c r="N819" s="7" t="n">
        <v>145.0389573938589</v>
      </c>
      <c r="O819" s="8">
        <f>N819*$B$2/100</f>
        <v/>
      </c>
    </row>
    <row r="820">
      <c r="A820" s="6" t="n">
        <v>46238.47321297454</v>
      </c>
      <c r="B820" s="7" t="n">
        <v>153.6361688178251</v>
      </c>
      <c r="C820" s="7" t="n">
        <v>143.3507094248988</v>
      </c>
      <c r="D820" s="7" t="n">
        <v>122.7803862553298</v>
      </c>
      <c r="E820" s="7" t="n">
        <v>162.0935771954959</v>
      </c>
      <c r="F820" s="7" t="n">
        <v>113.4178661781384</v>
      </c>
      <c r="G820" s="7" t="n">
        <v>97.06644873326209</v>
      </c>
      <c r="H820" s="7" t="n">
        <v>143.1898249671066</v>
      </c>
      <c r="I820" s="7" t="n">
        <v>135.0368490508578</v>
      </c>
      <c r="J820" s="7" t="n">
        <v>142.5391987383617</v>
      </c>
      <c r="K820" s="7" t="n">
        <v>121.7396339185656</v>
      </c>
      <c r="L820" s="7" t="n">
        <v>98.52256624284189</v>
      </c>
      <c r="M820" s="7" t="n">
        <v>82.82117664715594</v>
      </c>
      <c r="N820" s="7" t="n">
        <v>144.8352518556742</v>
      </c>
      <c r="O820" s="8">
        <f>N820*$B$2/100</f>
        <v/>
      </c>
    </row>
    <row r="821">
      <c r="A821" s="6" t="n">
        <v>46238.47322465278</v>
      </c>
      <c r="B821" s="7" t="n">
        <v>117.6814060719096</v>
      </c>
      <c r="C821" s="7" t="n">
        <v>158.7326659508621</v>
      </c>
      <c r="D821" s="7" t="n">
        <v>142.1997383625859</v>
      </c>
      <c r="E821" s="7" t="n">
        <v>140.0225303292894</v>
      </c>
      <c r="F821" s="7" t="n">
        <v>125.0186221634273</v>
      </c>
      <c r="G821" s="7" t="n">
        <v>116.089970607212</v>
      </c>
      <c r="H821" s="7" t="n">
        <v>155.6197575457694</v>
      </c>
      <c r="I821" s="7" t="n">
        <v>135.7727557673019</v>
      </c>
      <c r="J821" s="7" t="n">
        <v>132.8272364253913</v>
      </c>
      <c r="K821" s="7" t="n">
        <v>118.2458892254435</v>
      </c>
      <c r="L821" s="7" t="n">
        <v>127.4624169791437</v>
      </c>
      <c r="M821" s="7" t="n">
        <v>86.48014256619145</v>
      </c>
      <c r="N821" s="7" t="n">
        <v>144.4449039437573</v>
      </c>
      <c r="O821" s="8">
        <f>N821*$B$2/100</f>
        <v/>
      </c>
    </row>
    <row r="822">
      <c r="A822" s="6" t="n">
        <v>46238.47323637731</v>
      </c>
      <c r="B822" s="7" t="n">
        <v>61.76311439620758</v>
      </c>
      <c r="C822" s="7" t="n">
        <v>81.87877884443384</v>
      </c>
      <c r="D822" s="7" t="n">
        <v>69.79005311443747</v>
      </c>
      <c r="E822" s="7" t="n">
        <v>83.8606077282912</v>
      </c>
      <c r="F822" s="7" t="n">
        <v>88.85990338164251</v>
      </c>
      <c r="G822" s="7" t="n">
        <v>84.18162597734162</v>
      </c>
      <c r="H822" s="7" t="n">
        <v>74.62682699284751</v>
      </c>
      <c r="I822" s="7" t="n">
        <v>74.97900301005799</v>
      </c>
      <c r="J822" s="7" t="n">
        <v>79.56774580335731</v>
      </c>
      <c r="K822" s="7" t="n">
        <v>67.29537475194627</v>
      </c>
      <c r="L822" s="7" t="n">
        <v>69.57439541208964</v>
      </c>
      <c r="M822" s="7" t="n">
        <v>63.29230373891816</v>
      </c>
      <c r="N822" s="7" t="n">
        <v>73.24467707594039</v>
      </c>
      <c r="O822" s="8">
        <f>N822*$B$2/100</f>
        <v/>
      </c>
    </row>
    <row r="823">
      <c r="A823" s="6" t="n">
        <v>46238.47324813657</v>
      </c>
      <c r="B823" s="7" t="n">
        <v>65.33186365948788</v>
      </c>
      <c r="C823" s="7" t="n">
        <v>92.9713461070348</v>
      </c>
      <c r="D823" s="7" t="n">
        <v>88.87721235345695</v>
      </c>
      <c r="E823" s="7" t="n">
        <v>68.35358400662938</v>
      </c>
      <c r="F823" s="7" t="n">
        <v>105.2072502505847</v>
      </c>
      <c r="G823" s="7" t="n">
        <v>70.58723796360286</v>
      </c>
      <c r="H823" s="7" t="n">
        <v>95.21513292433538</v>
      </c>
      <c r="I823" s="7" t="n">
        <v>115.404898329956</v>
      </c>
      <c r="J823" s="7" t="n">
        <v>83.92474854091643</v>
      </c>
      <c r="K823" s="7" t="n">
        <v>74.81073507221384</v>
      </c>
      <c r="L823" s="7" t="n">
        <v>64.22046298318411</v>
      </c>
      <c r="M823" s="7" t="n">
        <v>93.56519994162288</v>
      </c>
      <c r="N823" s="7" t="n">
        <v>83.49949689462545</v>
      </c>
      <c r="O823" s="8">
        <f>N823*$B$2/100</f>
        <v/>
      </c>
    </row>
    <row r="824">
      <c r="A824" s="6" t="n">
        <v>46238.47325986111</v>
      </c>
      <c r="B824" s="7" t="n">
        <v>106.9835622138993</v>
      </c>
      <c r="C824" s="7" t="n">
        <v>124.7871412939889</v>
      </c>
      <c r="D824" s="7" t="n">
        <v>76.662204159694</v>
      </c>
      <c r="E824" s="7" t="n">
        <v>78.97424223262088</v>
      </c>
      <c r="F824" s="7" t="n">
        <v>83.84622557933511</v>
      </c>
      <c r="G824" s="7" t="n">
        <v>101.083773702207</v>
      </c>
      <c r="H824" s="7" t="n">
        <v>81.16693519513069</v>
      </c>
      <c r="I824" s="7" t="n">
        <v>69.13486048914916</v>
      </c>
      <c r="J824" s="7" t="n">
        <v>65.6628852335035</v>
      </c>
      <c r="K824" s="7" t="n">
        <v>53.5717095851216</v>
      </c>
      <c r="L824" s="7" t="n">
        <v>78.01092245060073</v>
      </c>
      <c r="M824" s="7" t="n">
        <v>81.36927892506776</v>
      </c>
      <c r="N824" s="7" t="n">
        <v>92.3796965553168</v>
      </c>
      <c r="O824" s="8">
        <f>N824*$B$2/100</f>
        <v/>
      </c>
    </row>
    <row r="825">
      <c r="A825" s="6" t="n">
        <v>46238.47327148148</v>
      </c>
      <c r="B825" s="7" t="n">
        <v>112.1324083552961</v>
      </c>
      <c r="C825" s="7" t="n">
        <v>153.4864273233772</v>
      </c>
      <c r="D825" s="7" t="n">
        <v>107.3933744573909</v>
      </c>
      <c r="E825" s="7" t="n">
        <v>94.89865169989032</v>
      </c>
      <c r="F825" s="7" t="n">
        <v>96.24022728828643</v>
      </c>
      <c r="G825" s="7" t="n">
        <v>76.05467306981899</v>
      </c>
      <c r="H825" s="7" t="n">
        <v>126.6983320257871</v>
      </c>
      <c r="I825" s="7" t="n">
        <v>133.7346532863213</v>
      </c>
      <c r="J825" s="7" t="n">
        <v>157.9582247217574</v>
      </c>
      <c r="K825" s="7" t="n">
        <v>136.4224894998091</v>
      </c>
      <c r="L825" s="7" t="n">
        <v>103.0882255663966</v>
      </c>
      <c r="M825" s="7" t="n">
        <v>63.18381632367353</v>
      </c>
      <c r="N825" s="7" t="n">
        <v>137.9488441290913</v>
      </c>
      <c r="O825" s="8">
        <f>N825*$B$2/100</f>
        <v/>
      </c>
    </row>
    <row r="826">
      <c r="A826" s="6" t="n">
        <v>46238.47328311342</v>
      </c>
      <c r="B826" s="7" t="n">
        <v>135.6308565724624</v>
      </c>
      <c r="C826" s="7" t="n">
        <v>157.5367040053367</v>
      </c>
      <c r="D826" s="7" t="n">
        <v>153.2193810044296</v>
      </c>
      <c r="E826" s="7" t="n">
        <v>147.531735878764</v>
      </c>
      <c r="F826" s="7" t="n">
        <v>143.7880911943349</v>
      </c>
      <c r="G826" s="7" t="n">
        <v>140.6672709782448</v>
      </c>
      <c r="H826" s="7" t="n">
        <v>142.8921183385835</v>
      </c>
      <c r="I826" s="7" t="n">
        <v>145.5553835327234</v>
      </c>
      <c r="J826" s="7" t="n">
        <v>143.7234293193717</v>
      </c>
      <c r="K826" s="7" t="n">
        <v>146.5342271203772</v>
      </c>
      <c r="L826" s="7" t="n">
        <v>138.9127561727017</v>
      </c>
      <c r="M826" s="7" t="n">
        <v>139.7138092726936</v>
      </c>
      <c r="N826" s="7" t="n">
        <v>147.3628704509393</v>
      </c>
      <c r="O826" s="8">
        <f>N826*$B$2/100</f>
        <v/>
      </c>
    </row>
    <row r="827">
      <c r="A827" s="6" t="n">
        <v>46238.47329484954</v>
      </c>
      <c r="B827" s="7" t="n">
        <v>152.2127770779169</v>
      </c>
      <c r="C827" s="7" t="n">
        <v>155.8767548294902</v>
      </c>
      <c r="D827" s="7" t="n">
        <v>153.7410065876873</v>
      </c>
      <c r="E827" s="7" t="n">
        <v>153.516271935991</v>
      </c>
      <c r="F827" s="7" t="n">
        <v>151.5074222137065</v>
      </c>
      <c r="G827" s="7" t="n">
        <v>151.8383005329443</v>
      </c>
      <c r="H827" s="7" t="n">
        <v>152.0708820143971</v>
      </c>
      <c r="I827" s="7" t="n">
        <v>151.7115866834249</v>
      </c>
      <c r="J827" s="7" t="n">
        <v>151.6256208205545</v>
      </c>
      <c r="K827" s="7" t="n">
        <v>151.3828351807247</v>
      </c>
      <c r="L827" s="7" t="n">
        <v>154.5018467310431</v>
      </c>
      <c r="M827" s="7" t="n">
        <v>151.7354766006502</v>
      </c>
      <c r="N827" s="7" t="n">
        <v>152.8791528978047</v>
      </c>
      <c r="O827" s="8">
        <f>N827*$B$2/100</f>
        <v/>
      </c>
    </row>
    <row r="828">
      <c r="A828" s="6" t="n">
        <v>46238.47330652778</v>
      </c>
      <c r="B828" s="7" t="n">
        <v>135.9811738342578</v>
      </c>
      <c r="C828" s="7" t="n">
        <v>157.0894440312682</v>
      </c>
      <c r="D828" s="7" t="n">
        <v>120.2188442546377</v>
      </c>
      <c r="E828" s="7" t="n">
        <v>93.22282350142721</v>
      </c>
      <c r="F828" s="7" t="n">
        <v>117.2753916119252</v>
      </c>
      <c r="G828" s="7" t="n">
        <v>123.5240616231669</v>
      </c>
      <c r="H828" s="7" t="n">
        <v>133.4881118427455</v>
      </c>
      <c r="I828" s="7" t="n">
        <v>93.88588062004629</v>
      </c>
      <c r="J828" s="7" t="n">
        <v>159.3378119415197</v>
      </c>
      <c r="K828" s="7" t="n">
        <v>107.2012018534608</v>
      </c>
      <c r="L828" s="7" t="n">
        <v>112.1278900646973</v>
      </c>
      <c r="M828" s="7" t="n">
        <v>133.969703680737</v>
      </c>
      <c r="N828" s="7" t="n">
        <v>142.9715765515511</v>
      </c>
      <c r="O828" s="8">
        <f>N828*$B$2/100</f>
        <v/>
      </c>
    </row>
    <row r="829">
      <c r="A829" s="6" t="n">
        <v>46238.47331817129</v>
      </c>
      <c r="B829" s="7" t="n">
        <v>156.6213446756855</v>
      </c>
      <c r="C829" s="7" t="n">
        <v>144.8787220297175</v>
      </c>
      <c r="D829" s="7" t="n">
        <v>159.7017387986767</v>
      </c>
      <c r="E829" s="7" t="n">
        <v>140.1887821911829</v>
      </c>
      <c r="F829" s="7" t="n">
        <v>108.6711639250688</v>
      </c>
      <c r="G829" s="7" t="n">
        <v>134.6033038889526</v>
      </c>
      <c r="H829" s="7" t="n">
        <v>149.3576105007665</v>
      </c>
      <c r="I829" s="7" t="n">
        <v>146.241281696079</v>
      </c>
      <c r="J829" s="7" t="n">
        <v>133.0894890510949</v>
      </c>
      <c r="K829" s="7" t="n">
        <v>85.83903317048085</v>
      </c>
      <c r="L829" s="7" t="n">
        <v>133.6981470221141</v>
      </c>
      <c r="M829" s="7" t="n">
        <v>111.273064785595</v>
      </c>
      <c r="N829" s="7" t="n">
        <v>150.5337593722078</v>
      </c>
      <c r="O829" s="8">
        <f>N829*$B$2/100</f>
        <v/>
      </c>
    </row>
    <row r="830">
      <c r="A830" s="6" t="n">
        <v>46238.47332987269</v>
      </c>
      <c r="B830" s="7" t="n">
        <v>152.9502371669109</v>
      </c>
      <c r="C830" s="7" t="n">
        <v>137.5310661764706</v>
      </c>
      <c r="D830" s="7" t="n">
        <v>122.1729164348503</v>
      </c>
      <c r="E830" s="7" t="n">
        <v>98.17583168768039</v>
      </c>
      <c r="F830" s="7" t="n">
        <v>110.4490499478874</v>
      </c>
      <c r="G830" s="7" t="n">
        <v>126.1100109529025</v>
      </c>
      <c r="H830" s="7" t="n">
        <v>157.612509862994</v>
      </c>
      <c r="I830" s="7" t="n">
        <v>151.0156392071286</v>
      </c>
      <c r="J830" s="7" t="n">
        <v>157.6497109593325</v>
      </c>
      <c r="K830" s="7" t="n">
        <v>88.48779449332955</v>
      </c>
      <c r="L830" s="7" t="n">
        <v>99.78620926917974</v>
      </c>
      <c r="M830" s="7" t="n">
        <v>120.7670080716272</v>
      </c>
      <c r="N830" s="7" t="n">
        <v>147.1832326859257</v>
      </c>
      <c r="O830" s="8">
        <f>N830*$B$2/100</f>
        <v/>
      </c>
    </row>
    <row r="831">
      <c r="A831" s="6" t="n">
        <v>46238.47334152778</v>
      </c>
      <c r="B831" s="7" t="n">
        <v>145.9705639771338</v>
      </c>
      <c r="C831" s="7" t="n">
        <v>154.386609974142</v>
      </c>
      <c r="D831" s="7" t="n">
        <v>106.0158823215904</v>
      </c>
      <c r="E831" s="7" t="n">
        <v>96.35542891421716</v>
      </c>
      <c r="F831" s="7" t="n">
        <v>109.830761043108</v>
      </c>
      <c r="G831" s="7" t="n">
        <v>135.4278401045638</v>
      </c>
      <c r="H831" s="7" t="n">
        <v>136.4109818611987</v>
      </c>
      <c r="I831" s="7" t="n">
        <v>143.0898671407186</v>
      </c>
      <c r="J831" s="7" t="n">
        <v>157.8940365925446</v>
      </c>
      <c r="K831" s="7" t="n">
        <v>124.434524353468</v>
      </c>
      <c r="L831" s="7" t="n">
        <v>107.195361328125</v>
      </c>
      <c r="M831" s="7" t="n">
        <v>108.6597250033373</v>
      </c>
      <c r="N831" s="7" t="n">
        <v>145.2846665228561</v>
      </c>
      <c r="O831" s="8">
        <f>N831*$B$2/100</f>
        <v/>
      </c>
    </row>
    <row r="832">
      <c r="A832" s="6" t="n">
        <v>46238.47335318287</v>
      </c>
      <c r="B832" s="7" t="n">
        <v>141.8780305923865</v>
      </c>
      <c r="C832" s="7" t="n">
        <v>158.9396926107618</v>
      </c>
      <c r="D832" s="7" t="n">
        <v>154.0529060022387</v>
      </c>
      <c r="E832" s="7" t="n">
        <v>124.2573386873442</v>
      </c>
      <c r="F832" s="7" t="n">
        <v>124.0650940463236</v>
      </c>
      <c r="G832" s="7" t="n">
        <v>109.073991372748</v>
      </c>
      <c r="H832" s="7" t="n">
        <v>121.5098278622898</v>
      </c>
      <c r="I832" s="7" t="n">
        <v>109.2184322728764</v>
      </c>
      <c r="J832" s="7" t="n">
        <v>145.5826814576576</v>
      </c>
      <c r="K832" s="7" t="n">
        <v>132.3349423955719</v>
      </c>
      <c r="L832" s="7" t="n">
        <v>123.9532130549361</v>
      </c>
      <c r="M832" s="7" t="n">
        <v>128.3105369807498</v>
      </c>
      <c r="N832" s="7" t="n">
        <v>143.6764967586119</v>
      </c>
      <c r="O832" s="8">
        <f>N832*$B$2/100</f>
        <v/>
      </c>
    </row>
    <row r="833">
      <c r="A833" s="6" t="n">
        <v>46238.47336482639</v>
      </c>
      <c r="B833" s="7" t="n">
        <v>128.660913431794</v>
      </c>
      <c r="C833" s="7" t="n">
        <v>131.7733489569327</v>
      </c>
      <c r="D833" s="7" t="n">
        <v>94.21135014264786</v>
      </c>
      <c r="E833" s="7" t="n">
        <v>106.3093392395718</v>
      </c>
      <c r="F833" s="7" t="n">
        <v>114.6825564041787</v>
      </c>
      <c r="G833" s="7" t="n">
        <v>91.48097430925836</v>
      </c>
      <c r="H833" s="7" t="n">
        <v>163.1114191702613</v>
      </c>
      <c r="I833" s="7" t="n">
        <v>120.5364507474128</v>
      </c>
      <c r="J833" s="7" t="n">
        <v>142.3893460644513</v>
      </c>
      <c r="K833" s="7" t="n">
        <v>132.5934959349593</v>
      </c>
      <c r="L833" s="7" t="n">
        <v>127.6949748397325</v>
      </c>
      <c r="M833" s="7" t="n">
        <v>101.1660914581536</v>
      </c>
      <c r="N833" s="7" t="n">
        <v>144.4421891989851</v>
      </c>
      <c r="O833" s="8">
        <f>N833*$B$2/100</f>
        <v/>
      </c>
    </row>
    <row r="834">
      <c r="A834" s="6" t="n">
        <v>46238.47337655092</v>
      </c>
      <c r="B834" s="7" t="n">
        <v>132.9081691983429</v>
      </c>
      <c r="C834" s="7" t="n">
        <v>158.9545098039216</v>
      </c>
      <c r="D834" s="7" t="n">
        <v>108.9077437612555</v>
      </c>
      <c r="E834" s="7" t="n">
        <v>102.3777478415284</v>
      </c>
      <c r="F834" s="7" t="n">
        <v>121.363503649635</v>
      </c>
      <c r="G834" s="7" t="n">
        <v>129.2053025411175</v>
      </c>
      <c r="H834" s="7" t="n">
        <v>147.7468117694478</v>
      </c>
      <c r="I834" s="7" t="n">
        <v>78.69192235441453</v>
      </c>
      <c r="J834" s="7" t="n">
        <v>155.9197759184113</v>
      </c>
      <c r="K834" s="7" t="n">
        <v>104.7099126242844</v>
      </c>
      <c r="L834" s="7" t="n">
        <v>118.8233693972179</v>
      </c>
      <c r="M834" s="7" t="n">
        <v>115.5390002570033</v>
      </c>
      <c r="N834" s="7" t="n">
        <v>143.7370628555894</v>
      </c>
      <c r="O834" s="8">
        <f>N834*$B$2/100</f>
        <v/>
      </c>
    </row>
    <row r="835">
      <c r="A835" s="6" t="n">
        <v>46238.47338827547</v>
      </c>
      <c r="B835" s="7" t="n">
        <v>150.4472470342097</v>
      </c>
      <c r="C835" s="7" t="n">
        <v>142.3589706933524</v>
      </c>
      <c r="D835" s="7" t="n">
        <v>130.725093000719</v>
      </c>
      <c r="E835" s="7" t="n">
        <v>160.4675950468268</v>
      </c>
      <c r="F835" s="7" t="n">
        <v>143.6755562395568</v>
      </c>
      <c r="G835" s="7" t="n">
        <v>134.5342811820692</v>
      </c>
      <c r="H835" s="7" t="n">
        <v>134.1269419905131</v>
      </c>
      <c r="I835" s="7" t="n">
        <v>125.7454909819639</v>
      </c>
      <c r="J835" s="7" t="n">
        <v>139.2711572226656</v>
      </c>
      <c r="K835" s="7" t="n">
        <v>145.1069738540223</v>
      </c>
      <c r="L835" s="7" t="n">
        <v>120.620831311661</v>
      </c>
      <c r="M835" s="7" t="n">
        <v>120.3472104000619</v>
      </c>
      <c r="N835" s="7" t="n">
        <v>144.7531607563093</v>
      </c>
      <c r="O835" s="8">
        <f>N835*$B$2/100</f>
        <v/>
      </c>
    </row>
    <row r="836">
      <c r="A836" s="6" t="n">
        <v>46238.47339995371</v>
      </c>
      <c r="B836" s="7" t="n">
        <v>136.4435976541023</v>
      </c>
      <c r="C836" s="7" t="n">
        <v>160.0051029457914</v>
      </c>
      <c r="D836" s="7" t="n">
        <v>142.9168641750228</v>
      </c>
      <c r="E836" s="7" t="n">
        <v>141.9374320224397</v>
      </c>
      <c r="F836" s="7" t="n">
        <v>135.6972061181695</v>
      </c>
      <c r="G836" s="7" t="n">
        <v>133.1866385176397</v>
      </c>
      <c r="H836" s="7" t="n">
        <v>158.4853678518761</v>
      </c>
      <c r="I836" s="7" t="n">
        <v>151.181975943989</v>
      </c>
      <c r="J836" s="7" t="n">
        <v>136.8546917800947</v>
      </c>
      <c r="K836" s="7" t="n">
        <v>121.4182527598021</v>
      </c>
      <c r="L836" s="7" t="n">
        <v>130.6672815047593</v>
      </c>
      <c r="M836" s="7" t="n">
        <v>137.7531593838416</v>
      </c>
      <c r="N836" s="7" t="n">
        <v>148.2086943418971</v>
      </c>
      <c r="O836" s="8">
        <f>N836*$B$2/100</f>
        <v/>
      </c>
    </row>
    <row r="837">
      <c r="A837" s="6" t="n">
        <v>46238.47341163195</v>
      </c>
      <c r="B837" s="7" t="n">
        <v>147.5402737091617</v>
      </c>
      <c r="C837" s="7" t="n">
        <v>140.8855845445884</v>
      </c>
      <c r="D837" s="7" t="n">
        <v>141.8097482469249</v>
      </c>
      <c r="E837" s="7" t="n">
        <v>116.1268148634238</v>
      </c>
      <c r="F837" s="7" t="n">
        <v>137.3231603933537</v>
      </c>
      <c r="G837" s="7" t="n">
        <v>124.9983874882963</v>
      </c>
      <c r="H837" s="7" t="n">
        <v>146.248393918838</v>
      </c>
      <c r="I837" s="7" t="n">
        <v>125.5802379107607</v>
      </c>
      <c r="J837" s="7" t="n">
        <v>156.8913962293687</v>
      </c>
      <c r="K837" s="7" t="n">
        <v>137.0077419354839</v>
      </c>
      <c r="L837" s="7" t="n">
        <v>136.9238829864649</v>
      </c>
      <c r="M837" s="7" t="n">
        <v>139.6515293469275</v>
      </c>
      <c r="N837" s="7" t="n">
        <v>143.5379749317092</v>
      </c>
      <c r="O837" s="8">
        <f>N837*$B$2/100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9" customWidth="1" min="4" max="4"/>
    <col width="56" customWidth="1" min="5" max="5"/>
    <col width="11" customWidth="1" min="6" max="6"/>
    <col width="12" customWidth="1" min="7" max="7"/>
    <col width="13" customWidth="1" min="8" max="8"/>
  </cols>
  <sheetData>
    <row r="1">
      <c r="A1" s="1" t="inlineStr">
        <is>
          <t>테스트 구간별 시각 경계와 실행 스레드, 그 구간의 평균 클럭</t>
        </is>
      </c>
    </row>
    <row r="2">
      <c r="A2" s="4" t="inlineStr">
        <is>
          <t>시각 경계 출처: 전체·워밍업·워커 읽기는 프로브의 [구간 시각] 출력, 측정 회차는 IMPLOG의 시작시각ms(첫 스캔 시작)와 마지막 스캔 시작+바퀴 시간이다.</t>
        </is>
      </c>
    </row>
    <row r="3">
      <c r="A3" s="4" t="inlineStr">
        <is>
          <t>클럭은 논리 프로세서별 값이고 스레드가 어느 프로세서에서 돌았는지는 기록되지 않으므로, 스레드별 대응은 구간 단위까지다. 각 표본이 직전 간격의 평균이라 경계 표본에는 이웃 구간의 몫이 섞일 수 있다.</t>
        </is>
      </c>
    </row>
    <row r="5">
      <c r="A5" s="5" t="inlineStr">
        <is>
          <t>구간</t>
        </is>
      </c>
      <c r="B5" s="5" t="inlineStr">
        <is>
          <t>시작 시각</t>
        </is>
      </c>
      <c r="C5" s="5" t="inlineStr">
        <is>
          <t>끝 시각</t>
        </is>
      </c>
      <c r="D5" s="5" t="inlineStr">
        <is>
          <t>길이(초)</t>
        </is>
      </c>
      <c r="E5" s="5" t="inlineStr">
        <is>
          <t>실행 스레드</t>
        </is>
      </c>
      <c r="F5" s="5" t="inlineStr">
        <is>
          <t>표본 수(개)</t>
        </is>
      </c>
      <c r="G5" s="5" t="inlineStr">
        <is>
          <t>평균 클럭(%)</t>
        </is>
      </c>
      <c r="H5" s="5" t="inlineStr">
        <is>
          <t>평균 클럭(GHz)</t>
        </is>
      </c>
    </row>
    <row r="6">
      <c r="A6" s="9" t="inlineStr">
        <is>
          <t>순차 전체</t>
        </is>
      </c>
      <c r="B6" s="10" t="n">
        <v>46238.46371941618</v>
      </c>
      <c r="C6" s="10" t="n">
        <v>46238.46403307619</v>
      </c>
      <c r="D6" s="11">
        <f>(C6-B6)*86400</f>
        <v/>
      </c>
      <c r="E6" s="12" t="inlineStr">
        <is>
          <t>main (improveSequential, 워밍업+측정)</t>
        </is>
      </c>
      <c r="F6" s="13">
        <f>COUNTIFS('클럭 정리'!$A$6:$A$837,"&gt;="&amp;B6,'클럭 정리'!$A$6:$A$837,"&lt;="&amp;C6)</f>
        <v/>
      </c>
      <c r="G6" s="14">
        <f>AVERAGEIFS('클럭 정리'!$N$6:$N$837,'클럭 정리'!$A$6:$A$837,"&gt;="&amp;B6,'클럭 정리'!$A$6:$A$837,"&lt;="&amp;C6)</f>
        <v/>
      </c>
      <c r="H6" s="15">
        <f>G6*'클럭 정리'!$B$2/100</f>
        <v/>
      </c>
    </row>
    <row r="7">
      <c r="A7" s="9" t="inlineStr">
        <is>
          <t>병렬도 6 분할 1 전체</t>
        </is>
      </c>
      <c r="B7" s="10" t="n">
        <v>46238.46403308774</v>
      </c>
      <c r="C7" s="10" t="n">
        <v>46238.46444193345</v>
      </c>
      <c r="D7" s="11">
        <f>(C7-B7)*86400</f>
        <v/>
      </c>
      <c r="E7" s="12" t="inlineStr">
        <is>
          <t>워커(호출마다 새 풀)+main</t>
        </is>
      </c>
      <c r="F7" s="13">
        <f>COUNTIFS('클럭 정리'!$A$6:$A$837,"&gt;="&amp;B7,'클럭 정리'!$A$6:$A$837,"&lt;="&amp;C7)</f>
        <v/>
      </c>
      <c r="G7" s="14">
        <f>AVERAGEIFS('클럭 정리'!$N$6:$N$837,'클럭 정리'!$A$6:$A$837,"&gt;="&amp;B7,'클럭 정리'!$A$6:$A$837,"&lt;="&amp;C7)</f>
        <v/>
      </c>
      <c r="H7" s="15">
        <f>G7*'클럭 정리'!$B$2/100</f>
        <v/>
      </c>
    </row>
    <row r="8">
      <c r="A8" s="13" t="inlineStr">
        <is>
          <t>병렬도 6 분할 1 워밍업</t>
        </is>
      </c>
      <c r="B8" s="10" t="n">
        <v>46238.46403308774</v>
      </c>
      <c r="C8" s="10" t="n">
        <v>46238.46413716435</v>
      </c>
      <c r="D8" s="11">
        <f>(C8-B8)*86400</f>
        <v/>
      </c>
      <c r="E8" s="12" t="inlineStr">
        <is>
          <t>워커 (IMPLOG 기록 없음)</t>
        </is>
      </c>
      <c r="F8" s="13">
        <f>COUNTIFS('클럭 정리'!$A$6:$A$837,"&gt;="&amp;B8,'클럭 정리'!$A$6:$A$837,"&lt;="&amp;C8)</f>
        <v/>
      </c>
      <c r="G8" s="14">
        <f>AVERAGEIFS('클럭 정리'!$N$6:$N$837,'클럭 정리'!$A$6:$A$837,"&gt;="&amp;B8,'클럭 정리'!$A$6:$A$837,"&lt;="&amp;C8)</f>
        <v/>
      </c>
      <c r="H8" s="15">
        <f>G8*'클럭 정리'!$B$2/100</f>
        <v/>
      </c>
    </row>
    <row r="9">
      <c r="A9" s="13" t="inlineStr">
        <is>
          <t>병렬도 6 분할 1 측정 1회차</t>
        </is>
      </c>
      <c r="B9" s="10" t="n">
        <v>46238.46413716435</v>
      </c>
      <c r="C9" s="10" t="n">
        <v>46238.46418695214</v>
      </c>
      <c r="D9" s="11">
        <f>(C9-B9)*86400</f>
        <v/>
      </c>
      <c r="E9" s="12" t="inlineStr">
        <is>
          <t>ForkJoinPool-3-worker-1 + main(스캔 사이 순차 구간)</t>
        </is>
      </c>
      <c r="F9" s="13">
        <f>COUNTIFS('클럭 정리'!$A$6:$A$837,"&gt;="&amp;B9,'클럭 정리'!$A$6:$A$837,"&lt;="&amp;C9)</f>
        <v/>
      </c>
      <c r="G9" s="14">
        <f>AVERAGEIFS('클럭 정리'!$N$6:$N$837,'클럭 정리'!$A$6:$A$837,"&gt;="&amp;B9,'클럭 정리'!$A$6:$A$837,"&lt;="&amp;C9)</f>
        <v/>
      </c>
      <c r="H9" s="15">
        <f>G9*'클럭 정리'!$B$2/100</f>
        <v/>
      </c>
    </row>
    <row r="10">
      <c r="A10" s="13" t="inlineStr">
        <is>
          <t>병렬도 6 분할 1 측정 2회차</t>
        </is>
      </c>
      <c r="B10" s="10" t="n">
        <v>46238.46418696759</v>
      </c>
      <c r="C10" s="10" t="n">
        <v>46238.4642357333</v>
      </c>
      <c r="D10" s="11">
        <f>(C10-B10)*86400</f>
        <v/>
      </c>
      <c r="E10" s="12" t="inlineStr">
        <is>
          <t>ForkJoinPool-4-worker-1 + main(스캔 사이 순차 구간)</t>
        </is>
      </c>
      <c r="F10" s="13">
        <f>COUNTIFS('클럭 정리'!$A$6:$A$837,"&gt;="&amp;B10,'클럭 정리'!$A$6:$A$837,"&lt;="&amp;C10)</f>
        <v/>
      </c>
      <c r="G10" s="14">
        <f>AVERAGEIFS('클럭 정리'!$N$6:$N$837,'클럭 정리'!$A$6:$A$837,"&gt;="&amp;B10,'클럭 정리'!$A$6:$A$837,"&lt;="&amp;C10)</f>
        <v/>
      </c>
      <c r="H10" s="15">
        <f>G10*'클럭 정리'!$B$2/100</f>
        <v/>
      </c>
    </row>
    <row r="11">
      <c r="A11" s="13" t="inlineStr">
        <is>
          <t>병렬도 6 분할 1 측정 3회차</t>
        </is>
      </c>
      <c r="B11" s="10" t="n">
        <v>46238.46423574074</v>
      </c>
      <c r="C11" s="10" t="n">
        <v>46238.46428980802</v>
      </c>
      <c r="D11" s="11">
        <f>(C11-B11)*86400</f>
        <v/>
      </c>
      <c r="E11" s="12" t="inlineStr">
        <is>
          <t>ForkJoinPool-5-worker-1 + main(스캔 사이 순차 구간)</t>
        </is>
      </c>
      <c r="F11" s="13">
        <f>COUNTIFS('클럭 정리'!$A$6:$A$837,"&gt;="&amp;B11,'클럭 정리'!$A$6:$A$837,"&lt;="&amp;C11)</f>
        <v/>
      </c>
      <c r="G11" s="14">
        <f>AVERAGEIFS('클럭 정리'!$N$6:$N$837,'클럭 정리'!$A$6:$A$837,"&gt;="&amp;B11,'클럭 정리'!$A$6:$A$837,"&lt;="&amp;C11)</f>
        <v/>
      </c>
      <c r="H11" s="15">
        <f>G11*'클럭 정리'!$B$2/100</f>
        <v/>
      </c>
    </row>
    <row r="12">
      <c r="A12" s="13" t="inlineStr">
        <is>
          <t>병렬도 6 분할 1 측정 4회차</t>
        </is>
      </c>
      <c r="B12" s="10" t="n">
        <v>46238.46428981482</v>
      </c>
      <c r="C12" s="10" t="n">
        <v>46238.46433884279</v>
      </c>
      <c r="D12" s="11">
        <f>(C12-B12)*86400</f>
        <v/>
      </c>
      <c r="E12" s="12" t="inlineStr">
        <is>
          <t>ForkJoinPool-6-worker-1 + main(스캔 사이 순차 구간)</t>
        </is>
      </c>
      <c r="F12" s="13">
        <f>COUNTIFS('클럭 정리'!$A$6:$A$837,"&gt;="&amp;B12,'클럭 정리'!$A$6:$A$837,"&lt;="&amp;C12)</f>
        <v/>
      </c>
      <c r="G12" s="14">
        <f>AVERAGEIFS('클럭 정리'!$N$6:$N$837,'클럭 정리'!$A$6:$A$837,"&gt;="&amp;B12,'클럭 정리'!$A$6:$A$837,"&lt;="&amp;C12)</f>
        <v/>
      </c>
      <c r="H12" s="15">
        <f>G12*'클럭 정리'!$B$2/100</f>
        <v/>
      </c>
    </row>
    <row r="13">
      <c r="A13" s="13" t="inlineStr">
        <is>
          <t>병렬도 6 분할 1 측정 5회차</t>
        </is>
      </c>
      <c r="B13" s="10" t="n">
        <v>46238.46433884259</v>
      </c>
      <c r="C13" s="10" t="n">
        <v>46238.46438796352</v>
      </c>
      <c r="D13" s="11">
        <f>(C13-B13)*86400</f>
        <v/>
      </c>
      <c r="E13" s="12" t="inlineStr">
        <is>
          <t>ForkJoinPool-7-worker-1 + main(스캔 사이 순차 구간)</t>
        </is>
      </c>
      <c r="F13" s="13">
        <f>COUNTIFS('클럭 정리'!$A$6:$A$837,"&gt;="&amp;B13,'클럭 정리'!$A$6:$A$837,"&lt;="&amp;C13)</f>
        <v/>
      </c>
      <c r="G13" s="14">
        <f>AVERAGEIFS('클럭 정리'!$N$6:$N$837,'클럭 정리'!$A$6:$A$837,"&gt;="&amp;B13,'클럭 정리'!$A$6:$A$837,"&lt;="&amp;C13)</f>
        <v/>
      </c>
      <c r="H13" s="15">
        <f>G13*'클럭 정리'!$B$2/100</f>
        <v/>
      </c>
    </row>
    <row r="14">
      <c r="A14" s="13" t="inlineStr">
        <is>
          <t>병렬도 6 분할 1 워커별 CPU 읽기 실행</t>
        </is>
      </c>
      <c r="B14" s="10" t="n">
        <v>46238.46438796352</v>
      </c>
      <c r="C14" s="10" t="n">
        <v>46238.46444193345</v>
      </c>
      <c r="D14" s="11">
        <f>(C14-B14)*86400</f>
        <v/>
      </c>
      <c r="E14" s="12" t="inlineStr">
        <is>
          <t>ForkJoinPool-8-worker-1 + main</t>
        </is>
      </c>
      <c r="F14" s="13">
        <f>COUNTIFS('클럭 정리'!$A$6:$A$837,"&gt;="&amp;B14,'클럭 정리'!$A$6:$A$837,"&lt;="&amp;C14)</f>
        <v/>
      </c>
      <c r="G14" s="14">
        <f>AVERAGEIFS('클럭 정리'!$N$6:$N$837,'클럭 정리'!$A$6:$A$837,"&gt;="&amp;B14,'클럭 정리'!$A$6:$A$837,"&lt;="&amp;C14)</f>
        <v/>
      </c>
      <c r="H14" s="15">
        <f>G14*'클럭 정리'!$B$2/100</f>
        <v/>
      </c>
    </row>
    <row r="15">
      <c r="A15" s="9" t="inlineStr">
        <is>
          <t>병렬도 12 분할 1 전체</t>
        </is>
      </c>
      <c r="B15" s="10" t="n">
        <v>46238.46444194502</v>
      </c>
      <c r="C15" s="10" t="n">
        <v>46238.46484436037</v>
      </c>
      <c r="D15" s="11">
        <f>(C15-B15)*86400</f>
        <v/>
      </c>
      <c r="E15" s="12" t="inlineStr">
        <is>
          <t>워커(호출마다 새 풀)+main</t>
        </is>
      </c>
      <c r="F15" s="13">
        <f>COUNTIFS('클럭 정리'!$A$6:$A$837,"&gt;="&amp;B15,'클럭 정리'!$A$6:$A$837,"&lt;="&amp;C15)</f>
        <v/>
      </c>
      <c r="G15" s="14">
        <f>AVERAGEIFS('클럭 정리'!$N$6:$N$837,'클럭 정리'!$A$6:$A$837,"&gt;="&amp;B15,'클럭 정리'!$A$6:$A$837,"&lt;="&amp;C15)</f>
        <v/>
      </c>
      <c r="H15" s="15">
        <f>G15*'클럭 정리'!$B$2/100</f>
        <v/>
      </c>
    </row>
    <row r="16">
      <c r="A16" s="13" t="inlineStr">
        <is>
          <t>병렬도 12 분할 1 워밍업</t>
        </is>
      </c>
      <c r="B16" s="10" t="n">
        <v>46238.46444194502</v>
      </c>
      <c r="C16" s="10" t="n">
        <v>46238.46453949074</v>
      </c>
      <c r="D16" s="11">
        <f>(C16-B16)*86400</f>
        <v/>
      </c>
      <c r="E16" s="12" t="inlineStr">
        <is>
          <t>워커 (IMPLOG 기록 없음)</t>
        </is>
      </c>
      <c r="F16" s="13">
        <f>COUNTIFS('클럭 정리'!$A$6:$A$837,"&gt;="&amp;B16,'클럭 정리'!$A$6:$A$837,"&lt;="&amp;C16)</f>
        <v/>
      </c>
      <c r="G16" s="14">
        <f>AVERAGEIFS('클럭 정리'!$N$6:$N$837,'클럭 정리'!$A$6:$A$837,"&gt;="&amp;B16,'클럭 정리'!$A$6:$A$837,"&lt;="&amp;C16)</f>
        <v/>
      </c>
      <c r="H16" s="15">
        <f>G16*'클럭 정리'!$B$2/100</f>
        <v/>
      </c>
    </row>
    <row r="17">
      <c r="A17" s="13" t="inlineStr">
        <is>
          <t>병렬도 12 분할 1 측정 1회차</t>
        </is>
      </c>
      <c r="B17" s="10" t="n">
        <v>46238.46453949074</v>
      </c>
      <c r="C17" s="10" t="n">
        <v>46238.4645890176</v>
      </c>
      <c r="D17" s="11">
        <f>(C17-B17)*86400</f>
        <v/>
      </c>
      <c r="E17" s="12" t="inlineStr">
        <is>
          <t>ForkJoinPool-11-worker-1 + main(스캔 사이 순차 구간)</t>
        </is>
      </c>
      <c r="F17" s="13">
        <f>COUNTIFS('클럭 정리'!$A$6:$A$837,"&gt;="&amp;B17,'클럭 정리'!$A$6:$A$837,"&lt;="&amp;C17)</f>
        <v/>
      </c>
      <c r="G17" s="14">
        <f>AVERAGEIFS('클럭 정리'!$N$6:$N$837,'클럭 정리'!$A$6:$A$837,"&gt;="&amp;B17,'클럭 정리'!$A$6:$A$837,"&lt;="&amp;C17)</f>
        <v/>
      </c>
      <c r="H17" s="15">
        <f>G17*'클럭 정리'!$B$2/100</f>
        <v/>
      </c>
    </row>
    <row r="18">
      <c r="A18" s="13" t="inlineStr">
        <is>
          <t>병렬도 12 분할 1 측정 2회차</t>
        </is>
      </c>
      <c r="B18" s="10" t="n">
        <v>46238.46458902778</v>
      </c>
      <c r="C18" s="10" t="n">
        <v>46238.4646441156</v>
      </c>
      <c r="D18" s="11">
        <f>(C18-B18)*86400</f>
        <v/>
      </c>
      <c r="E18" s="12" t="inlineStr">
        <is>
          <t>ForkJoinPool-12-worker-1 + main(스캔 사이 순차 구간)</t>
        </is>
      </c>
      <c r="F18" s="13">
        <f>COUNTIFS('클럭 정리'!$A$6:$A$837,"&gt;="&amp;B18,'클럭 정리'!$A$6:$A$837,"&lt;="&amp;C18)</f>
        <v/>
      </c>
      <c r="G18" s="14">
        <f>AVERAGEIFS('클럭 정리'!$N$6:$N$837,'클럭 정리'!$A$6:$A$837,"&gt;="&amp;B18,'클럭 정리'!$A$6:$A$837,"&lt;="&amp;C18)</f>
        <v/>
      </c>
      <c r="H18" s="15">
        <f>G18*'클럭 정리'!$B$2/100</f>
        <v/>
      </c>
    </row>
    <row r="19">
      <c r="A19" s="13" t="inlineStr">
        <is>
          <t>병렬도 12 분할 1 측정 3회차</t>
        </is>
      </c>
      <c r="B19" s="10" t="n">
        <v>46238.46464412037</v>
      </c>
      <c r="C19" s="10" t="n">
        <v>46238.46469332703</v>
      </c>
      <c r="D19" s="11">
        <f>(C19-B19)*86400</f>
        <v/>
      </c>
      <c r="E19" s="12" t="inlineStr">
        <is>
          <t>ForkJoinPool-13-worker-1 + main(스캔 사이 순차 구간)</t>
        </is>
      </c>
      <c r="F19" s="13">
        <f>COUNTIFS('클럭 정리'!$A$6:$A$837,"&gt;="&amp;B19,'클럭 정리'!$A$6:$A$837,"&lt;="&amp;C19)</f>
        <v/>
      </c>
      <c r="G19" s="14">
        <f>AVERAGEIFS('클럭 정리'!$N$6:$N$837,'클럭 정리'!$A$6:$A$837,"&gt;="&amp;B19,'클럭 정리'!$A$6:$A$837,"&lt;="&amp;C19)</f>
        <v/>
      </c>
      <c r="H19" s="15">
        <f>G19*'클럭 정리'!$B$2/100</f>
        <v/>
      </c>
    </row>
    <row r="20">
      <c r="A20" s="13" t="inlineStr">
        <is>
          <t>병렬도 12 분할 1 측정 4회차</t>
        </is>
      </c>
      <c r="B20" s="10" t="n">
        <v>46238.4646933449</v>
      </c>
      <c r="C20" s="10" t="n">
        <v>46238.46474216829</v>
      </c>
      <c r="D20" s="11">
        <f>(C20-B20)*86400</f>
        <v/>
      </c>
      <c r="E20" s="12" t="inlineStr">
        <is>
          <t>ForkJoinPool-14-worker-1 + main(스캔 사이 순차 구간)</t>
        </is>
      </c>
      <c r="F20" s="13">
        <f>COUNTIFS('클럭 정리'!$A$6:$A$837,"&gt;="&amp;B20,'클럭 정리'!$A$6:$A$837,"&lt;="&amp;C20)</f>
        <v/>
      </c>
      <c r="G20" s="14">
        <f>AVERAGEIFS('클럭 정리'!$N$6:$N$837,'클럭 정리'!$A$6:$A$837,"&gt;="&amp;B20,'클럭 정리'!$A$6:$A$837,"&lt;="&amp;C20)</f>
        <v/>
      </c>
      <c r="H20" s="15">
        <f>G20*'클럭 정리'!$B$2/100</f>
        <v/>
      </c>
    </row>
    <row r="21">
      <c r="A21" s="13" t="inlineStr">
        <is>
          <t>병렬도 12 분할 1 측정 5회차</t>
        </is>
      </c>
      <c r="B21" s="10" t="n">
        <v>46238.46474217593</v>
      </c>
      <c r="C21" s="10" t="n">
        <v>46238.46479565433</v>
      </c>
      <c r="D21" s="11">
        <f>(C21-B21)*86400</f>
        <v/>
      </c>
      <c r="E21" s="12" t="inlineStr">
        <is>
          <t>ForkJoinPool-15-worker-1 + main(스캔 사이 순차 구간)</t>
        </is>
      </c>
      <c r="F21" s="13">
        <f>COUNTIFS('클럭 정리'!$A$6:$A$837,"&gt;="&amp;B21,'클럭 정리'!$A$6:$A$837,"&lt;="&amp;C21)</f>
        <v/>
      </c>
      <c r="G21" s="14">
        <f>AVERAGEIFS('클럭 정리'!$N$6:$N$837,'클럭 정리'!$A$6:$A$837,"&gt;="&amp;B21,'클럭 정리'!$A$6:$A$837,"&lt;="&amp;C21)</f>
        <v/>
      </c>
      <c r="H21" s="15">
        <f>G21*'클럭 정리'!$B$2/100</f>
        <v/>
      </c>
    </row>
    <row r="22">
      <c r="A22" s="13" t="inlineStr">
        <is>
          <t>병렬도 12 분할 1 워커별 CPU 읽기 실행</t>
        </is>
      </c>
      <c r="B22" s="10" t="n">
        <v>46238.46479565433</v>
      </c>
      <c r="C22" s="10" t="n">
        <v>46238.46484436037</v>
      </c>
      <c r="D22" s="11">
        <f>(C22-B22)*86400</f>
        <v/>
      </c>
      <c r="E22" s="12" t="inlineStr">
        <is>
          <t>ForkJoinPool-16-worker-1 + main</t>
        </is>
      </c>
      <c r="F22" s="13">
        <f>COUNTIFS('클럭 정리'!$A$6:$A$837,"&gt;="&amp;B22,'클럭 정리'!$A$6:$A$837,"&lt;="&amp;C22)</f>
        <v/>
      </c>
      <c r="G22" s="14">
        <f>AVERAGEIFS('클럭 정리'!$N$6:$N$837,'클럭 정리'!$A$6:$A$837,"&gt;="&amp;B22,'클럭 정리'!$A$6:$A$837,"&lt;="&amp;C22)</f>
        <v/>
      </c>
      <c r="H22" s="15">
        <f>G22*'클럭 정리'!$B$2/100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16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26" customWidth="1" min="3" max="3"/>
    <col width="40" customWidth="1" min="4" max="4"/>
    <col width="14" customWidth="1" min="5" max="5"/>
    <col width="14" customWidth="1" min="6" max="6"/>
    <col width="17" customWidth="1" min="7" max="7"/>
    <col width="15" customWidth="1" min="8" max="8"/>
    <col width="11" customWidth="1" min="9" max="9"/>
    <col width="12" customWidth="1" min="10" max="10"/>
    <col width="13" customWidth="1" min="11" max="11"/>
  </cols>
  <sheetData>
    <row r="1">
      <c r="A1" s="1" t="inlineStr">
        <is>
          <t>측정 회차 구간 안의 스레드별 활동 창과 클럭, 그리고 풀별 클럭 표본 매핑</t>
        </is>
      </c>
    </row>
    <row r="2">
      <c r="A2" s="4" t="inlineStr">
        <is>
          <t>활동 창의 출처: 워커는 IMPLOG leaf(첫 말단 시작 ~ 마지막 말단 시작+4중 루프), main은 IMPLOG scan이다. 활동 시간 합은 워커가 4중 루프 경과 시간 합이고, main은 그 회차의 mainCPU(IMPLOG run 레코드, CPU 시간)다. 말단이 2개 이상 겹치면 경과 시간 뺄셈으로는 main 몫이 나오지 않아 실측 CPU 시간으로 바꿨다(2026-08-04). run 레코드가 없는 옛 로그는 main의 이 칸이 빈 칸이고, mainCPU는 Windows 해상도(15.625ms) 계단이라 0으로 찍힐 수 있다.</t>
        </is>
      </c>
    </row>
    <row r="3">
      <c r="A3" s="4" t="inlineStr">
        <is>
          <t>클럭 값은 그 창에 걸린 표본의 전체 프로세서 평균이다. 스레드가 어느 논리 프로세서에서 돌았는지는 기록되지 않으므로 특정 코어의 클럭이 아니다. 워커별 CPU 읽기 실행의 풀은 IMPLOG가 꺼져 있어 이 시트에 없다.</t>
        </is>
      </c>
    </row>
    <row r="5">
      <c r="A5" s="5" t="inlineStr">
        <is>
          <t>구간</t>
        </is>
      </c>
      <c r="B5" s="5" t="inlineStr">
        <is>
          <t>회차</t>
        </is>
      </c>
      <c r="C5" s="5" t="inlineStr">
        <is>
          <t>스레드</t>
        </is>
      </c>
      <c r="D5" s="5" t="inlineStr">
        <is>
          <t>역할</t>
        </is>
      </c>
      <c r="E5" s="5" t="inlineStr">
        <is>
          <t>활동 시작</t>
        </is>
      </c>
      <c r="F5" s="5" t="inlineStr">
        <is>
          <t>활동 끝</t>
        </is>
      </c>
      <c r="G5" s="5" t="inlineStr">
        <is>
          <t>처리 수(말단/스캔)</t>
        </is>
      </c>
      <c r="H5" s="5" t="inlineStr">
        <is>
          <t>활동 시간 합(ms)</t>
        </is>
      </c>
      <c r="I5" s="5" t="inlineStr">
        <is>
          <t>표본 수(개)</t>
        </is>
      </c>
      <c r="J5" s="5" t="inlineStr">
        <is>
          <t>평균 클럭(%)</t>
        </is>
      </c>
      <c r="K5" s="5" t="inlineStr">
        <is>
          <t>평균 클럭(GHz)</t>
        </is>
      </c>
    </row>
    <row r="6">
      <c r="A6" s="13" t="inlineStr">
        <is>
          <t>병렬도 6 분할 1</t>
        </is>
      </c>
      <c r="B6" s="13" t="n">
        <v>1</v>
      </c>
      <c r="C6" s="13" t="inlineStr">
        <is>
          <t>ForkJoinPool-3-worker-1</t>
        </is>
      </c>
      <c r="D6" s="12" t="inlineStr">
        <is>
          <t>워커</t>
        </is>
      </c>
      <c r="E6" s="10" t="n">
        <v>46238.46413716435</v>
      </c>
      <c r="F6" s="10" t="n">
        <v>46238.46418695099</v>
      </c>
      <c r="G6" s="13" t="n">
        <v>45</v>
      </c>
      <c r="H6" s="14" t="n">
        <v>4279.9327</v>
      </c>
      <c r="I6" s="13">
        <f>COUNTIFS('클럭 정리'!$A$6:$A$837,"&gt;="&amp;E6,'클럭 정리'!$A$6:$A$837,"&lt;="&amp;F6)</f>
        <v/>
      </c>
      <c r="J6" s="14">
        <f>AVERAGEIFS('클럭 정리'!$N$6:$N$837,'클럭 정리'!$A$6:$A$837,"&gt;="&amp;E6,'클럭 정리'!$A$6:$A$837,"&lt;="&amp;F6)</f>
        <v/>
      </c>
      <c r="K6" s="15">
        <f>J6*'클럭 정리'!$B$2/100</f>
        <v/>
      </c>
    </row>
    <row r="7">
      <c r="A7" s="13" t="inlineStr">
        <is>
          <t>병렬도 6 분할 1</t>
        </is>
      </c>
      <c r="B7" s="13" t="n">
        <v>1</v>
      </c>
      <c r="C7" s="13" t="inlineStr">
        <is>
          <t>main</t>
        </is>
      </c>
      <c r="D7" s="12" t="inlineStr">
        <is>
          <t>main (활동 시간 합 = 그 회차 mainCPU, 창은 워커와 겹침)</t>
        </is>
      </c>
      <c r="E7" s="10" t="n">
        <v>46238.46413716435</v>
      </c>
      <c r="F7" s="10" t="n">
        <v>46238.46418695214</v>
      </c>
      <c r="G7" s="13" t="n">
        <v>45</v>
      </c>
      <c r="H7" s="14" t="n">
        <v>0</v>
      </c>
      <c r="I7" s="13">
        <f>COUNTIFS('클럭 정리'!$A$6:$A$837,"&gt;="&amp;E7,'클럭 정리'!$A$6:$A$837,"&lt;="&amp;F7)</f>
        <v/>
      </c>
      <c r="J7" s="14">
        <f>AVERAGEIFS('클럭 정리'!$N$6:$N$837,'클럭 정리'!$A$6:$A$837,"&gt;="&amp;E7,'클럭 정리'!$A$6:$A$837,"&lt;="&amp;F7)</f>
        <v/>
      </c>
      <c r="K7" s="15">
        <f>J7*'클럭 정리'!$B$2/100</f>
        <v/>
      </c>
    </row>
    <row r="8">
      <c r="A8" s="13" t="inlineStr">
        <is>
          <t>병렬도 6 분할 1</t>
        </is>
      </c>
      <c r="B8" s="13" t="n">
        <v>2</v>
      </c>
      <c r="C8" s="13" t="inlineStr">
        <is>
          <t>ForkJoinPool-4-worker-1</t>
        </is>
      </c>
      <c r="D8" s="12" t="inlineStr">
        <is>
          <t>워커</t>
        </is>
      </c>
      <c r="E8" s="10" t="n">
        <v>46238.46418696759</v>
      </c>
      <c r="F8" s="10" t="n">
        <v>46238.46423573208</v>
      </c>
      <c r="G8" s="13" t="n">
        <v>45</v>
      </c>
      <c r="H8" s="14" t="n">
        <v>4206.091</v>
      </c>
      <c r="I8" s="13">
        <f>COUNTIFS('클럭 정리'!$A$6:$A$837,"&gt;="&amp;E8,'클럭 정리'!$A$6:$A$837,"&lt;="&amp;F8)</f>
        <v/>
      </c>
      <c r="J8" s="14">
        <f>AVERAGEIFS('클럭 정리'!$N$6:$N$837,'클럭 정리'!$A$6:$A$837,"&gt;="&amp;E8,'클럭 정리'!$A$6:$A$837,"&lt;="&amp;F8)</f>
        <v/>
      </c>
      <c r="K8" s="15">
        <f>J8*'클럭 정리'!$B$2/100</f>
        <v/>
      </c>
    </row>
    <row r="9">
      <c r="A9" s="13" t="inlineStr">
        <is>
          <t>병렬도 6 분할 1</t>
        </is>
      </c>
      <c r="B9" s="13" t="n">
        <v>2</v>
      </c>
      <c r="C9" s="13" t="inlineStr">
        <is>
          <t>main</t>
        </is>
      </c>
      <c r="D9" s="12" t="inlineStr">
        <is>
          <t>main (활동 시간 합 = 그 회차 mainCPU, 창은 워커와 겹침)</t>
        </is>
      </c>
      <c r="E9" s="10" t="n">
        <v>46238.46418696759</v>
      </c>
      <c r="F9" s="10" t="n">
        <v>46238.4642357333</v>
      </c>
      <c r="G9" s="13" t="n">
        <v>45</v>
      </c>
      <c r="H9" s="14" t="n">
        <v>0</v>
      </c>
      <c r="I9" s="13">
        <f>COUNTIFS('클럭 정리'!$A$6:$A$837,"&gt;="&amp;E9,'클럭 정리'!$A$6:$A$837,"&lt;="&amp;F9)</f>
        <v/>
      </c>
      <c r="J9" s="14">
        <f>AVERAGEIFS('클럭 정리'!$N$6:$N$837,'클럭 정리'!$A$6:$A$837,"&gt;="&amp;E9,'클럭 정리'!$A$6:$A$837,"&lt;="&amp;F9)</f>
        <v/>
      </c>
      <c r="K9" s="15">
        <f>J9*'클럭 정리'!$B$2/100</f>
        <v/>
      </c>
    </row>
    <row r="10">
      <c r="A10" s="13" t="inlineStr">
        <is>
          <t>병렬도 6 분할 1</t>
        </is>
      </c>
      <c r="B10" s="13" t="n">
        <v>3</v>
      </c>
      <c r="C10" s="13" t="inlineStr">
        <is>
          <t>ForkJoinPool-5-worker-1</t>
        </is>
      </c>
      <c r="D10" s="12" t="inlineStr">
        <is>
          <t>워커</t>
        </is>
      </c>
      <c r="E10" s="10" t="n">
        <v>46238.46423574074</v>
      </c>
      <c r="F10" s="10" t="n">
        <v>46238.46428980697</v>
      </c>
      <c r="G10" s="13" t="n">
        <v>45</v>
      </c>
      <c r="H10" s="14" t="n">
        <v>4661.8647</v>
      </c>
      <c r="I10" s="13">
        <f>COUNTIFS('클럭 정리'!$A$6:$A$837,"&gt;="&amp;E10,'클럭 정리'!$A$6:$A$837,"&lt;="&amp;F10)</f>
        <v/>
      </c>
      <c r="J10" s="14">
        <f>AVERAGEIFS('클럭 정리'!$N$6:$N$837,'클럭 정리'!$A$6:$A$837,"&gt;="&amp;E10,'클럭 정리'!$A$6:$A$837,"&lt;="&amp;F10)</f>
        <v/>
      </c>
      <c r="K10" s="15">
        <f>J10*'클럭 정리'!$B$2/100</f>
        <v/>
      </c>
    </row>
    <row r="11">
      <c r="A11" s="13" t="inlineStr">
        <is>
          <t>병렬도 6 분할 1</t>
        </is>
      </c>
      <c r="B11" s="13" t="n">
        <v>3</v>
      </c>
      <c r="C11" s="13" t="inlineStr">
        <is>
          <t>main</t>
        </is>
      </c>
      <c r="D11" s="12" t="inlineStr">
        <is>
          <t>main (활동 시간 합 = 그 회차 mainCPU, 창은 워커와 겹침)</t>
        </is>
      </c>
      <c r="E11" s="10" t="n">
        <v>46238.46423574074</v>
      </c>
      <c r="F11" s="10" t="n">
        <v>46238.46428980802</v>
      </c>
      <c r="G11" s="13" t="n">
        <v>45</v>
      </c>
      <c r="H11" s="14" t="n">
        <v>0</v>
      </c>
      <c r="I11" s="13">
        <f>COUNTIFS('클럭 정리'!$A$6:$A$837,"&gt;="&amp;E11,'클럭 정리'!$A$6:$A$837,"&lt;="&amp;F11)</f>
        <v/>
      </c>
      <c r="J11" s="14">
        <f>AVERAGEIFS('클럭 정리'!$N$6:$N$837,'클럭 정리'!$A$6:$A$837,"&gt;="&amp;E11,'클럭 정리'!$A$6:$A$837,"&lt;="&amp;F11)</f>
        <v/>
      </c>
      <c r="K11" s="15">
        <f>J11*'클럭 정리'!$B$2/100</f>
        <v/>
      </c>
    </row>
    <row r="12">
      <c r="A12" s="13" t="inlineStr">
        <is>
          <t>병렬도 6 분할 1</t>
        </is>
      </c>
      <c r="B12" s="13" t="n">
        <v>4</v>
      </c>
      <c r="C12" s="13" t="inlineStr">
        <is>
          <t>ForkJoinPool-6-worker-1</t>
        </is>
      </c>
      <c r="D12" s="12" t="inlineStr">
        <is>
          <t>워커</t>
        </is>
      </c>
      <c r="E12" s="10" t="n">
        <v>46238.46428982639</v>
      </c>
      <c r="F12" s="10" t="n">
        <v>46238.46433884183</v>
      </c>
      <c r="G12" s="13" t="n">
        <v>45</v>
      </c>
      <c r="H12" s="14" t="n">
        <v>4226.8529</v>
      </c>
      <c r="I12" s="13">
        <f>COUNTIFS('클럭 정리'!$A$6:$A$837,"&gt;="&amp;E12,'클럭 정리'!$A$6:$A$837,"&lt;="&amp;F12)</f>
        <v/>
      </c>
      <c r="J12" s="14">
        <f>AVERAGEIFS('클럭 정리'!$N$6:$N$837,'클럭 정리'!$A$6:$A$837,"&gt;="&amp;E12,'클럭 정리'!$A$6:$A$837,"&lt;="&amp;F12)</f>
        <v/>
      </c>
      <c r="K12" s="15">
        <f>J12*'클럭 정리'!$B$2/100</f>
        <v/>
      </c>
    </row>
    <row r="13">
      <c r="A13" s="13" t="inlineStr">
        <is>
          <t>병렬도 6 분할 1</t>
        </is>
      </c>
      <c r="B13" s="13" t="n">
        <v>4</v>
      </c>
      <c r="C13" s="13" t="inlineStr">
        <is>
          <t>main</t>
        </is>
      </c>
      <c r="D13" s="12" t="inlineStr">
        <is>
          <t>main (활동 시간 합 = 그 회차 mainCPU, 창은 워커와 겹침)</t>
        </is>
      </c>
      <c r="E13" s="10" t="n">
        <v>46238.46428981482</v>
      </c>
      <c r="F13" s="10" t="n">
        <v>46238.46433884279</v>
      </c>
      <c r="G13" s="13" t="n">
        <v>45</v>
      </c>
      <c r="H13" s="14" t="n">
        <v>0</v>
      </c>
      <c r="I13" s="13">
        <f>COUNTIFS('클럭 정리'!$A$6:$A$837,"&gt;="&amp;E13,'클럭 정리'!$A$6:$A$837,"&lt;="&amp;F13)</f>
        <v/>
      </c>
      <c r="J13" s="14">
        <f>AVERAGEIFS('클럭 정리'!$N$6:$N$837,'클럭 정리'!$A$6:$A$837,"&gt;="&amp;E13,'클럭 정리'!$A$6:$A$837,"&lt;="&amp;F13)</f>
        <v/>
      </c>
      <c r="K13" s="15">
        <f>J13*'클럭 정리'!$B$2/100</f>
        <v/>
      </c>
    </row>
    <row r="14">
      <c r="A14" s="13" t="inlineStr">
        <is>
          <t>병렬도 6 분할 1</t>
        </is>
      </c>
      <c r="B14" s="13" t="n">
        <v>5</v>
      </c>
      <c r="C14" s="13" t="inlineStr">
        <is>
          <t>ForkJoinPool-7-worker-1</t>
        </is>
      </c>
      <c r="D14" s="12" t="inlineStr">
        <is>
          <t>워커</t>
        </is>
      </c>
      <c r="E14" s="10" t="n">
        <v>46238.46433885417</v>
      </c>
      <c r="F14" s="10" t="n">
        <v>46238.4643879625</v>
      </c>
      <c r="G14" s="13" t="n">
        <v>45</v>
      </c>
      <c r="H14" s="14" t="n">
        <v>4238.2286</v>
      </c>
      <c r="I14" s="13">
        <f>COUNTIFS('클럭 정리'!$A$6:$A$837,"&gt;="&amp;E14,'클럭 정리'!$A$6:$A$837,"&lt;="&amp;F14)</f>
        <v/>
      </c>
      <c r="J14" s="14">
        <f>AVERAGEIFS('클럭 정리'!$N$6:$N$837,'클럭 정리'!$A$6:$A$837,"&gt;="&amp;E14,'클럭 정리'!$A$6:$A$837,"&lt;="&amp;F14)</f>
        <v/>
      </c>
      <c r="K14" s="15">
        <f>J14*'클럭 정리'!$B$2/100</f>
        <v/>
      </c>
    </row>
    <row r="15">
      <c r="A15" s="13" t="inlineStr">
        <is>
          <t>병렬도 6 분할 1</t>
        </is>
      </c>
      <c r="B15" s="13" t="n">
        <v>5</v>
      </c>
      <c r="C15" s="13" t="inlineStr">
        <is>
          <t>main</t>
        </is>
      </c>
      <c r="D15" s="12" t="inlineStr">
        <is>
          <t>main (활동 시간 합 = 그 회차 mainCPU, 창은 워커와 겹침)</t>
        </is>
      </c>
      <c r="E15" s="10" t="n">
        <v>46238.46433884259</v>
      </c>
      <c r="F15" s="10" t="n">
        <v>46238.46438796352</v>
      </c>
      <c r="G15" s="13" t="n">
        <v>45</v>
      </c>
      <c r="H15" s="14" t="n">
        <v>0</v>
      </c>
      <c r="I15" s="13">
        <f>COUNTIFS('클럭 정리'!$A$6:$A$837,"&gt;="&amp;E15,'클럭 정리'!$A$6:$A$837,"&lt;="&amp;F15)</f>
        <v/>
      </c>
      <c r="J15" s="14">
        <f>AVERAGEIFS('클럭 정리'!$N$6:$N$837,'클럭 정리'!$A$6:$A$837,"&gt;="&amp;E15,'클럭 정리'!$A$6:$A$837,"&lt;="&amp;F15)</f>
        <v/>
      </c>
      <c r="K15" s="15">
        <f>J15*'클럭 정리'!$B$2/100</f>
        <v/>
      </c>
    </row>
    <row r="16">
      <c r="A16" s="13" t="inlineStr">
        <is>
          <t>병렬도 12 분할 1</t>
        </is>
      </c>
      <c r="B16" s="13" t="n">
        <v>1</v>
      </c>
      <c r="C16" s="13" t="inlineStr">
        <is>
          <t>ForkJoinPool-11-worker-1</t>
        </is>
      </c>
      <c r="D16" s="12" t="inlineStr">
        <is>
          <t>워커</t>
        </is>
      </c>
      <c r="E16" s="10" t="n">
        <v>46238.46453950232</v>
      </c>
      <c r="F16" s="10" t="n">
        <v>46238.46458901653</v>
      </c>
      <c r="G16" s="13" t="n">
        <v>45</v>
      </c>
      <c r="H16" s="14" t="n">
        <v>4272.3384</v>
      </c>
      <c r="I16" s="13">
        <f>COUNTIFS('클럭 정리'!$A$6:$A$837,"&gt;="&amp;E16,'클럭 정리'!$A$6:$A$837,"&lt;="&amp;F16)</f>
        <v/>
      </c>
      <c r="J16" s="14">
        <f>AVERAGEIFS('클럭 정리'!$N$6:$N$837,'클럭 정리'!$A$6:$A$837,"&gt;="&amp;E16,'클럭 정리'!$A$6:$A$837,"&lt;="&amp;F16)</f>
        <v/>
      </c>
      <c r="K16" s="15">
        <f>J16*'클럭 정리'!$B$2/100</f>
        <v/>
      </c>
    </row>
    <row r="17">
      <c r="A17" s="13" t="inlineStr">
        <is>
          <t>병렬도 12 분할 1</t>
        </is>
      </c>
      <c r="B17" s="13" t="n">
        <v>1</v>
      </c>
      <c r="C17" s="13" t="inlineStr">
        <is>
          <t>main</t>
        </is>
      </c>
      <c r="D17" s="12" t="inlineStr">
        <is>
          <t>main (활동 시간 합 = 그 회차 mainCPU, 창은 워커와 겹침)</t>
        </is>
      </c>
      <c r="E17" s="10" t="n">
        <v>46238.46453949074</v>
      </c>
      <c r="F17" s="10" t="n">
        <v>46238.4645890176</v>
      </c>
      <c r="G17" s="13" t="n">
        <v>45</v>
      </c>
      <c r="H17" s="14" t="n">
        <v>0</v>
      </c>
      <c r="I17" s="13">
        <f>COUNTIFS('클럭 정리'!$A$6:$A$837,"&gt;="&amp;E17,'클럭 정리'!$A$6:$A$837,"&lt;="&amp;F17)</f>
        <v/>
      </c>
      <c r="J17" s="14">
        <f>AVERAGEIFS('클럭 정리'!$N$6:$N$837,'클럭 정리'!$A$6:$A$837,"&gt;="&amp;E17,'클럭 정리'!$A$6:$A$837,"&lt;="&amp;F17)</f>
        <v/>
      </c>
      <c r="K17" s="15">
        <f>J17*'클럭 정리'!$B$2/100</f>
        <v/>
      </c>
    </row>
    <row r="18">
      <c r="A18" s="13" t="inlineStr">
        <is>
          <t>병렬도 12 분할 1</t>
        </is>
      </c>
      <c r="B18" s="13" t="n">
        <v>2</v>
      </c>
      <c r="C18" s="13" t="inlineStr">
        <is>
          <t>ForkJoinPool-12-worker-1</t>
        </is>
      </c>
      <c r="D18" s="12" t="inlineStr">
        <is>
          <t>워커</t>
        </is>
      </c>
      <c r="E18" s="10" t="n">
        <v>46238.46458903935</v>
      </c>
      <c r="F18" s="10" t="n">
        <v>46238.46464411489</v>
      </c>
      <c r="G18" s="13" t="n">
        <v>45</v>
      </c>
      <c r="H18" s="14" t="n">
        <v>4752.8475</v>
      </c>
      <c r="I18" s="13">
        <f>COUNTIFS('클럭 정리'!$A$6:$A$837,"&gt;="&amp;E18,'클럭 정리'!$A$6:$A$837,"&lt;="&amp;F18)</f>
        <v/>
      </c>
      <c r="J18" s="14">
        <f>AVERAGEIFS('클럭 정리'!$N$6:$N$837,'클럭 정리'!$A$6:$A$837,"&gt;="&amp;E18,'클럭 정리'!$A$6:$A$837,"&lt;="&amp;F18)</f>
        <v/>
      </c>
      <c r="K18" s="15">
        <f>J18*'클럭 정리'!$B$2/100</f>
        <v/>
      </c>
    </row>
    <row r="19">
      <c r="A19" s="13" t="inlineStr">
        <is>
          <t>병렬도 12 분할 1</t>
        </is>
      </c>
      <c r="B19" s="13" t="n">
        <v>2</v>
      </c>
      <c r="C19" s="13" t="inlineStr">
        <is>
          <t>main</t>
        </is>
      </c>
      <c r="D19" s="12" t="inlineStr">
        <is>
          <t>main (활동 시간 합 = 그 회차 mainCPU, 창은 워커와 겹침)</t>
        </is>
      </c>
      <c r="E19" s="10" t="n">
        <v>46238.46458902778</v>
      </c>
      <c r="F19" s="10" t="n">
        <v>46238.4646441156</v>
      </c>
      <c r="G19" s="13" t="n">
        <v>45</v>
      </c>
      <c r="H19" s="14" t="n">
        <v>0</v>
      </c>
      <c r="I19" s="13">
        <f>COUNTIFS('클럭 정리'!$A$6:$A$837,"&gt;="&amp;E19,'클럭 정리'!$A$6:$A$837,"&lt;="&amp;F19)</f>
        <v/>
      </c>
      <c r="J19" s="14">
        <f>AVERAGEIFS('클럭 정리'!$N$6:$N$837,'클럭 정리'!$A$6:$A$837,"&gt;="&amp;E19,'클럭 정리'!$A$6:$A$837,"&lt;="&amp;F19)</f>
        <v/>
      </c>
      <c r="K19" s="15">
        <f>J19*'클럭 정리'!$B$2/100</f>
        <v/>
      </c>
    </row>
    <row r="20">
      <c r="A20" s="13" t="inlineStr">
        <is>
          <t>병렬도 12 분할 1</t>
        </is>
      </c>
      <c r="B20" s="13" t="n">
        <v>3</v>
      </c>
      <c r="C20" s="13" t="inlineStr">
        <is>
          <t>ForkJoinPool-13-worker-1</t>
        </is>
      </c>
      <c r="D20" s="12" t="inlineStr">
        <is>
          <t>워커</t>
        </is>
      </c>
      <c r="E20" s="10" t="n">
        <v>46238.46464413194</v>
      </c>
      <c r="F20" s="10" t="n">
        <v>46238.46469333743</v>
      </c>
      <c r="G20" s="13" t="n">
        <v>45</v>
      </c>
      <c r="H20" s="14" t="n">
        <v>4246.9405</v>
      </c>
      <c r="I20" s="13">
        <f>COUNTIFS('클럭 정리'!$A$6:$A$837,"&gt;="&amp;E20,'클럭 정리'!$A$6:$A$837,"&lt;="&amp;F20)</f>
        <v/>
      </c>
      <c r="J20" s="14">
        <f>AVERAGEIFS('클럭 정리'!$N$6:$N$837,'클럭 정리'!$A$6:$A$837,"&gt;="&amp;E20,'클럭 정리'!$A$6:$A$837,"&lt;="&amp;F20)</f>
        <v/>
      </c>
      <c r="K20" s="15">
        <f>J20*'클럭 정리'!$B$2/100</f>
        <v/>
      </c>
    </row>
    <row r="21">
      <c r="A21" s="13" t="inlineStr">
        <is>
          <t>병렬도 12 분할 1</t>
        </is>
      </c>
      <c r="B21" s="13" t="n">
        <v>3</v>
      </c>
      <c r="C21" s="13" t="inlineStr">
        <is>
          <t>main</t>
        </is>
      </c>
      <c r="D21" s="12" t="inlineStr">
        <is>
          <t>main (활동 시간 합 = 그 회차 mainCPU, 창은 워커와 겹침)</t>
        </is>
      </c>
      <c r="E21" s="10" t="n">
        <v>46238.46464412037</v>
      </c>
      <c r="F21" s="10" t="n">
        <v>46238.46469332703</v>
      </c>
      <c r="G21" s="13" t="n">
        <v>45</v>
      </c>
      <c r="H21" s="14" t="n">
        <v>0</v>
      </c>
      <c r="I21" s="13">
        <f>COUNTIFS('클럭 정리'!$A$6:$A$837,"&gt;="&amp;E21,'클럭 정리'!$A$6:$A$837,"&lt;="&amp;F21)</f>
        <v/>
      </c>
      <c r="J21" s="14">
        <f>AVERAGEIFS('클럭 정리'!$N$6:$N$837,'클럭 정리'!$A$6:$A$837,"&gt;="&amp;E21,'클럭 정리'!$A$6:$A$837,"&lt;="&amp;F21)</f>
        <v/>
      </c>
      <c r="K21" s="15">
        <f>J21*'클럭 정리'!$B$2/100</f>
        <v/>
      </c>
    </row>
    <row r="22">
      <c r="A22" s="13" t="inlineStr">
        <is>
          <t>병렬도 12 분할 1</t>
        </is>
      </c>
      <c r="B22" s="13" t="n">
        <v>4</v>
      </c>
      <c r="C22" s="13" t="inlineStr">
        <is>
          <t>ForkJoinPool-14-worker-1</t>
        </is>
      </c>
      <c r="D22" s="12" t="inlineStr">
        <is>
          <t>워커</t>
        </is>
      </c>
      <c r="E22" s="10" t="n">
        <v>46238.46469335648</v>
      </c>
      <c r="F22" s="10" t="n">
        <v>46238.46474216702</v>
      </c>
      <c r="G22" s="13" t="n">
        <v>45</v>
      </c>
      <c r="H22" s="14" t="n">
        <v>4213.2337</v>
      </c>
      <c r="I22" s="13">
        <f>COUNTIFS('클럭 정리'!$A$6:$A$837,"&gt;="&amp;E22,'클럭 정리'!$A$6:$A$837,"&lt;="&amp;F22)</f>
        <v/>
      </c>
      <c r="J22" s="14">
        <f>AVERAGEIFS('클럭 정리'!$N$6:$N$837,'클럭 정리'!$A$6:$A$837,"&gt;="&amp;E22,'클럭 정리'!$A$6:$A$837,"&lt;="&amp;F22)</f>
        <v/>
      </c>
      <c r="K22" s="15">
        <f>J22*'클럭 정리'!$B$2/100</f>
        <v/>
      </c>
    </row>
    <row r="23">
      <c r="A23" s="13" t="inlineStr">
        <is>
          <t>병렬도 12 분할 1</t>
        </is>
      </c>
      <c r="B23" s="13" t="n">
        <v>4</v>
      </c>
      <c r="C23" s="13" t="inlineStr">
        <is>
          <t>main</t>
        </is>
      </c>
      <c r="D23" s="12" t="inlineStr">
        <is>
          <t>main (활동 시간 합 = 그 회차 mainCPU, 창은 워커와 겹침)</t>
        </is>
      </c>
      <c r="E23" s="10" t="n">
        <v>46238.4646933449</v>
      </c>
      <c r="F23" s="10" t="n">
        <v>46238.46474216829</v>
      </c>
      <c r="G23" s="13" t="n">
        <v>45</v>
      </c>
      <c r="H23" s="14" t="n">
        <v>0</v>
      </c>
      <c r="I23" s="13">
        <f>COUNTIFS('클럭 정리'!$A$6:$A$837,"&gt;="&amp;E23,'클럭 정리'!$A$6:$A$837,"&lt;="&amp;F23)</f>
        <v/>
      </c>
      <c r="J23" s="14">
        <f>AVERAGEIFS('클럭 정리'!$N$6:$N$837,'클럭 정리'!$A$6:$A$837,"&gt;="&amp;E23,'클럭 정리'!$A$6:$A$837,"&lt;="&amp;F23)</f>
        <v/>
      </c>
      <c r="K23" s="15">
        <f>J23*'클럭 정리'!$B$2/100</f>
        <v/>
      </c>
    </row>
    <row r="24">
      <c r="A24" s="13" t="inlineStr">
        <is>
          <t>병렬도 12 분할 1</t>
        </is>
      </c>
      <c r="B24" s="13" t="n">
        <v>5</v>
      </c>
      <c r="C24" s="13" t="inlineStr">
        <is>
          <t>ForkJoinPool-15-worker-1</t>
        </is>
      </c>
      <c r="D24" s="12" t="inlineStr">
        <is>
          <t>워커</t>
        </is>
      </c>
      <c r="E24" s="10" t="n">
        <v>46238.46474217593</v>
      </c>
      <c r="F24" s="10" t="n">
        <v>46238.46479565346</v>
      </c>
      <c r="G24" s="13" t="n">
        <v>45</v>
      </c>
      <c r="H24" s="14" t="n">
        <v>4614.9907</v>
      </c>
      <c r="I24" s="13">
        <f>COUNTIFS('클럭 정리'!$A$6:$A$837,"&gt;="&amp;E24,'클럭 정리'!$A$6:$A$837,"&lt;="&amp;F24)</f>
        <v/>
      </c>
      <c r="J24" s="14">
        <f>AVERAGEIFS('클럭 정리'!$N$6:$N$837,'클럭 정리'!$A$6:$A$837,"&gt;="&amp;E24,'클럭 정리'!$A$6:$A$837,"&lt;="&amp;F24)</f>
        <v/>
      </c>
      <c r="K24" s="15">
        <f>J24*'클럭 정리'!$B$2/100</f>
        <v/>
      </c>
    </row>
    <row r="25">
      <c r="A25" s="13" t="inlineStr">
        <is>
          <t>병렬도 12 분할 1</t>
        </is>
      </c>
      <c r="B25" s="13" t="n">
        <v>5</v>
      </c>
      <c r="C25" s="13" t="inlineStr">
        <is>
          <t>main</t>
        </is>
      </c>
      <c r="D25" s="12" t="inlineStr">
        <is>
          <t>main (활동 시간 합 = 그 회차 mainCPU, 창은 워커와 겹침)</t>
        </is>
      </c>
      <c r="E25" s="10" t="n">
        <v>46238.46474217593</v>
      </c>
      <c r="F25" s="10" t="n">
        <v>46238.46479565433</v>
      </c>
      <c r="G25" s="13" t="n">
        <v>45</v>
      </c>
      <c r="H25" s="14" t="n">
        <v>0</v>
      </c>
      <c r="I25" s="13">
        <f>COUNTIFS('클럭 정리'!$A$6:$A$837,"&gt;="&amp;E25,'클럭 정리'!$A$6:$A$837,"&lt;="&amp;F25)</f>
        <v/>
      </c>
      <c r="J25" s="14">
        <f>AVERAGEIFS('클럭 정리'!$N$6:$N$837,'클럭 정리'!$A$6:$A$837,"&gt;="&amp;E25,'클럭 정리'!$A$6:$A$837,"&lt;="&amp;F25)</f>
        <v/>
      </c>
      <c r="K25" s="15">
        <f>J25*'클럭 정리'!$B$2/100</f>
        <v/>
      </c>
    </row>
    <row r="28">
      <c r="A28" s="1" t="inlineStr">
        <is>
          <t>풀·main별 클럭 표본 매핑</t>
        </is>
      </c>
    </row>
    <row r="29">
      <c r="A29" s="4" t="inlineStr">
        <is>
          <t>행 하나가 (풀 또는 main, 그 활동 창에 걸린 클럭 표본 1개)다. 표본 값은 클럭 정리 시트의 해당 행을 참조한다. main의 창은 그 회차 스캔 전체라 같은 회차 풀과 같은 표본에 걸린다.</t>
        </is>
      </c>
    </row>
    <row r="30">
      <c r="A30" s="5" t="inlineStr">
        <is>
          <t>구간</t>
        </is>
      </c>
      <c r="B30" s="5" t="inlineStr">
        <is>
          <t>회차</t>
        </is>
      </c>
      <c r="C30" s="5" t="inlineStr">
        <is>
          <t>풀/스레드</t>
        </is>
      </c>
      <c r="D30" s="5" t="inlineStr">
        <is>
          <t>활동 시작</t>
        </is>
      </c>
      <c r="E30" s="5" t="inlineStr">
        <is>
          <t>활동 끝</t>
        </is>
      </c>
      <c r="F30" s="5" t="inlineStr">
        <is>
          <t>표본 시각</t>
        </is>
      </c>
      <c r="G30" s="5" t="inlineStr">
        <is>
          <t>표본 클럭(%)</t>
        </is>
      </c>
      <c r="H30" s="5" t="inlineStr">
        <is>
          <t>표본 클럭(GHz)</t>
        </is>
      </c>
    </row>
    <row r="31">
      <c r="A31" s="13" t="inlineStr">
        <is>
          <t>병렬도 6 분할 1</t>
        </is>
      </c>
      <c r="B31" s="13" t="n">
        <v>1</v>
      </c>
      <c r="C31" s="13" t="inlineStr">
        <is>
          <t>ForkJoinPool-3</t>
        </is>
      </c>
      <c r="D31" s="10" t="n">
        <v>46238.46413716435</v>
      </c>
      <c r="E31" s="10" t="n">
        <v>46238.46418695099</v>
      </c>
      <c r="F31" s="16">
        <f>'클럭 정리'!A45</f>
        <v/>
      </c>
      <c r="G31" s="17">
        <f>'클럭 정리'!N45</f>
        <v/>
      </c>
      <c r="H31" s="15">
        <f>'클럭 정리'!O45</f>
        <v/>
      </c>
    </row>
    <row r="32">
      <c r="A32" s="13" t="inlineStr">
        <is>
          <t>병렬도 6 분할 1</t>
        </is>
      </c>
      <c r="B32" s="13" t="n">
        <v>1</v>
      </c>
      <c r="C32" s="13" t="inlineStr">
        <is>
          <t>ForkJoinPool-3</t>
        </is>
      </c>
      <c r="D32" s="10" t="n">
        <v>46238.46413716435</v>
      </c>
      <c r="E32" s="10" t="n">
        <v>46238.46418695099</v>
      </c>
      <c r="F32" s="16">
        <f>'클럭 정리'!A46</f>
        <v/>
      </c>
      <c r="G32" s="17">
        <f>'클럭 정리'!N46</f>
        <v/>
      </c>
      <c r="H32" s="15">
        <f>'클럭 정리'!O46</f>
        <v/>
      </c>
    </row>
    <row r="33">
      <c r="A33" s="13" t="inlineStr">
        <is>
          <t>병렬도 6 분할 1</t>
        </is>
      </c>
      <c r="B33" s="13" t="n">
        <v>1</v>
      </c>
      <c r="C33" s="13" t="inlineStr">
        <is>
          <t>ForkJoinPool-3</t>
        </is>
      </c>
      <c r="D33" s="10" t="n">
        <v>46238.46413716435</v>
      </c>
      <c r="E33" s="10" t="n">
        <v>46238.46418695099</v>
      </c>
      <c r="F33" s="16">
        <f>'클럭 정리'!A47</f>
        <v/>
      </c>
      <c r="G33" s="17">
        <f>'클럭 정리'!N47</f>
        <v/>
      </c>
      <c r="H33" s="15">
        <f>'클럭 정리'!O47</f>
        <v/>
      </c>
    </row>
    <row r="34">
      <c r="A34" s="13" t="inlineStr">
        <is>
          <t>병렬도 6 분할 1</t>
        </is>
      </c>
      <c r="B34" s="13" t="n">
        <v>1</v>
      </c>
      <c r="C34" s="13" t="inlineStr">
        <is>
          <t>ForkJoinPool-3</t>
        </is>
      </c>
      <c r="D34" s="10" t="n">
        <v>46238.46413716435</v>
      </c>
      <c r="E34" s="10" t="n">
        <v>46238.46418695099</v>
      </c>
      <c r="F34" s="16">
        <f>'클럭 정리'!A48</f>
        <v/>
      </c>
      <c r="G34" s="17">
        <f>'클럭 정리'!N48</f>
        <v/>
      </c>
      <c r="H34" s="15">
        <f>'클럭 정리'!O48</f>
        <v/>
      </c>
    </row>
    <row r="35">
      <c r="A35" s="13" t="inlineStr">
        <is>
          <t>병렬도 6 분할 1</t>
        </is>
      </c>
      <c r="B35" s="13" t="n">
        <v>1</v>
      </c>
      <c r="C35" s="13" t="inlineStr">
        <is>
          <t>main</t>
        </is>
      </c>
      <c r="D35" s="10" t="n">
        <v>46238.46413716435</v>
      </c>
      <c r="E35" s="10" t="n">
        <v>46238.46418695214</v>
      </c>
      <c r="F35" s="16">
        <f>'클럭 정리'!A45</f>
        <v/>
      </c>
      <c r="G35" s="17">
        <f>'클럭 정리'!N45</f>
        <v/>
      </c>
      <c r="H35" s="15">
        <f>'클럭 정리'!O45</f>
        <v/>
      </c>
    </row>
    <row r="36">
      <c r="A36" s="13" t="inlineStr">
        <is>
          <t>병렬도 6 분할 1</t>
        </is>
      </c>
      <c r="B36" s="13" t="n">
        <v>1</v>
      </c>
      <c r="C36" s="13" t="inlineStr">
        <is>
          <t>main</t>
        </is>
      </c>
      <c r="D36" s="10" t="n">
        <v>46238.46413716435</v>
      </c>
      <c r="E36" s="10" t="n">
        <v>46238.46418695214</v>
      </c>
      <c r="F36" s="16">
        <f>'클럭 정리'!A46</f>
        <v/>
      </c>
      <c r="G36" s="17">
        <f>'클럭 정리'!N46</f>
        <v/>
      </c>
      <c r="H36" s="15">
        <f>'클럭 정리'!O46</f>
        <v/>
      </c>
    </row>
    <row r="37">
      <c r="A37" s="13" t="inlineStr">
        <is>
          <t>병렬도 6 분할 1</t>
        </is>
      </c>
      <c r="B37" s="13" t="n">
        <v>1</v>
      </c>
      <c r="C37" s="13" t="inlineStr">
        <is>
          <t>main</t>
        </is>
      </c>
      <c r="D37" s="10" t="n">
        <v>46238.46413716435</v>
      </c>
      <c r="E37" s="10" t="n">
        <v>46238.46418695214</v>
      </c>
      <c r="F37" s="16">
        <f>'클럭 정리'!A47</f>
        <v/>
      </c>
      <c r="G37" s="17">
        <f>'클럭 정리'!N47</f>
        <v/>
      </c>
      <c r="H37" s="15">
        <f>'클럭 정리'!O47</f>
        <v/>
      </c>
    </row>
    <row r="38">
      <c r="A38" s="13" t="inlineStr">
        <is>
          <t>병렬도 6 분할 1</t>
        </is>
      </c>
      <c r="B38" s="13" t="n">
        <v>1</v>
      </c>
      <c r="C38" s="13" t="inlineStr">
        <is>
          <t>main</t>
        </is>
      </c>
      <c r="D38" s="10" t="n">
        <v>46238.46413716435</v>
      </c>
      <c r="E38" s="10" t="n">
        <v>46238.46418695214</v>
      </c>
      <c r="F38" s="16">
        <f>'클럭 정리'!A48</f>
        <v/>
      </c>
      <c r="G38" s="17">
        <f>'클럭 정리'!N48</f>
        <v/>
      </c>
      <c r="H38" s="15">
        <f>'클럭 정리'!O48</f>
        <v/>
      </c>
    </row>
    <row r="39">
      <c r="A39" s="13" t="inlineStr">
        <is>
          <t>병렬도 6 분할 1</t>
        </is>
      </c>
      <c r="B39" s="13" t="n">
        <v>2</v>
      </c>
      <c r="C39" s="13" t="inlineStr">
        <is>
          <t>ForkJoinPool-4</t>
        </is>
      </c>
      <c r="D39" s="10" t="n">
        <v>46238.46418696759</v>
      </c>
      <c r="E39" s="10" t="n">
        <v>46238.46423573208</v>
      </c>
      <c r="F39" s="16">
        <f>'클럭 정리'!A49</f>
        <v/>
      </c>
      <c r="G39" s="17">
        <f>'클럭 정리'!N49</f>
        <v/>
      </c>
      <c r="H39" s="15">
        <f>'클럭 정리'!O49</f>
        <v/>
      </c>
    </row>
    <row r="40">
      <c r="A40" s="13" t="inlineStr">
        <is>
          <t>병렬도 6 분할 1</t>
        </is>
      </c>
      <c r="B40" s="13" t="n">
        <v>2</v>
      </c>
      <c r="C40" s="13" t="inlineStr">
        <is>
          <t>ForkJoinPool-4</t>
        </is>
      </c>
      <c r="D40" s="10" t="n">
        <v>46238.46418696759</v>
      </c>
      <c r="E40" s="10" t="n">
        <v>46238.46423573208</v>
      </c>
      <c r="F40" s="16">
        <f>'클럭 정리'!A50</f>
        <v/>
      </c>
      <c r="G40" s="17">
        <f>'클럭 정리'!N50</f>
        <v/>
      </c>
      <c r="H40" s="15">
        <f>'클럭 정리'!O50</f>
        <v/>
      </c>
    </row>
    <row r="41">
      <c r="A41" s="13" t="inlineStr">
        <is>
          <t>병렬도 6 분할 1</t>
        </is>
      </c>
      <c r="B41" s="13" t="n">
        <v>2</v>
      </c>
      <c r="C41" s="13" t="inlineStr">
        <is>
          <t>ForkJoinPool-4</t>
        </is>
      </c>
      <c r="D41" s="10" t="n">
        <v>46238.46418696759</v>
      </c>
      <c r="E41" s="10" t="n">
        <v>46238.46423573208</v>
      </c>
      <c r="F41" s="16">
        <f>'클럭 정리'!A51</f>
        <v/>
      </c>
      <c r="G41" s="17">
        <f>'클럭 정리'!N51</f>
        <v/>
      </c>
      <c r="H41" s="15">
        <f>'클럭 정리'!O51</f>
        <v/>
      </c>
    </row>
    <row r="42">
      <c r="A42" s="13" t="inlineStr">
        <is>
          <t>병렬도 6 분할 1</t>
        </is>
      </c>
      <c r="B42" s="13" t="n">
        <v>2</v>
      </c>
      <c r="C42" s="13" t="inlineStr">
        <is>
          <t>ForkJoinPool-4</t>
        </is>
      </c>
      <c r="D42" s="10" t="n">
        <v>46238.46418696759</v>
      </c>
      <c r="E42" s="10" t="n">
        <v>46238.46423573208</v>
      </c>
      <c r="F42" s="16">
        <f>'클럭 정리'!A52</f>
        <v/>
      </c>
      <c r="G42" s="17">
        <f>'클럭 정리'!N52</f>
        <v/>
      </c>
      <c r="H42" s="15">
        <f>'클럭 정리'!O52</f>
        <v/>
      </c>
    </row>
    <row r="43">
      <c r="A43" s="13" t="inlineStr">
        <is>
          <t>병렬도 6 분할 1</t>
        </is>
      </c>
      <c r="B43" s="13" t="n">
        <v>2</v>
      </c>
      <c r="C43" s="13" t="inlineStr">
        <is>
          <t>main</t>
        </is>
      </c>
      <c r="D43" s="10" t="n">
        <v>46238.46418696759</v>
      </c>
      <c r="E43" s="10" t="n">
        <v>46238.4642357333</v>
      </c>
      <c r="F43" s="16">
        <f>'클럭 정리'!A49</f>
        <v/>
      </c>
      <c r="G43" s="17">
        <f>'클럭 정리'!N49</f>
        <v/>
      </c>
      <c r="H43" s="15">
        <f>'클럭 정리'!O49</f>
        <v/>
      </c>
    </row>
    <row r="44">
      <c r="A44" s="13" t="inlineStr">
        <is>
          <t>병렬도 6 분할 1</t>
        </is>
      </c>
      <c r="B44" s="13" t="n">
        <v>2</v>
      </c>
      <c r="C44" s="13" t="inlineStr">
        <is>
          <t>main</t>
        </is>
      </c>
      <c r="D44" s="10" t="n">
        <v>46238.46418696759</v>
      </c>
      <c r="E44" s="10" t="n">
        <v>46238.4642357333</v>
      </c>
      <c r="F44" s="16">
        <f>'클럭 정리'!A50</f>
        <v/>
      </c>
      <c r="G44" s="17">
        <f>'클럭 정리'!N50</f>
        <v/>
      </c>
      <c r="H44" s="15">
        <f>'클럭 정리'!O50</f>
        <v/>
      </c>
    </row>
    <row r="45">
      <c r="A45" s="13" t="inlineStr">
        <is>
          <t>병렬도 6 분할 1</t>
        </is>
      </c>
      <c r="B45" s="13" t="n">
        <v>2</v>
      </c>
      <c r="C45" s="13" t="inlineStr">
        <is>
          <t>main</t>
        </is>
      </c>
      <c r="D45" s="10" t="n">
        <v>46238.46418696759</v>
      </c>
      <c r="E45" s="10" t="n">
        <v>46238.4642357333</v>
      </c>
      <c r="F45" s="16">
        <f>'클럭 정리'!A51</f>
        <v/>
      </c>
      <c r="G45" s="17">
        <f>'클럭 정리'!N51</f>
        <v/>
      </c>
      <c r="H45" s="15">
        <f>'클럭 정리'!O51</f>
        <v/>
      </c>
    </row>
    <row r="46">
      <c r="A46" s="13" t="inlineStr">
        <is>
          <t>병렬도 6 분할 1</t>
        </is>
      </c>
      <c r="B46" s="13" t="n">
        <v>2</v>
      </c>
      <c r="C46" s="13" t="inlineStr">
        <is>
          <t>main</t>
        </is>
      </c>
      <c r="D46" s="10" t="n">
        <v>46238.46418696759</v>
      </c>
      <c r="E46" s="10" t="n">
        <v>46238.4642357333</v>
      </c>
      <c r="F46" s="16">
        <f>'클럭 정리'!A52</f>
        <v/>
      </c>
      <c r="G46" s="17">
        <f>'클럭 정리'!N52</f>
        <v/>
      </c>
      <c r="H46" s="15">
        <f>'클럭 정리'!O52</f>
        <v/>
      </c>
    </row>
    <row r="47">
      <c r="A47" s="13" t="inlineStr">
        <is>
          <t>병렬도 6 분할 1</t>
        </is>
      </c>
      <c r="B47" s="13" t="n">
        <v>3</v>
      </c>
      <c r="C47" s="13" t="inlineStr">
        <is>
          <t>ForkJoinPool-5</t>
        </is>
      </c>
      <c r="D47" s="10" t="n">
        <v>46238.46423574074</v>
      </c>
      <c r="E47" s="10" t="n">
        <v>46238.46428980697</v>
      </c>
      <c r="F47" s="16">
        <f>'클럭 정리'!A53</f>
        <v/>
      </c>
      <c r="G47" s="17">
        <f>'클럭 정리'!N53</f>
        <v/>
      </c>
      <c r="H47" s="15">
        <f>'클럭 정리'!O53</f>
        <v/>
      </c>
    </row>
    <row r="48">
      <c r="A48" s="13" t="inlineStr">
        <is>
          <t>병렬도 6 분할 1</t>
        </is>
      </c>
      <c r="B48" s="13" t="n">
        <v>3</v>
      </c>
      <c r="C48" s="13" t="inlineStr">
        <is>
          <t>ForkJoinPool-5</t>
        </is>
      </c>
      <c r="D48" s="10" t="n">
        <v>46238.46423574074</v>
      </c>
      <c r="E48" s="10" t="n">
        <v>46238.46428980697</v>
      </c>
      <c r="F48" s="16">
        <f>'클럭 정리'!A54</f>
        <v/>
      </c>
      <c r="G48" s="17">
        <f>'클럭 정리'!N54</f>
        <v/>
      </c>
      <c r="H48" s="15">
        <f>'클럭 정리'!O54</f>
        <v/>
      </c>
    </row>
    <row r="49">
      <c r="A49" s="13" t="inlineStr">
        <is>
          <t>병렬도 6 분할 1</t>
        </is>
      </c>
      <c r="B49" s="13" t="n">
        <v>3</v>
      </c>
      <c r="C49" s="13" t="inlineStr">
        <is>
          <t>ForkJoinPool-5</t>
        </is>
      </c>
      <c r="D49" s="10" t="n">
        <v>46238.46423574074</v>
      </c>
      <c r="E49" s="10" t="n">
        <v>46238.46428980697</v>
      </c>
      <c r="F49" s="16">
        <f>'클럭 정리'!A55</f>
        <v/>
      </c>
      <c r="G49" s="17">
        <f>'클럭 정리'!N55</f>
        <v/>
      </c>
      <c r="H49" s="15">
        <f>'클럭 정리'!O55</f>
        <v/>
      </c>
    </row>
    <row r="50">
      <c r="A50" s="13" t="inlineStr">
        <is>
          <t>병렬도 6 분할 1</t>
        </is>
      </c>
      <c r="B50" s="13" t="n">
        <v>3</v>
      </c>
      <c r="C50" s="13" t="inlineStr">
        <is>
          <t>ForkJoinPool-5</t>
        </is>
      </c>
      <c r="D50" s="10" t="n">
        <v>46238.46423574074</v>
      </c>
      <c r="E50" s="10" t="n">
        <v>46238.46428980697</v>
      </c>
      <c r="F50" s="16">
        <f>'클럭 정리'!A56</f>
        <v/>
      </c>
      <c r="G50" s="17">
        <f>'클럭 정리'!N56</f>
        <v/>
      </c>
      <c r="H50" s="15">
        <f>'클럭 정리'!O56</f>
        <v/>
      </c>
    </row>
    <row r="51">
      <c r="A51" s="13" t="inlineStr">
        <is>
          <t>병렬도 6 분할 1</t>
        </is>
      </c>
      <c r="B51" s="13" t="n">
        <v>3</v>
      </c>
      <c r="C51" s="13" t="inlineStr">
        <is>
          <t>ForkJoinPool-5</t>
        </is>
      </c>
      <c r="D51" s="10" t="n">
        <v>46238.46423574074</v>
      </c>
      <c r="E51" s="10" t="n">
        <v>46238.46428980697</v>
      </c>
      <c r="F51" s="16">
        <f>'클럭 정리'!A57</f>
        <v/>
      </c>
      <c r="G51" s="17">
        <f>'클럭 정리'!N57</f>
        <v/>
      </c>
      <c r="H51" s="15">
        <f>'클럭 정리'!O57</f>
        <v/>
      </c>
    </row>
    <row r="52">
      <c r="A52" s="13" t="inlineStr">
        <is>
          <t>병렬도 6 분할 1</t>
        </is>
      </c>
      <c r="B52" s="13" t="n">
        <v>3</v>
      </c>
      <c r="C52" s="13" t="inlineStr">
        <is>
          <t>main</t>
        </is>
      </c>
      <c r="D52" s="10" t="n">
        <v>46238.46423574074</v>
      </c>
      <c r="E52" s="10" t="n">
        <v>46238.46428980802</v>
      </c>
      <c r="F52" s="16">
        <f>'클럭 정리'!A53</f>
        <v/>
      </c>
      <c r="G52" s="17">
        <f>'클럭 정리'!N53</f>
        <v/>
      </c>
      <c r="H52" s="15">
        <f>'클럭 정리'!O53</f>
        <v/>
      </c>
    </row>
    <row r="53">
      <c r="A53" s="13" t="inlineStr">
        <is>
          <t>병렬도 6 분할 1</t>
        </is>
      </c>
      <c r="B53" s="13" t="n">
        <v>3</v>
      </c>
      <c r="C53" s="13" t="inlineStr">
        <is>
          <t>main</t>
        </is>
      </c>
      <c r="D53" s="10" t="n">
        <v>46238.46423574074</v>
      </c>
      <c r="E53" s="10" t="n">
        <v>46238.46428980802</v>
      </c>
      <c r="F53" s="16">
        <f>'클럭 정리'!A54</f>
        <v/>
      </c>
      <c r="G53" s="17">
        <f>'클럭 정리'!N54</f>
        <v/>
      </c>
      <c r="H53" s="15">
        <f>'클럭 정리'!O54</f>
        <v/>
      </c>
    </row>
    <row r="54">
      <c r="A54" s="13" t="inlineStr">
        <is>
          <t>병렬도 6 분할 1</t>
        </is>
      </c>
      <c r="B54" s="13" t="n">
        <v>3</v>
      </c>
      <c r="C54" s="13" t="inlineStr">
        <is>
          <t>main</t>
        </is>
      </c>
      <c r="D54" s="10" t="n">
        <v>46238.46423574074</v>
      </c>
      <c r="E54" s="10" t="n">
        <v>46238.46428980802</v>
      </c>
      <c r="F54" s="16">
        <f>'클럭 정리'!A55</f>
        <v/>
      </c>
      <c r="G54" s="17">
        <f>'클럭 정리'!N55</f>
        <v/>
      </c>
      <c r="H54" s="15">
        <f>'클럭 정리'!O55</f>
        <v/>
      </c>
    </row>
    <row r="55">
      <c r="A55" s="13" t="inlineStr">
        <is>
          <t>병렬도 6 분할 1</t>
        </is>
      </c>
      <c r="B55" s="13" t="n">
        <v>3</v>
      </c>
      <c r="C55" s="13" t="inlineStr">
        <is>
          <t>main</t>
        </is>
      </c>
      <c r="D55" s="10" t="n">
        <v>46238.46423574074</v>
      </c>
      <c r="E55" s="10" t="n">
        <v>46238.46428980802</v>
      </c>
      <c r="F55" s="16">
        <f>'클럭 정리'!A56</f>
        <v/>
      </c>
      <c r="G55" s="17">
        <f>'클럭 정리'!N56</f>
        <v/>
      </c>
      <c r="H55" s="15">
        <f>'클럭 정리'!O56</f>
        <v/>
      </c>
    </row>
    <row r="56">
      <c r="A56" s="13" t="inlineStr">
        <is>
          <t>병렬도 6 분할 1</t>
        </is>
      </c>
      <c r="B56" s="13" t="n">
        <v>3</v>
      </c>
      <c r="C56" s="13" t="inlineStr">
        <is>
          <t>main</t>
        </is>
      </c>
      <c r="D56" s="10" t="n">
        <v>46238.46423574074</v>
      </c>
      <c r="E56" s="10" t="n">
        <v>46238.46428980802</v>
      </c>
      <c r="F56" s="16">
        <f>'클럭 정리'!A57</f>
        <v/>
      </c>
      <c r="G56" s="17">
        <f>'클럭 정리'!N57</f>
        <v/>
      </c>
      <c r="H56" s="15">
        <f>'클럭 정리'!O57</f>
        <v/>
      </c>
    </row>
    <row r="57">
      <c r="A57" s="13" t="inlineStr">
        <is>
          <t>병렬도 6 분할 1</t>
        </is>
      </c>
      <c r="B57" s="13" t="n">
        <v>4</v>
      </c>
      <c r="C57" s="13" t="inlineStr">
        <is>
          <t>ForkJoinPool-6</t>
        </is>
      </c>
      <c r="D57" s="10" t="n">
        <v>46238.46428982639</v>
      </c>
      <c r="E57" s="10" t="n">
        <v>46238.46433884183</v>
      </c>
      <c r="F57" s="16">
        <f>'클럭 정리'!A58</f>
        <v/>
      </c>
      <c r="G57" s="17">
        <f>'클럭 정리'!N58</f>
        <v/>
      </c>
      <c r="H57" s="15">
        <f>'클럭 정리'!O58</f>
        <v/>
      </c>
    </row>
    <row r="58">
      <c r="A58" s="13" t="inlineStr">
        <is>
          <t>병렬도 6 분할 1</t>
        </is>
      </c>
      <c r="B58" s="13" t="n">
        <v>4</v>
      </c>
      <c r="C58" s="13" t="inlineStr">
        <is>
          <t>ForkJoinPool-6</t>
        </is>
      </c>
      <c r="D58" s="10" t="n">
        <v>46238.46428982639</v>
      </c>
      <c r="E58" s="10" t="n">
        <v>46238.46433884183</v>
      </c>
      <c r="F58" s="16">
        <f>'클럭 정리'!A59</f>
        <v/>
      </c>
      <c r="G58" s="17">
        <f>'클럭 정리'!N59</f>
        <v/>
      </c>
      <c r="H58" s="15">
        <f>'클럭 정리'!O59</f>
        <v/>
      </c>
    </row>
    <row r="59">
      <c r="A59" s="13" t="inlineStr">
        <is>
          <t>병렬도 6 분할 1</t>
        </is>
      </c>
      <c r="B59" s="13" t="n">
        <v>4</v>
      </c>
      <c r="C59" s="13" t="inlineStr">
        <is>
          <t>ForkJoinPool-6</t>
        </is>
      </c>
      <c r="D59" s="10" t="n">
        <v>46238.46428982639</v>
      </c>
      <c r="E59" s="10" t="n">
        <v>46238.46433884183</v>
      </c>
      <c r="F59" s="16">
        <f>'클럭 정리'!A60</f>
        <v/>
      </c>
      <c r="G59" s="17">
        <f>'클럭 정리'!N60</f>
        <v/>
      </c>
      <c r="H59" s="15">
        <f>'클럭 정리'!O60</f>
        <v/>
      </c>
    </row>
    <row r="60">
      <c r="A60" s="13" t="inlineStr">
        <is>
          <t>병렬도 6 분할 1</t>
        </is>
      </c>
      <c r="B60" s="13" t="n">
        <v>4</v>
      </c>
      <c r="C60" s="13" t="inlineStr">
        <is>
          <t>ForkJoinPool-6</t>
        </is>
      </c>
      <c r="D60" s="10" t="n">
        <v>46238.46428982639</v>
      </c>
      <c r="E60" s="10" t="n">
        <v>46238.46433884183</v>
      </c>
      <c r="F60" s="16">
        <f>'클럭 정리'!A61</f>
        <v/>
      </c>
      <c r="G60" s="17">
        <f>'클럭 정리'!N61</f>
        <v/>
      </c>
      <c r="H60" s="15">
        <f>'클럭 정리'!O61</f>
        <v/>
      </c>
    </row>
    <row r="61">
      <c r="A61" s="13" t="inlineStr">
        <is>
          <t>병렬도 6 분할 1</t>
        </is>
      </c>
      <c r="B61" s="13" t="n">
        <v>4</v>
      </c>
      <c r="C61" s="13" t="inlineStr">
        <is>
          <t>main</t>
        </is>
      </c>
      <c r="D61" s="10" t="n">
        <v>46238.46428981482</v>
      </c>
      <c r="E61" s="10" t="n">
        <v>46238.46433884279</v>
      </c>
      <c r="F61" s="16">
        <f>'클럭 정리'!A58</f>
        <v/>
      </c>
      <c r="G61" s="17">
        <f>'클럭 정리'!N58</f>
        <v/>
      </c>
      <c r="H61" s="15">
        <f>'클럭 정리'!O58</f>
        <v/>
      </c>
    </row>
    <row r="62">
      <c r="A62" s="13" t="inlineStr">
        <is>
          <t>병렬도 6 분할 1</t>
        </is>
      </c>
      <c r="B62" s="13" t="n">
        <v>4</v>
      </c>
      <c r="C62" s="13" t="inlineStr">
        <is>
          <t>main</t>
        </is>
      </c>
      <c r="D62" s="10" t="n">
        <v>46238.46428981482</v>
      </c>
      <c r="E62" s="10" t="n">
        <v>46238.46433884279</v>
      </c>
      <c r="F62" s="16">
        <f>'클럭 정리'!A59</f>
        <v/>
      </c>
      <c r="G62" s="17">
        <f>'클럭 정리'!N59</f>
        <v/>
      </c>
      <c r="H62" s="15">
        <f>'클럭 정리'!O59</f>
        <v/>
      </c>
    </row>
    <row r="63">
      <c r="A63" s="13" t="inlineStr">
        <is>
          <t>병렬도 6 분할 1</t>
        </is>
      </c>
      <c r="B63" s="13" t="n">
        <v>4</v>
      </c>
      <c r="C63" s="13" t="inlineStr">
        <is>
          <t>main</t>
        </is>
      </c>
      <c r="D63" s="10" t="n">
        <v>46238.46428981482</v>
      </c>
      <c r="E63" s="10" t="n">
        <v>46238.46433884279</v>
      </c>
      <c r="F63" s="16">
        <f>'클럭 정리'!A60</f>
        <v/>
      </c>
      <c r="G63" s="17">
        <f>'클럭 정리'!N60</f>
        <v/>
      </c>
      <c r="H63" s="15">
        <f>'클럭 정리'!O60</f>
        <v/>
      </c>
    </row>
    <row r="64">
      <c r="A64" s="13" t="inlineStr">
        <is>
          <t>병렬도 6 분할 1</t>
        </is>
      </c>
      <c r="B64" s="13" t="n">
        <v>4</v>
      </c>
      <c r="C64" s="13" t="inlineStr">
        <is>
          <t>main</t>
        </is>
      </c>
      <c r="D64" s="10" t="n">
        <v>46238.46428981482</v>
      </c>
      <c r="E64" s="10" t="n">
        <v>46238.46433884279</v>
      </c>
      <c r="F64" s="16">
        <f>'클럭 정리'!A61</f>
        <v/>
      </c>
      <c r="G64" s="17">
        <f>'클럭 정리'!N61</f>
        <v/>
      </c>
      <c r="H64" s="15">
        <f>'클럭 정리'!O61</f>
        <v/>
      </c>
    </row>
    <row r="65">
      <c r="A65" s="13" t="inlineStr">
        <is>
          <t>병렬도 6 분할 1</t>
        </is>
      </c>
      <c r="B65" s="13" t="n">
        <v>5</v>
      </c>
      <c r="C65" s="13" t="inlineStr">
        <is>
          <t>ForkJoinPool-7</t>
        </is>
      </c>
      <c r="D65" s="10" t="n">
        <v>46238.46433885417</v>
      </c>
      <c r="E65" s="10" t="n">
        <v>46238.4643879625</v>
      </c>
      <c r="F65" s="16">
        <f>'클럭 정리'!A62</f>
        <v/>
      </c>
      <c r="G65" s="17">
        <f>'클럭 정리'!N62</f>
        <v/>
      </c>
      <c r="H65" s="15">
        <f>'클럭 정리'!O62</f>
        <v/>
      </c>
    </row>
    <row r="66">
      <c r="A66" s="13" t="inlineStr">
        <is>
          <t>병렬도 6 분할 1</t>
        </is>
      </c>
      <c r="B66" s="13" t="n">
        <v>5</v>
      </c>
      <c r="C66" s="13" t="inlineStr">
        <is>
          <t>ForkJoinPool-7</t>
        </is>
      </c>
      <c r="D66" s="10" t="n">
        <v>46238.46433885417</v>
      </c>
      <c r="E66" s="10" t="n">
        <v>46238.4643879625</v>
      </c>
      <c r="F66" s="16">
        <f>'클럭 정리'!A63</f>
        <v/>
      </c>
      <c r="G66" s="17">
        <f>'클럭 정리'!N63</f>
        <v/>
      </c>
      <c r="H66" s="15">
        <f>'클럭 정리'!O63</f>
        <v/>
      </c>
    </row>
    <row r="67">
      <c r="A67" s="13" t="inlineStr">
        <is>
          <t>병렬도 6 분할 1</t>
        </is>
      </c>
      <c r="B67" s="13" t="n">
        <v>5</v>
      </c>
      <c r="C67" s="13" t="inlineStr">
        <is>
          <t>ForkJoinPool-7</t>
        </is>
      </c>
      <c r="D67" s="10" t="n">
        <v>46238.46433885417</v>
      </c>
      <c r="E67" s="10" t="n">
        <v>46238.4643879625</v>
      </c>
      <c r="F67" s="16">
        <f>'클럭 정리'!A64</f>
        <v/>
      </c>
      <c r="G67" s="17">
        <f>'클럭 정리'!N64</f>
        <v/>
      </c>
      <c r="H67" s="15">
        <f>'클럭 정리'!O64</f>
        <v/>
      </c>
    </row>
    <row r="68">
      <c r="A68" s="13" t="inlineStr">
        <is>
          <t>병렬도 6 분할 1</t>
        </is>
      </c>
      <c r="B68" s="13" t="n">
        <v>5</v>
      </c>
      <c r="C68" s="13" t="inlineStr">
        <is>
          <t>ForkJoinPool-7</t>
        </is>
      </c>
      <c r="D68" s="10" t="n">
        <v>46238.46433885417</v>
      </c>
      <c r="E68" s="10" t="n">
        <v>46238.4643879625</v>
      </c>
      <c r="F68" s="16">
        <f>'클럭 정리'!A65</f>
        <v/>
      </c>
      <c r="G68" s="17">
        <f>'클럭 정리'!N65</f>
        <v/>
      </c>
      <c r="H68" s="15">
        <f>'클럭 정리'!O65</f>
        <v/>
      </c>
    </row>
    <row r="69">
      <c r="A69" s="13" t="inlineStr">
        <is>
          <t>병렬도 6 분할 1</t>
        </is>
      </c>
      <c r="B69" s="13" t="n">
        <v>5</v>
      </c>
      <c r="C69" s="13" t="inlineStr">
        <is>
          <t>main</t>
        </is>
      </c>
      <c r="D69" s="10" t="n">
        <v>46238.46433884259</v>
      </c>
      <c r="E69" s="10" t="n">
        <v>46238.46438796352</v>
      </c>
      <c r="F69" s="16">
        <f>'클럭 정리'!A62</f>
        <v/>
      </c>
      <c r="G69" s="17">
        <f>'클럭 정리'!N62</f>
        <v/>
      </c>
      <c r="H69" s="15">
        <f>'클럭 정리'!O62</f>
        <v/>
      </c>
    </row>
    <row r="70">
      <c r="A70" s="13" t="inlineStr">
        <is>
          <t>병렬도 6 분할 1</t>
        </is>
      </c>
      <c r="B70" s="13" t="n">
        <v>5</v>
      </c>
      <c r="C70" s="13" t="inlineStr">
        <is>
          <t>main</t>
        </is>
      </c>
      <c r="D70" s="10" t="n">
        <v>46238.46433884259</v>
      </c>
      <c r="E70" s="10" t="n">
        <v>46238.46438796352</v>
      </c>
      <c r="F70" s="16">
        <f>'클럭 정리'!A63</f>
        <v/>
      </c>
      <c r="G70" s="17">
        <f>'클럭 정리'!N63</f>
        <v/>
      </c>
      <c r="H70" s="15">
        <f>'클럭 정리'!O63</f>
        <v/>
      </c>
    </row>
    <row r="71">
      <c r="A71" s="13" t="inlineStr">
        <is>
          <t>병렬도 6 분할 1</t>
        </is>
      </c>
      <c r="B71" s="13" t="n">
        <v>5</v>
      </c>
      <c r="C71" s="13" t="inlineStr">
        <is>
          <t>main</t>
        </is>
      </c>
      <c r="D71" s="10" t="n">
        <v>46238.46433884259</v>
      </c>
      <c r="E71" s="10" t="n">
        <v>46238.46438796352</v>
      </c>
      <c r="F71" s="16">
        <f>'클럭 정리'!A64</f>
        <v/>
      </c>
      <c r="G71" s="17">
        <f>'클럭 정리'!N64</f>
        <v/>
      </c>
      <c r="H71" s="15">
        <f>'클럭 정리'!O64</f>
        <v/>
      </c>
    </row>
    <row r="72">
      <c r="A72" s="13" t="inlineStr">
        <is>
          <t>병렬도 6 분할 1</t>
        </is>
      </c>
      <c r="B72" s="13" t="n">
        <v>5</v>
      </c>
      <c r="C72" s="13" t="inlineStr">
        <is>
          <t>main</t>
        </is>
      </c>
      <c r="D72" s="10" t="n">
        <v>46238.46433884259</v>
      </c>
      <c r="E72" s="10" t="n">
        <v>46238.46438796352</v>
      </c>
      <c r="F72" s="16">
        <f>'클럭 정리'!A65</f>
        <v/>
      </c>
      <c r="G72" s="17">
        <f>'클럭 정리'!N65</f>
        <v/>
      </c>
      <c r="H72" s="15">
        <f>'클럭 정리'!O65</f>
        <v/>
      </c>
    </row>
    <row r="73">
      <c r="A73" s="13" t="inlineStr">
        <is>
          <t>병렬도 12 분할 1</t>
        </is>
      </c>
      <c r="B73" s="13" t="n">
        <v>1</v>
      </c>
      <c r="C73" s="13" t="inlineStr">
        <is>
          <t>ForkJoinPool-11</t>
        </is>
      </c>
      <c r="D73" s="10" t="n">
        <v>46238.46453950232</v>
      </c>
      <c r="E73" s="10" t="n">
        <v>46238.46458901653</v>
      </c>
      <c r="F73" s="16">
        <f>'클럭 정리'!A79</f>
        <v/>
      </c>
      <c r="G73" s="17">
        <f>'클럭 정리'!N79</f>
        <v/>
      </c>
      <c r="H73" s="15">
        <f>'클럭 정리'!O79</f>
        <v/>
      </c>
    </row>
    <row r="74">
      <c r="A74" s="13" t="inlineStr">
        <is>
          <t>병렬도 12 분할 1</t>
        </is>
      </c>
      <c r="B74" s="13" t="n">
        <v>1</v>
      </c>
      <c r="C74" s="13" t="inlineStr">
        <is>
          <t>ForkJoinPool-11</t>
        </is>
      </c>
      <c r="D74" s="10" t="n">
        <v>46238.46453950232</v>
      </c>
      <c r="E74" s="10" t="n">
        <v>46238.46458901653</v>
      </c>
      <c r="F74" s="16">
        <f>'클럭 정리'!A80</f>
        <v/>
      </c>
      <c r="G74" s="17">
        <f>'클럭 정리'!N80</f>
        <v/>
      </c>
      <c r="H74" s="15">
        <f>'클럭 정리'!O80</f>
        <v/>
      </c>
    </row>
    <row r="75">
      <c r="A75" s="13" t="inlineStr">
        <is>
          <t>병렬도 12 분할 1</t>
        </is>
      </c>
      <c r="B75" s="13" t="n">
        <v>1</v>
      </c>
      <c r="C75" s="13" t="inlineStr">
        <is>
          <t>ForkJoinPool-11</t>
        </is>
      </c>
      <c r="D75" s="10" t="n">
        <v>46238.46453950232</v>
      </c>
      <c r="E75" s="10" t="n">
        <v>46238.46458901653</v>
      </c>
      <c r="F75" s="16">
        <f>'클럭 정리'!A81</f>
        <v/>
      </c>
      <c r="G75" s="17">
        <f>'클럭 정리'!N81</f>
        <v/>
      </c>
      <c r="H75" s="15">
        <f>'클럭 정리'!O81</f>
        <v/>
      </c>
    </row>
    <row r="76">
      <c r="A76" s="13" t="inlineStr">
        <is>
          <t>병렬도 12 분할 1</t>
        </is>
      </c>
      <c r="B76" s="13" t="n">
        <v>1</v>
      </c>
      <c r="C76" s="13" t="inlineStr">
        <is>
          <t>ForkJoinPool-11</t>
        </is>
      </c>
      <c r="D76" s="10" t="n">
        <v>46238.46453950232</v>
      </c>
      <c r="E76" s="10" t="n">
        <v>46238.46458901653</v>
      </c>
      <c r="F76" s="16">
        <f>'클럭 정리'!A82</f>
        <v/>
      </c>
      <c r="G76" s="17">
        <f>'클럭 정리'!N82</f>
        <v/>
      </c>
      <c r="H76" s="15">
        <f>'클럭 정리'!O82</f>
        <v/>
      </c>
    </row>
    <row r="77">
      <c r="A77" s="13" t="inlineStr">
        <is>
          <t>병렬도 12 분할 1</t>
        </is>
      </c>
      <c r="B77" s="13" t="n">
        <v>1</v>
      </c>
      <c r="C77" s="13" t="inlineStr">
        <is>
          <t>main</t>
        </is>
      </c>
      <c r="D77" s="10" t="n">
        <v>46238.46453949074</v>
      </c>
      <c r="E77" s="10" t="n">
        <v>46238.4645890176</v>
      </c>
      <c r="F77" s="16">
        <f>'클럭 정리'!A79</f>
        <v/>
      </c>
      <c r="G77" s="17">
        <f>'클럭 정리'!N79</f>
        <v/>
      </c>
      <c r="H77" s="15">
        <f>'클럭 정리'!O79</f>
        <v/>
      </c>
    </row>
    <row r="78">
      <c r="A78" s="13" t="inlineStr">
        <is>
          <t>병렬도 12 분할 1</t>
        </is>
      </c>
      <c r="B78" s="13" t="n">
        <v>1</v>
      </c>
      <c r="C78" s="13" t="inlineStr">
        <is>
          <t>main</t>
        </is>
      </c>
      <c r="D78" s="10" t="n">
        <v>46238.46453949074</v>
      </c>
      <c r="E78" s="10" t="n">
        <v>46238.4645890176</v>
      </c>
      <c r="F78" s="16">
        <f>'클럭 정리'!A80</f>
        <v/>
      </c>
      <c r="G78" s="17">
        <f>'클럭 정리'!N80</f>
        <v/>
      </c>
      <c r="H78" s="15">
        <f>'클럭 정리'!O80</f>
        <v/>
      </c>
    </row>
    <row r="79">
      <c r="A79" s="13" t="inlineStr">
        <is>
          <t>병렬도 12 분할 1</t>
        </is>
      </c>
      <c r="B79" s="13" t="n">
        <v>1</v>
      </c>
      <c r="C79" s="13" t="inlineStr">
        <is>
          <t>main</t>
        </is>
      </c>
      <c r="D79" s="10" t="n">
        <v>46238.46453949074</v>
      </c>
      <c r="E79" s="10" t="n">
        <v>46238.4645890176</v>
      </c>
      <c r="F79" s="16">
        <f>'클럭 정리'!A81</f>
        <v/>
      </c>
      <c r="G79" s="17">
        <f>'클럭 정리'!N81</f>
        <v/>
      </c>
      <c r="H79" s="15">
        <f>'클럭 정리'!O81</f>
        <v/>
      </c>
    </row>
    <row r="80">
      <c r="A80" s="13" t="inlineStr">
        <is>
          <t>병렬도 12 분할 1</t>
        </is>
      </c>
      <c r="B80" s="13" t="n">
        <v>1</v>
      </c>
      <c r="C80" s="13" t="inlineStr">
        <is>
          <t>main</t>
        </is>
      </c>
      <c r="D80" s="10" t="n">
        <v>46238.46453949074</v>
      </c>
      <c r="E80" s="10" t="n">
        <v>46238.4645890176</v>
      </c>
      <c r="F80" s="16">
        <f>'클럭 정리'!A82</f>
        <v/>
      </c>
      <c r="G80" s="17">
        <f>'클럭 정리'!N82</f>
        <v/>
      </c>
      <c r="H80" s="15">
        <f>'클럭 정리'!O82</f>
        <v/>
      </c>
    </row>
    <row r="81">
      <c r="A81" s="13" t="inlineStr">
        <is>
          <t>병렬도 12 분할 1</t>
        </is>
      </c>
      <c r="B81" s="13" t="n">
        <v>2</v>
      </c>
      <c r="C81" s="13" t="inlineStr">
        <is>
          <t>ForkJoinPool-12</t>
        </is>
      </c>
      <c r="D81" s="10" t="n">
        <v>46238.46458903935</v>
      </c>
      <c r="E81" s="10" t="n">
        <v>46238.46464411489</v>
      </c>
      <c r="F81" s="16">
        <f>'클럭 정리'!A83</f>
        <v/>
      </c>
      <c r="G81" s="17">
        <f>'클럭 정리'!N83</f>
        <v/>
      </c>
      <c r="H81" s="15">
        <f>'클럭 정리'!O83</f>
        <v/>
      </c>
    </row>
    <row r="82">
      <c r="A82" s="13" t="inlineStr">
        <is>
          <t>병렬도 12 분할 1</t>
        </is>
      </c>
      <c r="B82" s="13" t="n">
        <v>2</v>
      </c>
      <c r="C82" s="13" t="inlineStr">
        <is>
          <t>ForkJoinPool-12</t>
        </is>
      </c>
      <c r="D82" s="10" t="n">
        <v>46238.46458903935</v>
      </c>
      <c r="E82" s="10" t="n">
        <v>46238.46464411489</v>
      </c>
      <c r="F82" s="16">
        <f>'클럭 정리'!A84</f>
        <v/>
      </c>
      <c r="G82" s="17">
        <f>'클럭 정리'!N84</f>
        <v/>
      </c>
      <c r="H82" s="15">
        <f>'클럭 정리'!O84</f>
        <v/>
      </c>
    </row>
    <row r="83">
      <c r="A83" s="13" t="inlineStr">
        <is>
          <t>병렬도 12 분할 1</t>
        </is>
      </c>
      <c r="B83" s="13" t="n">
        <v>2</v>
      </c>
      <c r="C83" s="13" t="inlineStr">
        <is>
          <t>ForkJoinPool-12</t>
        </is>
      </c>
      <c r="D83" s="10" t="n">
        <v>46238.46458903935</v>
      </c>
      <c r="E83" s="10" t="n">
        <v>46238.46464411489</v>
      </c>
      <c r="F83" s="16">
        <f>'클럭 정리'!A85</f>
        <v/>
      </c>
      <c r="G83" s="17">
        <f>'클럭 정리'!N85</f>
        <v/>
      </c>
      <c r="H83" s="15">
        <f>'클럭 정리'!O85</f>
        <v/>
      </c>
    </row>
    <row r="84">
      <c r="A84" s="13" t="inlineStr">
        <is>
          <t>병렬도 12 분할 1</t>
        </is>
      </c>
      <c r="B84" s="13" t="n">
        <v>2</v>
      </c>
      <c r="C84" s="13" t="inlineStr">
        <is>
          <t>ForkJoinPool-12</t>
        </is>
      </c>
      <c r="D84" s="10" t="n">
        <v>46238.46458903935</v>
      </c>
      <c r="E84" s="10" t="n">
        <v>46238.46464411489</v>
      </c>
      <c r="F84" s="16">
        <f>'클럭 정리'!A86</f>
        <v/>
      </c>
      <c r="G84" s="17">
        <f>'클럭 정리'!N86</f>
        <v/>
      </c>
      <c r="H84" s="15">
        <f>'클럭 정리'!O86</f>
        <v/>
      </c>
    </row>
    <row r="85">
      <c r="A85" s="13" t="inlineStr">
        <is>
          <t>병렬도 12 분할 1</t>
        </is>
      </c>
      <c r="B85" s="13" t="n">
        <v>2</v>
      </c>
      <c r="C85" s="13" t="inlineStr">
        <is>
          <t>ForkJoinPool-12</t>
        </is>
      </c>
      <c r="D85" s="10" t="n">
        <v>46238.46458903935</v>
      </c>
      <c r="E85" s="10" t="n">
        <v>46238.46464411489</v>
      </c>
      <c r="F85" s="16">
        <f>'클럭 정리'!A87</f>
        <v/>
      </c>
      <c r="G85" s="17">
        <f>'클럭 정리'!N87</f>
        <v/>
      </c>
      <c r="H85" s="15">
        <f>'클럭 정리'!O87</f>
        <v/>
      </c>
    </row>
    <row r="86">
      <c r="A86" s="13" t="inlineStr">
        <is>
          <t>병렬도 12 분할 1</t>
        </is>
      </c>
      <c r="B86" s="13" t="n">
        <v>2</v>
      </c>
      <c r="C86" s="13" t="inlineStr">
        <is>
          <t>main</t>
        </is>
      </c>
      <c r="D86" s="10" t="n">
        <v>46238.46458902778</v>
      </c>
      <c r="E86" s="10" t="n">
        <v>46238.4646441156</v>
      </c>
      <c r="F86" s="16">
        <f>'클럭 정리'!A83</f>
        <v/>
      </c>
      <c r="G86" s="17">
        <f>'클럭 정리'!N83</f>
        <v/>
      </c>
      <c r="H86" s="15">
        <f>'클럭 정리'!O83</f>
        <v/>
      </c>
    </row>
    <row r="87">
      <c r="A87" s="13" t="inlineStr">
        <is>
          <t>병렬도 12 분할 1</t>
        </is>
      </c>
      <c r="B87" s="13" t="n">
        <v>2</v>
      </c>
      <c r="C87" s="13" t="inlineStr">
        <is>
          <t>main</t>
        </is>
      </c>
      <c r="D87" s="10" t="n">
        <v>46238.46458902778</v>
      </c>
      <c r="E87" s="10" t="n">
        <v>46238.4646441156</v>
      </c>
      <c r="F87" s="16">
        <f>'클럭 정리'!A84</f>
        <v/>
      </c>
      <c r="G87" s="17">
        <f>'클럭 정리'!N84</f>
        <v/>
      </c>
      <c r="H87" s="15">
        <f>'클럭 정리'!O84</f>
        <v/>
      </c>
    </row>
    <row r="88">
      <c r="A88" s="13" t="inlineStr">
        <is>
          <t>병렬도 12 분할 1</t>
        </is>
      </c>
      <c r="B88" s="13" t="n">
        <v>2</v>
      </c>
      <c r="C88" s="13" t="inlineStr">
        <is>
          <t>main</t>
        </is>
      </c>
      <c r="D88" s="10" t="n">
        <v>46238.46458902778</v>
      </c>
      <c r="E88" s="10" t="n">
        <v>46238.4646441156</v>
      </c>
      <c r="F88" s="16">
        <f>'클럭 정리'!A85</f>
        <v/>
      </c>
      <c r="G88" s="17">
        <f>'클럭 정리'!N85</f>
        <v/>
      </c>
      <c r="H88" s="15">
        <f>'클럭 정리'!O85</f>
        <v/>
      </c>
    </row>
    <row r="89">
      <c r="A89" s="13" t="inlineStr">
        <is>
          <t>병렬도 12 분할 1</t>
        </is>
      </c>
      <c r="B89" s="13" t="n">
        <v>2</v>
      </c>
      <c r="C89" s="13" t="inlineStr">
        <is>
          <t>main</t>
        </is>
      </c>
      <c r="D89" s="10" t="n">
        <v>46238.46458902778</v>
      </c>
      <c r="E89" s="10" t="n">
        <v>46238.4646441156</v>
      </c>
      <c r="F89" s="16">
        <f>'클럭 정리'!A86</f>
        <v/>
      </c>
      <c r="G89" s="17">
        <f>'클럭 정리'!N86</f>
        <v/>
      </c>
      <c r="H89" s="15">
        <f>'클럭 정리'!O86</f>
        <v/>
      </c>
    </row>
    <row r="90">
      <c r="A90" s="13" t="inlineStr">
        <is>
          <t>병렬도 12 분할 1</t>
        </is>
      </c>
      <c r="B90" s="13" t="n">
        <v>2</v>
      </c>
      <c r="C90" s="13" t="inlineStr">
        <is>
          <t>main</t>
        </is>
      </c>
      <c r="D90" s="10" t="n">
        <v>46238.46458902778</v>
      </c>
      <c r="E90" s="10" t="n">
        <v>46238.4646441156</v>
      </c>
      <c r="F90" s="16">
        <f>'클럭 정리'!A87</f>
        <v/>
      </c>
      <c r="G90" s="17">
        <f>'클럭 정리'!N87</f>
        <v/>
      </c>
      <c r="H90" s="15">
        <f>'클럭 정리'!O87</f>
        <v/>
      </c>
    </row>
    <row r="91">
      <c r="A91" s="13" t="inlineStr">
        <is>
          <t>병렬도 12 분할 1</t>
        </is>
      </c>
      <c r="B91" s="13" t="n">
        <v>3</v>
      </c>
      <c r="C91" s="13" t="inlineStr">
        <is>
          <t>ForkJoinPool-13</t>
        </is>
      </c>
      <c r="D91" s="10" t="n">
        <v>46238.46464413194</v>
      </c>
      <c r="E91" s="10" t="n">
        <v>46238.46469333743</v>
      </c>
      <c r="F91" s="16">
        <f>'클럭 정리'!A88</f>
        <v/>
      </c>
      <c r="G91" s="17">
        <f>'클럭 정리'!N88</f>
        <v/>
      </c>
      <c r="H91" s="15">
        <f>'클럭 정리'!O88</f>
        <v/>
      </c>
    </row>
    <row r="92">
      <c r="A92" s="13" t="inlineStr">
        <is>
          <t>병렬도 12 분할 1</t>
        </is>
      </c>
      <c r="B92" s="13" t="n">
        <v>3</v>
      </c>
      <c r="C92" s="13" t="inlineStr">
        <is>
          <t>ForkJoinPool-13</t>
        </is>
      </c>
      <c r="D92" s="10" t="n">
        <v>46238.46464413194</v>
      </c>
      <c r="E92" s="10" t="n">
        <v>46238.46469333743</v>
      </c>
      <c r="F92" s="16">
        <f>'클럭 정리'!A89</f>
        <v/>
      </c>
      <c r="G92" s="17">
        <f>'클럭 정리'!N89</f>
        <v/>
      </c>
      <c r="H92" s="15">
        <f>'클럭 정리'!O89</f>
        <v/>
      </c>
    </row>
    <row r="93">
      <c r="A93" s="13" t="inlineStr">
        <is>
          <t>병렬도 12 분할 1</t>
        </is>
      </c>
      <c r="B93" s="13" t="n">
        <v>3</v>
      </c>
      <c r="C93" s="13" t="inlineStr">
        <is>
          <t>ForkJoinPool-13</t>
        </is>
      </c>
      <c r="D93" s="10" t="n">
        <v>46238.46464413194</v>
      </c>
      <c r="E93" s="10" t="n">
        <v>46238.46469333743</v>
      </c>
      <c r="F93" s="16">
        <f>'클럭 정리'!A90</f>
        <v/>
      </c>
      <c r="G93" s="17">
        <f>'클럭 정리'!N90</f>
        <v/>
      </c>
      <c r="H93" s="15">
        <f>'클럭 정리'!O90</f>
        <v/>
      </c>
    </row>
    <row r="94">
      <c r="A94" s="13" t="inlineStr">
        <is>
          <t>병렬도 12 분할 1</t>
        </is>
      </c>
      <c r="B94" s="13" t="n">
        <v>3</v>
      </c>
      <c r="C94" s="13" t="inlineStr">
        <is>
          <t>ForkJoinPool-13</t>
        </is>
      </c>
      <c r="D94" s="10" t="n">
        <v>46238.46464413194</v>
      </c>
      <c r="E94" s="10" t="n">
        <v>46238.46469333743</v>
      </c>
      <c r="F94" s="16">
        <f>'클럭 정리'!A91</f>
        <v/>
      </c>
      <c r="G94" s="17">
        <f>'클럭 정리'!N91</f>
        <v/>
      </c>
      <c r="H94" s="15">
        <f>'클럭 정리'!O91</f>
        <v/>
      </c>
    </row>
    <row r="95">
      <c r="A95" s="13" t="inlineStr">
        <is>
          <t>병렬도 12 분할 1</t>
        </is>
      </c>
      <c r="B95" s="13" t="n">
        <v>3</v>
      </c>
      <c r="C95" s="13" t="inlineStr">
        <is>
          <t>main</t>
        </is>
      </c>
      <c r="D95" s="10" t="n">
        <v>46238.46464412037</v>
      </c>
      <c r="E95" s="10" t="n">
        <v>46238.46469332703</v>
      </c>
      <c r="F95" s="16">
        <f>'클럭 정리'!A88</f>
        <v/>
      </c>
      <c r="G95" s="17">
        <f>'클럭 정리'!N88</f>
        <v/>
      </c>
      <c r="H95" s="15">
        <f>'클럭 정리'!O88</f>
        <v/>
      </c>
    </row>
    <row r="96">
      <c r="A96" s="13" t="inlineStr">
        <is>
          <t>병렬도 12 분할 1</t>
        </is>
      </c>
      <c r="B96" s="13" t="n">
        <v>3</v>
      </c>
      <c r="C96" s="13" t="inlineStr">
        <is>
          <t>main</t>
        </is>
      </c>
      <c r="D96" s="10" t="n">
        <v>46238.46464412037</v>
      </c>
      <c r="E96" s="10" t="n">
        <v>46238.46469332703</v>
      </c>
      <c r="F96" s="16">
        <f>'클럭 정리'!A89</f>
        <v/>
      </c>
      <c r="G96" s="17">
        <f>'클럭 정리'!N89</f>
        <v/>
      </c>
      <c r="H96" s="15">
        <f>'클럭 정리'!O89</f>
        <v/>
      </c>
    </row>
    <row r="97">
      <c r="A97" s="13" t="inlineStr">
        <is>
          <t>병렬도 12 분할 1</t>
        </is>
      </c>
      <c r="B97" s="13" t="n">
        <v>3</v>
      </c>
      <c r="C97" s="13" t="inlineStr">
        <is>
          <t>main</t>
        </is>
      </c>
      <c r="D97" s="10" t="n">
        <v>46238.46464412037</v>
      </c>
      <c r="E97" s="10" t="n">
        <v>46238.46469332703</v>
      </c>
      <c r="F97" s="16">
        <f>'클럭 정리'!A90</f>
        <v/>
      </c>
      <c r="G97" s="17">
        <f>'클럭 정리'!N90</f>
        <v/>
      </c>
      <c r="H97" s="15">
        <f>'클럭 정리'!O90</f>
        <v/>
      </c>
    </row>
    <row r="98">
      <c r="A98" s="13" t="inlineStr">
        <is>
          <t>병렬도 12 분할 1</t>
        </is>
      </c>
      <c r="B98" s="13" t="n">
        <v>3</v>
      </c>
      <c r="C98" s="13" t="inlineStr">
        <is>
          <t>main</t>
        </is>
      </c>
      <c r="D98" s="10" t="n">
        <v>46238.46464412037</v>
      </c>
      <c r="E98" s="10" t="n">
        <v>46238.46469332703</v>
      </c>
      <c r="F98" s="16">
        <f>'클럭 정리'!A91</f>
        <v/>
      </c>
      <c r="G98" s="17">
        <f>'클럭 정리'!N91</f>
        <v/>
      </c>
      <c r="H98" s="15">
        <f>'클럭 정리'!O91</f>
        <v/>
      </c>
    </row>
    <row r="99">
      <c r="A99" s="13" t="inlineStr">
        <is>
          <t>병렬도 12 분할 1</t>
        </is>
      </c>
      <c r="B99" s="13" t="n">
        <v>4</v>
      </c>
      <c r="C99" s="13" t="inlineStr">
        <is>
          <t>ForkJoinPool-14</t>
        </is>
      </c>
      <c r="D99" s="10" t="n">
        <v>46238.46469335648</v>
      </c>
      <c r="E99" s="10" t="n">
        <v>46238.46474216702</v>
      </c>
      <c r="F99" s="16">
        <f>'클럭 정리'!A92</f>
        <v/>
      </c>
      <c r="G99" s="17">
        <f>'클럭 정리'!N92</f>
        <v/>
      </c>
      <c r="H99" s="15">
        <f>'클럭 정리'!O92</f>
        <v/>
      </c>
    </row>
    <row r="100">
      <c r="A100" s="13" t="inlineStr">
        <is>
          <t>병렬도 12 분할 1</t>
        </is>
      </c>
      <c r="B100" s="13" t="n">
        <v>4</v>
      </c>
      <c r="C100" s="13" t="inlineStr">
        <is>
          <t>ForkJoinPool-14</t>
        </is>
      </c>
      <c r="D100" s="10" t="n">
        <v>46238.46469335648</v>
      </c>
      <c r="E100" s="10" t="n">
        <v>46238.46474216702</v>
      </c>
      <c r="F100" s="16">
        <f>'클럭 정리'!A93</f>
        <v/>
      </c>
      <c r="G100" s="17">
        <f>'클럭 정리'!N93</f>
        <v/>
      </c>
      <c r="H100" s="15">
        <f>'클럭 정리'!O93</f>
        <v/>
      </c>
    </row>
    <row r="101">
      <c r="A101" s="13" t="inlineStr">
        <is>
          <t>병렬도 12 분할 1</t>
        </is>
      </c>
      <c r="B101" s="13" t="n">
        <v>4</v>
      </c>
      <c r="C101" s="13" t="inlineStr">
        <is>
          <t>ForkJoinPool-14</t>
        </is>
      </c>
      <c r="D101" s="10" t="n">
        <v>46238.46469335648</v>
      </c>
      <c r="E101" s="10" t="n">
        <v>46238.46474216702</v>
      </c>
      <c r="F101" s="16">
        <f>'클럭 정리'!A94</f>
        <v/>
      </c>
      <c r="G101" s="17">
        <f>'클럭 정리'!N94</f>
        <v/>
      </c>
      <c r="H101" s="15">
        <f>'클럭 정리'!O94</f>
        <v/>
      </c>
    </row>
    <row r="102">
      <c r="A102" s="13" t="inlineStr">
        <is>
          <t>병렬도 12 분할 1</t>
        </is>
      </c>
      <c r="B102" s="13" t="n">
        <v>4</v>
      </c>
      <c r="C102" s="13" t="inlineStr">
        <is>
          <t>ForkJoinPool-14</t>
        </is>
      </c>
      <c r="D102" s="10" t="n">
        <v>46238.46469335648</v>
      </c>
      <c r="E102" s="10" t="n">
        <v>46238.46474216702</v>
      </c>
      <c r="F102" s="16">
        <f>'클럭 정리'!A95</f>
        <v/>
      </c>
      <c r="G102" s="17">
        <f>'클럭 정리'!N95</f>
        <v/>
      </c>
      <c r="H102" s="15">
        <f>'클럭 정리'!O95</f>
        <v/>
      </c>
    </row>
    <row r="103">
      <c r="A103" s="13" t="inlineStr">
        <is>
          <t>병렬도 12 분할 1</t>
        </is>
      </c>
      <c r="B103" s="13" t="n">
        <v>4</v>
      </c>
      <c r="C103" s="13" t="inlineStr">
        <is>
          <t>main</t>
        </is>
      </c>
      <c r="D103" s="10" t="n">
        <v>46238.4646933449</v>
      </c>
      <c r="E103" s="10" t="n">
        <v>46238.46474216829</v>
      </c>
      <c r="F103" s="16">
        <f>'클럭 정리'!A92</f>
        <v/>
      </c>
      <c r="G103" s="17">
        <f>'클럭 정리'!N92</f>
        <v/>
      </c>
      <c r="H103" s="15">
        <f>'클럭 정리'!O92</f>
        <v/>
      </c>
    </row>
    <row r="104">
      <c r="A104" s="13" t="inlineStr">
        <is>
          <t>병렬도 12 분할 1</t>
        </is>
      </c>
      <c r="B104" s="13" t="n">
        <v>4</v>
      </c>
      <c r="C104" s="13" t="inlineStr">
        <is>
          <t>main</t>
        </is>
      </c>
      <c r="D104" s="10" t="n">
        <v>46238.4646933449</v>
      </c>
      <c r="E104" s="10" t="n">
        <v>46238.46474216829</v>
      </c>
      <c r="F104" s="16">
        <f>'클럭 정리'!A93</f>
        <v/>
      </c>
      <c r="G104" s="17">
        <f>'클럭 정리'!N93</f>
        <v/>
      </c>
      <c r="H104" s="15">
        <f>'클럭 정리'!O93</f>
        <v/>
      </c>
    </row>
    <row r="105">
      <c r="A105" s="13" t="inlineStr">
        <is>
          <t>병렬도 12 분할 1</t>
        </is>
      </c>
      <c r="B105" s="13" t="n">
        <v>4</v>
      </c>
      <c r="C105" s="13" t="inlineStr">
        <is>
          <t>main</t>
        </is>
      </c>
      <c r="D105" s="10" t="n">
        <v>46238.4646933449</v>
      </c>
      <c r="E105" s="10" t="n">
        <v>46238.46474216829</v>
      </c>
      <c r="F105" s="16">
        <f>'클럭 정리'!A94</f>
        <v/>
      </c>
      <c r="G105" s="17">
        <f>'클럭 정리'!N94</f>
        <v/>
      </c>
      <c r="H105" s="15">
        <f>'클럭 정리'!O94</f>
        <v/>
      </c>
    </row>
    <row r="106">
      <c r="A106" s="13" t="inlineStr">
        <is>
          <t>병렬도 12 분할 1</t>
        </is>
      </c>
      <c r="B106" s="13" t="n">
        <v>4</v>
      </c>
      <c r="C106" s="13" t="inlineStr">
        <is>
          <t>main</t>
        </is>
      </c>
      <c r="D106" s="10" t="n">
        <v>46238.4646933449</v>
      </c>
      <c r="E106" s="10" t="n">
        <v>46238.46474216829</v>
      </c>
      <c r="F106" s="16">
        <f>'클럭 정리'!A95</f>
        <v/>
      </c>
      <c r="G106" s="17">
        <f>'클럭 정리'!N95</f>
        <v/>
      </c>
      <c r="H106" s="15">
        <f>'클럭 정리'!O95</f>
        <v/>
      </c>
    </row>
    <row r="107">
      <c r="A107" s="13" t="inlineStr">
        <is>
          <t>병렬도 12 분할 1</t>
        </is>
      </c>
      <c r="B107" s="13" t="n">
        <v>5</v>
      </c>
      <c r="C107" s="13" t="inlineStr">
        <is>
          <t>ForkJoinPool-15</t>
        </is>
      </c>
      <c r="D107" s="10" t="n">
        <v>46238.46474217593</v>
      </c>
      <c r="E107" s="10" t="n">
        <v>46238.46479565346</v>
      </c>
      <c r="F107" s="16">
        <f>'클럭 정리'!A96</f>
        <v/>
      </c>
      <c r="G107" s="17">
        <f>'클럭 정리'!N96</f>
        <v/>
      </c>
      <c r="H107" s="15">
        <f>'클럭 정리'!O96</f>
        <v/>
      </c>
    </row>
    <row r="108">
      <c r="A108" s="13" t="inlineStr">
        <is>
          <t>병렬도 12 분할 1</t>
        </is>
      </c>
      <c r="B108" s="13" t="n">
        <v>5</v>
      </c>
      <c r="C108" s="13" t="inlineStr">
        <is>
          <t>ForkJoinPool-15</t>
        </is>
      </c>
      <c r="D108" s="10" t="n">
        <v>46238.46474217593</v>
      </c>
      <c r="E108" s="10" t="n">
        <v>46238.46479565346</v>
      </c>
      <c r="F108" s="16">
        <f>'클럭 정리'!A97</f>
        <v/>
      </c>
      <c r="G108" s="17">
        <f>'클럭 정리'!N97</f>
        <v/>
      </c>
      <c r="H108" s="15">
        <f>'클럭 정리'!O97</f>
        <v/>
      </c>
    </row>
    <row r="109">
      <c r="A109" s="13" t="inlineStr">
        <is>
          <t>병렬도 12 분할 1</t>
        </is>
      </c>
      <c r="B109" s="13" t="n">
        <v>5</v>
      </c>
      <c r="C109" s="13" t="inlineStr">
        <is>
          <t>ForkJoinPool-15</t>
        </is>
      </c>
      <c r="D109" s="10" t="n">
        <v>46238.46474217593</v>
      </c>
      <c r="E109" s="10" t="n">
        <v>46238.46479565346</v>
      </c>
      <c r="F109" s="16">
        <f>'클럭 정리'!A98</f>
        <v/>
      </c>
      <c r="G109" s="17">
        <f>'클럭 정리'!N98</f>
        <v/>
      </c>
      <c r="H109" s="15">
        <f>'클럭 정리'!O98</f>
        <v/>
      </c>
    </row>
    <row r="110">
      <c r="A110" s="13" t="inlineStr">
        <is>
          <t>병렬도 12 분할 1</t>
        </is>
      </c>
      <c r="B110" s="13" t="n">
        <v>5</v>
      </c>
      <c r="C110" s="13" t="inlineStr">
        <is>
          <t>ForkJoinPool-15</t>
        </is>
      </c>
      <c r="D110" s="10" t="n">
        <v>46238.46474217593</v>
      </c>
      <c r="E110" s="10" t="n">
        <v>46238.46479565346</v>
      </c>
      <c r="F110" s="16">
        <f>'클럭 정리'!A99</f>
        <v/>
      </c>
      <c r="G110" s="17">
        <f>'클럭 정리'!N99</f>
        <v/>
      </c>
      <c r="H110" s="15">
        <f>'클럭 정리'!O99</f>
        <v/>
      </c>
    </row>
    <row r="111">
      <c r="A111" s="13" t="inlineStr">
        <is>
          <t>병렬도 12 분할 1</t>
        </is>
      </c>
      <c r="B111" s="13" t="n">
        <v>5</v>
      </c>
      <c r="C111" s="13" t="inlineStr">
        <is>
          <t>ForkJoinPool-15</t>
        </is>
      </c>
      <c r="D111" s="10" t="n">
        <v>46238.46474217593</v>
      </c>
      <c r="E111" s="10" t="n">
        <v>46238.46479565346</v>
      </c>
      <c r="F111" s="16">
        <f>'클럭 정리'!A100</f>
        <v/>
      </c>
      <c r="G111" s="17">
        <f>'클럭 정리'!N100</f>
        <v/>
      </c>
      <c r="H111" s="15">
        <f>'클럭 정리'!O100</f>
        <v/>
      </c>
    </row>
    <row r="112">
      <c r="A112" s="13" t="inlineStr">
        <is>
          <t>병렬도 12 분할 1</t>
        </is>
      </c>
      <c r="B112" s="13" t="n">
        <v>5</v>
      </c>
      <c r="C112" s="13" t="inlineStr">
        <is>
          <t>main</t>
        </is>
      </c>
      <c r="D112" s="10" t="n">
        <v>46238.46474217593</v>
      </c>
      <c r="E112" s="10" t="n">
        <v>46238.46479565433</v>
      </c>
      <c r="F112" s="16">
        <f>'클럭 정리'!A96</f>
        <v/>
      </c>
      <c r="G112" s="17">
        <f>'클럭 정리'!N96</f>
        <v/>
      </c>
      <c r="H112" s="15">
        <f>'클럭 정리'!O96</f>
        <v/>
      </c>
    </row>
    <row r="113">
      <c r="A113" s="13" t="inlineStr">
        <is>
          <t>병렬도 12 분할 1</t>
        </is>
      </c>
      <c r="B113" s="13" t="n">
        <v>5</v>
      </c>
      <c r="C113" s="13" t="inlineStr">
        <is>
          <t>main</t>
        </is>
      </c>
      <c r="D113" s="10" t="n">
        <v>46238.46474217593</v>
      </c>
      <c r="E113" s="10" t="n">
        <v>46238.46479565433</v>
      </c>
      <c r="F113" s="16">
        <f>'클럭 정리'!A97</f>
        <v/>
      </c>
      <c r="G113" s="17">
        <f>'클럭 정리'!N97</f>
        <v/>
      </c>
      <c r="H113" s="15">
        <f>'클럭 정리'!O97</f>
        <v/>
      </c>
    </row>
    <row r="114">
      <c r="A114" s="13" t="inlineStr">
        <is>
          <t>병렬도 12 분할 1</t>
        </is>
      </c>
      <c r="B114" s="13" t="n">
        <v>5</v>
      </c>
      <c r="C114" s="13" t="inlineStr">
        <is>
          <t>main</t>
        </is>
      </c>
      <c r="D114" s="10" t="n">
        <v>46238.46474217593</v>
      </c>
      <c r="E114" s="10" t="n">
        <v>46238.46479565433</v>
      </c>
      <c r="F114" s="16">
        <f>'클럭 정리'!A98</f>
        <v/>
      </c>
      <c r="G114" s="17">
        <f>'클럭 정리'!N98</f>
        <v/>
      </c>
      <c r="H114" s="15">
        <f>'클럭 정리'!O98</f>
        <v/>
      </c>
    </row>
    <row r="115">
      <c r="A115" s="13" t="inlineStr">
        <is>
          <t>병렬도 12 분할 1</t>
        </is>
      </c>
      <c r="B115" s="13" t="n">
        <v>5</v>
      </c>
      <c r="C115" s="13" t="inlineStr">
        <is>
          <t>main</t>
        </is>
      </c>
      <c r="D115" s="10" t="n">
        <v>46238.46474217593</v>
      </c>
      <c r="E115" s="10" t="n">
        <v>46238.46479565433</v>
      </c>
      <c r="F115" s="16">
        <f>'클럭 정리'!A99</f>
        <v/>
      </c>
      <c r="G115" s="17">
        <f>'클럭 정리'!N99</f>
        <v/>
      </c>
      <c r="H115" s="15">
        <f>'클럭 정리'!O99</f>
        <v/>
      </c>
    </row>
    <row r="116">
      <c r="A116" s="13" t="inlineStr">
        <is>
          <t>병렬도 12 분할 1</t>
        </is>
      </c>
      <c r="B116" s="13" t="n">
        <v>5</v>
      </c>
      <c r="C116" s="13" t="inlineStr">
        <is>
          <t>main</t>
        </is>
      </c>
      <c r="D116" s="10" t="n">
        <v>46238.46474217593</v>
      </c>
      <c r="E116" s="10" t="n">
        <v>46238.46479565433</v>
      </c>
      <c r="F116" s="16">
        <f>'클럭 정리'!A100</f>
        <v/>
      </c>
      <c r="G116" s="17">
        <f>'클럭 정리'!N100</f>
        <v/>
      </c>
      <c r="H116" s="15">
        <f>'클럭 정리'!O100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cols>
    <col width="7" customWidth="1" min="1" max="1"/>
    <col width="8" customWidth="1" min="2" max="2"/>
    <col width="7" customWidth="1" min="3" max="3"/>
    <col width="6" customWidth="1" min="4" max="4"/>
    <col width="12" customWidth="1" min="5" max="5"/>
    <col width="12" customWidth="1" min="6" max="6"/>
    <col width="11" customWidth="1" min="7" max="7"/>
    <col width="11" customWidth="1" min="8" max="8"/>
    <col width="13" customWidth="1" min="9" max="9"/>
    <col width="12" customWidth="1" min="10" max="10"/>
    <col width="12" customWidth="1" min="11" max="11"/>
    <col width="8" customWidth="1" min="12" max="12"/>
    <col width="11" customWidth="1" min="13" max="13"/>
  </cols>
  <sheetData>
    <row r="1">
      <c r="A1" s="1" t="inlineStr">
        <is>
          <t>측정 회차별 원값 (IMPLOG run 레코드). 프로브 표의 행은 5회 평균이고, 이 시트는 그 5회 각각이다</t>
        </is>
      </c>
    </row>
    <row r="2">
      <c r="A2" s="4" t="inlineStr">
        <is>
          <t>busyCore와 speedup은 파생값이라 로그에 없고 여기서 수식으로 계산한다. busyCore는 procCPU를 elapsed로 나눈 값, speedup은 순차 elapsed의 5회 평균을 그 행의 elapsed로 나눈 값이다. 스레드 CPU 시간(mainCPU 등)은 Windows 해상도(15.625ms) 계단이라 작은 값은 0으로 찍힌다.</t>
        </is>
      </c>
    </row>
    <row r="4">
      <c r="A4" s="5" t="inlineStr">
        <is>
          <t>구현</t>
        </is>
      </c>
      <c r="B4" s="5" t="inlineStr">
        <is>
          <t>병렬도</t>
        </is>
      </c>
      <c r="C4" s="5" t="inlineStr">
        <is>
          <t>분할</t>
        </is>
      </c>
      <c r="D4" s="5" t="inlineStr">
        <is>
          <t>회차</t>
        </is>
      </c>
      <c r="E4" s="5" t="inlineStr">
        <is>
          <t>elapsed(ms)</t>
        </is>
      </c>
      <c r="F4" s="5" t="inlineStr">
        <is>
          <t>procCPU(ms)</t>
        </is>
      </c>
      <c r="G4" s="5" t="inlineStr">
        <is>
          <t>busyCore(개)</t>
        </is>
      </c>
      <c r="H4" s="5" t="inlineStr">
        <is>
          <t>mainCPU(ms)</t>
        </is>
      </c>
      <c r="I4" s="5" t="inlineStr">
        <is>
          <t>workerCPU(ms)</t>
        </is>
      </c>
      <c r="J4" s="5" t="inlineStr">
        <is>
          <t>기타 자바(ms)</t>
        </is>
      </c>
      <c r="K4" s="5" t="inlineStr">
        <is>
          <t>자바 아닌(ms)</t>
        </is>
      </c>
      <c r="L4" s="5" t="inlineStr">
        <is>
          <t>GC(ms)</t>
        </is>
      </c>
      <c r="M4" s="5" t="inlineStr">
        <is>
          <t>speedup(배)</t>
        </is>
      </c>
    </row>
    <row r="5">
      <c r="A5" s="13" t="inlineStr">
        <is>
          <t>순차</t>
        </is>
      </c>
      <c r="B5" s="13" t="inlineStr">
        <is>
          <t>-</t>
        </is>
      </c>
      <c r="C5" s="13" t="inlineStr">
        <is>
          <t>-</t>
        </is>
      </c>
      <c r="D5" s="13" t="n">
        <v>1</v>
      </c>
      <c r="E5" s="14" t="n">
        <v>3279.3254</v>
      </c>
      <c r="F5" s="14" t="n">
        <v>3281.25</v>
      </c>
      <c r="G5" s="11">
        <f>F5/E5</f>
        <v/>
      </c>
      <c r="H5" s="14" t="n">
        <v>3250</v>
      </c>
      <c r="I5" s="14" t="n">
        <v>0</v>
      </c>
      <c r="J5" s="14" t="n">
        <v>0</v>
      </c>
      <c r="K5" s="14" t="n">
        <v>31.25</v>
      </c>
      <c r="L5" s="13" t="n">
        <v>18</v>
      </c>
      <c r="M5" s="13" t="n"/>
    </row>
    <row r="6">
      <c r="A6" s="13" t="inlineStr">
        <is>
          <t>순차</t>
        </is>
      </c>
      <c r="B6" s="13" t="inlineStr">
        <is>
          <t>-</t>
        </is>
      </c>
      <c r="C6" s="13" t="inlineStr">
        <is>
          <t>-</t>
        </is>
      </c>
      <c r="D6" s="13" t="n">
        <v>2</v>
      </c>
      <c r="E6" s="14" t="n">
        <v>4187.6967</v>
      </c>
      <c r="F6" s="14" t="n">
        <v>4203.125</v>
      </c>
      <c r="G6" s="11">
        <f>F6/E6</f>
        <v/>
      </c>
      <c r="H6" s="14" t="n">
        <v>4140.625</v>
      </c>
      <c r="I6" s="14" t="n">
        <v>0</v>
      </c>
      <c r="J6" s="14" t="n">
        <v>0</v>
      </c>
      <c r="K6" s="14" t="n">
        <v>62.5</v>
      </c>
      <c r="L6" s="13" t="n">
        <v>17</v>
      </c>
      <c r="M6" s="13" t="n"/>
    </row>
    <row r="7">
      <c r="A7" s="13" t="inlineStr">
        <is>
          <t>순차</t>
        </is>
      </c>
      <c r="B7" s="13" t="inlineStr">
        <is>
          <t>-</t>
        </is>
      </c>
      <c r="C7" s="13" t="inlineStr">
        <is>
          <t>-</t>
        </is>
      </c>
      <c r="D7" s="13" t="n">
        <v>3</v>
      </c>
      <c r="E7" s="14" t="n">
        <v>4668.4591</v>
      </c>
      <c r="F7" s="14" t="n">
        <v>4421.875</v>
      </c>
      <c r="G7" s="11">
        <f>F7/E7</f>
        <v/>
      </c>
      <c r="H7" s="14" t="n">
        <v>4421.875</v>
      </c>
      <c r="I7" s="14" t="n">
        <v>0</v>
      </c>
      <c r="J7" s="14" t="n">
        <v>0</v>
      </c>
      <c r="K7" s="14" t="n">
        <v>0</v>
      </c>
      <c r="L7" s="13" t="n">
        <v>26</v>
      </c>
      <c r="M7" s="13" t="n"/>
    </row>
    <row r="8">
      <c r="A8" s="13" t="inlineStr">
        <is>
          <t>순차</t>
        </is>
      </c>
      <c r="B8" s="13" t="inlineStr">
        <is>
          <t>-</t>
        </is>
      </c>
      <c r="C8" s="13" t="inlineStr">
        <is>
          <t>-</t>
        </is>
      </c>
      <c r="D8" s="13" t="n">
        <v>4</v>
      </c>
      <c r="E8" s="14" t="n">
        <v>4105.3059</v>
      </c>
      <c r="F8" s="14" t="n">
        <v>4109.375</v>
      </c>
      <c r="G8" s="11">
        <f>F8/E8</f>
        <v/>
      </c>
      <c r="H8" s="14" t="n">
        <v>4109.375</v>
      </c>
      <c r="I8" s="14" t="n">
        <v>0</v>
      </c>
      <c r="J8" s="14" t="n">
        <v>0</v>
      </c>
      <c r="K8" s="14" t="n">
        <v>0</v>
      </c>
      <c r="L8" s="13" t="n">
        <v>17</v>
      </c>
      <c r="M8" s="13" t="n"/>
    </row>
    <row r="9">
      <c r="A9" s="13" t="inlineStr">
        <is>
          <t>순차</t>
        </is>
      </c>
      <c r="B9" s="13" t="inlineStr">
        <is>
          <t>-</t>
        </is>
      </c>
      <c r="C9" s="13" t="inlineStr">
        <is>
          <t>-</t>
        </is>
      </c>
      <c r="D9" s="13" t="n">
        <v>5</v>
      </c>
      <c r="E9" s="14" t="n">
        <v>4119.8559</v>
      </c>
      <c r="F9" s="14" t="n">
        <v>4078.125</v>
      </c>
      <c r="G9" s="11">
        <f>F9/E9</f>
        <v/>
      </c>
      <c r="H9" s="14" t="n">
        <v>4078.125</v>
      </c>
      <c r="I9" s="14" t="n">
        <v>0</v>
      </c>
      <c r="J9" s="14" t="n">
        <v>0</v>
      </c>
      <c r="K9" s="14" t="n">
        <v>0</v>
      </c>
      <c r="L9" s="13" t="n">
        <v>16</v>
      </c>
      <c r="M9" s="13" t="n"/>
    </row>
    <row r="10">
      <c r="A10" s="13" t="inlineStr">
        <is>
          <t>병렬</t>
        </is>
      </c>
      <c r="B10" s="13" t="n">
        <v>6</v>
      </c>
      <c r="C10" s="13" t="n">
        <v>1</v>
      </c>
      <c r="D10" s="13" t="n">
        <v>1</v>
      </c>
      <c r="E10" s="14" t="n">
        <v>4302.2455</v>
      </c>
      <c r="F10" s="14" t="n">
        <v>4734.375</v>
      </c>
      <c r="G10" s="11">
        <f>F10/E10</f>
        <v/>
      </c>
      <c r="H10" s="14" t="n">
        <v>0</v>
      </c>
      <c r="I10" s="14" t="n">
        <v>4296.875</v>
      </c>
      <c r="J10" s="14" t="n">
        <v>0</v>
      </c>
      <c r="K10" s="14" t="n">
        <v>437.5</v>
      </c>
      <c r="L10" s="13" t="n">
        <v>20</v>
      </c>
      <c r="M10" s="11">
        <f>AVERAGEIFS($E$5:$E$19,$A$5:$A$19,"순차")/E10</f>
        <v/>
      </c>
    </row>
    <row r="11">
      <c r="A11" s="13" t="inlineStr">
        <is>
          <t>병렬</t>
        </is>
      </c>
      <c r="B11" s="13" t="n">
        <v>6</v>
      </c>
      <c r="C11" s="13" t="n">
        <v>1</v>
      </c>
      <c r="D11" s="13" t="n">
        <v>2</v>
      </c>
      <c r="E11" s="14" t="n">
        <v>4213.1587</v>
      </c>
      <c r="F11" s="14" t="n">
        <v>4343.75</v>
      </c>
      <c r="G11" s="11">
        <f>F11/E11</f>
        <v/>
      </c>
      <c r="H11" s="14" t="n">
        <v>0</v>
      </c>
      <c r="I11" s="14" t="n">
        <v>4156.25</v>
      </c>
      <c r="J11" s="14" t="n">
        <v>0</v>
      </c>
      <c r="K11" s="14" t="n">
        <v>187.5</v>
      </c>
      <c r="L11" s="13" t="n">
        <v>17</v>
      </c>
      <c r="M11" s="11">
        <f>AVERAGEIFS($E$5:$E$19,$A$5:$A$19,"순차")/E11</f>
        <v/>
      </c>
    </row>
    <row r="12">
      <c r="A12" s="13" t="inlineStr">
        <is>
          <t>병렬</t>
        </is>
      </c>
      <c r="B12" s="13" t="n">
        <v>6</v>
      </c>
      <c r="C12" s="13" t="n">
        <v>1</v>
      </c>
      <c r="D12" s="13" t="n">
        <v>3</v>
      </c>
      <c r="E12" s="14" t="n">
        <v>4672.348</v>
      </c>
      <c r="F12" s="14" t="n">
        <v>4453.125</v>
      </c>
      <c r="G12" s="11">
        <f>F12/E12</f>
        <v/>
      </c>
      <c r="H12" s="14" t="n">
        <v>0</v>
      </c>
      <c r="I12" s="14" t="n">
        <v>4359.375</v>
      </c>
      <c r="J12" s="14" t="n">
        <v>0</v>
      </c>
      <c r="K12" s="14" t="n">
        <v>93.75</v>
      </c>
      <c r="L12" s="13" t="n">
        <v>18</v>
      </c>
      <c r="M12" s="11">
        <f>AVERAGEIFS($E$5:$E$19,$A$5:$A$19,"순차")/E12</f>
        <v/>
      </c>
    </row>
    <row r="13">
      <c r="A13" s="13" t="inlineStr">
        <is>
          <t>병렬</t>
        </is>
      </c>
      <c r="B13" s="13" t="n">
        <v>6</v>
      </c>
      <c r="C13" s="13" t="n">
        <v>1</v>
      </c>
      <c r="D13" s="13" t="n">
        <v>4</v>
      </c>
      <c r="E13" s="14" t="n">
        <v>4234.6782</v>
      </c>
      <c r="F13" s="14" t="n">
        <v>4250</v>
      </c>
      <c r="G13" s="11">
        <f>F13/E13</f>
        <v/>
      </c>
      <c r="H13" s="14" t="n">
        <v>0</v>
      </c>
      <c r="I13" s="14" t="n">
        <v>4218.75</v>
      </c>
      <c r="J13" s="14" t="n">
        <v>0</v>
      </c>
      <c r="K13" s="14" t="n">
        <v>31.25</v>
      </c>
      <c r="L13" s="13" t="n">
        <v>18</v>
      </c>
      <c r="M13" s="11">
        <f>AVERAGEIFS($E$5:$E$19,$A$5:$A$19,"순차")/E13</f>
        <v/>
      </c>
    </row>
    <row r="14">
      <c r="A14" s="13" t="inlineStr">
        <is>
          <t>병렬</t>
        </is>
      </c>
      <c r="B14" s="13" t="n">
        <v>6</v>
      </c>
      <c r="C14" s="13" t="n">
        <v>1</v>
      </c>
      <c r="D14" s="13" t="n">
        <v>5</v>
      </c>
      <c r="E14" s="14" t="n">
        <v>4243.7282</v>
      </c>
      <c r="F14" s="14" t="n">
        <v>4234.375</v>
      </c>
      <c r="G14" s="11">
        <f>F14/E14</f>
        <v/>
      </c>
      <c r="H14" s="14" t="n">
        <v>0</v>
      </c>
      <c r="I14" s="14" t="n">
        <v>4234.375</v>
      </c>
      <c r="J14" s="14" t="n">
        <v>0</v>
      </c>
      <c r="K14" s="14" t="n">
        <v>0</v>
      </c>
      <c r="L14" s="13" t="n">
        <v>17</v>
      </c>
      <c r="M14" s="11">
        <f>AVERAGEIFS($E$5:$E$19,$A$5:$A$19,"순차")/E14</f>
        <v/>
      </c>
    </row>
    <row r="15">
      <c r="A15" s="13" t="inlineStr">
        <is>
          <t>병렬</t>
        </is>
      </c>
      <c r="B15" s="13" t="n">
        <v>12</v>
      </c>
      <c r="C15" s="13" t="n">
        <v>1</v>
      </c>
      <c r="D15" s="13" t="n">
        <v>1</v>
      </c>
      <c r="E15" s="14" t="n">
        <v>4278.3612</v>
      </c>
      <c r="F15" s="14" t="n">
        <v>4453.125</v>
      </c>
      <c r="G15" s="11">
        <f>F15/E15</f>
        <v/>
      </c>
      <c r="H15" s="14" t="n">
        <v>0</v>
      </c>
      <c r="I15" s="14" t="n">
        <v>4250</v>
      </c>
      <c r="J15" s="14" t="n">
        <v>0</v>
      </c>
      <c r="K15" s="14" t="n">
        <v>203.125</v>
      </c>
      <c r="L15" s="13" t="n">
        <v>17</v>
      </c>
      <c r="M15" s="11">
        <f>AVERAGEIFS($E$5:$E$19,$A$5:$A$19,"순차")/E15</f>
        <v/>
      </c>
    </row>
    <row r="16">
      <c r="A16" s="13" t="inlineStr">
        <is>
          <t>병렬</t>
        </is>
      </c>
      <c r="B16" s="13" t="n">
        <v>12</v>
      </c>
      <c r="C16" s="13" t="n">
        <v>1</v>
      </c>
      <c r="D16" s="13" t="n">
        <v>2</v>
      </c>
      <c r="E16" s="14" t="n">
        <v>4759.4984</v>
      </c>
      <c r="F16" s="14" t="n">
        <v>4421.875</v>
      </c>
      <c r="G16" s="11">
        <f>F16/E16</f>
        <v/>
      </c>
      <c r="H16" s="14" t="n">
        <v>0</v>
      </c>
      <c r="I16" s="14" t="n">
        <v>4328.125</v>
      </c>
      <c r="J16" s="14" t="n">
        <v>0</v>
      </c>
      <c r="K16" s="14" t="n">
        <v>93.75</v>
      </c>
      <c r="L16" s="13" t="n">
        <v>18</v>
      </c>
      <c r="M16" s="11">
        <f>AVERAGEIFS($E$5:$E$19,$A$5:$A$19,"순차")/E16</f>
        <v/>
      </c>
    </row>
    <row r="17">
      <c r="A17" s="13" t="inlineStr">
        <is>
          <t>병렬</t>
        </is>
      </c>
      <c r="B17" s="13" t="n">
        <v>12</v>
      </c>
      <c r="C17" s="13" t="n">
        <v>1</v>
      </c>
      <c r="D17" s="13" t="n">
        <v>3</v>
      </c>
      <c r="E17" s="14" t="n">
        <v>4252.4766</v>
      </c>
      <c r="F17" s="14" t="n">
        <v>4250</v>
      </c>
      <c r="G17" s="11">
        <f>F17/E17</f>
        <v/>
      </c>
      <c r="H17" s="14" t="n">
        <v>0</v>
      </c>
      <c r="I17" s="14" t="n">
        <v>4203.125</v>
      </c>
      <c r="J17" s="14" t="n">
        <v>0</v>
      </c>
      <c r="K17" s="14" t="n">
        <v>46.875</v>
      </c>
      <c r="L17" s="13" t="n">
        <v>18</v>
      </c>
      <c r="M17" s="11">
        <f>AVERAGEIFS($E$5:$E$19,$A$5:$A$19,"순차")/E17</f>
        <v/>
      </c>
    </row>
    <row r="18">
      <c r="A18" s="13" t="inlineStr">
        <is>
          <t>병렬</t>
        </is>
      </c>
      <c r="B18" s="13" t="n">
        <v>12</v>
      </c>
      <c r="C18" s="13" t="n">
        <v>1</v>
      </c>
      <c r="D18" s="13" t="n">
        <v>4</v>
      </c>
      <c r="E18" s="14" t="n">
        <v>4218.1471</v>
      </c>
      <c r="F18" s="14" t="n">
        <v>4203.125</v>
      </c>
      <c r="G18" s="11">
        <f>F18/E18</f>
        <v/>
      </c>
      <c r="H18" s="14" t="n">
        <v>0</v>
      </c>
      <c r="I18" s="14" t="n">
        <v>4203.125</v>
      </c>
      <c r="J18" s="14" t="n">
        <v>0</v>
      </c>
      <c r="K18" s="14" t="n">
        <v>0</v>
      </c>
      <c r="L18" s="13" t="n">
        <v>17</v>
      </c>
      <c r="M18" s="11">
        <f>AVERAGEIFS($E$5:$E$19,$A$5:$A$19,"순차")/E18</f>
        <v/>
      </c>
    </row>
    <row r="19">
      <c r="A19" s="13" t="inlineStr">
        <is>
          <t>병렬</t>
        </is>
      </c>
      <c r="B19" s="13" t="n">
        <v>12</v>
      </c>
      <c r="C19" s="13" t="n">
        <v>1</v>
      </c>
      <c r="D19" s="13" t="n">
        <v>5</v>
      </c>
      <c r="E19" s="14" t="n">
        <v>4620.5482</v>
      </c>
      <c r="F19" s="14" t="n">
        <v>4343.75</v>
      </c>
      <c r="G19" s="11">
        <f>F19/E19</f>
        <v/>
      </c>
      <c r="H19" s="14" t="n">
        <v>0</v>
      </c>
      <c r="I19" s="14" t="n">
        <v>4328.125</v>
      </c>
      <c r="J19" s="14" t="n">
        <v>0</v>
      </c>
      <c r="K19" s="14" t="n">
        <v>15.625</v>
      </c>
      <c r="L19" s="13" t="n">
        <v>18</v>
      </c>
      <c r="M19" s="11">
        <f>AVERAGEIFS($E$5:$E$19,$A$5:$A$19,"순차")/E19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</cols>
  <sheetData>
    <row r="1">
      <c r="A1" s="18" t="inlineStr">
        <is>
          <t>이 시트의 값: '구간과 스레드 매핑' 시트의 평균 클럭(GHz) 열이다. 수식 참조로 그대로 가져왔다</t>
        </is>
      </c>
    </row>
    <row r="2">
      <c r="A2" s="18" t="inlineStr">
        <is>
          <t>차트: 전체 추이 선(전체 평균과 스레드별 선), 구간별 평균 막대, 측정 회차마다 스레드별 클럭 선 그래프다. 스레드별 선은 그 스레드의 활동 창에 걸린 표본만 그린다. 분할 1처럼 창이 겹치면 선도 겹친다. 그래프의 원천 표는 '차트 데이터' 시트에 있다</t>
        </is>
      </c>
    </row>
    <row r="3">
      <c r="A3" s="19" t="inlineStr">
        <is>
          <t>구간 종류</t>
        </is>
      </c>
      <c r="B3" s="19" t="inlineStr">
        <is>
          <t>순차</t>
        </is>
      </c>
      <c r="C3" s="19" t="inlineStr">
        <is>
          <t>병렬도 6 분할 1</t>
        </is>
      </c>
      <c r="D3" s="19" t="inlineStr">
        <is>
          <t>병렬도 12 분할 1</t>
        </is>
      </c>
    </row>
    <row r="4">
      <c r="A4" s="18" t="inlineStr">
        <is>
          <t>전체</t>
        </is>
      </c>
      <c r="B4" s="20">
        <f>'구간과 스레드 매핑'!H6</f>
        <v/>
      </c>
      <c r="C4" s="20">
        <f>'구간과 스레드 매핑'!H7</f>
        <v/>
      </c>
      <c r="D4" s="20">
        <f>'구간과 스레드 매핑'!H15</f>
        <v/>
      </c>
    </row>
    <row r="5">
      <c r="A5" s="18" t="inlineStr">
        <is>
          <t>워밍업</t>
        </is>
      </c>
      <c r="C5" s="20">
        <f>'구간과 스레드 매핑'!H8</f>
        <v/>
      </c>
      <c r="D5" s="20">
        <f>'구간과 스레드 매핑'!H16</f>
        <v/>
      </c>
    </row>
    <row r="6">
      <c r="A6" s="18" t="inlineStr">
        <is>
          <t>측정 1회차</t>
        </is>
      </c>
      <c r="C6" s="20">
        <f>'구간과 스레드 매핑'!H9</f>
        <v/>
      </c>
      <c r="D6" s="20">
        <f>'구간과 스레드 매핑'!H17</f>
        <v/>
      </c>
    </row>
    <row r="7">
      <c r="A7" s="18" t="inlineStr">
        <is>
          <t>측정 2회차</t>
        </is>
      </c>
      <c r="C7" s="20">
        <f>'구간과 스레드 매핑'!H10</f>
        <v/>
      </c>
      <c r="D7" s="20">
        <f>'구간과 스레드 매핑'!H18</f>
        <v/>
      </c>
    </row>
    <row r="8">
      <c r="A8" s="18" t="inlineStr">
        <is>
          <t>측정 3회차</t>
        </is>
      </c>
      <c r="C8" s="20">
        <f>'구간과 스레드 매핑'!H11</f>
        <v/>
      </c>
      <c r="D8" s="20">
        <f>'구간과 스레드 매핑'!H19</f>
        <v/>
      </c>
    </row>
    <row r="9">
      <c r="A9" s="18" t="inlineStr">
        <is>
          <t>측정 4회차</t>
        </is>
      </c>
      <c r="C9" s="20">
        <f>'구간과 스레드 매핑'!H12</f>
        <v/>
      </c>
      <c r="D9" s="20">
        <f>'구간과 스레드 매핑'!H20</f>
        <v/>
      </c>
    </row>
    <row r="10">
      <c r="A10" s="18" t="inlineStr">
        <is>
          <t>측정 5회차</t>
        </is>
      </c>
      <c r="C10" s="20">
        <f>'구간과 스레드 매핑'!H13</f>
        <v/>
      </c>
      <c r="D10" s="20">
        <f>'구간과 스레드 매핑'!H21</f>
        <v/>
      </c>
    </row>
    <row r="11">
      <c r="A11" s="18" t="inlineStr">
        <is>
          <t>워커별 CPU 읽기 실행</t>
        </is>
      </c>
      <c r="C11" s="20">
        <f>'구간과 스레드 매핑'!H14</f>
        <v/>
      </c>
      <c r="D11" s="20">
        <f>'구간과 스레드 매핑'!H22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836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</cols>
  <sheetData>
    <row r="1">
      <c r="A1" s="4" t="inlineStr">
        <is>
          <t>차트 시트 그래프들의 원천 표다. 값은 전부 '클럭 정리' 시트를 참조하는 수식이고, 여기서는 보기만 한다</t>
        </is>
      </c>
    </row>
    <row r="3">
      <c r="A3" s="2" t="inlineStr">
        <is>
          <t>병렬도 6 분할 1 측정 1회차 (스레드별 클럭, GHz)</t>
        </is>
      </c>
      <c r="E3" s="2" t="inlineStr">
        <is>
          <t>전체 추이 데이터 (스레드별 선용, GHz)</t>
        </is>
      </c>
    </row>
    <row r="4">
      <c r="A4" s="21" t="inlineStr">
        <is>
          <t>시각</t>
        </is>
      </c>
      <c r="B4" s="21" t="inlineStr">
        <is>
          <t>ForkJoinPool-3-worker-1</t>
        </is>
      </c>
      <c r="C4" s="21" t="inlineStr">
        <is>
          <t>main</t>
        </is>
      </c>
      <c r="E4" s="21" t="inlineStr">
        <is>
          <t>시각</t>
        </is>
      </c>
      <c r="F4" s="21" t="inlineStr">
        <is>
          <t>전체 평균</t>
        </is>
      </c>
      <c r="G4" s="21" t="inlineStr">
        <is>
          <t>ForkJoinPool-3-worker-1</t>
        </is>
      </c>
      <c r="H4" s="21" t="inlineStr">
        <is>
          <t>main</t>
        </is>
      </c>
      <c r="I4" s="21" t="inlineStr">
        <is>
          <t>ForkJoinPool-4-worker-1</t>
        </is>
      </c>
      <c r="J4" s="21" t="inlineStr">
        <is>
          <t>ForkJoinPool-5-worker-1</t>
        </is>
      </c>
      <c r="K4" s="21" t="inlineStr">
        <is>
          <t>ForkJoinPool-6-worker-1</t>
        </is>
      </c>
      <c r="L4" s="21" t="inlineStr">
        <is>
          <t>ForkJoinPool-7-worker-1</t>
        </is>
      </c>
      <c r="M4" s="21" t="inlineStr">
        <is>
          <t>ForkJoinPool-11-worker-1</t>
        </is>
      </c>
      <c r="N4" s="21" t="inlineStr">
        <is>
          <t>ForkJoinPool-12-worker-1</t>
        </is>
      </c>
      <c r="O4" s="21" t="inlineStr">
        <is>
          <t>ForkJoinPool-13-worker-1</t>
        </is>
      </c>
      <c r="P4" s="21" t="inlineStr">
        <is>
          <t>ForkJoinPool-14-worker-1</t>
        </is>
      </c>
      <c r="Q4" s="21" t="inlineStr">
        <is>
          <t>ForkJoinPool-15-worker-1</t>
        </is>
      </c>
    </row>
    <row r="5">
      <c r="A5" s="22">
        <f>'클럭 정리'!A45</f>
        <v/>
      </c>
      <c r="B5" s="23">
        <f>'클럭 정리'!O45</f>
        <v/>
      </c>
      <c r="C5" s="23">
        <f>'클럭 정리'!O45</f>
        <v/>
      </c>
      <c r="E5" s="24">
        <f>'클럭 정리'!A6</f>
        <v/>
      </c>
      <c r="F5" s="23">
        <f>'클럭 정리'!O6</f>
        <v/>
      </c>
      <c r="G5" s="25" t="n"/>
      <c r="H5" s="25" t="n"/>
      <c r="I5" s="25" t="n"/>
      <c r="J5" s="25" t="n"/>
      <c r="K5" s="25" t="n"/>
      <c r="L5" s="25" t="n"/>
      <c r="M5" s="25" t="n"/>
      <c r="N5" s="25" t="n"/>
      <c r="O5" s="25" t="n"/>
      <c r="P5" s="25" t="n"/>
      <c r="Q5" s="25" t="n"/>
    </row>
    <row r="6">
      <c r="A6" s="22">
        <f>'클럭 정리'!A46</f>
        <v/>
      </c>
      <c r="B6" s="23">
        <f>'클럭 정리'!O46</f>
        <v/>
      </c>
      <c r="C6" s="23">
        <f>'클럭 정리'!O46</f>
        <v/>
      </c>
      <c r="E6" s="24">
        <f>'클럭 정리'!A7</f>
        <v/>
      </c>
      <c r="F6" s="23">
        <f>'클럭 정리'!O7</f>
        <v/>
      </c>
      <c r="G6" s="25" t="n"/>
      <c r="H6" s="25" t="n"/>
      <c r="I6" s="25" t="n"/>
      <c r="J6" s="25" t="n"/>
      <c r="K6" s="25" t="n"/>
      <c r="L6" s="25" t="n"/>
      <c r="M6" s="25" t="n"/>
      <c r="N6" s="25" t="n"/>
      <c r="O6" s="25" t="n"/>
      <c r="P6" s="25" t="n"/>
      <c r="Q6" s="25" t="n"/>
    </row>
    <row r="7">
      <c r="A7" s="22">
        <f>'클럭 정리'!A47</f>
        <v/>
      </c>
      <c r="B7" s="23">
        <f>'클럭 정리'!O47</f>
        <v/>
      </c>
      <c r="C7" s="23">
        <f>'클럭 정리'!O47</f>
        <v/>
      </c>
      <c r="E7" s="24">
        <f>'클럭 정리'!A8</f>
        <v/>
      </c>
      <c r="F7" s="23">
        <f>'클럭 정리'!O8</f>
        <v/>
      </c>
      <c r="G7" s="25" t="n"/>
      <c r="H7" s="25" t="n"/>
      <c r="I7" s="25" t="n"/>
      <c r="J7" s="25" t="n"/>
      <c r="K7" s="25" t="n"/>
      <c r="L7" s="25" t="n"/>
      <c r="M7" s="25" t="n"/>
      <c r="N7" s="25" t="n"/>
      <c r="O7" s="25" t="n"/>
      <c r="P7" s="25" t="n"/>
      <c r="Q7" s="25" t="n"/>
    </row>
    <row r="8">
      <c r="A8" s="22">
        <f>'클럭 정리'!A48</f>
        <v/>
      </c>
      <c r="B8" s="23">
        <f>'클럭 정리'!O48</f>
        <v/>
      </c>
      <c r="C8" s="23">
        <f>'클럭 정리'!O48</f>
        <v/>
      </c>
      <c r="E8" s="24">
        <f>'클럭 정리'!A9</f>
        <v/>
      </c>
      <c r="F8" s="23">
        <f>'클럭 정리'!O9</f>
        <v/>
      </c>
      <c r="G8" s="25" t="n"/>
      <c r="H8" s="25" t="n"/>
      <c r="I8" s="25" t="n"/>
      <c r="J8" s="25" t="n"/>
      <c r="K8" s="25" t="n"/>
      <c r="L8" s="25" t="n"/>
      <c r="M8" s="25" t="n"/>
      <c r="N8" s="25" t="n"/>
      <c r="O8" s="25" t="n"/>
      <c r="P8" s="25" t="n"/>
      <c r="Q8" s="25" t="n"/>
    </row>
    <row r="9">
      <c r="E9" s="24">
        <f>'클럭 정리'!A10</f>
        <v/>
      </c>
      <c r="F9" s="23">
        <f>'클럭 정리'!O10</f>
        <v/>
      </c>
      <c r="G9" s="25" t="n"/>
      <c r="H9" s="25" t="n"/>
      <c r="I9" s="25" t="n"/>
      <c r="J9" s="25" t="n"/>
      <c r="K9" s="25" t="n"/>
      <c r="L9" s="25" t="n"/>
      <c r="M9" s="25" t="n"/>
      <c r="N9" s="25" t="n"/>
      <c r="O9" s="25" t="n"/>
      <c r="P9" s="25" t="n"/>
      <c r="Q9" s="25" t="n"/>
    </row>
    <row r="10">
      <c r="A10" s="2" t="inlineStr">
        <is>
          <t>병렬도 6 분할 1 측정 2회차 (스레드별 클럭, GHz)</t>
        </is>
      </c>
      <c r="E10" s="24">
        <f>'클럭 정리'!A11</f>
        <v/>
      </c>
      <c r="F10" s="23">
        <f>'클럭 정리'!O11</f>
        <v/>
      </c>
      <c r="G10" s="25" t="n"/>
      <c r="H10" s="25" t="n"/>
      <c r="I10" s="25" t="n"/>
      <c r="J10" s="25" t="n"/>
      <c r="K10" s="25" t="n"/>
      <c r="L10" s="25" t="n"/>
      <c r="M10" s="25" t="n"/>
      <c r="N10" s="25" t="n"/>
      <c r="O10" s="25" t="n"/>
      <c r="P10" s="25" t="n"/>
      <c r="Q10" s="25" t="n"/>
    </row>
    <row r="11">
      <c r="A11" s="21" t="inlineStr">
        <is>
          <t>시각</t>
        </is>
      </c>
      <c r="B11" s="21" t="inlineStr">
        <is>
          <t>ForkJoinPool-4-worker-1</t>
        </is>
      </c>
      <c r="C11" s="21" t="inlineStr">
        <is>
          <t>main</t>
        </is>
      </c>
      <c r="E11" s="24">
        <f>'클럭 정리'!A12</f>
        <v/>
      </c>
      <c r="F11" s="23">
        <f>'클럭 정리'!O12</f>
        <v/>
      </c>
      <c r="G11" s="25" t="n"/>
      <c r="H11" s="25" t="n"/>
      <c r="I11" s="25" t="n"/>
      <c r="J11" s="25" t="n"/>
      <c r="K11" s="25" t="n"/>
      <c r="L11" s="25" t="n"/>
      <c r="M11" s="25" t="n"/>
      <c r="N11" s="25" t="n"/>
      <c r="O11" s="25" t="n"/>
      <c r="P11" s="25" t="n"/>
      <c r="Q11" s="25" t="n"/>
    </row>
    <row r="12">
      <c r="A12" s="22">
        <f>'클럭 정리'!A49</f>
        <v/>
      </c>
      <c r="B12" s="23">
        <f>'클럭 정리'!O49</f>
        <v/>
      </c>
      <c r="C12" s="23">
        <f>'클럭 정리'!O49</f>
        <v/>
      </c>
      <c r="E12" s="24">
        <f>'클럭 정리'!A13</f>
        <v/>
      </c>
      <c r="F12" s="23">
        <f>'클럭 정리'!O13</f>
        <v/>
      </c>
      <c r="G12" s="25" t="n"/>
      <c r="H12" s="25" t="n"/>
      <c r="I12" s="25" t="n"/>
      <c r="J12" s="25" t="n"/>
      <c r="K12" s="25" t="n"/>
      <c r="L12" s="25" t="n"/>
      <c r="M12" s="25" t="n"/>
      <c r="N12" s="25" t="n"/>
      <c r="O12" s="25" t="n"/>
      <c r="P12" s="25" t="n"/>
      <c r="Q12" s="25" t="n"/>
    </row>
    <row r="13">
      <c r="A13" s="22">
        <f>'클럭 정리'!A50</f>
        <v/>
      </c>
      <c r="B13" s="23">
        <f>'클럭 정리'!O50</f>
        <v/>
      </c>
      <c r="C13" s="23">
        <f>'클럭 정리'!O50</f>
        <v/>
      </c>
      <c r="E13" s="24">
        <f>'클럭 정리'!A14</f>
        <v/>
      </c>
      <c r="F13" s="23">
        <f>'클럭 정리'!O14</f>
        <v/>
      </c>
      <c r="G13" s="25" t="n"/>
      <c r="H13" s="25" t="n"/>
      <c r="I13" s="25" t="n"/>
      <c r="J13" s="25" t="n"/>
      <c r="K13" s="25" t="n"/>
      <c r="L13" s="25" t="n"/>
      <c r="M13" s="25" t="n"/>
      <c r="N13" s="25" t="n"/>
      <c r="O13" s="25" t="n"/>
      <c r="P13" s="25" t="n"/>
      <c r="Q13" s="25" t="n"/>
    </row>
    <row r="14">
      <c r="A14" s="22">
        <f>'클럭 정리'!A51</f>
        <v/>
      </c>
      <c r="B14" s="23">
        <f>'클럭 정리'!O51</f>
        <v/>
      </c>
      <c r="C14" s="23">
        <f>'클럭 정리'!O51</f>
        <v/>
      </c>
      <c r="E14" s="24">
        <f>'클럭 정리'!A15</f>
        <v/>
      </c>
      <c r="F14" s="23">
        <f>'클럭 정리'!O15</f>
        <v/>
      </c>
      <c r="G14" s="25" t="n"/>
      <c r="H14" s="25" t="n"/>
      <c r="I14" s="25" t="n"/>
      <c r="J14" s="25" t="n"/>
      <c r="K14" s="25" t="n"/>
      <c r="L14" s="25" t="n"/>
      <c r="M14" s="25" t="n"/>
      <c r="N14" s="25" t="n"/>
      <c r="O14" s="25" t="n"/>
      <c r="P14" s="25" t="n"/>
      <c r="Q14" s="25" t="n"/>
    </row>
    <row r="15">
      <c r="A15" s="22">
        <f>'클럭 정리'!A52</f>
        <v/>
      </c>
      <c r="B15" s="23">
        <f>'클럭 정리'!O52</f>
        <v/>
      </c>
      <c r="C15" s="23">
        <f>'클럭 정리'!O52</f>
        <v/>
      </c>
      <c r="E15" s="24">
        <f>'클럭 정리'!A16</f>
        <v/>
      </c>
      <c r="F15" s="23">
        <f>'클럭 정리'!O16</f>
        <v/>
      </c>
      <c r="G15" s="25" t="n"/>
      <c r="H15" s="25" t="n"/>
      <c r="I15" s="25" t="n"/>
      <c r="J15" s="25" t="n"/>
      <c r="K15" s="25" t="n"/>
      <c r="L15" s="25" t="n"/>
      <c r="M15" s="25" t="n"/>
      <c r="N15" s="25" t="n"/>
      <c r="O15" s="25" t="n"/>
      <c r="P15" s="25" t="n"/>
      <c r="Q15" s="25" t="n"/>
    </row>
    <row r="16">
      <c r="E16" s="24">
        <f>'클럭 정리'!A17</f>
        <v/>
      </c>
      <c r="F16" s="23">
        <f>'클럭 정리'!O17</f>
        <v/>
      </c>
      <c r="G16" s="25" t="n"/>
      <c r="H16" s="25" t="n"/>
      <c r="I16" s="25" t="n"/>
      <c r="J16" s="25" t="n"/>
      <c r="K16" s="25" t="n"/>
      <c r="L16" s="25" t="n"/>
      <c r="M16" s="25" t="n"/>
      <c r="N16" s="25" t="n"/>
      <c r="O16" s="25" t="n"/>
      <c r="P16" s="25" t="n"/>
      <c r="Q16" s="25" t="n"/>
    </row>
    <row r="17">
      <c r="A17" s="2" t="inlineStr">
        <is>
          <t>병렬도 6 분할 1 측정 3회차 (스레드별 클럭, GHz)</t>
        </is>
      </c>
      <c r="E17" s="24">
        <f>'클럭 정리'!A18</f>
        <v/>
      </c>
      <c r="F17" s="23">
        <f>'클럭 정리'!O18</f>
        <v/>
      </c>
      <c r="G17" s="25" t="n"/>
      <c r="H17" s="25" t="n"/>
      <c r="I17" s="25" t="n"/>
      <c r="J17" s="25" t="n"/>
      <c r="K17" s="25" t="n"/>
      <c r="L17" s="25" t="n"/>
      <c r="M17" s="25" t="n"/>
      <c r="N17" s="25" t="n"/>
      <c r="O17" s="25" t="n"/>
      <c r="P17" s="25" t="n"/>
      <c r="Q17" s="25" t="n"/>
    </row>
    <row r="18">
      <c r="A18" s="21" t="inlineStr">
        <is>
          <t>시각</t>
        </is>
      </c>
      <c r="B18" s="21" t="inlineStr">
        <is>
          <t>ForkJoinPool-5-worker-1</t>
        </is>
      </c>
      <c r="C18" s="21" t="inlineStr">
        <is>
          <t>main</t>
        </is>
      </c>
      <c r="E18" s="24">
        <f>'클럭 정리'!A19</f>
        <v/>
      </c>
      <c r="F18" s="23">
        <f>'클럭 정리'!O19</f>
        <v/>
      </c>
      <c r="G18" s="25" t="n"/>
      <c r="H18" s="25" t="n"/>
      <c r="I18" s="25" t="n"/>
      <c r="J18" s="25" t="n"/>
      <c r="K18" s="25" t="n"/>
      <c r="L18" s="25" t="n"/>
      <c r="M18" s="25" t="n"/>
      <c r="N18" s="25" t="n"/>
      <c r="O18" s="25" t="n"/>
      <c r="P18" s="25" t="n"/>
      <c r="Q18" s="25" t="n"/>
    </row>
    <row r="19">
      <c r="A19" s="22">
        <f>'클럭 정리'!A53</f>
        <v/>
      </c>
      <c r="B19" s="23">
        <f>'클럭 정리'!O53</f>
        <v/>
      </c>
      <c r="C19" s="23">
        <f>'클럭 정리'!O53</f>
        <v/>
      </c>
      <c r="E19" s="24">
        <f>'클럭 정리'!A20</f>
        <v/>
      </c>
      <c r="F19" s="23">
        <f>'클럭 정리'!O20</f>
        <v/>
      </c>
      <c r="G19" s="25" t="n"/>
      <c r="H19" s="25" t="n"/>
      <c r="I19" s="25" t="n"/>
      <c r="J19" s="25" t="n"/>
      <c r="K19" s="25" t="n"/>
      <c r="L19" s="25" t="n"/>
      <c r="M19" s="25" t="n"/>
      <c r="N19" s="25" t="n"/>
      <c r="O19" s="25" t="n"/>
      <c r="P19" s="25" t="n"/>
      <c r="Q19" s="25" t="n"/>
    </row>
    <row r="20">
      <c r="A20" s="22">
        <f>'클럭 정리'!A54</f>
        <v/>
      </c>
      <c r="B20" s="23">
        <f>'클럭 정리'!O54</f>
        <v/>
      </c>
      <c r="C20" s="23">
        <f>'클럭 정리'!O54</f>
        <v/>
      </c>
      <c r="E20" s="24">
        <f>'클럭 정리'!A21</f>
        <v/>
      </c>
      <c r="F20" s="23">
        <f>'클럭 정리'!O21</f>
        <v/>
      </c>
      <c r="G20" s="25" t="n"/>
      <c r="H20" s="25" t="n"/>
      <c r="I20" s="25" t="n"/>
      <c r="J20" s="25" t="n"/>
      <c r="K20" s="25" t="n"/>
      <c r="L20" s="25" t="n"/>
      <c r="M20" s="25" t="n"/>
      <c r="N20" s="25" t="n"/>
      <c r="O20" s="25" t="n"/>
      <c r="P20" s="25" t="n"/>
      <c r="Q20" s="25" t="n"/>
    </row>
    <row r="21">
      <c r="A21" s="22">
        <f>'클럭 정리'!A55</f>
        <v/>
      </c>
      <c r="B21" s="23">
        <f>'클럭 정리'!O55</f>
        <v/>
      </c>
      <c r="C21" s="23">
        <f>'클럭 정리'!O55</f>
        <v/>
      </c>
      <c r="E21" s="24">
        <f>'클럭 정리'!A22</f>
        <v/>
      </c>
      <c r="F21" s="23">
        <f>'클럭 정리'!O22</f>
        <v/>
      </c>
      <c r="G21" s="25" t="n"/>
      <c r="H21" s="25" t="n"/>
      <c r="I21" s="25" t="n"/>
      <c r="J21" s="25" t="n"/>
      <c r="K21" s="25" t="n"/>
      <c r="L21" s="25" t="n"/>
      <c r="M21" s="25" t="n"/>
      <c r="N21" s="25" t="n"/>
      <c r="O21" s="25" t="n"/>
      <c r="P21" s="25" t="n"/>
      <c r="Q21" s="25" t="n"/>
    </row>
    <row r="22">
      <c r="A22" s="22">
        <f>'클럭 정리'!A56</f>
        <v/>
      </c>
      <c r="B22" s="23">
        <f>'클럭 정리'!O56</f>
        <v/>
      </c>
      <c r="C22" s="23">
        <f>'클럭 정리'!O56</f>
        <v/>
      </c>
      <c r="E22" s="24">
        <f>'클럭 정리'!A23</f>
        <v/>
      </c>
      <c r="F22" s="23">
        <f>'클럭 정리'!O23</f>
        <v/>
      </c>
      <c r="G22" s="25" t="n"/>
      <c r="H22" s="25" t="n"/>
      <c r="I22" s="25" t="n"/>
      <c r="J22" s="25" t="n"/>
      <c r="K22" s="25" t="n"/>
      <c r="L22" s="25" t="n"/>
      <c r="M22" s="25" t="n"/>
      <c r="N22" s="25" t="n"/>
      <c r="O22" s="25" t="n"/>
      <c r="P22" s="25" t="n"/>
      <c r="Q22" s="25" t="n"/>
    </row>
    <row r="23">
      <c r="A23" s="22">
        <f>'클럭 정리'!A57</f>
        <v/>
      </c>
      <c r="B23" s="23">
        <f>'클럭 정리'!O57</f>
        <v/>
      </c>
      <c r="C23" s="23">
        <f>'클럭 정리'!O57</f>
        <v/>
      </c>
      <c r="E23" s="24">
        <f>'클럭 정리'!A24</f>
        <v/>
      </c>
      <c r="F23" s="23">
        <f>'클럭 정리'!O24</f>
        <v/>
      </c>
      <c r="G23" s="25" t="n"/>
      <c r="H23" s="25" t="n"/>
      <c r="I23" s="25" t="n"/>
      <c r="J23" s="25" t="n"/>
      <c r="K23" s="25" t="n"/>
      <c r="L23" s="25" t="n"/>
      <c r="M23" s="25" t="n"/>
      <c r="N23" s="25" t="n"/>
      <c r="O23" s="25" t="n"/>
      <c r="P23" s="25" t="n"/>
      <c r="Q23" s="25" t="n"/>
    </row>
    <row r="24">
      <c r="E24" s="24">
        <f>'클럭 정리'!A25</f>
        <v/>
      </c>
      <c r="F24" s="23">
        <f>'클럭 정리'!O25</f>
        <v/>
      </c>
      <c r="G24" s="25" t="n"/>
      <c r="H24" s="25" t="n"/>
      <c r="I24" s="25" t="n"/>
      <c r="J24" s="25" t="n"/>
      <c r="K24" s="25" t="n"/>
      <c r="L24" s="25" t="n"/>
      <c r="M24" s="25" t="n"/>
      <c r="N24" s="25" t="n"/>
      <c r="O24" s="25" t="n"/>
      <c r="P24" s="25" t="n"/>
      <c r="Q24" s="25" t="n"/>
    </row>
    <row r="25">
      <c r="A25" s="2" t="inlineStr">
        <is>
          <t>병렬도 6 분할 1 측정 4회차 (스레드별 클럭, GHz)</t>
        </is>
      </c>
      <c r="E25" s="24">
        <f>'클럭 정리'!A26</f>
        <v/>
      </c>
      <c r="F25" s="23">
        <f>'클럭 정리'!O26</f>
        <v/>
      </c>
      <c r="G25" s="25" t="n"/>
      <c r="H25" s="25" t="n"/>
      <c r="I25" s="25" t="n"/>
      <c r="J25" s="25" t="n"/>
      <c r="K25" s="25" t="n"/>
      <c r="L25" s="25" t="n"/>
      <c r="M25" s="25" t="n"/>
      <c r="N25" s="25" t="n"/>
      <c r="O25" s="25" t="n"/>
      <c r="P25" s="25" t="n"/>
      <c r="Q25" s="25" t="n"/>
    </row>
    <row r="26">
      <c r="A26" s="21" t="inlineStr">
        <is>
          <t>시각</t>
        </is>
      </c>
      <c r="B26" s="21" t="inlineStr">
        <is>
          <t>ForkJoinPool-6-worker-1</t>
        </is>
      </c>
      <c r="C26" s="21" t="inlineStr">
        <is>
          <t>main</t>
        </is>
      </c>
      <c r="E26" s="24">
        <f>'클럭 정리'!A27</f>
        <v/>
      </c>
      <c r="F26" s="23">
        <f>'클럭 정리'!O27</f>
        <v/>
      </c>
      <c r="G26" s="25" t="n"/>
      <c r="H26" s="25" t="n"/>
      <c r="I26" s="25" t="n"/>
      <c r="J26" s="25" t="n"/>
      <c r="K26" s="25" t="n"/>
      <c r="L26" s="25" t="n"/>
      <c r="M26" s="25" t="n"/>
      <c r="N26" s="25" t="n"/>
      <c r="O26" s="25" t="n"/>
      <c r="P26" s="25" t="n"/>
      <c r="Q26" s="25" t="n"/>
    </row>
    <row r="27">
      <c r="A27" s="22">
        <f>'클럭 정리'!A58</f>
        <v/>
      </c>
      <c r="B27" s="23">
        <f>'클럭 정리'!O58</f>
        <v/>
      </c>
      <c r="C27" s="23">
        <f>'클럭 정리'!O58</f>
        <v/>
      </c>
      <c r="E27" s="24">
        <f>'클럭 정리'!A28</f>
        <v/>
      </c>
      <c r="F27" s="23">
        <f>'클럭 정리'!O28</f>
        <v/>
      </c>
      <c r="G27" s="25" t="n"/>
      <c r="H27" s="25" t="n"/>
      <c r="I27" s="25" t="n"/>
      <c r="J27" s="25" t="n"/>
      <c r="K27" s="25" t="n"/>
      <c r="L27" s="25" t="n"/>
      <c r="M27" s="25" t="n"/>
      <c r="N27" s="25" t="n"/>
      <c r="O27" s="25" t="n"/>
      <c r="P27" s="25" t="n"/>
      <c r="Q27" s="25" t="n"/>
    </row>
    <row r="28">
      <c r="A28" s="22">
        <f>'클럭 정리'!A59</f>
        <v/>
      </c>
      <c r="B28" s="23">
        <f>'클럭 정리'!O59</f>
        <v/>
      </c>
      <c r="C28" s="23">
        <f>'클럭 정리'!O59</f>
        <v/>
      </c>
      <c r="E28" s="24">
        <f>'클럭 정리'!A29</f>
        <v/>
      </c>
      <c r="F28" s="23">
        <f>'클럭 정리'!O29</f>
        <v/>
      </c>
      <c r="G28" s="25" t="n"/>
      <c r="H28" s="25" t="n"/>
      <c r="I28" s="25" t="n"/>
      <c r="J28" s="25" t="n"/>
      <c r="K28" s="25" t="n"/>
      <c r="L28" s="25" t="n"/>
      <c r="M28" s="25" t="n"/>
      <c r="N28" s="25" t="n"/>
      <c r="O28" s="25" t="n"/>
      <c r="P28" s="25" t="n"/>
      <c r="Q28" s="25" t="n"/>
    </row>
    <row r="29">
      <c r="A29" s="22">
        <f>'클럭 정리'!A60</f>
        <v/>
      </c>
      <c r="B29" s="23">
        <f>'클럭 정리'!O60</f>
        <v/>
      </c>
      <c r="C29" s="23">
        <f>'클럭 정리'!O60</f>
        <v/>
      </c>
      <c r="E29" s="24">
        <f>'클럭 정리'!A30</f>
        <v/>
      </c>
      <c r="F29" s="23">
        <f>'클럭 정리'!O30</f>
        <v/>
      </c>
      <c r="G29" s="25" t="n"/>
      <c r="H29" s="25" t="n"/>
      <c r="I29" s="25" t="n"/>
      <c r="J29" s="25" t="n"/>
      <c r="K29" s="25" t="n"/>
      <c r="L29" s="25" t="n"/>
      <c r="M29" s="25" t="n"/>
      <c r="N29" s="25" t="n"/>
      <c r="O29" s="25" t="n"/>
      <c r="P29" s="25" t="n"/>
      <c r="Q29" s="25" t="n"/>
    </row>
    <row r="30">
      <c r="A30" s="22">
        <f>'클럭 정리'!A61</f>
        <v/>
      </c>
      <c r="B30" s="23">
        <f>'클럭 정리'!O61</f>
        <v/>
      </c>
      <c r="C30" s="23">
        <f>'클럭 정리'!O61</f>
        <v/>
      </c>
      <c r="E30" s="24">
        <f>'클럭 정리'!A31</f>
        <v/>
      </c>
      <c r="F30" s="23">
        <f>'클럭 정리'!O31</f>
        <v/>
      </c>
      <c r="G30" s="25" t="n"/>
      <c r="H30" s="25" t="n"/>
      <c r="I30" s="25" t="n"/>
      <c r="J30" s="25" t="n"/>
      <c r="K30" s="25" t="n"/>
      <c r="L30" s="25" t="n"/>
      <c r="M30" s="25" t="n"/>
      <c r="N30" s="25" t="n"/>
      <c r="O30" s="25" t="n"/>
      <c r="P30" s="25" t="n"/>
      <c r="Q30" s="25" t="n"/>
    </row>
    <row r="31">
      <c r="E31" s="24">
        <f>'클럭 정리'!A32</f>
        <v/>
      </c>
      <c r="F31" s="23">
        <f>'클럭 정리'!O32</f>
        <v/>
      </c>
      <c r="G31" s="25" t="n"/>
      <c r="H31" s="25" t="n"/>
      <c r="I31" s="25" t="n"/>
      <c r="J31" s="25" t="n"/>
      <c r="K31" s="25" t="n"/>
      <c r="L31" s="25" t="n"/>
      <c r="M31" s="25" t="n"/>
      <c r="N31" s="25" t="n"/>
      <c r="O31" s="25" t="n"/>
      <c r="P31" s="25" t="n"/>
      <c r="Q31" s="25" t="n"/>
    </row>
    <row r="32">
      <c r="A32" s="2" t="inlineStr">
        <is>
          <t>병렬도 6 분할 1 측정 5회차 (스레드별 클럭, GHz)</t>
        </is>
      </c>
      <c r="E32" s="24">
        <f>'클럭 정리'!A33</f>
        <v/>
      </c>
      <c r="F32" s="23">
        <f>'클럭 정리'!O33</f>
        <v/>
      </c>
      <c r="G32" s="25" t="n"/>
      <c r="H32" s="25" t="n"/>
      <c r="I32" s="25" t="n"/>
      <c r="J32" s="25" t="n"/>
      <c r="K32" s="25" t="n"/>
      <c r="L32" s="25" t="n"/>
      <c r="M32" s="25" t="n"/>
      <c r="N32" s="25" t="n"/>
      <c r="O32" s="25" t="n"/>
      <c r="P32" s="25" t="n"/>
      <c r="Q32" s="25" t="n"/>
    </row>
    <row r="33">
      <c r="A33" s="21" t="inlineStr">
        <is>
          <t>시각</t>
        </is>
      </c>
      <c r="B33" s="21" t="inlineStr">
        <is>
          <t>ForkJoinPool-7-worker-1</t>
        </is>
      </c>
      <c r="C33" s="21" t="inlineStr">
        <is>
          <t>main</t>
        </is>
      </c>
      <c r="E33" s="24">
        <f>'클럭 정리'!A34</f>
        <v/>
      </c>
      <c r="F33" s="23">
        <f>'클럭 정리'!O34</f>
        <v/>
      </c>
      <c r="G33" s="25" t="n"/>
      <c r="H33" s="25" t="n"/>
      <c r="I33" s="25" t="n"/>
      <c r="J33" s="25" t="n"/>
      <c r="K33" s="25" t="n"/>
      <c r="L33" s="25" t="n"/>
      <c r="M33" s="25" t="n"/>
      <c r="N33" s="25" t="n"/>
      <c r="O33" s="25" t="n"/>
      <c r="P33" s="25" t="n"/>
      <c r="Q33" s="25" t="n"/>
    </row>
    <row r="34">
      <c r="A34" s="22">
        <f>'클럭 정리'!A62</f>
        <v/>
      </c>
      <c r="B34" s="23">
        <f>'클럭 정리'!O62</f>
        <v/>
      </c>
      <c r="C34" s="23">
        <f>'클럭 정리'!O62</f>
        <v/>
      </c>
      <c r="E34" s="24">
        <f>'클럭 정리'!A35</f>
        <v/>
      </c>
      <c r="F34" s="23">
        <f>'클럭 정리'!O35</f>
        <v/>
      </c>
      <c r="G34" s="25" t="n"/>
      <c r="H34" s="25" t="n"/>
      <c r="I34" s="25" t="n"/>
      <c r="J34" s="25" t="n"/>
      <c r="K34" s="25" t="n"/>
      <c r="L34" s="25" t="n"/>
      <c r="M34" s="25" t="n"/>
      <c r="N34" s="25" t="n"/>
      <c r="O34" s="25" t="n"/>
      <c r="P34" s="25" t="n"/>
      <c r="Q34" s="25" t="n"/>
    </row>
    <row r="35">
      <c r="A35" s="22">
        <f>'클럭 정리'!A63</f>
        <v/>
      </c>
      <c r="B35" s="23">
        <f>'클럭 정리'!O63</f>
        <v/>
      </c>
      <c r="C35" s="23">
        <f>'클럭 정리'!O63</f>
        <v/>
      </c>
      <c r="E35" s="24">
        <f>'클럭 정리'!A36</f>
        <v/>
      </c>
      <c r="F35" s="23">
        <f>'클럭 정리'!O36</f>
        <v/>
      </c>
      <c r="G35" s="25" t="n"/>
      <c r="H35" s="25" t="n"/>
      <c r="I35" s="25" t="n"/>
      <c r="J35" s="25" t="n"/>
      <c r="K35" s="25" t="n"/>
      <c r="L35" s="25" t="n"/>
      <c r="M35" s="25" t="n"/>
      <c r="N35" s="25" t="n"/>
      <c r="O35" s="25" t="n"/>
      <c r="P35" s="25" t="n"/>
      <c r="Q35" s="25" t="n"/>
    </row>
    <row r="36">
      <c r="A36" s="22">
        <f>'클럭 정리'!A64</f>
        <v/>
      </c>
      <c r="B36" s="23">
        <f>'클럭 정리'!O64</f>
        <v/>
      </c>
      <c r="C36" s="23">
        <f>'클럭 정리'!O64</f>
        <v/>
      </c>
      <c r="E36" s="24">
        <f>'클럭 정리'!A37</f>
        <v/>
      </c>
      <c r="F36" s="23">
        <f>'클럭 정리'!O37</f>
        <v/>
      </c>
      <c r="G36" s="25" t="n"/>
      <c r="H36" s="25" t="n"/>
      <c r="I36" s="25" t="n"/>
      <c r="J36" s="25" t="n"/>
      <c r="K36" s="25" t="n"/>
      <c r="L36" s="25" t="n"/>
      <c r="M36" s="25" t="n"/>
      <c r="N36" s="25" t="n"/>
      <c r="O36" s="25" t="n"/>
      <c r="P36" s="25" t="n"/>
      <c r="Q36" s="25" t="n"/>
    </row>
    <row r="37">
      <c r="A37" s="22">
        <f>'클럭 정리'!A65</f>
        <v/>
      </c>
      <c r="B37" s="23">
        <f>'클럭 정리'!O65</f>
        <v/>
      </c>
      <c r="C37" s="23">
        <f>'클럭 정리'!O65</f>
        <v/>
      </c>
      <c r="E37" s="24">
        <f>'클럭 정리'!A38</f>
        <v/>
      </c>
      <c r="F37" s="23">
        <f>'클럭 정리'!O38</f>
        <v/>
      </c>
      <c r="G37" s="25" t="n"/>
      <c r="H37" s="25" t="n"/>
      <c r="I37" s="25" t="n"/>
      <c r="J37" s="25" t="n"/>
      <c r="K37" s="25" t="n"/>
      <c r="L37" s="25" t="n"/>
      <c r="M37" s="25" t="n"/>
      <c r="N37" s="25" t="n"/>
      <c r="O37" s="25" t="n"/>
      <c r="P37" s="25" t="n"/>
      <c r="Q37" s="25" t="n"/>
    </row>
    <row r="38">
      <c r="E38" s="24">
        <f>'클럭 정리'!A39</f>
        <v/>
      </c>
      <c r="F38" s="23">
        <f>'클럭 정리'!O39</f>
        <v/>
      </c>
      <c r="G38" s="25" t="n"/>
      <c r="H38" s="25" t="n"/>
      <c r="I38" s="25" t="n"/>
      <c r="J38" s="25" t="n"/>
      <c r="K38" s="25" t="n"/>
      <c r="L38" s="25" t="n"/>
      <c r="M38" s="25" t="n"/>
      <c r="N38" s="25" t="n"/>
      <c r="O38" s="25" t="n"/>
      <c r="P38" s="25" t="n"/>
      <c r="Q38" s="25" t="n"/>
    </row>
    <row r="39">
      <c r="A39" s="2" t="inlineStr">
        <is>
          <t>병렬도 12 분할 1 측정 1회차 (스레드별 클럭, GHz)</t>
        </is>
      </c>
      <c r="E39" s="24">
        <f>'클럭 정리'!A40</f>
        <v/>
      </c>
      <c r="F39" s="23">
        <f>'클럭 정리'!O40</f>
        <v/>
      </c>
      <c r="G39" s="25" t="n"/>
      <c r="H39" s="25" t="n"/>
      <c r="I39" s="25" t="n"/>
      <c r="J39" s="25" t="n"/>
      <c r="K39" s="25" t="n"/>
      <c r="L39" s="25" t="n"/>
      <c r="M39" s="25" t="n"/>
      <c r="N39" s="25" t="n"/>
      <c r="O39" s="25" t="n"/>
      <c r="P39" s="25" t="n"/>
      <c r="Q39" s="25" t="n"/>
    </row>
    <row r="40">
      <c r="A40" s="21" t="inlineStr">
        <is>
          <t>시각</t>
        </is>
      </c>
      <c r="B40" s="21" t="inlineStr">
        <is>
          <t>ForkJoinPool-11-worker-1</t>
        </is>
      </c>
      <c r="C40" s="21" t="inlineStr">
        <is>
          <t>main</t>
        </is>
      </c>
      <c r="E40" s="24">
        <f>'클럭 정리'!A41</f>
        <v/>
      </c>
      <c r="F40" s="23">
        <f>'클럭 정리'!O41</f>
        <v/>
      </c>
      <c r="G40" s="25" t="n"/>
      <c r="H40" s="25" t="n"/>
      <c r="I40" s="25" t="n"/>
      <c r="J40" s="25" t="n"/>
      <c r="K40" s="25" t="n"/>
      <c r="L40" s="25" t="n"/>
      <c r="M40" s="25" t="n"/>
      <c r="N40" s="25" t="n"/>
      <c r="O40" s="25" t="n"/>
      <c r="P40" s="25" t="n"/>
      <c r="Q40" s="25" t="n"/>
    </row>
    <row r="41">
      <c r="A41" s="22">
        <f>'클럭 정리'!A79</f>
        <v/>
      </c>
      <c r="B41" s="23">
        <f>'클럭 정리'!O79</f>
        <v/>
      </c>
      <c r="C41" s="23">
        <f>'클럭 정리'!O79</f>
        <v/>
      </c>
      <c r="E41" s="24">
        <f>'클럭 정리'!A42</f>
        <v/>
      </c>
      <c r="F41" s="23">
        <f>'클럭 정리'!O42</f>
        <v/>
      </c>
      <c r="G41" s="25" t="n"/>
      <c r="H41" s="25" t="n"/>
      <c r="I41" s="25" t="n"/>
      <c r="J41" s="25" t="n"/>
      <c r="K41" s="25" t="n"/>
      <c r="L41" s="25" t="n"/>
      <c r="M41" s="25" t="n"/>
      <c r="N41" s="25" t="n"/>
      <c r="O41" s="25" t="n"/>
      <c r="P41" s="25" t="n"/>
      <c r="Q41" s="25" t="n"/>
    </row>
    <row r="42">
      <c r="A42" s="22">
        <f>'클럭 정리'!A80</f>
        <v/>
      </c>
      <c r="B42" s="23">
        <f>'클럭 정리'!O80</f>
        <v/>
      </c>
      <c r="C42" s="23">
        <f>'클럭 정리'!O80</f>
        <v/>
      </c>
      <c r="E42" s="24">
        <f>'클럭 정리'!A43</f>
        <v/>
      </c>
      <c r="F42" s="23">
        <f>'클럭 정리'!O43</f>
        <v/>
      </c>
      <c r="G42" s="25" t="n"/>
      <c r="H42" s="25" t="n"/>
      <c r="I42" s="25" t="n"/>
      <c r="J42" s="25" t="n"/>
      <c r="K42" s="25" t="n"/>
      <c r="L42" s="25" t="n"/>
      <c r="M42" s="25" t="n"/>
      <c r="N42" s="25" t="n"/>
      <c r="O42" s="25" t="n"/>
      <c r="P42" s="25" t="n"/>
      <c r="Q42" s="25" t="n"/>
    </row>
    <row r="43">
      <c r="A43" s="22">
        <f>'클럭 정리'!A81</f>
        <v/>
      </c>
      <c r="B43" s="23">
        <f>'클럭 정리'!O81</f>
        <v/>
      </c>
      <c r="C43" s="23">
        <f>'클럭 정리'!O81</f>
        <v/>
      </c>
      <c r="E43" s="24">
        <f>'클럭 정리'!A44</f>
        <v/>
      </c>
      <c r="F43" s="23">
        <f>'클럭 정리'!O44</f>
        <v/>
      </c>
      <c r="G43" s="25" t="n"/>
      <c r="H43" s="25" t="n"/>
      <c r="I43" s="25" t="n"/>
      <c r="J43" s="25" t="n"/>
      <c r="K43" s="25" t="n"/>
      <c r="L43" s="25" t="n"/>
      <c r="M43" s="25" t="n"/>
      <c r="N43" s="25" t="n"/>
      <c r="O43" s="25" t="n"/>
      <c r="P43" s="25" t="n"/>
      <c r="Q43" s="25" t="n"/>
    </row>
    <row r="44">
      <c r="A44" s="22">
        <f>'클럭 정리'!A82</f>
        <v/>
      </c>
      <c r="B44" s="23">
        <f>'클럭 정리'!O82</f>
        <v/>
      </c>
      <c r="C44" s="23">
        <f>'클럭 정리'!O82</f>
        <v/>
      </c>
      <c r="E44" s="24">
        <f>'클럭 정리'!A45</f>
        <v/>
      </c>
      <c r="F44" s="23">
        <f>'클럭 정리'!O45</f>
        <v/>
      </c>
      <c r="G44" s="23">
        <f>'클럭 정리'!O45</f>
        <v/>
      </c>
      <c r="H44" s="23">
        <f>'클럭 정리'!O45</f>
        <v/>
      </c>
      <c r="I44" s="25" t="n"/>
      <c r="J44" s="25" t="n"/>
      <c r="K44" s="25" t="n"/>
      <c r="L44" s="25" t="n"/>
      <c r="M44" s="25" t="n"/>
      <c r="N44" s="25" t="n"/>
      <c r="O44" s="25" t="n"/>
      <c r="P44" s="25" t="n"/>
      <c r="Q44" s="25" t="n"/>
    </row>
    <row r="45">
      <c r="E45" s="24">
        <f>'클럭 정리'!A46</f>
        <v/>
      </c>
      <c r="F45" s="23">
        <f>'클럭 정리'!O46</f>
        <v/>
      </c>
      <c r="G45" s="23">
        <f>'클럭 정리'!O46</f>
        <v/>
      </c>
      <c r="H45" s="23">
        <f>'클럭 정리'!O46</f>
        <v/>
      </c>
      <c r="I45" s="25" t="n"/>
      <c r="J45" s="25" t="n"/>
      <c r="K45" s="25" t="n"/>
      <c r="L45" s="25" t="n"/>
      <c r="M45" s="25" t="n"/>
      <c r="N45" s="25" t="n"/>
      <c r="O45" s="25" t="n"/>
      <c r="P45" s="25" t="n"/>
      <c r="Q45" s="25" t="n"/>
    </row>
    <row r="46">
      <c r="A46" s="2" t="inlineStr">
        <is>
          <t>병렬도 12 분할 1 측정 2회차 (스레드별 클럭, GHz)</t>
        </is>
      </c>
      <c r="E46" s="24">
        <f>'클럭 정리'!A47</f>
        <v/>
      </c>
      <c r="F46" s="23">
        <f>'클럭 정리'!O47</f>
        <v/>
      </c>
      <c r="G46" s="23">
        <f>'클럭 정리'!O47</f>
        <v/>
      </c>
      <c r="H46" s="23">
        <f>'클럭 정리'!O47</f>
        <v/>
      </c>
      <c r="I46" s="25" t="n"/>
      <c r="J46" s="25" t="n"/>
      <c r="K46" s="25" t="n"/>
      <c r="L46" s="25" t="n"/>
      <c r="M46" s="25" t="n"/>
      <c r="N46" s="25" t="n"/>
      <c r="O46" s="25" t="n"/>
      <c r="P46" s="25" t="n"/>
      <c r="Q46" s="25" t="n"/>
    </row>
    <row r="47">
      <c r="A47" s="21" t="inlineStr">
        <is>
          <t>시각</t>
        </is>
      </c>
      <c r="B47" s="21" t="inlineStr">
        <is>
          <t>ForkJoinPool-12-worker-1</t>
        </is>
      </c>
      <c r="C47" s="21" t="inlineStr">
        <is>
          <t>main</t>
        </is>
      </c>
      <c r="E47" s="24">
        <f>'클럭 정리'!A48</f>
        <v/>
      </c>
      <c r="F47" s="23">
        <f>'클럭 정리'!O48</f>
        <v/>
      </c>
      <c r="G47" s="23">
        <f>'클럭 정리'!O48</f>
        <v/>
      </c>
      <c r="H47" s="23">
        <f>'클럭 정리'!O48</f>
        <v/>
      </c>
      <c r="I47" s="25" t="n"/>
      <c r="J47" s="25" t="n"/>
      <c r="K47" s="25" t="n"/>
      <c r="L47" s="25" t="n"/>
      <c r="M47" s="25" t="n"/>
      <c r="N47" s="25" t="n"/>
      <c r="O47" s="25" t="n"/>
      <c r="P47" s="25" t="n"/>
      <c r="Q47" s="25" t="n"/>
    </row>
    <row r="48">
      <c r="A48" s="22">
        <f>'클럭 정리'!A83</f>
        <v/>
      </c>
      <c r="B48" s="23">
        <f>'클럭 정리'!O83</f>
        <v/>
      </c>
      <c r="C48" s="23">
        <f>'클럭 정리'!O83</f>
        <v/>
      </c>
      <c r="E48" s="24">
        <f>'클럭 정리'!A49</f>
        <v/>
      </c>
      <c r="F48" s="23">
        <f>'클럭 정리'!O49</f>
        <v/>
      </c>
      <c r="G48" s="25" t="n"/>
      <c r="H48" s="23">
        <f>'클럭 정리'!O49</f>
        <v/>
      </c>
      <c r="I48" s="23">
        <f>'클럭 정리'!O49</f>
        <v/>
      </c>
      <c r="J48" s="25" t="n"/>
      <c r="K48" s="25" t="n"/>
      <c r="L48" s="25" t="n"/>
      <c r="M48" s="25" t="n"/>
      <c r="N48" s="25" t="n"/>
      <c r="O48" s="25" t="n"/>
      <c r="P48" s="25" t="n"/>
      <c r="Q48" s="25" t="n"/>
    </row>
    <row r="49">
      <c r="A49" s="22">
        <f>'클럭 정리'!A84</f>
        <v/>
      </c>
      <c r="B49" s="23">
        <f>'클럭 정리'!O84</f>
        <v/>
      </c>
      <c r="C49" s="23">
        <f>'클럭 정리'!O84</f>
        <v/>
      </c>
      <c r="E49" s="24">
        <f>'클럭 정리'!A50</f>
        <v/>
      </c>
      <c r="F49" s="23">
        <f>'클럭 정리'!O50</f>
        <v/>
      </c>
      <c r="G49" s="25" t="n"/>
      <c r="H49" s="23">
        <f>'클럭 정리'!O50</f>
        <v/>
      </c>
      <c r="I49" s="23">
        <f>'클럭 정리'!O50</f>
        <v/>
      </c>
      <c r="J49" s="25" t="n"/>
      <c r="K49" s="25" t="n"/>
      <c r="L49" s="25" t="n"/>
      <c r="M49" s="25" t="n"/>
      <c r="N49" s="25" t="n"/>
      <c r="O49" s="25" t="n"/>
      <c r="P49" s="25" t="n"/>
      <c r="Q49" s="25" t="n"/>
    </row>
    <row r="50">
      <c r="A50" s="22">
        <f>'클럭 정리'!A85</f>
        <v/>
      </c>
      <c r="B50" s="23">
        <f>'클럭 정리'!O85</f>
        <v/>
      </c>
      <c r="C50" s="23">
        <f>'클럭 정리'!O85</f>
        <v/>
      </c>
      <c r="E50" s="24">
        <f>'클럭 정리'!A51</f>
        <v/>
      </c>
      <c r="F50" s="23">
        <f>'클럭 정리'!O51</f>
        <v/>
      </c>
      <c r="G50" s="25" t="n"/>
      <c r="H50" s="23">
        <f>'클럭 정리'!O51</f>
        <v/>
      </c>
      <c r="I50" s="23">
        <f>'클럭 정리'!O51</f>
        <v/>
      </c>
      <c r="J50" s="25" t="n"/>
      <c r="K50" s="25" t="n"/>
      <c r="L50" s="25" t="n"/>
      <c r="M50" s="25" t="n"/>
      <c r="N50" s="25" t="n"/>
      <c r="O50" s="25" t="n"/>
      <c r="P50" s="25" t="n"/>
      <c r="Q50" s="25" t="n"/>
    </row>
    <row r="51">
      <c r="A51" s="22">
        <f>'클럭 정리'!A86</f>
        <v/>
      </c>
      <c r="B51" s="23">
        <f>'클럭 정리'!O86</f>
        <v/>
      </c>
      <c r="C51" s="23">
        <f>'클럭 정리'!O86</f>
        <v/>
      </c>
      <c r="E51" s="24">
        <f>'클럭 정리'!A52</f>
        <v/>
      </c>
      <c r="F51" s="23">
        <f>'클럭 정리'!O52</f>
        <v/>
      </c>
      <c r="G51" s="25" t="n"/>
      <c r="H51" s="23">
        <f>'클럭 정리'!O52</f>
        <v/>
      </c>
      <c r="I51" s="23">
        <f>'클럭 정리'!O52</f>
        <v/>
      </c>
      <c r="J51" s="25" t="n"/>
      <c r="K51" s="25" t="n"/>
      <c r="L51" s="25" t="n"/>
      <c r="M51" s="25" t="n"/>
      <c r="N51" s="25" t="n"/>
      <c r="O51" s="25" t="n"/>
      <c r="P51" s="25" t="n"/>
      <c r="Q51" s="25" t="n"/>
    </row>
    <row r="52">
      <c r="A52" s="22">
        <f>'클럭 정리'!A87</f>
        <v/>
      </c>
      <c r="B52" s="23">
        <f>'클럭 정리'!O87</f>
        <v/>
      </c>
      <c r="C52" s="23">
        <f>'클럭 정리'!O87</f>
        <v/>
      </c>
      <c r="E52" s="24">
        <f>'클럭 정리'!A53</f>
        <v/>
      </c>
      <c r="F52" s="23">
        <f>'클럭 정리'!O53</f>
        <v/>
      </c>
      <c r="G52" s="25" t="n"/>
      <c r="H52" s="23">
        <f>'클럭 정리'!O53</f>
        <v/>
      </c>
      <c r="I52" s="25" t="n"/>
      <c r="J52" s="23">
        <f>'클럭 정리'!O53</f>
        <v/>
      </c>
      <c r="K52" s="25" t="n"/>
      <c r="L52" s="25" t="n"/>
      <c r="M52" s="25" t="n"/>
      <c r="N52" s="25" t="n"/>
      <c r="O52" s="25" t="n"/>
      <c r="P52" s="25" t="n"/>
      <c r="Q52" s="25" t="n"/>
    </row>
    <row r="53">
      <c r="E53" s="24">
        <f>'클럭 정리'!A54</f>
        <v/>
      </c>
      <c r="F53" s="23">
        <f>'클럭 정리'!O54</f>
        <v/>
      </c>
      <c r="G53" s="25" t="n"/>
      <c r="H53" s="23">
        <f>'클럭 정리'!O54</f>
        <v/>
      </c>
      <c r="I53" s="25" t="n"/>
      <c r="J53" s="23">
        <f>'클럭 정리'!O54</f>
        <v/>
      </c>
      <c r="K53" s="25" t="n"/>
      <c r="L53" s="25" t="n"/>
      <c r="M53" s="25" t="n"/>
      <c r="N53" s="25" t="n"/>
      <c r="O53" s="25" t="n"/>
      <c r="P53" s="25" t="n"/>
      <c r="Q53" s="25" t="n"/>
    </row>
    <row r="54">
      <c r="A54" s="2" t="inlineStr">
        <is>
          <t>병렬도 12 분할 1 측정 3회차 (스레드별 클럭, GHz)</t>
        </is>
      </c>
      <c r="E54" s="24">
        <f>'클럭 정리'!A55</f>
        <v/>
      </c>
      <c r="F54" s="23">
        <f>'클럭 정리'!O55</f>
        <v/>
      </c>
      <c r="G54" s="25" t="n"/>
      <c r="H54" s="23">
        <f>'클럭 정리'!O55</f>
        <v/>
      </c>
      <c r="I54" s="25" t="n"/>
      <c r="J54" s="23">
        <f>'클럭 정리'!O55</f>
        <v/>
      </c>
      <c r="K54" s="25" t="n"/>
      <c r="L54" s="25" t="n"/>
      <c r="M54" s="25" t="n"/>
      <c r="N54" s="25" t="n"/>
      <c r="O54" s="25" t="n"/>
      <c r="P54" s="25" t="n"/>
      <c r="Q54" s="25" t="n"/>
    </row>
    <row r="55">
      <c r="A55" s="21" t="inlineStr">
        <is>
          <t>시각</t>
        </is>
      </c>
      <c r="B55" s="21" t="inlineStr">
        <is>
          <t>ForkJoinPool-13-worker-1</t>
        </is>
      </c>
      <c r="C55" s="21" t="inlineStr">
        <is>
          <t>main</t>
        </is>
      </c>
      <c r="E55" s="24">
        <f>'클럭 정리'!A56</f>
        <v/>
      </c>
      <c r="F55" s="23">
        <f>'클럭 정리'!O56</f>
        <v/>
      </c>
      <c r="G55" s="25" t="n"/>
      <c r="H55" s="23">
        <f>'클럭 정리'!O56</f>
        <v/>
      </c>
      <c r="I55" s="25" t="n"/>
      <c r="J55" s="23">
        <f>'클럭 정리'!O56</f>
        <v/>
      </c>
      <c r="K55" s="25" t="n"/>
      <c r="L55" s="25" t="n"/>
      <c r="M55" s="25" t="n"/>
      <c r="N55" s="25" t="n"/>
      <c r="O55" s="25" t="n"/>
      <c r="P55" s="25" t="n"/>
      <c r="Q55" s="25" t="n"/>
    </row>
    <row r="56">
      <c r="A56" s="22">
        <f>'클럭 정리'!A88</f>
        <v/>
      </c>
      <c r="B56" s="23">
        <f>'클럭 정리'!O88</f>
        <v/>
      </c>
      <c r="C56" s="23">
        <f>'클럭 정리'!O88</f>
        <v/>
      </c>
      <c r="E56" s="24">
        <f>'클럭 정리'!A57</f>
        <v/>
      </c>
      <c r="F56" s="23">
        <f>'클럭 정리'!O57</f>
        <v/>
      </c>
      <c r="G56" s="25" t="n"/>
      <c r="H56" s="23">
        <f>'클럭 정리'!O57</f>
        <v/>
      </c>
      <c r="I56" s="25" t="n"/>
      <c r="J56" s="23">
        <f>'클럭 정리'!O57</f>
        <v/>
      </c>
      <c r="K56" s="25" t="n"/>
      <c r="L56" s="25" t="n"/>
      <c r="M56" s="25" t="n"/>
      <c r="N56" s="25" t="n"/>
      <c r="O56" s="25" t="n"/>
      <c r="P56" s="25" t="n"/>
      <c r="Q56" s="25" t="n"/>
    </row>
    <row r="57">
      <c r="A57" s="22">
        <f>'클럭 정리'!A89</f>
        <v/>
      </c>
      <c r="B57" s="23">
        <f>'클럭 정리'!O89</f>
        <v/>
      </c>
      <c r="C57" s="23">
        <f>'클럭 정리'!O89</f>
        <v/>
      </c>
      <c r="E57" s="24">
        <f>'클럭 정리'!A58</f>
        <v/>
      </c>
      <c r="F57" s="23">
        <f>'클럭 정리'!O58</f>
        <v/>
      </c>
      <c r="G57" s="25" t="n"/>
      <c r="H57" s="23">
        <f>'클럭 정리'!O58</f>
        <v/>
      </c>
      <c r="I57" s="25" t="n"/>
      <c r="J57" s="25" t="n"/>
      <c r="K57" s="23">
        <f>'클럭 정리'!O58</f>
        <v/>
      </c>
      <c r="L57" s="25" t="n"/>
      <c r="M57" s="25" t="n"/>
      <c r="N57" s="25" t="n"/>
      <c r="O57" s="25" t="n"/>
      <c r="P57" s="25" t="n"/>
      <c r="Q57" s="25" t="n"/>
    </row>
    <row r="58">
      <c r="A58" s="22">
        <f>'클럭 정리'!A90</f>
        <v/>
      </c>
      <c r="B58" s="23">
        <f>'클럭 정리'!O90</f>
        <v/>
      </c>
      <c r="C58" s="23">
        <f>'클럭 정리'!O90</f>
        <v/>
      </c>
      <c r="E58" s="24">
        <f>'클럭 정리'!A59</f>
        <v/>
      </c>
      <c r="F58" s="23">
        <f>'클럭 정리'!O59</f>
        <v/>
      </c>
      <c r="G58" s="25" t="n"/>
      <c r="H58" s="23">
        <f>'클럭 정리'!O59</f>
        <v/>
      </c>
      <c r="I58" s="25" t="n"/>
      <c r="J58" s="25" t="n"/>
      <c r="K58" s="23">
        <f>'클럭 정리'!O59</f>
        <v/>
      </c>
      <c r="L58" s="25" t="n"/>
      <c r="M58" s="25" t="n"/>
      <c r="N58" s="25" t="n"/>
      <c r="O58" s="25" t="n"/>
      <c r="P58" s="25" t="n"/>
      <c r="Q58" s="25" t="n"/>
    </row>
    <row r="59">
      <c r="A59" s="22">
        <f>'클럭 정리'!A91</f>
        <v/>
      </c>
      <c r="B59" s="23">
        <f>'클럭 정리'!O91</f>
        <v/>
      </c>
      <c r="C59" s="23">
        <f>'클럭 정리'!O91</f>
        <v/>
      </c>
      <c r="E59" s="24">
        <f>'클럭 정리'!A60</f>
        <v/>
      </c>
      <c r="F59" s="23">
        <f>'클럭 정리'!O60</f>
        <v/>
      </c>
      <c r="G59" s="25" t="n"/>
      <c r="H59" s="23">
        <f>'클럭 정리'!O60</f>
        <v/>
      </c>
      <c r="I59" s="25" t="n"/>
      <c r="J59" s="25" t="n"/>
      <c r="K59" s="23">
        <f>'클럭 정리'!O60</f>
        <v/>
      </c>
      <c r="L59" s="25" t="n"/>
      <c r="M59" s="25" t="n"/>
      <c r="N59" s="25" t="n"/>
      <c r="O59" s="25" t="n"/>
      <c r="P59" s="25" t="n"/>
      <c r="Q59" s="25" t="n"/>
    </row>
    <row r="60">
      <c r="E60" s="24">
        <f>'클럭 정리'!A61</f>
        <v/>
      </c>
      <c r="F60" s="23">
        <f>'클럭 정리'!O61</f>
        <v/>
      </c>
      <c r="G60" s="25" t="n"/>
      <c r="H60" s="23">
        <f>'클럭 정리'!O61</f>
        <v/>
      </c>
      <c r="I60" s="25" t="n"/>
      <c r="J60" s="25" t="n"/>
      <c r="K60" s="23">
        <f>'클럭 정리'!O61</f>
        <v/>
      </c>
      <c r="L60" s="25" t="n"/>
      <c r="M60" s="25" t="n"/>
      <c r="N60" s="25" t="n"/>
      <c r="O60" s="25" t="n"/>
      <c r="P60" s="25" t="n"/>
      <c r="Q60" s="25" t="n"/>
    </row>
    <row r="61">
      <c r="A61" s="2" t="inlineStr">
        <is>
          <t>병렬도 12 분할 1 측정 4회차 (스레드별 클럭, GHz)</t>
        </is>
      </c>
      <c r="E61" s="24">
        <f>'클럭 정리'!A62</f>
        <v/>
      </c>
      <c r="F61" s="23">
        <f>'클럭 정리'!O62</f>
        <v/>
      </c>
      <c r="G61" s="25" t="n"/>
      <c r="H61" s="23">
        <f>'클럭 정리'!O62</f>
        <v/>
      </c>
      <c r="I61" s="25" t="n"/>
      <c r="J61" s="25" t="n"/>
      <c r="K61" s="25" t="n"/>
      <c r="L61" s="23">
        <f>'클럭 정리'!O62</f>
        <v/>
      </c>
      <c r="M61" s="25" t="n"/>
      <c r="N61" s="25" t="n"/>
      <c r="O61" s="25" t="n"/>
      <c r="P61" s="25" t="n"/>
      <c r="Q61" s="25" t="n"/>
    </row>
    <row r="62">
      <c r="A62" s="21" t="inlineStr">
        <is>
          <t>시각</t>
        </is>
      </c>
      <c r="B62" s="21" t="inlineStr">
        <is>
          <t>ForkJoinPool-14-worker-1</t>
        </is>
      </c>
      <c r="C62" s="21" t="inlineStr">
        <is>
          <t>main</t>
        </is>
      </c>
      <c r="E62" s="24">
        <f>'클럭 정리'!A63</f>
        <v/>
      </c>
      <c r="F62" s="23">
        <f>'클럭 정리'!O63</f>
        <v/>
      </c>
      <c r="G62" s="25" t="n"/>
      <c r="H62" s="23">
        <f>'클럭 정리'!O63</f>
        <v/>
      </c>
      <c r="I62" s="25" t="n"/>
      <c r="J62" s="25" t="n"/>
      <c r="K62" s="25" t="n"/>
      <c r="L62" s="23">
        <f>'클럭 정리'!O63</f>
        <v/>
      </c>
      <c r="M62" s="25" t="n"/>
      <c r="N62" s="25" t="n"/>
      <c r="O62" s="25" t="n"/>
      <c r="P62" s="25" t="n"/>
      <c r="Q62" s="25" t="n"/>
    </row>
    <row r="63">
      <c r="A63" s="22">
        <f>'클럭 정리'!A92</f>
        <v/>
      </c>
      <c r="B63" s="23">
        <f>'클럭 정리'!O92</f>
        <v/>
      </c>
      <c r="C63" s="23">
        <f>'클럭 정리'!O92</f>
        <v/>
      </c>
      <c r="E63" s="24">
        <f>'클럭 정리'!A64</f>
        <v/>
      </c>
      <c r="F63" s="23">
        <f>'클럭 정리'!O64</f>
        <v/>
      </c>
      <c r="G63" s="25" t="n"/>
      <c r="H63" s="23">
        <f>'클럭 정리'!O64</f>
        <v/>
      </c>
      <c r="I63" s="25" t="n"/>
      <c r="J63" s="25" t="n"/>
      <c r="K63" s="25" t="n"/>
      <c r="L63" s="23">
        <f>'클럭 정리'!O64</f>
        <v/>
      </c>
      <c r="M63" s="25" t="n"/>
      <c r="N63" s="25" t="n"/>
      <c r="O63" s="25" t="n"/>
      <c r="P63" s="25" t="n"/>
      <c r="Q63" s="25" t="n"/>
    </row>
    <row r="64">
      <c r="A64" s="22">
        <f>'클럭 정리'!A93</f>
        <v/>
      </c>
      <c r="B64" s="23">
        <f>'클럭 정리'!O93</f>
        <v/>
      </c>
      <c r="C64" s="23">
        <f>'클럭 정리'!O93</f>
        <v/>
      </c>
      <c r="E64" s="24">
        <f>'클럭 정리'!A65</f>
        <v/>
      </c>
      <c r="F64" s="23">
        <f>'클럭 정리'!O65</f>
        <v/>
      </c>
      <c r="G64" s="25" t="n"/>
      <c r="H64" s="23">
        <f>'클럭 정리'!O65</f>
        <v/>
      </c>
      <c r="I64" s="25" t="n"/>
      <c r="J64" s="25" t="n"/>
      <c r="K64" s="25" t="n"/>
      <c r="L64" s="23">
        <f>'클럭 정리'!O65</f>
        <v/>
      </c>
      <c r="M64" s="25" t="n"/>
      <c r="N64" s="25" t="n"/>
      <c r="O64" s="25" t="n"/>
      <c r="P64" s="25" t="n"/>
      <c r="Q64" s="25" t="n"/>
    </row>
    <row r="65">
      <c r="A65" s="22">
        <f>'클럭 정리'!A94</f>
        <v/>
      </c>
      <c r="B65" s="23">
        <f>'클럭 정리'!O94</f>
        <v/>
      </c>
      <c r="C65" s="23">
        <f>'클럭 정리'!O94</f>
        <v/>
      </c>
      <c r="E65" s="24">
        <f>'클럭 정리'!A66</f>
        <v/>
      </c>
      <c r="F65" s="23">
        <f>'클럭 정리'!O66</f>
        <v/>
      </c>
      <c r="G65" s="25" t="n"/>
      <c r="H65" s="25" t="n"/>
      <c r="I65" s="25" t="n"/>
      <c r="J65" s="25" t="n"/>
      <c r="K65" s="25" t="n"/>
      <c r="L65" s="25" t="n"/>
      <c r="M65" s="25" t="n"/>
      <c r="N65" s="25" t="n"/>
      <c r="O65" s="25" t="n"/>
      <c r="P65" s="25" t="n"/>
      <c r="Q65" s="25" t="n"/>
    </row>
    <row r="66">
      <c r="A66" s="22">
        <f>'클럭 정리'!A95</f>
        <v/>
      </c>
      <c r="B66" s="23">
        <f>'클럭 정리'!O95</f>
        <v/>
      </c>
      <c r="C66" s="23">
        <f>'클럭 정리'!O95</f>
        <v/>
      </c>
      <c r="E66" s="24">
        <f>'클럭 정리'!A67</f>
        <v/>
      </c>
      <c r="F66" s="23">
        <f>'클럭 정리'!O67</f>
        <v/>
      </c>
      <c r="G66" s="25" t="n"/>
      <c r="H66" s="25" t="n"/>
      <c r="I66" s="25" t="n"/>
      <c r="J66" s="25" t="n"/>
      <c r="K66" s="25" t="n"/>
      <c r="L66" s="25" t="n"/>
      <c r="M66" s="25" t="n"/>
      <c r="N66" s="25" t="n"/>
      <c r="O66" s="25" t="n"/>
      <c r="P66" s="25" t="n"/>
      <c r="Q66" s="25" t="n"/>
    </row>
    <row r="67">
      <c r="E67" s="24">
        <f>'클럭 정리'!A68</f>
        <v/>
      </c>
      <c r="F67" s="23">
        <f>'클럭 정리'!O68</f>
        <v/>
      </c>
      <c r="G67" s="25" t="n"/>
      <c r="H67" s="25" t="n"/>
      <c r="I67" s="25" t="n"/>
      <c r="J67" s="25" t="n"/>
      <c r="K67" s="25" t="n"/>
      <c r="L67" s="25" t="n"/>
      <c r="M67" s="25" t="n"/>
      <c r="N67" s="25" t="n"/>
      <c r="O67" s="25" t="n"/>
      <c r="P67" s="25" t="n"/>
      <c r="Q67" s="25" t="n"/>
    </row>
    <row r="68">
      <c r="A68" s="2" t="inlineStr">
        <is>
          <t>병렬도 12 분할 1 측정 5회차 (스레드별 클럭, GHz)</t>
        </is>
      </c>
      <c r="E68" s="24">
        <f>'클럭 정리'!A69</f>
        <v/>
      </c>
      <c r="F68" s="23">
        <f>'클럭 정리'!O69</f>
        <v/>
      </c>
      <c r="G68" s="25" t="n"/>
      <c r="H68" s="25" t="n"/>
      <c r="I68" s="25" t="n"/>
      <c r="J68" s="25" t="n"/>
      <c r="K68" s="25" t="n"/>
      <c r="L68" s="25" t="n"/>
      <c r="M68" s="25" t="n"/>
      <c r="N68" s="25" t="n"/>
      <c r="O68" s="25" t="n"/>
      <c r="P68" s="25" t="n"/>
      <c r="Q68" s="25" t="n"/>
    </row>
    <row r="69">
      <c r="A69" s="21" t="inlineStr">
        <is>
          <t>시각</t>
        </is>
      </c>
      <c r="B69" s="21" t="inlineStr">
        <is>
          <t>ForkJoinPool-15-worker-1</t>
        </is>
      </c>
      <c r="C69" s="21" t="inlineStr">
        <is>
          <t>main</t>
        </is>
      </c>
      <c r="E69" s="24">
        <f>'클럭 정리'!A70</f>
        <v/>
      </c>
      <c r="F69" s="23">
        <f>'클럭 정리'!O70</f>
        <v/>
      </c>
      <c r="G69" s="25" t="n"/>
      <c r="H69" s="25" t="n"/>
      <c r="I69" s="25" t="n"/>
      <c r="J69" s="25" t="n"/>
      <c r="K69" s="25" t="n"/>
      <c r="L69" s="25" t="n"/>
      <c r="M69" s="25" t="n"/>
      <c r="N69" s="25" t="n"/>
      <c r="O69" s="25" t="n"/>
      <c r="P69" s="25" t="n"/>
      <c r="Q69" s="25" t="n"/>
    </row>
    <row r="70">
      <c r="A70" s="22">
        <f>'클럭 정리'!A96</f>
        <v/>
      </c>
      <c r="B70" s="23">
        <f>'클럭 정리'!O96</f>
        <v/>
      </c>
      <c r="C70" s="23">
        <f>'클럭 정리'!O96</f>
        <v/>
      </c>
      <c r="E70" s="24">
        <f>'클럭 정리'!A71</f>
        <v/>
      </c>
      <c r="F70" s="23">
        <f>'클럭 정리'!O71</f>
        <v/>
      </c>
      <c r="G70" s="25" t="n"/>
      <c r="H70" s="25" t="n"/>
      <c r="I70" s="25" t="n"/>
      <c r="J70" s="25" t="n"/>
      <c r="K70" s="25" t="n"/>
      <c r="L70" s="25" t="n"/>
      <c r="M70" s="25" t="n"/>
      <c r="N70" s="25" t="n"/>
      <c r="O70" s="25" t="n"/>
      <c r="P70" s="25" t="n"/>
      <c r="Q70" s="25" t="n"/>
    </row>
    <row r="71">
      <c r="A71" s="22">
        <f>'클럭 정리'!A97</f>
        <v/>
      </c>
      <c r="B71" s="23">
        <f>'클럭 정리'!O97</f>
        <v/>
      </c>
      <c r="C71" s="23">
        <f>'클럭 정리'!O97</f>
        <v/>
      </c>
      <c r="E71" s="24">
        <f>'클럭 정리'!A72</f>
        <v/>
      </c>
      <c r="F71" s="23">
        <f>'클럭 정리'!O72</f>
        <v/>
      </c>
      <c r="G71" s="25" t="n"/>
      <c r="H71" s="25" t="n"/>
      <c r="I71" s="25" t="n"/>
      <c r="J71" s="25" t="n"/>
      <c r="K71" s="25" t="n"/>
      <c r="L71" s="25" t="n"/>
      <c r="M71" s="25" t="n"/>
      <c r="N71" s="25" t="n"/>
      <c r="O71" s="25" t="n"/>
      <c r="P71" s="25" t="n"/>
      <c r="Q71" s="25" t="n"/>
    </row>
    <row r="72">
      <c r="A72" s="22">
        <f>'클럭 정리'!A98</f>
        <v/>
      </c>
      <c r="B72" s="23">
        <f>'클럭 정리'!O98</f>
        <v/>
      </c>
      <c r="C72" s="23">
        <f>'클럭 정리'!O98</f>
        <v/>
      </c>
      <c r="E72" s="24">
        <f>'클럭 정리'!A73</f>
        <v/>
      </c>
      <c r="F72" s="23">
        <f>'클럭 정리'!O73</f>
        <v/>
      </c>
      <c r="G72" s="25" t="n"/>
      <c r="H72" s="25" t="n"/>
      <c r="I72" s="25" t="n"/>
      <c r="J72" s="25" t="n"/>
      <c r="K72" s="25" t="n"/>
      <c r="L72" s="25" t="n"/>
      <c r="M72" s="25" t="n"/>
      <c r="N72" s="25" t="n"/>
      <c r="O72" s="25" t="n"/>
      <c r="P72" s="25" t="n"/>
      <c r="Q72" s="25" t="n"/>
    </row>
    <row r="73">
      <c r="A73" s="22">
        <f>'클럭 정리'!A99</f>
        <v/>
      </c>
      <c r="B73" s="23">
        <f>'클럭 정리'!O99</f>
        <v/>
      </c>
      <c r="C73" s="23">
        <f>'클럭 정리'!O99</f>
        <v/>
      </c>
      <c r="E73" s="24">
        <f>'클럭 정리'!A74</f>
        <v/>
      </c>
      <c r="F73" s="23">
        <f>'클럭 정리'!O74</f>
        <v/>
      </c>
      <c r="G73" s="25" t="n"/>
      <c r="H73" s="25" t="n"/>
      <c r="I73" s="25" t="n"/>
      <c r="J73" s="25" t="n"/>
      <c r="K73" s="25" t="n"/>
      <c r="L73" s="25" t="n"/>
      <c r="M73" s="25" t="n"/>
      <c r="N73" s="25" t="n"/>
      <c r="O73" s="25" t="n"/>
      <c r="P73" s="25" t="n"/>
      <c r="Q73" s="25" t="n"/>
    </row>
    <row r="74">
      <c r="A74" s="22">
        <f>'클럭 정리'!A100</f>
        <v/>
      </c>
      <c r="B74" s="23">
        <f>'클럭 정리'!O100</f>
        <v/>
      </c>
      <c r="C74" s="23">
        <f>'클럭 정리'!O100</f>
        <v/>
      </c>
      <c r="E74" s="24">
        <f>'클럭 정리'!A75</f>
        <v/>
      </c>
      <c r="F74" s="23">
        <f>'클럭 정리'!O75</f>
        <v/>
      </c>
      <c r="G74" s="25" t="n"/>
      <c r="H74" s="25" t="n"/>
      <c r="I74" s="25" t="n"/>
      <c r="J74" s="25" t="n"/>
      <c r="K74" s="25" t="n"/>
      <c r="L74" s="25" t="n"/>
      <c r="M74" s="25" t="n"/>
      <c r="N74" s="25" t="n"/>
      <c r="O74" s="25" t="n"/>
      <c r="P74" s="25" t="n"/>
      <c r="Q74" s="25" t="n"/>
    </row>
    <row r="75">
      <c r="E75" s="24">
        <f>'클럭 정리'!A76</f>
        <v/>
      </c>
      <c r="F75" s="23">
        <f>'클럭 정리'!O76</f>
        <v/>
      </c>
      <c r="G75" s="25" t="n"/>
      <c r="H75" s="25" t="n"/>
      <c r="I75" s="25" t="n"/>
      <c r="J75" s="25" t="n"/>
      <c r="K75" s="25" t="n"/>
      <c r="L75" s="25" t="n"/>
      <c r="M75" s="25" t="n"/>
      <c r="N75" s="25" t="n"/>
      <c r="O75" s="25" t="n"/>
      <c r="P75" s="25" t="n"/>
      <c r="Q75" s="25" t="n"/>
    </row>
    <row r="76">
      <c r="E76" s="24">
        <f>'클럭 정리'!A77</f>
        <v/>
      </c>
      <c r="F76" s="23">
        <f>'클럭 정리'!O77</f>
        <v/>
      </c>
      <c r="G76" s="25" t="n"/>
      <c r="H76" s="25" t="n"/>
      <c r="I76" s="25" t="n"/>
      <c r="J76" s="25" t="n"/>
      <c r="K76" s="25" t="n"/>
      <c r="L76" s="25" t="n"/>
      <c r="M76" s="25" t="n"/>
      <c r="N76" s="25" t="n"/>
      <c r="O76" s="25" t="n"/>
      <c r="P76" s="25" t="n"/>
      <c r="Q76" s="25" t="n"/>
    </row>
    <row r="77">
      <c r="E77" s="24">
        <f>'클럭 정리'!A78</f>
        <v/>
      </c>
      <c r="F77" s="23">
        <f>'클럭 정리'!O78</f>
        <v/>
      </c>
      <c r="G77" s="25" t="n"/>
      <c r="H77" s="25" t="n"/>
      <c r="I77" s="25" t="n"/>
      <c r="J77" s="25" t="n"/>
      <c r="K77" s="25" t="n"/>
      <c r="L77" s="25" t="n"/>
      <c r="M77" s="25" t="n"/>
      <c r="N77" s="25" t="n"/>
      <c r="O77" s="25" t="n"/>
      <c r="P77" s="25" t="n"/>
      <c r="Q77" s="25" t="n"/>
    </row>
    <row r="78">
      <c r="E78" s="24">
        <f>'클럭 정리'!A79</f>
        <v/>
      </c>
      <c r="F78" s="23">
        <f>'클럭 정리'!O79</f>
        <v/>
      </c>
      <c r="G78" s="25" t="n"/>
      <c r="H78" s="23">
        <f>'클럭 정리'!O79</f>
        <v/>
      </c>
      <c r="I78" s="25" t="n"/>
      <c r="J78" s="25" t="n"/>
      <c r="K78" s="25" t="n"/>
      <c r="L78" s="25" t="n"/>
      <c r="M78" s="23">
        <f>'클럭 정리'!O79</f>
        <v/>
      </c>
      <c r="N78" s="25" t="n"/>
      <c r="O78" s="25" t="n"/>
      <c r="P78" s="25" t="n"/>
      <c r="Q78" s="25" t="n"/>
    </row>
    <row r="79">
      <c r="E79" s="24">
        <f>'클럭 정리'!A80</f>
        <v/>
      </c>
      <c r="F79" s="23">
        <f>'클럭 정리'!O80</f>
        <v/>
      </c>
      <c r="G79" s="25" t="n"/>
      <c r="H79" s="23">
        <f>'클럭 정리'!O80</f>
        <v/>
      </c>
      <c r="I79" s="25" t="n"/>
      <c r="J79" s="25" t="n"/>
      <c r="K79" s="25" t="n"/>
      <c r="L79" s="25" t="n"/>
      <c r="M79" s="23">
        <f>'클럭 정리'!O80</f>
        <v/>
      </c>
      <c r="N79" s="25" t="n"/>
      <c r="O79" s="25" t="n"/>
      <c r="P79" s="25" t="n"/>
      <c r="Q79" s="25" t="n"/>
    </row>
    <row r="80">
      <c r="E80" s="24">
        <f>'클럭 정리'!A81</f>
        <v/>
      </c>
      <c r="F80" s="23">
        <f>'클럭 정리'!O81</f>
        <v/>
      </c>
      <c r="G80" s="25" t="n"/>
      <c r="H80" s="23">
        <f>'클럭 정리'!O81</f>
        <v/>
      </c>
      <c r="I80" s="25" t="n"/>
      <c r="J80" s="25" t="n"/>
      <c r="K80" s="25" t="n"/>
      <c r="L80" s="25" t="n"/>
      <c r="M80" s="23">
        <f>'클럭 정리'!O81</f>
        <v/>
      </c>
      <c r="N80" s="25" t="n"/>
      <c r="O80" s="25" t="n"/>
      <c r="P80" s="25" t="n"/>
      <c r="Q80" s="25" t="n"/>
    </row>
    <row r="81">
      <c r="E81" s="24">
        <f>'클럭 정리'!A82</f>
        <v/>
      </c>
      <c r="F81" s="23">
        <f>'클럭 정리'!O82</f>
        <v/>
      </c>
      <c r="G81" s="25" t="n"/>
      <c r="H81" s="23">
        <f>'클럭 정리'!O82</f>
        <v/>
      </c>
      <c r="I81" s="25" t="n"/>
      <c r="J81" s="25" t="n"/>
      <c r="K81" s="25" t="n"/>
      <c r="L81" s="25" t="n"/>
      <c r="M81" s="23">
        <f>'클럭 정리'!O82</f>
        <v/>
      </c>
      <c r="N81" s="25" t="n"/>
      <c r="O81" s="25" t="n"/>
      <c r="P81" s="25" t="n"/>
      <c r="Q81" s="25" t="n"/>
    </row>
    <row r="82">
      <c r="E82" s="24">
        <f>'클럭 정리'!A83</f>
        <v/>
      </c>
      <c r="F82" s="23">
        <f>'클럭 정리'!O83</f>
        <v/>
      </c>
      <c r="G82" s="25" t="n"/>
      <c r="H82" s="23">
        <f>'클럭 정리'!O83</f>
        <v/>
      </c>
      <c r="I82" s="25" t="n"/>
      <c r="J82" s="25" t="n"/>
      <c r="K82" s="25" t="n"/>
      <c r="L82" s="25" t="n"/>
      <c r="M82" s="25" t="n"/>
      <c r="N82" s="23">
        <f>'클럭 정리'!O83</f>
        <v/>
      </c>
      <c r="O82" s="25" t="n"/>
      <c r="P82" s="25" t="n"/>
      <c r="Q82" s="25" t="n"/>
    </row>
    <row r="83">
      <c r="E83" s="24">
        <f>'클럭 정리'!A84</f>
        <v/>
      </c>
      <c r="F83" s="23">
        <f>'클럭 정리'!O84</f>
        <v/>
      </c>
      <c r="G83" s="25" t="n"/>
      <c r="H83" s="23">
        <f>'클럭 정리'!O84</f>
        <v/>
      </c>
      <c r="I83" s="25" t="n"/>
      <c r="J83" s="25" t="n"/>
      <c r="K83" s="25" t="n"/>
      <c r="L83" s="25" t="n"/>
      <c r="M83" s="25" t="n"/>
      <c r="N83" s="23">
        <f>'클럭 정리'!O84</f>
        <v/>
      </c>
      <c r="O83" s="25" t="n"/>
      <c r="P83" s="25" t="n"/>
      <c r="Q83" s="25" t="n"/>
    </row>
    <row r="84">
      <c r="E84" s="24">
        <f>'클럭 정리'!A85</f>
        <v/>
      </c>
      <c r="F84" s="23">
        <f>'클럭 정리'!O85</f>
        <v/>
      </c>
      <c r="G84" s="25" t="n"/>
      <c r="H84" s="23">
        <f>'클럭 정리'!O85</f>
        <v/>
      </c>
      <c r="I84" s="25" t="n"/>
      <c r="J84" s="25" t="n"/>
      <c r="K84" s="25" t="n"/>
      <c r="L84" s="25" t="n"/>
      <c r="M84" s="25" t="n"/>
      <c r="N84" s="23">
        <f>'클럭 정리'!O85</f>
        <v/>
      </c>
      <c r="O84" s="25" t="n"/>
      <c r="P84" s="25" t="n"/>
      <c r="Q84" s="25" t="n"/>
    </row>
    <row r="85">
      <c r="E85" s="24">
        <f>'클럭 정리'!A86</f>
        <v/>
      </c>
      <c r="F85" s="23">
        <f>'클럭 정리'!O86</f>
        <v/>
      </c>
      <c r="G85" s="25" t="n"/>
      <c r="H85" s="23">
        <f>'클럭 정리'!O86</f>
        <v/>
      </c>
      <c r="I85" s="25" t="n"/>
      <c r="J85" s="25" t="n"/>
      <c r="K85" s="25" t="n"/>
      <c r="L85" s="25" t="n"/>
      <c r="M85" s="25" t="n"/>
      <c r="N85" s="23">
        <f>'클럭 정리'!O86</f>
        <v/>
      </c>
      <c r="O85" s="25" t="n"/>
      <c r="P85" s="25" t="n"/>
      <c r="Q85" s="25" t="n"/>
    </row>
    <row r="86">
      <c r="E86" s="24">
        <f>'클럭 정리'!A87</f>
        <v/>
      </c>
      <c r="F86" s="23">
        <f>'클럭 정리'!O87</f>
        <v/>
      </c>
      <c r="G86" s="25" t="n"/>
      <c r="H86" s="23">
        <f>'클럭 정리'!O87</f>
        <v/>
      </c>
      <c r="I86" s="25" t="n"/>
      <c r="J86" s="25" t="n"/>
      <c r="K86" s="25" t="n"/>
      <c r="L86" s="25" t="n"/>
      <c r="M86" s="25" t="n"/>
      <c r="N86" s="23">
        <f>'클럭 정리'!O87</f>
        <v/>
      </c>
      <c r="O86" s="25" t="n"/>
      <c r="P86" s="25" t="n"/>
      <c r="Q86" s="25" t="n"/>
    </row>
    <row r="87">
      <c r="E87" s="24">
        <f>'클럭 정리'!A88</f>
        <v/>
      </c>
      <c r="F87" s="23">
        <f>'클럭 정리'!O88</f>
        <v/>
      </c>
      <c r="G87" s="25" t="n"/>
      <c r="H87" s="23">
        <f>'클럭 정리'!O88</f>
        <v/>
      </c>
      <c r="I87" s="25" t="n"/>
      <c r="J87" s="25" t="n"/>
      <c r="K87" s="25" t="n"/>
      <c r="L87" s="25" t="n"/>
      <c r="M87" s="25" t="n"/>
      <c r="N87" s="25" t="n"/>
      <c r="O87" s="23">
        <f>'클럭 정리'!O88</f>
        <v/>
      </c>
      <c r="P87" s="25" t="n"/>
      <c r="Q87" s="25" t="n"/>
    </row>
    <row r="88">
      <c r="E88" s="24">
        <f>'클럭 정리'!A89</f>
        <v/>
      </c>
      <c r="F88" s="23">
        <f>'클럭 정리'!O89</f>
        <v/>
      </c>
      <c r="G88" s="25" t="n"/>
      <c r="H88" s="23">
        <f>'클럭 정리'!O89</f>
        <v/>
      </c>
      <c r="I88" s="25" t="n"/>
      <c r="J88" s="25" t="n"/>
      <c r="K88" s="25" t="n"/>
      <c r="L88" s="25" t="n"/>
      <c r="M88" s="25" t="n"/>
      <c r="N88" s="25" t="n"/>
      <c r="O88" s="23">
        <f>'클럭 정리'!O89</f>
        <v/>
      </c>
      <c r="P88" s="25" t="n"/>
      <c r="Q88" s="25" t="n"/>
    </row>
    <row r="89">
      <c r="E89" s="24">
        <f>'클럭 정리'!A90</f>
        <v/>
      </c>
      <c r="F89" s="23">
        <f>'클럭 정리'!O90</f>
        <v/>
      </c>
      <c r="G89" s="25" t="n"/>
      <c r="H89" s="23">
        <f>'클럭 정리'!O90</f>
        <v/>
      </c>
      <c r="I89" s="25" t="n"/>
      <c r="J89" s="25" t="n"/>
      <c r="K89" s="25" t="n"/>
      <c r="L89" s="25" t="n"/>
      <c r="M89" s="25" t="n"/>
      <c r="N89" s="25" t="n"/>
      <c r="O89" s="23">
        <f>'클럭 정리'!O90</f>
        <v/>
      </c>
      <c r="P89" s="25" t="n"/>
      <c r="Q89" s="25" t="n"/>
    </row>
    <row r="90">
      <c r="E90" s="24">
        <f>'클럭 정리'!A91</f>
        <v/>
      </c>
      <c r="F90" s="23">
        <f>'클럭 정리'!O91</f>
        <v/>
      </c>
      <c r="G90" s="25" t="n"/>
      <c r="H90" s="23">
        <f>'클럭 정리'!O91</f>
        <v/>
      </c>
      <c r="I90" s="25" t="n"/>
      <c r="J90" s="25" t="n"/>
      <c r="K90" s="25" t="n"/>
      <c r="L90" s="25" t="n"/>
      <c r="M90" s="25" t="n"/>
      <c r="N90" s="25" t="n"/>
      <c r="O90" s="23">
        <f>'클럭 정리'!O91</f>
        <v/>
      </c>
      <c r="P90" s="25" t="n"/>
      <c r="Q90" s="25" t="n"/>
    </row>
    <row r="91">
      <c r="E91" s="24">
        <f>'클럭 정리'!A92</f>
        <v/>
      </c>
      <c r="F91" s="23">
        <f>'클럭 정리'!O92</f>
        <v/>
      </c>
      <c r="G91" s="25" t="n"/>
      <c r="H91" s="23">
        <f>'클럭 정리'!O92</f>
        <v/>
      </c>
      <c r="I91" s="25" t="n"/>
      <c r="J91" s="25" t="n"/>
      <c r="K91" s="25" t="n"/>
      <c r="L91" s="25" t="n"/>
      <c r="M91" s="25" t="n"/>
      <c r="N91" s="25" t="n"/>
      <c r="O91" s="25" t="n"/>
      <c r="P91" s="23">
        <f>'클럭 정리'!O92</f>
        <v/>
      </c>
      <c r="Q91" s="25" t="n"/>
    </row>
    <row r="92">
      <c r="E92" s="24">
        <f>'클럭 정리'!A93</f>
        <v/>
      </c>
      <c r="F92" s="23">
        <f>'클럭 정리'!O93</f>
        <v/>
      </c>
      <c r="G92" s="25" t="n"/>
      <c r="H92" s="23">
        <f>'클럭 정리'!O93</f>
        <v/>
      </c>
      <c r="I92" s="25" t="n"/>
      <c r="J92" s="25" t="n"/>
      <c r="K92" s="25" t="n"/>
      <c r="L92" s="25" t="n"/>
      <c r="M92" s="25" t="n"/>
      <c r="N92" s="25" t="n"/>
      <c r="O92" s="25" t="n"/>
      <c r="P92" s="23">
        <f>'클럭 정리'!O93</f>
        <v/>
      </c>
      <c r="Q92" s="25" t="n"/>
    </row>
    <row r="93">
      <c r="E93" s="24">
        <f>'클럭 정리'!A94</f>
        <v/>
      </c>
      <c r="F93" s="23">
        <f>'클럭 정리'!O94</f>
        <v/>
      </c>
      <c r="G93" s="25" t="n"/>
      <c r="H93" s="23">
        <f>'클럭 정리'!O94</f>
        <v/>
      </c>
      <c r="I93" s="25" t="n"/>
      <c r="J93" s="25" t="n"/>
      <c r="K93" s="25" t="n"/>
      <c r="L93" s="25" t="n"/>
      <c r="M93" s="25" t="n"/>
      <c r="N93" s="25" t="n"/>
      <c r="O93" s="25" t="n"/>
      <c r="P93" s="23">
        <f>'클럭 정리'!O94</f>
        <v/>
      </c>
      <c r="Q93" s="25" t="n"/>
    </row>
    <row r="94">
      <c r="E94" s="24">
        <f>'클럭 정리'!A95</f>
        <v/>
      </c>
      <c r="F94" s="23">
        <f>'클럭 정리'!O95</f>
        <v/>
      </c>
      <c r="G94" s="25" t="n"/>
      <c r="H94" s="23">
        <f>'클럭 정리'!O95</f>
        <v/>
      </c>
      <c r="I94" s="25" t="n"/>
      <c r="J94" s="25" t="n"/>
      <c r="K94" s="25" t="n"/>
      <c r="L94" s="25" t="n"/>
      <c r="M94" s="25" t="n"/>
      <c r="N94" s="25" t="n"/>
      <c r="O94" s="25" t="n"/>
      <c r="P94" s="23">
        <f>'클럭 정리'!O95</f>
        <v/>
      </c>
      <c r="Q94" s="25" t="n"/>
    </row>
    <row r="95">
      <c r="E95" s="24">
        <f>'클럭 정리'!A96</f>
        <v/>
      </c>
      <c r="F95" s="23">
        <f>'클럭 정리'!O96</f>
        <v/>
      </c>
      <c r="G95" s="25" t="n"/>
      <c r="H95" s="23">
        <f>'클럭 정리'!O96</f>
        <v/>
      </c>
      <c r="I95" s="25" t="n"/>
      <c r="J95" s="25" t="n"/>
      <c r="K95" s="25" t="n"/>
      <c r="L95" s="25" t="n"/>
      <c r="M95" s="25" t="n"/>
      <c r="N95" s="25" t="n"/>
      <c r="O95" s="25" t="n"/>
      <c r="P95" s="25" t="n"/>
      <c r="Q95" s="23">
        <f>'클럭 정리'!O96</f>
        <v/>
      </c>
    </row>
    <row r="96">
      <c r="E96" s="24">
        <f>'클럭 정리'!A97</f>
        <v/>
      </c>
      <c r="F96" s="23">
        <f>'클럭 정리'!O97</f>
        <v/>
      </c>
      <c r="G96" s="25" t="n"/>
      <c r="H96" s="23">
        <f>'클럭 정리'!O97</f>
        <v/>
      </c>
      <c r="I96" s="25" t="n"/>
      <c r="J96" s="25" t="n"/>
      <c r="K96" s="25" t="n"/>
      <c r="L96" s="25" t="n"/>
      <c r="M96" s="25" t="n"/>
      <c r="N96" s="25" t="n"/>
      <c r="O96" s="25" t="n"/>
      <c r="P96" s="25" t="n"/>
      <c r="Q96" s="23">
        <f>'클럭 정리'!O97</f>
        <v/>
      </c>
    </row>
    <row r="97">
      <c r="E97" s="24">
        <f>'클럭 정리'!A98</f>
        <v/>
      </c>
      <c r="F97" s="23">
        <f>'클럭 정리'!O98</f>
        <v/>
      </c>
      <c r="G97" s="25" t="n"/>
      <c r="H97" s="23">
        <f>'클럭 정리'!O98</f>
        <v/>
      </c>
      <c r="I97" s="25" t="n"/>
      <c r="J97" s="25" t="n"/>
      <c r="K97" s="25" t="n"/>
      <c r="L97" s="25" t="n"/>
      <c r="M97" s="25" t="n"/>
      <c r="N97" s="25" t="n"/>
      <c r="O97" s="25" t="n"/>
      <c r="P97" s="25" t="n"/>
      <c r="Q97" s="23">
        <f>'클럭 정리'!O98</f>
        <v/>
      </c>
    </row>
    <row r="98">
      <c r="E98" s="24">
        <f>'클럭 정리'!A99</f>
        <v/>
      </c>
      <c r="F98" s="23">
        <f>'클럭 정리'!O99</f>
        <v/>
      </c>
      <c r="G98" s="25" t="n"/>
      <c r="H98" s="23">
        <f>'클럭 정리'!O99</f>
        <v/>
      </c>
      <c r="I98" s="25" t="n"/>
      <c r="J98" s="25" t="n"/>
      <c r="K98" s="25" t="n"/>
      <c r="L98" s="25" t="n"/>
      <c r="M98" s="25" t="n"/>
      <c r="N98" s="25" t="n"/>
      <c r="O98" s="25" t="n"/>
      <c r="P98" s="25" t="n"/>
      <c r="Q98" s="23">
        <f>'클럭 정리'!O99</f>
        <v/>
      </c>
    </row>
    <row r="99">
      <c r="E99" s="24">
        <f>'클럭 정리'!A100</f>
        <v/>
      </c>
      <c r="F99" s="23">
        <f>'클럭 정리'!O100</f>
        <v/>
      </c>
      <c r="G99" s="25" t="n"/>
      <c r="H99" s="23">
        <f>'클럭 정리'!O100</f>
        <v/>
      </c>
      <c r="I99" s="25" t="n"/>
      <c r="J99" s="25" t="n"/>
      <c r="K99" s="25" t="n"/>
      <c r="L99" s="25" t="n"/>
      <c r="M99" s="25" t="n"/>
      <c r="N99" s="25" t="n"/>
      <c r="O99" s="25" t="n"/>
      <c r="P99" s="25" t="n"/>
      <c r="Q99" s="23">
        <f>'클럭 정리'!O100</f>
        <v/>
      </c>
    </row>
    <row r="100">
      <c r="E100" s="24">
        <f>'클럭 정리'!A101</f>
        <v/>
      </c>
      <c r="F100" s="23">
        <f>'클럭 정리'!O101</f>
        <v/>
      </c>
      <c r="G100" s="25" t="n"/>
      <c r="H100" s="25" t="n"/>
      <c r="I100" s="25" t="n"/>
      <c r="J100" s="25" t="n"/>
      <c r="K100" s="25" t="n"/>
      <c r="L100" s="25" t="n"/>
      <c r="M100" s="25" t="n"/>
      <c r="N100" s="25" t="n"/>
      <c r="O100" s="25" t="n"/>
      <c r="P100" s="25" t="n"/>
      <c r="Q100" s="25" t="n"/>
    </row>
    <row r="101">
      <c r="E101" s="24">
        <f>'클럭 정리'!A102</f>
        <v/>
      </c>
      <c r="F101" s="23">
        <f>'클럭 정리'!O102</f>
        <v/>
      </c>
      <c r="G101" s="25" t="n"/>
      <c r="H101" s="25" t="n"/>
      <c r="I101" s="25" t="n"/>
      <c r="J101" s="25" t="n"/>
      <c r="K101" s="25" t="n"/>
      <c r="L101" s="25" t="n"/>
      <c r="M101" s="25" t="n"/>
      <c r="N101" s="25" t="n"/>
      <c r="O101" s="25" t="n"/>
      <c r="P101" s="25" t="n"/>
      <c r="Q101" s="25" t="n"/>
    </row>
    <row r="102">
      <c r="E102" s="24">
        <f>'클럭 정리'!A103</f>
        <v/>
      </c>
      <c r="F102" s="23">
        <f>'클럭 정리'!O103</f>
        <v/>
      </c>
      <c r="G102" s="25" t="n"/>
      <c r="H102" s="25" t="n"/>
      <c r="I102" s="25" t="n"/>
      <c r="J102" s="25" t="n"/>
      <c r="K102" s="25" t="n"/>
      <c r="L102" s="25" t="n"/>
      <c r="M102" s="25" t="n"/>
      <c r="N102" s="25" t="n"/>
      <c r="O102" s="25" t="n"/>
      <c r="P102" s="25" t="n"/>
      <c r="Q102" s="25" t="n"/>
    </row>
    <row r="103">
      <c r="E103" s="24">
        <f>'클럭 정리'!A104</f>
        <v/>
      </c>
      <c r="F103" s="23">
        <f>'클럭 정리'!O104</f>
        <v/>
      </c>
      <c r="G103" s="25" t="n"/>
      <c r="H103" s="25" t="n"/>
      <c r="I103" s="25" t="n"/>
      <c r="J103" s="25" t="n"/>
      <c r="K103" s="25" t="n"/>
      <c r="L103" s="25" t="n"/>
      <c r="M103" s="25" t="n"/>
      <c r="N103" s="25" t="n"/>
      <c r="O103" s="25" t="n"/>
      <c r="P103" s="25" t="n"/>
      <c r="Q103" s="25" t="n"/>
    </row>
    <row r="104">
      <c r="E104" s="24">
        <f>'클럭 정리'!A105</f>
        <v/>
      </c>
      <c r="F104" s="23">
        <f>'클럭 정리'!O105</f>
        <v/>
      </c>
      <c r="G104" s="25" t="n"/>
      <c r="H104" s="25" t="n"/>
      <c r="I104" s="25" t="n"/>
      <c r="J104" s="25" t="n"/>
      <c r="K104" s="25" t="n"/>
      <c r="L104" s="25" t="n"/>
      <c r="M104" s="25" t="n"/>
      <c r="N104" s="25" t="n"/>
      <c r="O104" s="25" t="n"/>
      <c r="P104" s="25" t="n"/>
      <c r="Q104" s="25" t="n"/>
    </row>
    <row r="105">
      <c r="E105" s="24">
        <f>'클럭 정리'!A106</f>
        <v/>
      </c>
      <c r="F105" s="23">
        <f>'클럭 정리'!O106</f>
        <v/>
      </c>
      <c r="G105" s="25" t="n"/>
      <c r="H105" s="25" t="n"/>
      <c r="I105" s="25" t="n"/>
      <c r="J105" s="25" t="n"/>
      <c r="K105" s="25" t="n"/>
      <c r="L105" s="25" t="n"/>
      <c r="M105" s="25" t="n"/>
      <c r="N105" s="25" t="n"/>
      <c r="O105" s="25" t="n"/>
      <c r="P105" s="25" t="n"/>
      <c r="Q105" s="25" t="n"/>
    </row>
    <row r="106">
      <c r="E106" s="24">
        <f>'클럭 정리'!A107</f>
        <v/>
      </c>
      <c r="F106" s="23">
        <f>'클럭 정리'!O107</f>
        <v/>
      </c>
      <c r="G106" s="25" t="n"/>
      <c r="H106" s="25" t="n"/>
      <c r="I106" s="25" t="n"/>
      <c r="J106" s="25" t="n"/>
      <c r="K106" s="25" t="n"/>
      <c r="L106" s="25" t="n"/>
      <c r="M106" s="25" t="n"/>
      <c r="N106" s="25" t="n"/>
      <c r="O106" s="25" t="n"/>
      <c r="P106" s="25" t="n"/>
      <c r="Q106" s="25" t="n"/>
    </row>
    <row r="107">
      <c r="E107" s="24">
        <f>'클럭 정리'!A108</f>
        <v/>
      </c>
      <c r="F107" s="23">
        <f>'클럭 정리'!O108</f>
        <v/>
      </c>
      <c r="G107" s="25" t="n"/>
      <c r="H107" s="25" t="n"/>
      <c r="I107" s="25" t="n"/>
      <c r="J107" s="25" t="n"/>
      <c r="K107" s="25" t="n"/>
      <c r="L107" s="25" t="n"/>
      <c r="M107" s="25" t="n"/>
      <c r="N107" s="25" t="n"/>
      <c r="O107" s="25" t="n"/>
      <c r="P107" s="25" t="n"/>
      <c r="Q107" s="25" t="n"/>
    </row>
    <row r="108">
      <c r="E108" s="24">
        <f>'클럭 정리'!A109</f>
        <v/>
      </c>
      <c r="F108" s="23">
        <f>'클럭 정리'!O109</f>
        <v/>
      </c>
      <c r="G108" s="25" t="n"/>
      <c r="H108" s="25" t="n"/>
      <c r="I108" s="25" t="n"/>
      <c r="J108" s="25" t="n"/>
      <c r="K108" s="25" t="n"/>
      <c r="L108" s="25" t="n"/>
      <c r="M108" s="25" t="n"/>
      <c r="N108" s="25" t="n"/>
      <c r="O108" s="25" t="n"/>
      <c r="P108" s="25" t="n"/>
      <c r="Q108" s="25" t="n"/>
    </row>
    <row r="109">
      <c r="E109" s="24">
        <f>'클럭 정리'!A110</f>
        <v/>
      </c>
      <c r="F109" s="23">
        <f>'클럭 정리'!O110</f>
        <v/>
      </c>
      <c r="G109" s="25" t="n"/>
      <c r="H109" s="25" t="n"/>
      <c r="I109" s="25" t="n"/>
      <c r="J109" s="25" t="n"/>
      <c r="K109" s="25" t="n"/>
      <c r="L109" s="25" t="n"/>
      <c r="M109" s="25" t="n"/>
      <c r="N109" s="25" t="n"/>
      <c r="O109" s="25" t="n"/>
      <c r="P109" s="25" t="n"/>
      <c r="Q109" s="25" t="n"/>
    </row>
    <row r="110">
      <c r="E110" s="24">
        <f>'클럭 정리'!A111</f>
        <v/>
      </c>
      <c r="F110" s="23">
        <f>'클럭 정리'!O111</f>
        <v/>
      </c>
      <c r="G110" s="25" t="n"/>
      <c r="H110" s="25" t="n"/>
      <c r="I110" s="25" t="n"/>
      <c r="J110" s="25" t="n"/>
      <c r="K110" s="25" t="n"/>
      <c r="L110" s="25" t="n"/>
      <c r="M110" s="25" t="n"/>
      <c r="N110" s="25" t="n"/>
      <c r="O110" s="25" t="n"/>
      <c r="P110" s="25" t="n"/>
      <c r="Q110" s="25" t="n"/>
    </row>
    <row r="111">
      <c r="E111" s="24">
        <f>'클럭 정리'!A112</f>
        <v/>
      </c>
      <c r="F111" s="23">
        <f>'클럭 정리'!O112</f>
        <v/>
      </c>
      <c r="G111" s="25" t="n"/>
      <c r="H111" s="25" t="n"/>
      <c r="I111" s="25" t="n"/>
      <c r="J111" s="25" t="n"/>
      <c r="K111" s="25" t="n"/>
      <c r="L111" s="25" t="n"/>
      <c r="M111" s="25" t="n"/>
      <c r="N111" s="25" t="n"/>
      <c r="O111" s="25" t="n"/>
      <c r="P111" s="25" t="n"/>
      <c r="Q111" s="25" t="n"/>
    </row>
    <row r="112">
      <c r="E112" s="24">
        <f>'클럭 정리'!A113</f>
        <v/>
      </c>
      <c r="F112" s="23">
        <f>'클럭 정리'!O113</f>
        <v/>
      </c>
      <c r="G112" s="25" t="n"/>
      <c r="H112" s="25" t="n"/>
      <c r="I112" s="25" t="n"/>
      <c r="J112" s="25" t="n"/>
      <c r="K112" s="25" t="n"/>
      <c r="L112" s="25" t="n"/>
      <c r="M112" s="25" t="n"/>
      <c r="N112" s="25" t="n"/>
      <c r="O112" s="25" t="n"/>
      <c r="P112" s="25" t="n"/>
      <c r="Q112" s="25" t="n"/>
    </row>
    <row r="113">
      <c r="E113" s="24">
        <f>'클럭 정리'!A114</f>
        <v/>
      </c>
      <c r="F113" s="23">
        <f>'클럭 정리'!O114</f>
        <v/>
      </c>
      <c r="G113" s="25" t="n"/>
      <c r="H113" s="25" t="n"/>
      <c r="I113" s="25" t="n"/>
      <c r="J113" s="25" t="n"/>
      <c r="K113" s="25" t="n"/>
      <c r="L113" s="25" t="n"/>
      <c r="M113" s="25" t="n"/>
      <c r="N113" s="25" t="n"/>
      <c r="O113" s="25" t="n"/>
      <c r="P113" s="25" t="n"/>
      <c r="Q113" s="25" t="n"/>
    </row>
    <row r="114">
      <c r="E114" s="24">
        <f>'클럭 정리'!A115</f>
        <v/>
      </c>
      <c r="F114" s="23">
        <f>'클럭 정리'!O115</f>
        <v/>
      </c>
      <c r="G114" s="25" t="n"/>
      <c r="H114" s="25" t="n"/>
      <c r="I114" s="25" t="n"/>
      <c r="J114" s="25" t="n"/>
      <c r="K114" s="25" t="n"/>
      <c r="L114" s="25" t="n"/>
      <c r="M114" s="25" t="n"/>
      <c r="N114" s="25" t="n"/>
      <c r="O114" s="25" t="n"/>
      <c r="P114" s="25" t="n"/>
      <c r="Q114" s="25" t="n"/>
    </row>
    <row r="115">
      <c r="E115" s="24">
        <f>'클럭 정리'!A116</f>
        <v/>
      </c>
      <c r="F115" s="23">
        <f>'클럭 정리'!O116</f>
        <v/>
      </c>
      <c r="G115" s="25" t="n"/>
      <c r="H115" s="25" t="n"/>
      <c r="I115" s="25" t="n"/>
      <c r="J115" s="25" t="n"/>
      <c r="K115" s="25" t="n"/>
      <c r="L115" s="25" t="n"/>
      <c r="M115" s="25" t="n"/>
      <c r="N115" s="25" t="n"/>
      <c r="O115" s="25" t="n"/>
      <c r="P115" s="25" t="n"/>
      <c r="Q115" s="25" t="n"/>
    </row>
    <row r="116">
      <c r="E116" s="24">
        <f>'클럭 정리'!A117</f>
        <v/>
      </c>
      <c r="F116" s="23">
        <f>'클럭 정리'!O117</f>
        <v/>
      </c>
      <c r="G116" s="25" t="n"/>
      <c r="H116" s="25" t="n"/>
      <c r="I116" s="25" t="n"/>
      <c r="J116" s="25" t="n"/>
      <c r="K116" s="25" t="n"/>
      <c r="L116" s="25" t="n"/>
      <c r="M116" s="25" t="n"/>
      <c r="N116" s="25" t="n"/>
      <c r="O116" s="25" t="n"/>
      <c r="P116" s="25" t="n"/>
      <c r="Q116" s="25" t="n"/>
    </row>
    <row r="117">
      <c r="E117" s="24">
        <f>'클럭 정리'!A118</f>
        <v/>
      </c>
      <c r="F117" s="23">
        <f>'클럭 정리'!O118</f>
        <v/>
      </c>
      <c r="G117" s="25" t="n"/>
      <c r="H117" s="25" t="n"/>
      <c r="I117" s="25" t="n"/>
      <c r="J117" s="25" t="n"/>
      <c r="K117" s="25" t="n"/>
      <c r="L117" s="25" t="n"/>
      <c r="M117" s="25" t="n"/>
      <c r="N117" s="25" t="n"/>
      <c r="O117" s="25" t="n"/>
      <c r="P117" s="25" t="n"/>
      <c r="Q117" s="25" t="n"/>
    </row>
    <row r="118">
      <c r="E118" s="24">
        <f>'클럭 정리'!A119</f>
        <v/>
      </c>
      <c r="F118" s="23">
        <f>'클럭 정리'!O119</f>
        <v/>
      </c>
      <c r="G118" s="25" t="n"/>
      <c r="H118" s="25" t="n"/>
      <c r="I118" s="25" t="n"/>
      <c r="J118" s="25" t="n"/>
      <c r="K118" s="25" t="n"/>
      <c r="L118" s="25" t="n"/>
      <c r="M118" s="25" t="n"/>
      <c r="N118" s="25" t="n"/>
      <c r="O118" s="25" t="n"/>
      <c r="P118" s="25" t="n"/>
      <c r="Q118" s="25" t="n"/>
    </row>
    <row r="119">
      <c r="E119" s="24">
        <f>'클럭 정리'!A120</f>
        <v/>
      </c>
      <c r="F119" s="23">
        <f>'클럭 정리'!O120</f>
        <v/>
      </c>
      <c r="G119" s="25" t="n"/>
      <c r="H119" s="25" t="n"/>
      <c r="I119" s="25" t="n"/>
      <c r="J119" s="25" t="n"/>
      <c r="K119" s="25" t="n"/>
      <c r="L119" s="25" t="n"/>
      <c r="M119" s="25" t="n"/>
      <c r="N119" s="25" t="n"/>
      <c r="O119" s="25" t="n"/>
      <c r="P119" s="25" t="n"/>
      <c r="Q119" s="25" t="n"/>
    </row>
    <row r="120">
      <c r="E120" s="24">
        <f>'클럭 정리'!A121</f>
        <v/>
      </c>
      <c r="F120" s="23">
        <f>'클럭 정리'!O121</f>
        <v/>
      </c>
      <c r="G120" s="25" t="n"/>
      <c r="H120" s="25" t="n"/>
      <c r="I120" s="25" t="n"/>
      <c r="J120" s="25" t="n"/>
      <c r="K120" s="25" t="n"/>
      <c r="L120" s="25" t="n"/>
      <c r="M120" s="25" t="n"/>
      <c r="N120" s="25" t="n"/>
      <c r="O120" s="25" t="n"/>
      <c r="P120" s="25" t="n"/>
      <c r="Q120" s="25" t="n"/>
    </row>
    <row r="121">
      <c r="E121" s="24">
        <f>'클럭 정리'!A122</f>
        <v/>
      </c>
      <c r="F121" s="23">
        <f>'클럭 정리'!O122</f>
        <v/>
      </c>
      <c r="G121" s="25" t="n"/>
      <c r="H121" s="25" t="n"/>
      <c r="I121" s="25" t="n"/>
      <c r="J121" s="25" t="n"/>
      <c r="K121" s="25" t="n"/>
      <c r="L121" s="25" t="n"/>
      <c r="M121" s="25" t="n"/>
      <c r="N121" s="25" t="n"/>
      <c r="O121" s="25" t="n"/>
      <c r="P121" s="25" t="n"/>
      <c r="Q121" s="25" t="n"/>
    </row>
    <row r="122">
      <c r="E122" s="24">
        <f>'클럭 정리'!A123</f>
        <v/>
      </c>
      <c r="F122" s="23">
        <f>'클럭 정리'!O123</f>
        <v/>
      </c>
      <c r="G122" s="25" t="n"/>
      <c r="H122" s="25" t="n"/>
      <c r="I122" s="25" t="n"/>
      <c r="J122" s="25" t="n"/>
      <c r="K122" s="25" t="n"/>
      <c r="L122" s="25" t="n"/>
      <c r="M122" s="25" t="n"/>
      <c r="N122" s="25" t="n"/>
      <c r="O122" s="25" t="n"/>
      <c r="P122" s="25" t="n"/>
      <c r="Q122" s="25" t="n"/>
    </row>
    <row r="123">
      <c r="E123" s="24">
        <f>'클럭 정리'!A124</f>
        <v/>
      </c>
      <c r="F123" s="23">
        <f>'클럭 정리'!O124</f>
        <v/>
      </c>
      <c r="G123" s="25" t="n"/>
      <c r="H123" s="25" t="n"/>
      <c r="I123" s="25" t="n"/>
      <c r="J123" s="25" t="n"/>
      <c r="K123" s="25" t="n"/>
      <c r="L123" s="25" t="n"/>
      <c r="M123" s="25" t="n"/>
      <c r="N123" s="25" t="n"/>
      <c r="O123" s="25" t="n"/>
      <c r="P123" s="25" t="n"/>
      <c r="Q123" s="25" t="n"/>
    </row>
    <row r="124">
      <c r="E124" s="24">
        <f>'클럭 정리'!A125</f>
        <v/>
      </c>
      <c r="F124" s="23">
        <f>'클럭 정리'!O125</f>
        <v/>
      </c>
      <c r="G124" s="25" t="n"/>
      <c r="H124" s="25" t="n"/>
      <c r="I124" s="25" t="n"/>
      <c r="J124" s="25" t="n"/>
      <c r="K124" s="25" t="n"/>
      <c r="L124" s="25" t="n"/>
      <c r="M124" s="25" t="n"/>
      <c r="N124" s="25" t="n"/>
      <c r="O124" s="25" t="n"/>
      <c r="P124" s="25" t="n"/>
      <c r="Q124" s="25" t="n"/>
    </row>
    <row r="125">
      <c r="E125" s="24">
        <f>'클럭 정리'!A126</f>
        <v/>
      </c>
      <c r="F125" s="23">
        <f>'클럭 정리'!O126</f>
        <v/>
      </c>
      <c r="G125" s="25" t="n"/>
      <c r="H125" s="25" t="n"/>
      <c r="I125" s="25" t="n"/>
      <c r="J125" s="25" t="n"/>
      <c r="K125" s="25" t="n"/>
      <c r="L125" s="25" t="n"/>
      <c r="M125" s="25" t="n"/>
      <c r="N125" s="25" t="n"/>
      <c r="O125" s="25" t="n"/>
      <c r="P125" s="25" t="n"/>
      <c r="Q125" s="25" t="n"/>
    </row>
    <row r="126">
      <c r="E126" s="24">
        <f>'클럭 정리'!A127</f>
        <v/>
      </c>
      <c r="F126" s="23">
        <f>'클럭 정리'!O127</f>
        <v/>
      </c>
      <c r="G126" s="25" t="n"/>
      <c r="H126" s="25" t="n"/>
      <c r="I126" s="25" t="n"/>
      <c r="J126" s="25" t="n"/>
      <c r="K126" s="25" t="n"/>
      <c r="L126" s="25" t="n"/>
      <c r="M126" s="25" t="n"/>
      <c r="N126" s="25" t="n"/>
      <c r="O126" s="25" t="n"/>
      <c r="P126" s="25" t="n"/>
      <c r="Q126" s="25" t="n"/>
    </row>
    <row r="127">
      <c r="E127" s="24">
        <f>'클럭 정리'!A128</f>
        <v/>
      </c>
      <c r="F127" s="23">
        <f>'클럭 정리'!O128</f>
        <v/>
      </c>
      <c r="G127" s="25" t="n"/>
      <c r="H127" s="25" t="n"/>
      <c r="I127" s="25" t="n"/>
      <c r="J127" s="25" t="n"/>
      <c r="K127" s="25" t="n"/>
      <c r="L127" s="25" t="n"/>
      <c r="M127" s="25" t="n"/>
      <c r="N127" s="25" t="n"/>
      <c r="O127" s="25" t="n"/>
      <c r="P127" s="25" t="n"/>
      <c r="Q127" s="25" t="n"/>
    </row>
    <row r="128">
      <c r="E128" s="24">
        <f>'클럭 정리'!A129</f>
        <v/>
      </c>
      <c r="F128" s="23">
        <f>'클럭 정리'!O129</f>
        <v/>
      </c>
      <c r="G128" s="25" t="n"/>
      <c r="H128" s="25" t="n"/>
      <c r="I128" s="25" t="n"/>
      <c r="J128" s="25" t="n"/>
      <c r="K128" s="25" t="n"/>
      <c r="L128" s="25" t="n"/>
      <c r="M128" s="25" t="n"/>
      <c r="N128" s="25" t="n"/>
      <c r="O128" s="25" t="n"/>
      <c r="P128" s="25" t="n"/>
      <c r="Q128" s="25" t="n"/>
    </row>
    <row r="129">
      <c r="E129" s="24">
        <f>'클럭 정리'!A130</f>
        <v/>
      </c>
      <c r="F129" s="23">
        <f>'클럭 정리'!O130</f>
        <v/>
      </c>
      <c r="G129" s="25" t="n"/>
      <c r="H129" s="25" t="n"/>
      <c r="I129" s="25" t="n"/>
      <c r="J129" s="25" t="n"/>
      <c r="K129" s="25" t="n"/>
      <c r="L129" s="25" t="n"/>
      <c r="M129" s="25" t="n"/>
      <c r="N129" s="25" t="n"/>
      <c r="O129" s="25" t="n"/>
      <c r="P129" s="25" t="n"/>
      <c r="Q129" s="25" t="n"/>
    </row>
    <row r="130">
      <c r="E130" s="24">
        <f>'클럭 정리'!A131</f>
        <v/>
      </c>
      <c r="F130" s="23">
        <f>'클럭 정리'!O131</f>
        <v/>
      </c>
      <c r="G130" s="25" t="n"/>
      <c r="H130" s="25" t="n"/>
      <c r="I130" s="25" t="n"/>
      <c r="J130" s="25" t="n"/>
      <c r="K130" s="25" t="n"/>
      <c r="L130" s="25" t="n"/>
      <c r="M130" s="25" t="n"/>
      <c r="N130" s="25" t="n"/>
      <c r="O130" s="25" t="n"/>
      <c r="P130" s="25" t="n"/>
      <c r="Q130" s="25" t="n"/>
    </row>
    <row r="131">
      <c r="E131" s="24">
        <f>'클럭 정리'!A132</f>
        <v/>
      </c>
      <c r="F131" s="23">
        <f>'클럭 정리'!O132</f>
        <v/>
      </c>
      <c r="G131" s="25" t="n"/>
      <c r="H131" s="25" t="n"/>
      <c r="I131" s="25" t="n"/>
      <c r="J131" s="25" t="n"/>
      <c r="K131" s="25" t="n"/>
      <c r="L131" s="25" t="n"/>
      <c r="M131" s="25" t="n"/>
      <c r="N131" s="25" t="n"/>
      <c r="O131" s="25" t="n"/>
      <c r="P131" s="25" t="n"/>
      <c r="Q131" s="25" t="n"/>
    </row>
    <row r="132">
      <c r="E132" s="24">
        <f>'클럭 정리'!A133</f>
        <v/>
      </c>
      <c r="F132" s="23">
        <f>'클럭 정리'!O133</f>
        <v/>
      </c>
      <c r="G132" s="25" t="n"/>
      <c r="H132" s="25" t="n"/>
      <c r="I132" s="25" t="n"/>
      <c r="J132" s="25" t="n"/>
      <c r="K132" s="25" t="n"/>
      <c r="L132" s="25" t="n"/>
      <c r="M132" s="25" t="n"/>
      <c r="N132" s="25" t="n"/>
      <c r="O132" s="25" t="n"/>
      <c r="P132" s="25" t="n"/>
      <c r="Q132" s="25" t="n"/>
    </row>
    <row r="133">
      <c r="E133" s="24">
        <f>'클럭 정리'!A134</f>
        <v/>
      </c>
      <c r="F133" s="23">
        <f>'클럭 정리'!O134</f>
        <v/>
      </c>
      <c r="G133" s="25" t="n"/>
      <c r="H133" s="25" t="n"/>
      <c r="I133" s="25" t="n"/>
      <c r="J133" s="25" t="n"/>
      <c r="K133" s="25" t="n"/>
      <c r="L133" s="25" t="n"/>
      <c r="M133" s="25" t="n"/>
      <c r="N133" s="25" t="n"/>
      <c r="O133" s="25" t="n"/>
      <c r="P133" s="25" t="n"/>
      <c r="Q133" s="25" t="n"/>
    </row>
    <row r="134">
      <c r="E134" s="24">
        <f>'클럭 정리'!A135</f>
        <v/>
      </c>
      <c r="F134" s="23">
        <f>'클럭 정리'!O135</f>
        <v/>
      </c>
      <c r="G134" s="25" t="n"/>
      <c r="H134" s="25" t="n"/>
      <c r="I134" s="25" t="n"/>
      <c r="J134" s="25" t="n"/>
      <c r="K134" s="25" t="n"/>
      <c r="L134" s="25" t="n"/>
      <c r="M134" s="25" t="n"/>
      <c r="N134" s="25" t="n"/>
      <c r="O134" s="25" t="n"/>
      <c r="P134" s="25" t="n"/>
      <c r="Q134" s="25" t="n"/>
    </row>
    <row r="135">
      <c r="E135" s="24">
        <f>'클럭 정리'!A136</f>
        <v/>
      </c>
      <c r="F135" s="23">
        <f>'클럭 정리'!O136</f>
        <v/>
      </c>
      <c r="G135" s="25" t="n"/>
      <c r="H135" s="25" t="n"/>
      <c r="I135" s="25" t="n"/>
      <c r="J135" s="25" t="n"/>
      <c r="K135" s="25" t="n"/>
      <c r="L135" s="25" t="n"/>
      <c r="M135" s="25" t="n"/>
      <c r="N135" s="25" t="n"/>
      <c r="O135" s="25" t="n"/>
      <c r="P135" s="25" t="n"/>
      <c r="Q135" s="25" t="n"/>
    </row>
    <row r="136">
      <c r="E136" s="24">
        <f>'클럭 정리'!A137</f>
        <v/>
      </c>
      <c r="F136" s="23">
        <f>'클럭 정리'!O137</f>
        <v/>
      </c>
      <c r="G136" s="25" t="n"/>
      <c r="H136" s="25" t="n"/>
      <c r="I136" s="25" t="n"/>
      <c r="J136" s="25" t="n"/>
      <c r="K136" s="25" t="n"/>
      <c r="L136" s="25" t="n"/>
      <c r="M136" s="25" t="n"/>
      <c r="N136" s="25" t="n"/>
      <c r="O136" s="25" t="n"/>
      <c r="P136" s="25" t="n"/>
      <c r="Q136" s="25" t="n"/>
    </row>
    <row r="137">
      <c r="E137" s="24">
        <f>'클럭 정리'!A138</f>
        <v/>
      </c>
      <c r="F137" s="23">
        <f>'클럭 정리'!O138</f>
        <v/>
      </c>
      <c r="G137" s="25" t="n"/>
      <c r="H137" s="25" t="n"/>
      <c r="I137" s="25" t="n"/>
      <c r="J137" s="25" t="n"/>
      <c r="K137" s="25" t="n"/>
      <c r="L137" s="25" t="n"/>
      <c r="M137" s="25" t="n"/>
      <c r="N137" s="25" t="n"/>
      <c r="O137" s="25" t="n"/>
      <c r="P137" s="25" t="n"/>
      <c r="Q137" s="25" t="n"/>
    </row>
    <row r="138">
      <c r="E138" s="24">
        <f>'클럭 정리'!A139</f>
        <v/>
      </c>
      <c r="F138" s="23">
        <f>'클럭 정리'!O139</f>
        <v/>
      </c>
      <c r="G138" s="25" t="n"/>
      <c r="H138" s="25" t="n"/>
      <c r="I138" s="25" t="n"/>
      <c r="J138" s="25" t="n"/>
      <c r="K138" s="25" t="n"/>
      <c r="L138" s="25" t="n"/>
      <c r="M138" s="25" t="n"/>
      <c r="N138" s="25" t="n"/>
      <c r="O138" s="25" t="n"/>
      <c r="P138" s="25" t="n"/>
      <c r="Q138" s="25" t="n"/>
    </row>
    <row r="139">
      <c r="E139" s="24">
        <f>'클럭 정리'!A140</f>
        <v/>
      </c>
      <c r="F139" s="23">
        <f>'클럭 정리'!O140</f>
        <v/>
      </c>
      <c r="G139" s="25" t="n"/>
      <c r="H139" s="25" t="n"/>
      <c r="I139" s="25" t="n"/>
      <c r="J139" s="25" t="n"/>
      <c r="K139" s="25" t="n"/>
      <c r="L139" s="25" t="n"/>
      <c r="M139" s="25" t="n"/>
      <c r="N139" s="25" t="n"/>
      <c r="O139" s="25" t="n"/>
      <c r="P139" s="25" t="n"/>
      <c r="Q139" s="25" t="n"/>
    </row>
    <row r="140">
      <c r="E140" s="24">
        <f>'클럭 정리'!A141</f>
        <v/>
      </c>
      <c r="F140" s="23">
        <f>'클럭 정리'!O141</f>
        <v/>
      </c>
      <c r="G140" s="25" t="n"/>
      <c r="H140" s="25" t="n"/>
      <c r="I140" s="25" t="n"/>
      <c r="J140" s="25" t="n"/>
      <c r="K140" s="25" t="n"/>
      <c r="L140" s="25" t="n"/>
      <c r="M140" s="25" t="n"/>
      <c r="N140" s="25" t="n"/>
      <c r="O140" s="25" t="n"/>
      <c r="P140" s="25" t="n"/>
      <c r="Q140" s="25" t="n"/>
    </row>
    <row r="141">
      <c r="E141" s="24">
        <f>'클럭 정리'!A142</f>
        <v/>
      </c>
      <c r="F141" s="23">
        <f>'클럭 정리'!O142</f>
        <v/>
      </c>
      <c r="G141" s="25" t="n"/>
      <c r="H141" s="25" t="n"/>
      <c r="I141" s="25" t="n"/>
      <c r="J141" s="25" t="n"/>
      <c r="K141" s="25" t="n"/>
      <c r="L141" s="25" t="n"/>
      <c r="M141" s="25" t="n"/>
      <c r="N141" s="25" t="n"/>
      <c r="O141" s="25" t="n"/>
      <c r="P141" s="25" t="n"/>
      <c r="Q141" s="25" t="n"/>
    </row>
    <row r="142">
      <c r="E142" s="24">
        <f>'클럭 정리'!A143</f>
        <v/>
      </c>
      <c r="F142" s="23">
        <f>'클럭 정리'!O143</f>
        <v/>
      </c>
      <c r="G142" s="25" t="n"/>
      <c r="H142" s="25" t="n"/>
      <c r="I142" s="25" t="n"/>
      <c r="J142" s="25" t="n"/>
      <c r="K142" s="25" t="n"/>
      <c r="L142" s="25" t="n"/>
      <c r="M142" s="25" t="n"/>
      <c r="N142" s="25" t="n"/>
      <c r="O142" s="25" t="n"/>
      <c r="P142" s="25" t="n"/>
      <c r="Q142" s="25" t="n"/>
    </row>
    <row r="143">
      <c r="E143" s="24">
        <f>'클럭 정리'!A144</f>
        <v/>
      </c>
      <c r="F143" s="23">
        <f>'클럭 정리'!O144</f>
        <v/>
      </c>
      <c r="G143" s="25" t="n"/>
      <c r="H143" s="25" t="n"/>
      <c r="I143" s="25" t="n"/>
      <c r="J143" s="25" t="n"/>
      <c r="K143" s="25" t="n"/>
      <c r="L143" s="25" t="n"/>
      <c r="M143" s="25" t="n"/>
      <c r="N143" s="25" t="n"/>
      <c r="O143" s="25" t="n"/>
      <c r="P143" s="25" t="n"/>
      <c r="Q143" s="25" t="n"/>
    </row>
    <row r="144">
      <c r="E144" s="24">
        <f>'클럭 정리'!A145</f>
        <v/>
      </c>
      <c r="F144" s="23">
        <f>'클럭 정리'!O145</f>
        <v/>
      </c>
      <c r="G144" s="25" t="n"/>
      <c r="H144" s="25" t="n"/>
      <c r="I144" s="25" t="n"/>
      <c r="J144" s="25" t="n"/>
      <c r="K144" s="25" t="n"/>
      <c r="L144" s="25" t="n"/>
      <c r="M144" s="25" t="n"/>
      <c r="N144" s="25" t="n"/>
      <c r="O144" s="25" t="n"/>
      <c r="P144" s="25" t="n"/>
      <c r="Q144" s="25" t="n"/>
    </row>
    <row r="145">
      <c r="E145" s="24">
        <f>'클럭 정리'!A146</f>
        <v/>
      </c>
      <c r="F145" s="23">
        <f>'클럭 정리'!O146</f>
        <v/>
      </c>
      <c r="G145" s="25" t="n"/>
      <c r="H145" s="25" t="n"/>
      <c r="I145" s="25" t="n"/>
      <c r="J145" s="25" t="n"/>
      <c r="K145" s="25" t="n"/>
      <c r="L145" s="25" t="n"/>
      <c r="M145" s="25" t="n"/>
      <c r="N145" s="25" t="n"/>
      <c r="O145" s="25" t="n"/>
      <c r="P145" s="25" t="n"/>
      <c r="Q145" s="25" t="n"/>
    </row>
    <row r="146">
      <c r="E146" s="24">
        <f>'클럭 정리'!A147</f>
        <v/>
      </c>
      <c r="F146" s="23">
        <f>'클럭 정리'!O147</f>
        <v/>
      </c>
      <c r="G146" s="25" t="n"/>
      <c r="H146" s="25" t="n"/>
      <c r="I146" s="25" t="n"/>
      <c r="J146" s="25" t="n"/>
      <c r="K146" s="25" t="n"/>
      <c r="L146" s="25" t="n"/>
      <c r="M146" s="25" t="n"/>
      <c r="N146" s="25" t="n"/>
      <c r="O146" s="25" t="n"/>
      <c r="P146" s="25" t="n"/>
      <c r="Q146" s="25" t="n"/>
    </row>
    <row r="147">
      <c r="E147" s="24">
        <f>'클럭 정리'!A148</f>
        <v/>
      </c>
      <c r="F147" s="23">
        <f>'클럭 정리'!O148</f>
        <v/>
      </c>
      <c r="G147" s="25" t="n"/>
      <c r="H147" s="25" t="n"/>
      <c r="I147" s="25" t="n"/>
      <c r="J147" s="25" t="n"/>
      <c r="K147" s="25" t="n"/>
      <c r="L147" s="25" t="n"/>
      <c r="M147" s="25" t="n"/>
      <c r="N147" s="25" t="n"/>
      <c r="O147" s="25" t="n"/>
      <c r="P147" s="25" t="n"/>
      <c r="Q147" s="25" t="n"/>
    </row>
    <row r="148">
      <c r="E148" s="24">
        <f>'클럭 정리'!A149</f>
        <v/>
      </c>
      <c r="F148" s="23">
        <f>'클럭 정리'!O149</f>
        <v/>
      </c>
      <c r="G148" s="25" t="n"/>
      <c r="H148" s="25" t="n"/>
      <c r="I148" s="25" t="n"/>
      <c r="J148" s="25" t="n"/>
      <c r="K148" s="25" t="n"/>
      <c r="L148" s="25" t="n"/>
      <c r="M148" s="25" t="n"/>
      <c r="N148" s="25" t="n"/>
      <c r="O148" s="25" t="n"/>
      <c r="P148" s="25" t="n"/>
      <c r="Q148" s="25" t="n"/>
    </row>
    <row r="149">
      <c r="E149" s="24">
        <f>'클럭 정리'!A150</f>
        <v/>
      </c>
      <c r="F149" s="23">
        <f>'클럭 정리'!O150</f>
        <v/>
      </c>
      <c r="G149" s="25" t="n"/>
      <c r="H149" s="25" t="n"/>
      <c r="I149" s="25" t="n"/>
      <c r="J149" s="25" t="n"/>
      <c r="K149" s="25" t="n"/>
      <c r="L149" s="25" t="n"/>
      <c r="M149" s="25" t="n"/>
      <c r="N149" s="25" t="n"/>
      <c r="O149" s="25" t="n"/>
      <c r="P149" s="25" t="n"/>
      <c r="Q149" s="25" t="n"/>
    </row>
    <row r="150">
      <c r="E150" s="24">
        <f>'클럭 정리'!A151</f>
        <v/>
      </c>
      <c r="F150" s="23">
        <f>'클럭 정리'!O151</f>
        <v/>
      </c>
      <c r="G150" s="25" t="n"/>
      <c r="H150" s="25" t="n"/>
      <c r="I150" s="25" t="n"/>
      <c r="J150" s="25" t="n"/>
      <c r="K150" s="25" t="n"/>
      <c r="L150" s="25" t="n"/>
      <c r="M150" s="25" t="n"/>
      <c r="N150" s="25" t="n"/>
      <c r="O150" s="25" t="n"/>
      <c r="P150" s="25" t="n"/>
      <c r="Q150" s="25" t="n"/>
    </row>
    <row r="151">
      <c r="E151" s="24">
        <f>'클럭 정리'!A152</f>
        <v/>
      </c>
      <c r="F151" s="23">
        <f>'클럭 정리'!O152</f>
        <v/>
      </c>
      <c r="G151" s="25" t="n"/>
      <c r="H151" s="25" t="n"/>
      <c r="I151" s="25" t="n"/>
      <c r="J151" s="25" t="n"/>
      <c r="K151" s="25" t="n"/>
      <c r="L151" s="25" t="n"/>
      <c r="M151" s="25" t="n"/>
      <c r="N151" s="25" t="n"/>
      <c r="O151" s="25" t="n"/>
      <c r="P151" s="25" t="n"/>
      <c r="Q151" s="25" t="n"/>
    </row>
    <row r="152">
      <c r="E152" s="24">
        <f>'클럭 정리'!A153</f>
        <v/>
      </c>
      <c r="F152" s="23">
        <f>'클럭 정리'!O153</f>
        <v/>
      </c>
      <c r="G152" s="25" t="n"/>
      <c r="H152" s="25" t="n"/>
      <c r="I152" s="25" t="n"/>
      <c r="J152" s="25" t="n"/>
      <c r="K152" s="25" t="n"/>
      <c r="L152" s="25" t="n"/>
      <c r="M152" s="25" t="n"/>
      <c r="N152" s="25" t="n"/>
      <c r="O152" s="25" t="n"/>
      <c r="P152" s="25" t="n"/>
      <c r="Q152" s="25" t="n"/>
    </row>
    <row r="153">
      <c r="E153" s="24">
        <f>'클럭 정리'!A154</f>
        <v/>
      </c>
      <c r="F153" s="23">
        <f>'클럭 정리'!O154</f>
        <v/>
      </c>
      <c r="G153" s="25" t="n"/>
      <c r="H153" s="25" t="n"/>
      <c r="I153" s="25" t="n"/>
      <c r="J153" s="25" t="n"/>
      <c r="K153" s="25" t="n"/>
      <c r="L153" s="25" t="n"/>
      <c r="M153" s="25" t="n"/>
      <c r="N153" s="25" t="n"/>
      <c r="O153" s="25" t="n"/>
      <c r="P153" s="25" t="n"/>
      <c r="Q153" s="25" t="n"/>
    </row>
    <row r="154">
      <c r="E154" s="24">
        <f>'클럭 정리'!A155</f>
        <v/>
      </c>
      <c r="F154" s="23">
        <f>'클럭 정리'!O155</f>
        <v/>
      </c>
      <c r="G154" s="25" t="n"/>
      <c r="H154" s="25" t="n"/>
      <c r="I154" s="25" t="n"/>
      <c r="J154" s="25" t="n"/>
      <c r="K154" s="25" t="n"/>
      <c r="L154" s="25" t="n"/>
      <c r="M154" s="25" t="n"/>
      <c r="N154" s="25" t="n"/>
      <c r="O154" s="25" t="n"/>
      <c r="P154" s="25" t="n"/>
      <c r="Q154" s="25" t="n"/>
    </row>
    <row r="155">
      <c r="E155" s="24">
        <f>'클럭 정리'!A156</f>
        <v/>
      </c>
      <c r="F155" s="23">
        <f>'클럭 정리'!O156</f>
        <v/>
      </c>
      <c r="G155" s="25" t="n"/>
      <c r="H155" s="25" t="n"/>
      <c r="I155" s="25" t="n"/>
      <c r="J155" s="25" t="n"/>
      <c r="K155" s="25" t="n"/>
      <c r="L155" s="25" t="n"/>
      <c r="M155" s="25" t="n"/>
      <c r="N155" s="25" t="n"/>
      <c r="O155" s="25" t="n"/>
      <c r="P155" s="25" t="n"/>
      <c r="Q155" s="25" t="n"/>
    </row>
    <row r="156">
      <c r="E156" s="24">
        <f>'클럭 정리'!A157</f>
        <v/>
      </c>
      <c r="F156" s="23">
        <f>'클럭 정리'!O157</f>
        <v/>
      </c>
      <c r="G156" s="25" t="n"/>
      <c r="H156" s="25" t="n"/>
      <c r="I156" s="25" t="n"/>
      <c r="J156" s="25" t="n"/>
      <c r="K156" s="25" t="n"/>
      <c r="L156" s="25" t="n"/>
      <c r="M156" s="25" t="n"/>
      <c r="N156" s="25" t="n"/>
      <c r="O156" s="25" t="n"/>
      <c r="P156" s="25" t="n"/>
      <c r="Q156" s="25" t="n"/>
    </row>
    <row r="157">
      <c r="E157" s="24">
        <f>'클럭 정리'!A158</f>
        <v/>
      </c>
      <c r="F157" s="23">
        <f>'클럭 정리'!O158</f>
        <v/>
      </c>
      <c r="G157" s="25" t="n"/>
      <c r="H157" s="25" t="n"/>
      <c r="I157" s="25" t="n"/>
      <c r="J157" s="25" t="n"/>
      <c r="K157" s="25" t="n"/>
      <c r="L157" s="25" t="n"/>
      <c r="M157" s="25" t="n"/>
      <c r="N157" s="25" t="n"/>
      <c r="O157" s="25" t="n"/>
      <c r="P157" s="25" t="n"/>
      <c r="Q157" s="25" t="n"/>
    </row>
    <row r="158">
      <c r="E158" s="24">
        <f>'클럭 정리'!A159</f>
        <v/>
      </c>
      <c r="F158" s="23">
        <f>'클럭 정리'!O159</f>
        <v/>
      </c>
      <c r="G158" s="25" t="n"/>
      <c r="H158" s="25" t="n"/>
      <c r="I158" s="25" t="n"/>
      <c r="J158" s="25" t="n"/>
      <c r="K158" s="25" t="n"/>
      <c r="L158" s="25" t="n"/>
      <c r="M158" s="25" t="n"/>
      <c r="N158" s="25" t="n"/>
      <c r="O158" s="25" t="n"/>
      <c r="P158" s="25" t="n"/>
      <c r="Q158" s="25" t="n"/>
    </row>
    <row r="159">
      <c r="E159" s="24">
        <f>'클럭 정리'!A160</f>
        <v/>
      </c>
      <c r="F159" s="23">
        <f>'클럭 정리'!O160</f>
        <v/>
      </c>
      <c r="G159" s="25" t="n"/>
      <c r="H159" s="25" t="n"/>
      <c r="I159" s="25" t="n"/>
      <c r="J159" s="25" t="n"/>
      <c r="K159" s="25" t="n"/>
      <c r="L159" s="25" t="n"/>
      <c r="M159" s="25" t="n"/>
      <c r="N159" s="25" t="n"/>
      <c r="O159" s="25" t="n"/>
      <c r="P159" s="25" t="n"/>
      <c r="Q159" s="25" t="n"/>
    </row>
    <row r="160">
      <c r="E160" s="24">
        <f>'클럭 정리'!A161</f>
        <v/>
      </c>
      <c r="F160" s="23">
        <f>'클럭 정리'!O161</f>
        <v/>
      </c>
      <c r="G160" s="25" t="n"/>
      <c r="H160" s="25" t="n"/>
      <c r="I160" s="25" t="n"/>
      <c r="J160" s="25" t="n"/>
      <c r="K160" s="25" t="n"/>
      <c r="L160" s="25" t="n"/>
      <c r="M160" s="25" t="n"/>
      <c r="N160" s="25" t="n"/>
      <c r="O160" s="25" t="n"/>
      <c r="P160" s="25" t="n"/>
      <c r="Q160" s="25" t="n"/>
    </row>
    <row r="161">
      <c r="E161" s="24">
        <f>'클럭 정리'!A162</f>
        <v/>
      </c>
      <c r="F161" s="23">
        <f>'클럭 정리'!O162</f>
        <v/>
      </c>
      <c r="G161" s="25" t="n"/>
      <c r="H161" s="25" t="n"/>
      <c r="I161" s="25" t="n"/>
      <c r="J161" s="25" t="n"/>
      <c r="K161" s="25" t="n"/>
      <c r="L161" s="25" t="n"/>
      <c r="M161" s="25" t="n"/>
      <c r="N161" s="25" t="n"/>
      <c r="O161" s="25" t="n"/>
      <c r="P161" s="25" t="n"/>
      <c r="Q161" s="25" t="n"/>
    </row>
    <row r="162">
      <c r="E162" s="24">
        <f>'클럭 정리'!A163</f>
        <v/>
      </c>
      <c r="F162" s="23">
        <f>'클럭 정리'!O163</f>
        <v/>
      </c>
      <c r="G162" s="25" t="n"/>
      <c r="H162" s="25" t="n"/>
      <c r="I162" s="25" t="n"/>
      <c r="J162" s="25" t="n"/>
      <c r="K162" s="25" t="n"/>
      <c r="L162" s="25" t="n"/>
      <c r="M162" s="25" t="n"/>
      <c r="N162" s="25" t="n"/>
      <c r="O162" s="25" t="n"/>
      <c r="P162" s="25" t="n"/>
      <c r="Q162" s="25" t="n"/>
    </row>
    <row r="163">
      <c r="E163" s="24">
        <f>'클럭 정리'!A164</f>
        <v/>
      </c>
      <c r="F163" s="23">
        <f>'클럭 정리'!O164</f>
        <v/>
      </c>
      <c r="G163" s="25" t="n"/>
      <c r="H163" s="25" t="n"/>
      <c r="I163" s="25" t="n"/>
      <c r="J163" s="25" t="n"/>
      <c r="K163" s="25" t="n"/>
      <c r="L163" s="25" t="n"/>
      <c r="M163" s="25" t="n"/>
      <c r="N163" s="25" t="n"/>
      <c r="O163" s="25" t="n"/>
      <c r="P163" s="25" t="n"/>
      <c r="Q163" s="25" t="n"/>
    </row>
    <row r="164">
      <c r="E164" s="24">
        <f>'클럭 정리'!A165</f>
        <v/>
      </c>
      <c r="F164" s="23">
        <f>'클럭 정리'!O165</f>
        <v/>
      </c>
      <c r="G164" s="25" t="n"/>
      <c r="H164" s="25" t="n"/>
      <c r="I164" s="25" t="n"/>
      <c r="J164" s="25" t="n"/>
      <c r="K164" s="25" t="n"/>
      <c r="L164" s="25" t="n"/>
      <c r="M164" s="25" t="n"/>
      <c r="N164" s="25" t="n"/>
      <c r="O164" s="25" t="n"/>
      <c r="P164" s="25" t="n"/>
      <c r="Q164" s="25" t="n"/>
    </row>
    <row r="165">
      <c r="E165" s="24">
        <f>'클럭 정리'!A166</f>
        <v/>
      </c>
      <c r="F165" s="23">
        <f>'클럭 정리'!O166</f>
        <v/>
      </c>
      <c r="G165" s="25" t="n"/>
      <c r="H165" s="25" t="n"/>
      <c r="I165" s="25" t="n"/>
      <c r="J165" s="25" t="n"/>
      <c r="K165" s="25" t="n"/>
      <c r="L165" s="25" t="n"/>
      <c r="M165" s="25" t="n"/>
      <c r="N165" s="25" t="n"/>
      <c r="O165" s="25" t="n"/>
      <c r="P165" s="25" t="n"/>
      <c r="Q165" s="25" t="n"/>
    </row>
    <row r="166">
      <c r="E166" s="24">
        <f>'클럭 정리'!A167</f>
        <v/>
      </c>
      <c r="F166" s="23">
        <f>'클럭 정리'!O167</f>
        <v/>
      </c>
      <c r="G166" s="25" t="n"/>
      <c r="H166" s="25" t="n"/>
      <c r="I166" s="25" t="n"/>
      <c r="J166" s="25" t="n"/>
      <c r="K166" s="25" t="n"/>
      <c r="L166" s="25" t="n"/>
      <c r="M166" s="25" t="n"/>
      <c r="N166" s="25" t="n"/>
      <c r="O166" s="25" t="n"/>
      <c r="P166" s="25" t="n"/>
      <c r="Q166" s="25" t="n"/>
    </row>
    <row r="167">
      <c r="E167" s="24">
        <f>'클럭 정리'!A168</f>
        <v/>
      </c>
      <c r="F167" s="23">
        <f>'클럭 정리'!O168</f>
        <v/>
      </c>
      <c r="G167" s="25" t="n"/>
      <c r="H167" s="25" t="n"/>
      <c r="I167" s="25" t="n"/>
      <c r="J167" s="25" t="n"/>
      <c r="K167" s="25" t="n"/>
      <c r="L167" s="25" t="n"/>
      <c r="M167" s="25" t="n"/>
      <c r="N167" s="25" t="n"/>
      <c r="O167" s="25" t="n"/>
      <c r="P167" s="25" t="n"/>
      <c r="Q167" s="25" t="n"/>
    </row>
    <row r="168">
      <c r="E168" s="24">
        <f>'클럭 정리'!A169</f>
        <v/>
      </c>
      <c r="F168" s="23">
        <f>'클럭 정리'!O169</f>
        <v/>
      </c>
      <c r="G168" s="25" t="n"/>
      <c r="H168" s="25" t="n"/>
      <c r="I168" s="25" t="n"/>
      <c r="J168" s="25" t="n"/>
      <c r="K168" s="25" t="n"/>
      <c r="L168" s="25" t="n"/>
      <c r="M168" s="25" t="n"/>
      <c r="N168" s="25" t="n"/>
      <c r="O168" s="25" t="n"/>
      <c r="P168" s="25" t="n"/>
      <c r="Q168" s="25" t="n"/>
    </row>
    <row r="169">
      <c r="E169" s="24">
        <f>'클럭 정리'!A170</f>
        <v/>
      </c>
      <c r="F169" s="23">
        <f>'클럭 정리'!O170</f>
        <v/>
      </c>
      <c r="G169" s="25" t="n"/>
      <c r="H169" s="25" t="n"/>
      <c r="I169" s="25" t="n"/>
      <c r="J169" s="25" t="n"/>
      <c r="K169" s="25" t="n"/>
      <c r="L169" s="25" t="n"/>
      <c r="M169" s="25" t="n"/>
      <c r="N169" s="25" t="n"/>
      <c r="O169" s="25" t="n"/>
      <c r="P169" s="25" t="n"/>
      <c r="Q169" s="25" t="n"/>
    </row>
    <row r="170">
      <c r="E170" s="24">
        <f>'클럭 정리'!A171</f>
        <v/>
      </c>
      <c r="F170" s="23">
        <f>'클럭 정리'!O171</f>
        <v/>
      </c>
      <c r="G170" s="25" t="n"/>
      <c r="H170" s="25" t="n"/>
      <c r="I170" s="25" t="n"/>
      <c r="J170" s="25" t="n"/>
      <c r="K170" s="25" t="n"/>
      <c r="L170" s="25" t="n"/>
      <c r="M170" s="25" t="n"/>
      <c r="N170" s="25" t="n"/>
      <c r="O170" s="25" t="n"/>
      <c r="P170" s="25" t="n"/>
      <c r="Q170" s="25" t="n"/>
    </row>
    <row r="171">
      <c r="E171" s="24">
        <f>'클럭 정리'!A172</f>
        <v/>
      </c>
      <c r="F171" s="23">
        <f>'클럭 정리'!O172</f>
        <v/>
      </c>
      <c r="G171" s="25" t="n"/>
      <c r="H171" s="25" t="n"/>
      <c r="I171" s="25" t="n"/>
      <c r="J171" s="25" t="n"/>
      <c r="K171" s="25" t="n"/>
      <c r="L171" s="25" t="n"/>
      <c r="M171" s="25" t="n"/>
      <c r="N171" s="25" t="n"/>
      <c r="O171" s="25" t="n"/>
      <c r="P171" s="25" t="n"/>
      <c r="Q171" s="25" t="n"/>
    </row>
    <row r="172">
      <c r="E172" s="24">
        <f>'클럭 정리'!A173</f>
        <v/>
      </c>
      <c r="F172" s="23">
        <f>'클럭 정리'!O173</f>
        <v/>
      </c>
      <c r="G172" s="25" t="n"/>
      <c r="H172" s="25" t="n"/>
      <c r="I172" s="25" t="n"/>
      <c r="J172" s="25" t="n"/>
      <c r="K172" s="25" t="n"/>
      <c r="L172" s="25" t="n"/>
      <c r="M172" s="25" t="n"/>
      <c r="N172" s="25" t="n"/>
      <c r="O172" s="25" t="n"/>
      <c r="P172" s="25" t="n"/>
      <c r="Q172" s="25" t="n"/>
    </row>
    <row r="173">
      <c r="E173" s="24">
        <f>'클럭 정리'!A174</f>
        <v/>
      </c>
      <c r="F173" s="23">
        <f>'클럭 정리'!O174</f>
        <v/>
      </c>
      <c r="G173" s="25" t="n"/>
      <c r="H173" s="25" t="n"/>
      <c r="I173" s="25" t="n"/>
      <c r="J173" s="25" t="n"/>
      <c r="K173" s="25" t="n"/>
      <c r="L173" s="25" t="n"/>
      <c r="M173" s="25" t="n"/>
      <c r="N173" s="25" t="n"/>
      <c r="O173" s="25" t="n"/>
      <c r="P173" s="25" t="n"/>
      <c r="Q173" s="25" t="n"/>
    </row>
    <row r="174">
      <c r="E174" s="24">
        <f>'클럭 정리'!A175</f>
        <v/>
      </c>
      <c r="F174" s="23">
        <f>'클럭 정리'!O175</f>
        <v/>
      </c>
      <c r="G174" s="25" t="n"/>
      <c r="H174" s="25" t="n"/>
      <c r="I174" s="25" t="n"/>
      <c r="J174" s="25" t="n"/>
      <c r="K174" s="25" t="n"/>
      <c r="L174" s="25" t="n"/>
      <c r="M174" s="25" t="n"/>
      <c r="N174" s="25" t="n"/>
      <c r="O174" s="25" t="n"/>
      <c r="P174" s="25" t="n"/>
      <c r="Q174" s="25" t="n"/>
    </row>
    <row r="175">
      <c r="E175" s="24">
        <f>'클럭 정리'!A176</f>
        <v/>
      </c>
      <c r="F175" s="23">
        <f>'클럭 정리'!O176</f>
        <v/>
      </c>
      <c r="G175" s="25" t="n"/>
      <c r="H175" s="25" t="n"/>
      <c r="I175" s="25" t="n"/>
      <c r="J175" s="25" t="n"/>
      <c r="K175" s="25" t="n"/>
      <c r="L175" s="25" t="n"/>
      <c r="M175" s="25" t="n"/>
      <c r="N175" s="25" t="n"/>
      <c r="O175" s="25" t="n"/>
      <c r="P175" s="25" t="n"/>
      <c r="Q175" s="25" t="n"/>
    </row>
    <row r="176">
      <c r="E176" s="24">
        <f>'클럭 정리'!A177</f>
        <v/>
      </c>
      <c r="F176" s="23">
        <f>'클럭 정리'!O177</f>
        <v/>
      </c>
      <c r="G176" s="25" t="n"/>
      <c r="H176" s="25" t="n"/>
      <c r="I176" s="25" t="n"/>
      <c r="J176" s="25" t="n"/>
      <c r="K176" s="25" t="n"/>
      <c r="L176" s="25" t="n"/>
      <c r="M176" s="25" t="n"/>
      <c r="N176" s="25" t="n"/>
      <c r="O176" s="25" t="n"/>
      <c r="P176" s="25" t="n"/>
      <c r="Q176" s="25" t="n"/>
    </row>
    <row r="177">
      <c r="E177" s="24">
        <f>'클럭 정리'!A178</f>
        <v/>
      </c>
      <c r="F177" s="23">
        <f>'클럭 정리'!O178</f>
        <v/>
      </c>
      <c r="G177" s="25" t="n"/>
      <c r="H177" s="25" t="n"/>
      <c r="I177" s="25" t="n"/>
      <c r="J177" s="25" t="n"/>
      <c r="K177" s="25" t="n"/>
      <c r="L177" s="25" t="n"/>
      <c r="M177" s="25" t="n"/>
      <c r="N177" s="25" t="n"/>
      <c r="O177" s="25" t="n"/>
      <c r="P177" s="25" t="n"/>
      <c r="Q177" s="25" t="n"/>
    </row>
    <row r="178">
      <c r="E178" s="24">
        <f>'클럭 정리'!A179</f>
        <v/>
      </c>
      <c r="F178" s="23">
        <f>'클럭 정리'!O179</f>
        <v/>
      </c>
      <c r="G178" s="25" t="n"/>
      <c r="H178" s="25" t="n"/>
      <c r="I178" s="25" t="n"/>
      <c r="J178" s="25" t="n"/>
      <c r="K178" s="25" t="n"/>
      <c r="L178" s="25" t="n"/>
      <c r="M178" s="25" t="n"/>
      <c r="N178" s="25" t="n"/>
      <c r="O178" s="25" t="n"/>
      <c r="P178" s="25" t="n"/>
      <c r="Q178" s="25" t="n"/>
    </row>
    <row r="179">
      <c r="E179" s="24">
        <f>'클럭 정리'!A180</f>
        <v/>
      </c>
      <c r="F179" s="23">
        <f>'클럭 정리'!O180</f>
        <v/>
      </c>
      <c r="G179" s="25" t="n"/>
      <c r="H179" s="25" t="n"/>
      <c r="I179" s="25" t="n"/>
      <c r="J179" s="25" t="n"/>
      <c r="K179" s="25" t="n"/>
      <c r="L179" s="25" t="n"/>
      <c r="M179" s="25" t="n"/>
      <c r="N179" s="25" t="n"/>
      <c r="O179" s="25" t="n"/>
      <c r="P179" s="25" t="n"/>
      <c r="Q179" s="25" t="n"/>
    </row>
    <row r="180">
      <c r="E180" s="24">
        <f>'클럭 정리'!A181</f>
        <v/>
      </c>
      <c r="F180" s="23">
        <f>'클럭 정리'!O181</f>
        <v/>
      </c>
      <c r="G180" s="25" t="n"/>
      <c r="H180" s="25" t="n"/>
      <c r="I180" s="25" t="n"/>
      <c r="J180" s="25" t="n"/>
      <c r="K180" s="25" t="n"/>
      <c r="L180" s="25" t="n"/>
      <c r="M180" s="25" t="n"/>
      <c r="N180" s="25" t="n"/>
      <c r="O180" s="25" t="n"/>
      <c r="P180" s="25" t="n"/>
      <c r="Q180" s="25" t="n"/>
    </row>
    <row r="181">
      <c r="E181" s="24">
        <f>'클럭 정리'!A182</f>
        <v/>
      </c>
      <c r="F181" s="23">
        <f>'클럭 정리'!O182</f>
        <v/>
      </c>
      <c r="G181" s="25" t="n"/>
      <c r="H181" s="25" t="n"/>
      <c r="I181" s="25" t="n"/>
      <c r="J181" s="25" t="n"/>
      <c r="K181" s="25" t="n"/>
      <c r="L181" s="25" t="n"/>
      <c r="M181" s="25" t="n"/>
      <c r="N181" s="25" t="n"/>
      <c r="O181" s="25" t="n"/>
      <c r="P181" s="25" t="n"/>
      <c r="Q181" s="25" t="n"/>
    </row>
    <row r="182">
      <c r="E182" s="24">
        <f>'클럭 정리'!A183</f>
        <v/>
      </c>
      <c r="F182" s="23">
        <f>'클럭 정리'!O183</f>
        <v/>
      </c>
      <c r="G182" s="25" t="n"/>
      <c r="H182" s="25" t="n"/>
      <c r="I182" s="25" t="n"/>
      <c r="J182" s="25" t="n"/>
      <c r="K182" s="25" t="n"/>
      <c r="L182" s="25" t="n"/>
      <c r="M182" s="25" t="n"/>
      <c r="N182" s="25" t="n"/>
      <c r="O182" s="25" t="n"/>
      <c r="P182" s="25" t="n"/>
      <c r="Q182" s="25" t="n"/>
    </row>
    <row r="183">
      <c r="E183" s="24">
        <f>'클럭 정리'!A184</f>
        <v/>
      </c>
      <c r="F183" s="23">
        <f>'클럭 정리'!O184</f>
        <v/>
      </c>
      <c r="G183" s="25" t="n"/>
      <c r="H183" s="25" t="n"/>
      <c r="I183" s="25" t="n"/>
      <c r="J183" s="25" t="n"/>
      <c r="K183" s="25" t="n"/>
      <c r="L183" s="25" t="n"/>
      <c r="M183" s="25" t="n"/>
      <c r="N183" s="25" t="n"/>
      <c r="O183" s="25" t="n"/>
      <c r="P183" s="25" t="n"/>
      <c r="Q183" s="25" t="n"/>
    </row>
    <row r="184">
      <c r="E184" s="24">
        <f>'클럭 정리'!A185</f>
        <v/>
      </c>
      <c r="F184" s="23">
        <f>'클럭 정리'!O185</f>
        <v/>
      </c>
      <c r="G184" s="25" t="n"/>
      <c r="H184" s="25" t="n"/>
      <c r="I184" s="25" t="n"/>
      <c r="J184" s="25" t="n"/>
      <c r="K184" s="25" t="n"/>
      <c r="L184" s="25" t="n"/>
      <c r="M184" s="25" t="n"/>
      <c r="N184" s="25" t="n"/>
      <c r="O184" s="25" t="n"/>
      <c r="P184" s="25" t="n"/>
      <c r="Q184" s="25" t="n"/>
    </row>
    <row r="185">
      <c r="E185" s="24">
        <f>'클럭 정리'!A186</f>
        <v/>
      </c>
      <c r="F185" s="23">
        <f>'클럭 정리'!O186</f>
        <v/>
      </c>
      <c r="G185" s="25" t="n"/>
      <c r="H185" s="25" t="n"/>
      <c r="I185" s="25" t="n"/>
      <c r="J185" s="25" t="n"/>
      <c r="K185" s="25" t="n"/>
      <c r="L185" s="25" t="n"/>
      <c r="M185" s="25" t="n"/>
      <c r="N185" s="25" t="n"/>
      <c r="O185" s="25" t="n"/>
      <c r="P185" s="25" t="n"/>
      <c r="Q185" s="25" t="n"/>
    </row>
    <row r="186">
      <c r="E186" s="24">
        <f>'클럭 정리'!A187</f>
        <v/>
      </c>
      <c r="F186" s="23">
        <f>'클럭 정리'!O187</f>
        <v/>
      </c>
      <c r="G186" s="25" t="n"/>
      <c r="H186" s="25" t="n"/>
      <c r="I186" s="25" t="n"/>
      <c r="J186" s="25" t="n"/>
      <c r="K186" s="25" t="n"/>
      <c r="L186" s="25" t="n"/>
      <c r="M186" s="25" t="n"/>
      <c r="N186" s="25" t="n"/>
      <c r="O186" s="25" t="n"/>
      <c r="P186" s="25" t="n"/>
      <c r="Q186" s="25" t="n"/>
    </row>
    <row r="187">
      <c r="E187" s="24">
        <f>'클럭 정리'!A188</f>
        <v/>
      </c>
      <c r="F187" s="23">
        <f>'클럭 정리'!O188</f>
        <v/>
      </c>
      <c r="G187" s="25" t="n"/>
      <c r="H187" s="25" t="n"/>
      <c r="I187" s="25" t="n"/>
      <c r="J187" s="25" t="n"/>
      <c r="K187" s="25" t="n"/>
      <c r="L187" s="25" t="n"/>
      <c r="M187" s="25" t="n"/>
      <c r="N187" s="25" t="n"/>
      <c r="O187" s="25" t="n"/>
      <c r="P187" s="25" t="n"/>
      <c r="Q187" s="25" t="n"/>
    </row>
    <row r="188">
      <c r="E188" s="24">
        <f>'클럭 정리'!A189</f>
        <v/>
      </c>
      <c r="F188" s="23">
        <f>'클럭 정리'!O189</f>
        <v/>
      </c>
      <c r="G188" s="25" t="n"/>
      <c r="H188" s="25" t="n"/>
      <c r="I188" s="25" t="n"/>
      <c r="J188" s="25" t="n"/>
      <c r="K188" s="25" t="n"/>
      <c r="L188" s="25" t="n"/>
      <c r="M188" s="25" t="n"/>
      <c r="N188" s="25" t="n"/>
      <c r="O188" s="25" t="n"/>
      <c r="P188" s="25" t="n"/>
      <c r="Q188" s="25" t="n"/>
    </row>
    <row r="189">
      <c r="E189" s="24">
        <f>'클럭 정리'!A190</f>
        <v/>
      </c>
      <c r="F189" s="23">
        <f>'클럭 정리'!O190</f>
        <v/>
      </c>
      <c r="G189" s="25" t="n"/>
      <c r="H189" s="25" t="n"/>
      <c r="I189" s="25" t="n"/>
      <c r="J189" s="25" t="n"/>
      <c r="K189" s="25" t="n"/>
      <c r="L189" s="25" t="n"/>
      <c r="M189" s="25" t="n"/>
      <c r="N189" s="25" t="n"/>
      <c r="O189" s="25" t="n"/>
      <c r="P189" s="25" t="n"/>
      <c r="Q189" s="25" t="n"/>
    </row>
    <row r="190">
      <c r="E190" s="24">
        <f>'클럭 정리'!A191</f>
        <v/>
      </c>
      <c r="F190" s="23">
        <f>'클럭 정리'!O191</f>
        <v/>
      </c>
      <c r="G190" s="25" t="n"/>
      <c r="H190" s="25" t="n"/>
      <c r="I190" s="25" t="n"/>
      <c r="J190" s="25" t="n"/>
      <c r="K190" s="25" t="n"/>
      <c r="L190" s="25" t="n"/>
      <c r="M190" s="25" t="n"/>
      <c r="N190" s="25" t="n"/>
      <c r="O190" s="25" t="n"/>
      <c r="P190" s="25" t="n"/>
      <c r="Q190" s="25" t="n"/>
    </row>
    <row r="191">
      <c r="E191" s="24">
        <f>'클럭 정리'!A192</f>
        <v/>
      </c>
      <c r="F191" s="23">
        <f>'클럭 정리'!O192</f>
        <v/>
      </c>
      <c r="G191" s="25" t="n"/>
      <c r="H191" s="25" t="n"/>
      <c r="I191" s="25" t="n"/>
      <c r="J191" s="25" t="n"/>
      <c r="K191" s="25" t="n"/>
      <c r="L191" s="25" t="n"/>
      <c r="M191" s="25" t="n"/>
      <c r="N191" s="25" t="n"/>
      <c r="O191" s="25" t="n"/>
      <c r="P191" s="25" t="n"/>
      <c r="Q191" s="25" t="n"/>
    </row>
    <row r="192">
      <c r="E192" s="24">
        <f>'클럭 정리'!A193</f>
        <v/>
      </c>
      <c r="F192" s="23">
        <f>'클럭 정리'!O193</f>
        <v/>
      </c>
      <c r="G192" s="25" t="n"/>
      <c r="H192" s="25" t="n"/>
      <c r="I192" s="25" t="n"/>
      <c r="J192" s="25" t="n"/>
      <c r="K192" s="25" t="n"/>
      <c r="L192" s="25" t="n"/>
      <c r="M192" s="25" t="n"/>
      <c r="N192" s="25" t="n"/>
      <c r="O192" s="25" t="n"/>
      <c r="P192" s="25" t="n"/>
      <c r="Q192" s="25" t="n"/>
    </row>
    <row r="193">
      <c r="E193" s="24">
        <f>'클럭 정리'!A194</f>
        <v/>
      </c>
      <c r="F193" s="23">
        <f>'클럭 정리'!O194</f>
        <v/>
      </c>
      <c r="G193" s="25" t="n"/>
      <c r="H193" s="25" t="n"/>
      <c r="I193" s="25" t="n"/>
      <c r="J193" s="25" t="n"/>
      <c r="K193" s="25" t="n"/>
      <c r="L193" s="25" t="n"/>
      <c r="M193" s="25" t="n"/>
      <c r="N193" s="25" t="n"/>
      <c r="O193" s="25" t="n"/>
      <c r="P193" s="25" t="n"/>
      <c r="Q193" s="25" t="n"/>
    </row>
    <row r="194">
      <c r="E194" s="24">
        <f>'클럭 정리'!A195</f>
        <v/>
      </c>
      <c r="F194" s="23">
        <f>'클럭 정리'!O195</f>
        <v/>
      </c>
      <c r="G194" s="25" t="n"/>
      <c r="H194" s="25" t="n"/>
      <c r="I194" s="25" t="n"/>
      <c r="J194" s="25" t="n"/>
      <c r="K194" s="25" t="n"/>
      <c r="L194" s="25" t="n"/>
      <c r="M194" s="25" t="n"/>
      <c r="N194" s="25" t="n"/>
      <c r="O194" s="25" t="n"/>
      <c r="P194" s="25" t="n"/>
      <c r="Q194" s="25" t="n"/>
    </row>
    <row r="195">
      <c r="E195" s="24">
        <f>'클럭 정리'!A196</f>
        <v/>
      </c>
      <c r="F195" s="23">
        <f>'클럭 정리'!O196</f>
        <v/>
      </c>
      <c r="G195" s="25" t="n"/>
      <c r="H195" s="25" t="n"/>
      <c r="I195" s="25" t="n"/>
      <c r="J195" s="25" t="n"/>
      <c r="K195" s="25" t="n"/>
      <c r="L195" s="25" t="n"/>
      <c r="M195" s="25" t="n"/>
      <c r="N195" s="25" t="n"/>
      <c r="O195" s="25" t="n"/>
      <c r="P195" s="25" t="n"/>
      <c r="Q195" s="25" t="n"/>
    </row>
    <row r="196">
      <c r="E196" s="24">
        <f>'클럭 정리'!A197</f>
        <v/>
      </c>
      <c r="F196" s="23">
        <f>'클럭 정리'!O197</f>
        <v/>
      </c>
      <c r="G196" s="25" t="n"/>
      <c r="H196" s="25" t="n"/>
      <c r="I196" s="25" t="n"/>
      <c r="J196" s="25" t="n"/>
      <c r="K196" s="25" t="n"/>
      <c r="L196" s="25" t="n"/>
      <c r="M196" s="25" t="n"/>
      <c r="N196" s="25" t="n"/>
      <c r="O196" s="25" t="n"/>
      <c r="P196" s="25" t="n"/>
      <c r="Q196" s="25" t="n"/>
    </row>
    <row r="197">
      <c r="E197" s="24">
        <f>'클럭 정리'!A198</f>
        <v/>
      </c>
      <c r="F197" s="23">
        <f>'클럭 정리'!O198</f>
        <v/>
      </c>
      <c r="G197" s="25" t="n"/>
      <c r="H197" s="25" t="n"/>
      <c r="I197" s="25" t="n"/>
      <c r="J197" s="25" t="n"/>
      <c r="K197" s="25" t="n"/>
      <c r="L197" s="25" t="n"/>
      <c r="M197" s="25" t="n"/>
      <c r="N197" s="25" t="n"/>
      <c r="O197" s="25" t="n"/>
      <c r="P197" s="25" t="n"/>
      <c r="Q197" s="25" t="n"/>
    </row>
    <row r="198">
      <c r="E198" s="24">
        <f>'클럭 정리'!A199</f>
        <v/>
      </c>
      <c r="F198" s="23">
        <f>'클럭 정리'!O199</f>
        <v/>
      </c>
      <c r="G198" s="25" t="n"/>
      <c r="H198" s="25" t="n"/>
      <c r="I198" s="25" t="n"/>
      <c r="J198" s="25" t="n"/>
      <c r="K198" s="25" t="n"/>
      <c r="L198" s="25" t="n"/>
      <c r="M198" s="25" t="n"/>
      <c r="N198" s="25" t="n"/>
      <c r="O198" s="25" t="n"/>
      <c r="P198" s="25" t="n"/>
      <c r="Q198" s="25" t="n"/>
    </row>
    <row r="199">
      <c r="E199" s="24">
        <f>'클럭 정리'!A200</f>
        <v/>
      </c>
      <c r="F199" s="23">
        <f>'클럭 정리'!O200</f>
        <v/>
      </c>
      <c r="G199" s="25" t="n"/>
      <c r="H199" s="25" t="n"/>
      <c r="I199" s="25" t="n"/>
      <c r="J199" s="25" t="n"/>
      <c r="K199" s="25" t="n"/>
      <c r="L199" s="25" t="n"/>
      <c r="M199" s="25" t="n"/>
      <c r="N199" s="25" t="n"/>
      <c r="O199" s="25" t="n"/>
      <c r="P199" s="25" t="n"/>
      <c r="Q199" s="25" t="n"/>
    </row>
    <row r="200">
      <c r="E200" s="24">
        <f>'클럭 정리'!A201</f>
        <v/>
      </c>
      <c r="F200" s="23">
        <f>'클럭 정리'!O201</f>
        <v/>
      </c>
      <c r="G200" s="25" t="n"/>
      <c r="H200" s="25" t="n"/>
      <c r="I200" s="25" t="n"/>
      <c r="J200" s="25" t="n"/>
      <c r="K200" s="25" t="n"/>
      <c r="L200" s="25" t="n"/>
      <c r="M200" s="25" t="n"/>
      <c r="N200" s="25" t="n"/>
      <c r="O200" s="25" t="n"/>
      <c r="P200" s="25" t="n"/>
      <c r="Q200" s="25" t="n"/>
    </row>
    <row r="201">
      <c r="E201" s="24">
        <f>'클럭 정리'!A202</f>
        <v/>
      </c>
      <c r="F201" s="23">
        <f>'클럭 정리'!O202</f>
        <v/>
      </c>
      <c r="G201" s="25" t="n"/>
      <c r="H201" s="25" t="n"/>
      <c r="I201" s="25" t="n"/>
      <c r="J201" s="25" t="n"/>
      <c r="K201" s="25" t="n"/>
      <c r="L201" s="25" t="n"/>
      <c r="M201" s="25" t="n"/>
      <c r="N201" s="25" t="n"/>
      <c r="O201" s="25" t="n"/>
      <c r="P201" s="25" t="n"/>
      <c r="Q201" s="25" t="n"/>
    </row>
    <row r="202">
      <c r="E202" s="24">
        <f>'클럭 정리'!A203</f>
        <v/>
      </c>
      <c r="F202" s="23">
        <f>'클럭 정리'!O203</f>
        <v/>
      </c>
      <c r="G202" s="25" t="n"/>
      <c r="H202" s="25" t="n"/>
      <c r="I202" s="25" t="n"/>
      <c r="J202" s="25" t="n"/>
      <c r="K202" s="25" t="n"/>
      <c r="L202" s="25" t="n"/>
      <c r="M202" s="25" t="n"/>
      <c r="N202" s="25" t="n"/>
      <c r="O202" s="25" t="n"/>
      <c r="P202" s="25" t="n"/>
      <c r="Q202" s="25" t="n"/>
    </row>
    <row r="203">
      <c r="E203" s="24">
        <f>'클럭 정리'!A204</f>
        <v/>
      </c>
      <c r="F203" s="23">
        <f>'클럭 정리'!O204</f>
        <v/>
      </c>
      <c r="G203" s="25" t="n"/>
      <c r="H203" s="25" t="n"/>
      <c r="I203" s="25" t="n"/>
      <c r="J203" s="25" t="n"/>
      <c r="K203" s="25" t="n"/>
      <c r="L203" s="25" t="n"/>
      <c r="M203" s="25" t="n"/>
      <c r="N203" s="25" t="n"/>
      <c r="O203" s="25" t="n"/>
      <c r="P203" s="25" t="n"/>
      <c r="Q203" s="25" t="n"/>
    </row>
    <row r="204">
      <c r="E204" s="24">
        <f>'클럭 정리'!A205</f>
        <v/>
      </c>
      <c r="F204" s="23">
        <f>'클럭 정리'!O205</f>
        <v/>
      </c>
      <c r="G204" s="25" t="n"/>
      <c r="H204" s="25" t="n"/>
      <c r="I204" s="25" t="n"/>
      <c r="J204" s="25" t="n"/>
      <c r="K204" s="25" t="n"/>
      <c r="L204" s="25" t="n"/>
      <c r="M204" s="25" t="n"/>
      <c r="N204" s="25" t="n"/>
      <c r="O204" s="25" t="n"/>
      <c r="P204" s="25" t="n"/>
      <c r="Q204" s="25" t="n"/>
    </row>
    <row r="205">
      <c r="E205" s="24">
        <f>'클럭 정리'!A206</f>
        <v/>
      </c>
      <c r="F205" s="23">
        <f>'클럭 정리'!O206</f>
        <v/>
      </c>
      <c r="G205" s="25" t="n"/>
      <c r="H205" s="25" t="n"/>
      <c r="I205" s="25" t="n"/>
      <c r="J205" s="25" t="n"/>
      <c r="K205" s="25" t="n"/>
      <c r="L205" s="25" t="n"/>
      <c r="M205" s="25" t="n"/>
      <c r="N205" s="25" t="n"/>
      <c r="O205" s="25" t="n"/>
      <c r="P205" s="25" t="n"/>
      <c r="Q205" s="25" t="n"/>
    </row>
    <row r="206">
      <c r="E206" s="24">
        <f>'클럭 정리'!A207</f>
        <v/>
      </c>
      <c r="F206" s="23">
        <f>'클럭 정리'!O207</f>
        <v/>
      </c>
      <c r="G206" s="25" t="n"/>
      <c r="H206" s="25" t="n"/>
      <c r="I206" s="25" t="n"/>
      <c r="J206" s="25" t="n"/>
      <c r="K206" s="25" t="n"/>
      <c r="L206" s="25" t="n"/>
      <c r="M206" s="25" t="n"/>
      <c r="N206" s="25" t="n"/>
      <c r="O206" s="25" t="n"/>
      <c r="P206" s="25" t="n"/>
      <c r="Q206" s="25" t="n"/>
    </row>
    <row r="207">
      <c r="E207" s="24">
        <f>'클럭 정리'!A208</f>
        <v/>
      </c>
      <c r="F207" s="23">
        <f>'클럭 정리'!O208</f>
        <v/>
      </c>
      <c r="G207" s="25" t="n"/>
      <c r="H207" s="25" t="n"/>
      <c r="I207" s="25" t="n"/>
      <c r="J207" s="25" t="n"/>
      <c r="K207" s="25" t="n"/>
      <c r="L207" s="25" t="n"/>
      <c r="M207" s="25" t="n"/>
      <c r="N207" s="25" t="n"/>
      <c r="O207" s="25" t="n"/>
      <c r="P207" s="25" t="n"/>
      <c r="Q207" s="25" t="n"/>
    </row>
    <row r="208">
      <c r="E208" s="24">
        <f>'클럭 정리'!A209</f>
        <v/>
      </c>
      <c r="F208" s="23">
        <f>'클럭 정리'!O209</f>
        <v/>
      </c>
      <c r="G208" s="25" t="n"/>
      <c r="H208" s="25" t="n"/>
      <c r="I208" s="25" t="n"/>
      <c r="J208" s="25" t="n"/>
      <c r="K208" s="25" t="n"/>
      <c r="L208" s="25" t="n"/>
      <c r="M208" s="25" t="n"/>
      <c r="N208" s="25" t="n"/>
      <c r="O208" s="25" t="n"/>
      <c r="P208" s="25" t="n"/>
      <c r="Q208" s="25" t="n"/>
    </row>
    <row r="209">
      <c r="E209" s="24">
        <f>'클럭 정리'!A210</f>
        <v/>
      </c>
      <c r="F209" s="23">
        <f>'클럭 정리'!O210</f>
        <v/>
      </c>
      <c r="G209" s="25" t="n"/>
      <c r="H209" s="25" t="n"/>
      <c r="I209" s="25" t="n"/>
      <c r="J209" s="25" t="n"/>
      <c r="K209" s="25" t="n"/>
      <c r="L209" s="25" t="n"/>
      <c r="M209" s="25" t="n"/>
      <c r="N209" s="25" t="n"/>
      <c r="O209" s="25" t="n"/>
      <c r="P209" s="25" t="n"/>
      <c r="Q209" s="25" t="n"/>
    </row>
    <row r="210">
      <c r="E210" s="24">
        <f>'클럭 정리'!A211</f>
        <v/>
      </c>
      <c r="F210" s="23">
        <f>'클럭 정리'!O211</f>
        <v/>
      </c>
      <c r="G210" s="25" t="n"/>
      <c r="H210" s="25" t="n"/>
      <c r="I210" s="25" t="n"/>
      <c r="J210" s="25" t="n"/>
      <c r="K210" s="25" t="n"/>
      <c r="L210" s="25" t="n"/>
      <c r="M210" s="25" t="n"/>
      <c r="N210" s="25" t="n"/>
      <c r="O210" s="25" t="n"/>
      <c r="P210" s="25" t="n"/>
      <c r="Q210" s="25" t="n"/>
    </row>
    <row r="211">
      <c r="E211" s="24">
        <f>'클럭 정리'!A212</f>
        <v/>
      </c>
      <c r="F211" s="23">
        <f>'클럭 정리'!O212</f>
        <v/>
      </c>
      <c r="G211" s="25" t="n"/>
      <c r="H211" s="25" t="n"/>
      <c r="I211" s="25" t="n"/>
      <c r="J211" s="25" t="n"/>
      <c r="K211" s="25" t="n"/>
      <c r="L211" s="25" t="n"/>
      <c r="M211" s="25" t="n"/>
      <c r="N211" s="25" t="n"/>
      <c r="O211" s="25" t="n"/>
      <c r="P211" s="25" t="n"/>
      <c r="Q211" s="25" t="n"/>
    </row>
    <row r="212">
      <c r="E212" s="24">
        <f>'클럭 정리'!A213</f>
        <v/>
      </c>
      <c r="F212" s="23">
        <f>'클럭 정리'!O213</f>
        <v/>
      </c>
      <c r="G212" s="25" t="n"/>
      <c r="H212" s="25" t="n"/>
      <c r="I212" s="25" t="n"/>
      <c r="J212" s="25" t="n"/>
      <c r="K212" s="25" t="n"/>
      <c r="L212" s="25" t="n"/>
      <c r="M212" s="25" t="n"/>
      <c r="N212" s="25" t="n"/>
      <c r="O212" s="25" t="n"/>
      <c r="P212" s="25" t="n"/>
      <c r="Q212" s="25" t="n"/>
    </row>
    <row r="213">
      <c r="E213" s="24">
        <f>'클럭 정리'!A214</f>
        <v/>
      </c>
      <c r="F213" s="23">
        <f>'클럭 정리'!O214</f>
        <v/>
      </c>
      <c r="G213" s="25" t="n"/>
      <c r="H213" s="25" t="n"/>
      <c r="I213" s="25" t="n"/>
      <c r="J213" s="25" t="n"/>
      <c r="K213" s="25" t="n"/>
      <c r="L213" s="25" t="n"/>
      <c r="M213" s="25" t="n"/>
      <c r="N213" s="25" t="n"/>
      <c r="O213" s="25" t="n"/>
      <c r="P213" s="25" t="n"/>
      <c r="Q213" s="25" t="n"/>
    </row>
    <row r="214">
      <c r="E214" s="24">
        <f>'클럭 정리'!A215</f>
        <v/>
      </c>
      <c r="F214" s="23">
        <f>'클럭 정리'!O215</f>
        <v/>
      </c>
      <c r="G214" s="25" t="n"/>
      <c r="H214" s="25" t="n"/>
      <c r="I214" s="25" t="n"/>
      <c r="J214" s="25" t="n"/>
      <c r="K214" s="25" t="n"/>
      <c r="L214" s="25" t="n"/>
      <c r="M214" s="25" t="n"/>
      <c r="N214" s="25" t="n"/>
      <c r="O214" s="25" t="n"/>
      <c r="P214" s="25" t="n"/>
      <c r="Q214" s="25" t="n"/>
    </row>
    <row r="215">
      <c r="E215" s="24">
        <f>'클럭 정리'!A216</f>
        <v/>
      </c>
      <c r="F215" s="23">
        <f>'클럭 정리'!O216</f>
        <v/>
      </c>
      <c r="G215" s="25" t="n"/>
      <c r="H215" s="25" t="n"/>
      <c r="I215" s="25" t="n"/>
      <c r="J215" s="25" t="n"/>
      <c r="K215" s="25" t="n"/>
      <c r="L215" s="25" t="n"/>
      <c r="M215" s="25" t="n"/>
      <c r="N215" s="25" t="n"/>
      <c r="O215" s="25" t="n"/>
      <c r="P215" s="25" t="n"/>
      <c r="Q215" s="25" t="n"/>
    </row>
    <row r="216">
      <c r="E216" s="24">
        <f>'클럭 정리'!A217</f>
        <v/>
      </c>
      <c r="F216" s="23">
        <f>'클럭 정리'!O217</f>
        <v/>
      </c>
      <c r="G216" s="25" t="n"/>
      <c r="H216" s="25" t="n"/>
      <c r="I216" s="25" t="n"/>
      <c r="J216" s="25" t="n"/>
      <c r="K216" s="25" t="n"/>
      <c r="L216" s="25" t="n"/>
      <c r="M216" s="25" t="n"/>
      <c r="N216" s="25" t="n"/>
      <c r="O216" s="25" t="n"/>
      <c r="P216" s="25" t="n"/>
      <c r="Q216" s="25" t="n"/>
    </row>
    <row r="217">
      <c r="E217" s="24">
        <f>'클럭 정리'!A218</f>
        <v/>
      </c>
      <c r="F217" s="23">
        <f>'클럭 정리'!O218</f>
        <v/>
      </c>
      <c r="G217" s="25" t="n"/>
      <c r="H217" s="25" t="n"/>
      <c r="I217" s="25" t="n"/>
      <c r="J217" s="25" t="n"/>
      <c r="K217" s="25" t="n"/>
      <c r="L217" s="25" t="n"/>
      <c r="M217" s="25" t="n"/>
      <c r="N217" s="25" t="n"/>
      <c r="O217" s="25" t="n"/>
      <c r="P217" s="25" t="n"/>
      <c r="Q217" s="25" t="n"/>
    </row>
    <row r="218">
      <c r="E218" s="24">
        <f>'클럭 정리'!A219</f>
        <v/>
      </c>
      <c r="F218" s="23">
        <f>'클럭 정리'!O219</f>
        <v/>
      </c>
      <c r="G218" s="25" t="n"/>
      <c r="H218" s="25" t="n"/>
      <c r="I218" s="25" t="n"/>
      <c r="J218" s="25" t="n"/>
      <c r="K218" s="25" t="n"/>
      <c r="L218" s="25" t="n"/>
      <c r="M218" s="25" t="n"/>
      <c r="N218" s="25" t="n"/>
      <c r="O218" s="25" t="n"/>
      <c r="P218" s="25" t="n"/>
      <c r="Q218" s="25" t="n"/>
    </row>
    <row r="219">
      <c r="E219" s="24">
        <f>'클럭 정리'!A220</f>
        <v/>
      </c>
      <c r="F219" s="23">
        <f>'클럭 정리'!O220</f>
        <v/>
      </c>
      <c r="G219" s="25" t="n"/>
      <c r="H219" s="25" t="n"/>
      <c r="I219" s="25" t="n"/>
      <c r="J219" s="25" t="n"/>
      <c r="K219" s="25" t="n"/>
      <c r="L219" s="25" t="n"/>
      <c r="M219" s="25" t="n"/>
      <c r="N219" s="25" t="n"/>
      <c r="O219" s="25" t="n"/>
      <c r="P219" s="25" t="n"/>
      <c r="Q219" s="25" t="n"/>
    </row>
    <row r="220">
      <c r="E220" s="24">
        <f>'클럭 정리'!A221</f>
        <v/>
      </c>
      <c r="F220" s="23">
        <f>'클럭 정리'!O221</f>
        <v/>
      </c>
      <c r="G220" s="25" t="n"/>
      <c r="H220" s="25" t="n"/>
      <c r="I220" s="25" t="n"/>
      <c r="J220" s="25" t="n"/>
      <c r="K220" s="25" t="n"/>
      <c r="L220" s="25" t="n"/>
      <c r="M220" s="25" t="n"/>
      <c r="N220" s="25" t="n"/>
      <c r="O220" s="25" t="n"/>
      <c r="P220" s="25" t="n"/>
      <c r="Q220" s="25" t="n"/>
    </row>
    <row r="221">
      <c r="E221" s="24">
        <f>'클럭 정리'!A222</f>
        <v/>
      </c>
      <c r="F221" s="23">
        <f>'클럭 정리'!O222</f>
        <v/>
      </c>
      <c r="G221" s="25" t="n"/>
      <c r="H221" s="25" t="n"/>
      <c r="I221" s="25" t="n"/>
      <c r="J221" s="25" t="n"/>
      <c r="K221" s="25" t="n"/>
      <c r="L221" s="25" t="n"/>
      <c r="M221" s="25" t="n"/>
      <c r="N221" s="25" t="n"/>
      <c r="O221" s="25" t="n"/>
      <c r="P221" s="25" t="n"/>
      <c r="Q221" s="25" t="n"/>
    </row>
    <row r="222">
      <c r="E222" s="24">
        <f>'클럭 정리'!A223</f>
        <v/>
      </c>
      <c r="F222" s="23">
        <f>'클럭 정리'!O223</f>
        <v/>
      </c>
      <c r="G222" s="25" t="n"/>
      <c r="H222" s="25" t="n"/>
      <c r="I222" s="25" t="n"/>
      <c r="J222" s="25" t="n"/>
      <c r="K222" s="25" t="n"/>
      <c r="L222" s="25" t="n"/>
      <c r="M222" s="25" t="n"/>
      <c r="N222" s="25" t="n"/>
      <c r="O222" s="25" t="n"/>
      <c r="P222" s="25" t="n"/>
      <c r="Q222" s="25" t="n"/>
    </row>
    <row r="223">
      <c r="E223" s="24">
        <f>'클럭 정리'!A224</f>
        <v/>
      </c>
      <c r="F223" s="23">
        <f>'클럭 정리'!O224</f>
        <v/>
      </c>
      <c r="G223" s="25" t="n"/>
      <c r="H223" s="25" t="n"/>
      <c r="I223" s="25" t="n"/>
      <c r="J223" s="25" t="n"/>
      <c r="K223" s="25" t="n"/>
      <c r="L223" s="25" t="n"/>
      <c r="M223" s="25" t="n"/>
      <c r="N223" s="25" t="n"/>
      <c r="O223" s="25" t="n"/>
      <c r="P223" s="25" t="n"/>
      <c r="Q223" s="25" t="n"/>
    </row>
    <row r="224">
      <c r="E224" s="24">
        <f>'클럭 정리'!A225</f>
        <v/>
      </c>
      <c r="F224" s="23">
        <f>'클럭 정리'!O225</f>
        <v/>
      </c>
      <c r="G224" s="25" t="n"/>
      <c r="H224" s="25" t="n"/>
      <c r="I224" s="25" t="n"/>
      <c r="J224" s="25" t="n"/>
      <c r="K224" s="25" t="n"/>
      <c r="L224" s="25" t="n"/>
      <c r="M224" s="25" t="n"/>
      <c r="N224" s="25" t="n"/>
      <c r="O224" s="25" t="n"/>
      <c r="P224" s="25" t="n"/>
      <c r="Q224" s="25" t="n"/>
    </row>
    <row r="225">
      <c r="E225" s="24">
        <f>'클럭 정리'!A226</f>
        <v/>
      </c>
      <c r="F225" s="23">
        <f>'클럭 정리'!O226</f>
        <v/>
      </c>
      <c r="G225" s="25" t="n"/>
      <c r="H225" s="25" t="n"/>
      <c r="I225" s="25" t="n"/>
      <c r="J225" s="25" t="n"/>
      <c r="K225" s="25" t="n"/>
      <c r="L225" s="25" t="n"/>
      <c r="M225" s="25" t="n"/>
      <c r="N225" s="25" t="n"/>
      <c r="O225" s="25" t="n"/>
      <c r="P225" s="25" t="n"/>
      <c r="Q225" s="25" t="n"/>
    </row>
    <row r="226">
      <c r="E226" s="24">
        <f>'클럭 정리'!A227</f>
        <v/>
      </c>
      <c r="F226" s="23">
        <f>'클럭 정리'!O227</f>
        <v/>
      </c>
      <c r="G226" s="25" t="n"/>
      <c r="H226" s="25" t="n"/>
      <c r="I226" s="25" t="n"/>
      <c r="J226" s="25" t="n"/>
      <c r="K226" s="25" t="n"/>
      <c r="L226" s="25" t="n"/>
      <c r="M226" s="25" t="n"/>
      <c r="N226" s="25" t="n"/>
      <c r="O226" s="25" t="n"/>
      <c r="P226" s="25" t="n"/>
      <c r="Q226" s="25" t="n"/>
    </row>
    <row r="227">
      <c r="E227" s="24">
        <f>'클럭 정리'!A228</f>
        <v/>
      </c>
      <c r="F227" s="23">
        <f>'클럭 정리'!O228</f>
        <v/>
      </c>
      <c r="G227" s="25" t="n"/>
      <c r="H227" s="25" t="n"/>
      <c r="I227" s="25" t="n"/>
      <c r="J227" s="25" t="n"/>
      <c r="K227" s="25" t="n"/>
      <c r="L227" s="25" t="n"/>
      <c r="M227" s="25" t="n"/>
      <c r="N227" s="25" t="n"/>
      <c r="O227" s="25" t="n"/>
      <c r="P227" s="25" t="n"/>
      <c r="Q227" s="25" t="n"/>
    </row>
    <row r="228">
      <c r="E228" s="24">
        <f>'클럭 정리'!A229</f>
        <v/>
      </c>
      <c r="F228" s="23">
        <f>'클럭 정리'!O229</f>
        <v/>
      </c>
      <c r="G228" s="25" t="n"/>
      <c r="H228" s="25" t="n"/>
      <c r="I228" s="25" t="n"/>
      <c r="J228" s="25" t="n"/>
      <c r="K228" s="25" t="n"/>
      <c r="L228" s="25" t="n"/>
      <c r="M228" s="25" t="n"/>
      <c r="N228" s="25" t="n"/>
      <c r="O228" s="25" t="n"/>
      <c r="P228" s="25" t="n"/>
      <c r="Q228" s="25" t="n"/>
    </row>
    <row r="229">
      <c r="E229" s="24">
        <f>'클럭 정리'!A230</f>
        <v/>
      </c>
      <c r="F229" s="23">
        <f>'클럭 정리'!O230</f>
        <v/>
      </c>
      <c r="G229" s="25" t="n"/>
      <c r="H229" s="25" t="n"/>
      <c r="I229" s="25" t="n"/>
      <c r="J229" s="25" t="n"/>
      <c r="K229" s="25" t="n"/>
      <c r="L229" s="25" t="n"/>
      <c r="M229" s="25" t="n"/>
      <c r="N229" s="25" t="n"/>
      <c r="O229" s="25" t="n"/>
      <c r="P229" s="25" t="n"/>
      <c r="Q229" s="25" t="n"/>
    </row>
    <row r="230">
      <c r="E230" s="24">
        <f>'클럭 정리'!A231</f>
        <v/>
      </c>
      <c r="F230" s="23">
        <f>'클럭 정리'!O231</f>
        <v/>
      </c>
      <c r="G230" s="25" t="n"/>
      <c r="H230" s="25" t="n"/>
      <c r="I230" s="25" t="n"/>
      <c r="J230" s="25" t="n"/>
      <c r="K230" s="25" t="n"/>
      <c r="L230" s="25" t="n"/>
      <c r="M230" s="25" t="n"/>
      <c r="N230" s="25" t="n"/>
      <c r="O230" s="25" t="n"/>
      <c r="P230" s="25" t="n"/>
      <c r="Q230" s="25" t="n"/>
    </row>
    <row r="231">
      <c r="E231" s="24">
        <f>'클럭 정리'!A232</f>
        <v/>
      </c>
      <c r="F231" s="23">
        <f>'클럭 정리'!O232</f>
        <v/>
      </c>
      <c r="G231" s="25" t="n"/>
      <c r="H231" s="25" t="n"/>
      <c r="I231" s="25" t="n"/>
      <c r="J231" s="25" t="n"/>
      <c r="K231" s="25" t="n"/>
      <c r="L231" s="25" t="n"/>
      <c r="M231" s="25" t="n"/>
      <c r="N231" s="25" t="n"/>
      <c r="O231" s="25" t="n"/>
      <c r="P231" s="25" t="n"/>
      <c r="Q231" s="25" t="n"/>
    </row>
    <row r="232">
      <c r="E232" s="24">
        <f>'클럭 정리'!A233</f>
        <v/>
      </c>
      <c r="F232" s="23">
        <f>'클럭 정리'!O233</f>
        <v/>
      </c>
      <c r="G232" s="25" t="n"/>
      <c r="H232" s="25" t="n"/>
      <c r="I232" s="25" t="n"/>
      <c r="J232" s="25" t="n"/>
      <c r="K232" s="25" t="n"/>
      <c r="L232" s="25" t="n"/>
      <c r="M232" s="25" t="n"/>
      <c r="N232" s="25" t="n"/>
      <c r="O232" s="25" t="n"/>
      <c r="P232" s="25" t="n"/>
      <c r="Q232" s="25" t="n"/>
    </row>
    <row r="233">
      <c r="E233" s="24">
        <f>'클럭 정리'!A234</f>
        <v/>
      </c>
      <c r="F233" s="23">
        <f>'클럭 정리'!O234</f>
        <v/>
      </c>
      <c r="G233" s="25" t="n"/>
      <c r="H233" s="25" t="n"/>
      <c r="I233" s="25" t="n"/>
      <c r="J233" s="25" t="n"/>
      <c r="K233" s="25" t="n"/>
      <c r="L233" s="25" t="n"/>
      <c r="M233" s="25" t="n"/>
      <c r="N233" s="25" t="n"/>
      <c r="O233" s="25" t="n"/>
      <c r="P233" s="25" t="n"/>
      <c r="Q233" s="25" t="n"/>
    </row>
    <row r="234">
      <c r="E234" s="24">
        <f>'클럭 정리'!A235</f>
        <v/>
      </c>
      <c r="F234" s="23">
        <f>'클럭 정리'!O235</f>
        <v/>
      </c>
      <c r="G234" s="25" t="n"/>
      <c r="H234" s="25" t="n"/>
      <c r="I234" s="25" t="n"/>
      <c r="J234" s="25" t="n"/>
      <c r="K234" s="25" t="n"/>
      <c r="L234" s="25" t="n"/>
      <c r="M234" s="25" t="n"/>
      <c r="N234" s="25" t="n"/>
      <c r="O234" s="25" t="n"/>
      <c r="P234" s="25" t="n"/>
      <c r="Q234" s="25" t="n"/>
    </row>
    <row r="235">
      <c r="E235" s="24">
        <f>'클럭 정리'!A236</f>
        <v/>
      </c>
      <c r="F235" s="23">
        <f>'클럭 정리'!O236</f>
        <v/>
      </c>
      <c r="G235" s="25" t="n"/>
      <c r="H235" s="25" t="n"/>
      <c r="I235" s="25" t="n"/>
      <c r="J235" s="25" t="n"/>
      <c r="K235" s="25" t="n"/>
      <c r="L235" s="25" t="n"/>
      <c r="M235" s="25" t="n"/>
      <c r="N235" s="25" t="n"/>
      <c r="O235" s="25" t="n"/>
      <c r="P235" s="25" t="n"/>
      <c r="Q235" s="25" t="n"/>
    </row>
    <row r="236">
      <c r="E236" s="24">
        <f>'클럭 정리'!A237</f>
        <v/>
      </c>
      <c r="F236" s="23">
        <f>'클럭 정리'!O237</f>
        <v/>
      </c>
      <c r="G236" s="25" t="n"/>
      <c r="H236" s="25" t="n"/>
      <c r="I236" s="25" t="n"/>
      <c r="J236" s="25" t="n"/>
      <c r="K236" s="25" t="n"/>
      <c r="L236" s="25" t="n"/>
      <c r="M236" s="25" t="n"/>
      <c r="N236" s="25" t="n"/>
      <c r="O236" s="25" t="n"/>
      <c r="P236" s="25" t="n"/>
      <c r="Q236" s="25" t="n"/>
    </row>
    <row r="237">
      <c r="E237" s="24">
        <f>'클럭 정리'!A238</f>
        <v/>
      </c>
      <c r="F237" s="23">
        <f>'클럭 정리'!O238</f>
        <v/>
      </c>
      <c r="G237" s="25" t="n"/>
      <c r="H237" s="25" t="n"/>
      <c r="I237" s="25" t="n"/>
      <c r="J237" s="25" t="n"/>
      <c r="K237" s="25" t="n"/>
      <c r="L237" s="25" t="n"/>
      <c r="M237" s="25" t="n"/>
      <c r="N237" s="25" t="n"/>
      <c r="O237" s="25" t="n"/>
      <c r="P237" s="25" t="n"/>
      <c r="Q237" s="25" t="n"/>
    </row>
    <row r="238">
      <c r="E238" s="24">
        <f>'클럭 정리'!A239</f>
        <v/>
      </c>
      <c r="F238" s="23">
        <f>'클럭 정리'!O239</f>
        <v/>
      </c>
      <c r="G238" s="25" t="n"/>
      <c r="H238" s="25" t="n"/>
      <c r="I238" s="25" t="n"/>
      <c r="J238" s="25" t="n"/>
      <c r="K238" s="25" t="n"/>
      <c r="L238" s="25" t="n"/>
      <c r="M238" s="25" t="n"/>
      <c r="N238" s="25" t="n"/>
      <c r="O238" s="25" t="n"/>
      <c r="P238" s="25" t="n"/>
      <c r="Q238" s="25" t="n"/>
    </row>
    <row r="239">
      <c r="E239" s="24">
        <f>'클럭 정리'!A240</f>
        <v/>
      </c>
      <c r="F239" s="23">
        <f>'클럭 정리'!O240</f>
        <v/>
      </c>
      <c r="G239" s="25" t="n"/>
      <c r="H239" s="25" t="n"/>
      <c r="I239" s="25" t="n"/>
      <c r="J239" s="25" t="n"/>
      <c r="K239" s="25" t="n"/>
      <c r="L239" s="25" t="n"/>
      <c r="M239" s="25" t="n"/>
      <c r="N239" s="25" t="n"/>
      <c r="O239" s="25" t="n"/>
      <c r="P239" s="25" t="n"/>
      <c r="Q239" s="25" t="n"/>
    </row>
    <row r="240">
      <c r="E240" s="24">
        <f>'클럭 정리'!A241</f>
        <v/>
      </c>
      <c r="F240" s="23">
        <f>'클럭 정리'!O241</f>
        <v/>
      </c>
      <c r="G240" s="25" t="n"/>
      <c r="H240" s="25" t="n"/>
      <c r="I240" s="25" t="n"/>
      <c r="J240" s="25" t="n"/>
      <c r="K240" s="25" t="n"/>
      <c r="L240" s="25" t="n"/>
      <c r="M240" s="25" t="n"/>
      <c r="N240" s="25" t="n"/>
      <c r="O240" s="25" t="n"/>
      <c r="P240" s="25" t="n"/>
      <c r="Q240" s="25" t="n"/>
    </row>
    <row r="241">
      <c r="E241" s="24">
        <f>'클럭 정리'!A242</f>
        <v/>
      </c>
      <c r="F241" s="23">
        <f>'클럭 정리'!O242</f>
        <v/>
      </c>
      <c r="G241" s="25" t="n"/>
      <c r="H241" s="25" t="n"/>
      <c r="I241" s="25" t="n"/>
      <c r="J241" s="25" t="n"/>
      <c r="K241" s="25" t="n"/>
      <c r="L241" s="25" t="n"/>
      <c r="M241" s="25" t="n"/>
      <c r="N241" s="25" t="n"/>
      <c r="O241" s="25" t="n"/>
      <c r="P241" s="25" t="n"/>
      <c r="Q241" s="25" t="n"/>
    </row>
    <row r="242">
      <c r="E242" s="24">
        <f>'클럭 정리'!A243</f>
        <v/>
      </c>
      <c r="F242" s="23">
        <f>'클럭 정리'!O243</f>
        <v/>
      </c>
      <c r="G242" s="25" t="n"/>
      <c r="H242" s="25" t="n"/>
      <c r="I242" s="25" t="n"/>
      <c r="J242" s="25" t="n"/>
      <c r="K242" s="25" t="n"/>
      <c r="L242" s="25" t="n"/>
      <c r="M242" s="25" t="n"/>
      <c r="N242" s="25" t="n"/>
      <c r="O242" s="25" t="n"/>
      <c r="P242" s="25" t="n"/>
      <c r="Q242" s="25" t="n"/>
    </row>
    <row r="243">
      <c r="E243" s="24">
        <f>'클럭 정리'!A244</f>
        <v/>
      </c>
      <c r="F243" s="23">
        <f>'클럭 정리'!O244</f>
        <v/>
      </c>
      <c r="G243" s="25" t="n"/>
      <c r="H243" s="25" t="n"/>
      <c r="I243" s="25" t="n"/>
      <c r="J243" s="25" t="n"/>
      <c r="K243" s="25" t="n"/>
      <c r="L243" s="25" t="n"/>
      <c r="M243" s="25" t="n"/>
      <c r="N243" s="25" t="n"/>
      <c r="O243" s="25" t="n"/>
      <c r="P243" s="25" t="n"/>
      <c r="Q243" s="25" t="n"/>
    </row>
    <row r="244">
      <c r="E244" s="24">
        <f>'클럭 정리'!A245</f>
        <v/>
      </c>
      <c r="F244" s="23">
        <f>'클럭 정리'!O245</f>
        <v/>
      </c>
      <c r="G244" s="25" t="n"/>
      <c r="H244" s="25" t="n"/>
      <c r="I244" s="25" t="n"/>
      <c r="J244" s="25" t="n"/>
      <c r="K244" s="25" t="n"/>
      <c r="L244" s="25" t="n"/>
      <c r="M244" s="25" t="n"/>
      <c r="N244" s="25" t="n"/>
      <c r="O244" s="25" t="n"/>
      <c r="P244" s="25" t="n"/>
      <c r="Q244" s="25" t="n"/>
    </row>
    <row r="245">
      <c r="E245" s="24">
        <f>'클럭 정리'!A246</f>
        <v/>
      </c>
      <c r="F245" s="23">
        <f>'클럭 정리'!O246</f>
        <v/>
      </c>
      <c r="G245" s="25" t="n"/>
      <c r="H245" s="25" t="n"/>
      <c r="I245" s="25" t="n"/>
      <c r="J245" s="25" t="n"/>
      <c r="K245" s="25" t="n"/>
      <c r="L245" s="25" t="n"/>
      <c r="M245" s="25" t="n"/>
      <c r="N245" s="25" t="n"/>
      <c r="O245" s="25" t="n"/>
      <c r="P245" s="25" t="n"/>
      <c r="Q245" s="25" t="n"/>
    </row>
    <row r="246">
      <c r="E246" s="24">
        <f>'클럭 정리'!A247</f>
        <v/>
      </c>
      <c r="F246" s="23">
        <f>'클럭 정리'!O247</f>
        <v/>
      </c>
      <c r="G246" s="25" t="n"/>
      <c r="H246" s="25" t="n"/>
      <c r="I246" s="25" t="n"/>
      <c r="J246" s="25" t="n"/>
      <c r="K246" s="25" t="n"/>
      <c r="L246" s="25" t="n"/>
      <c r="M246" s="25" t="n"/>
      <c r="N246" s="25" t="n"/>
      <c r="O246" s="25" t="n"/>
      <c r="P246" s="25" t="n"/>
      <c r="Q246" s="25" t="n"/>
    </row>
    <row r="247">
      <c r="E247" s="24">
        <f>'클럭 정리'!A248</f>
        <v/>
      </c>
      <c r="F247" s="23">
        <f>'클럭 정리'!O248</f>
        <v/>
      </c>
      <c r="G247" s="25" t="n"/>
      <c r="H247" s="25" t="n"/>
      <c r="I247" s="25" t="n"/>
      <c r="J247" s="25" t="n"/>
      <c r="K247" s="25" t="n"/>
      <c r="L247" s="25" t="n"/>
      <c r="M247" s="25" t="n"/>
      <c r="N247" s="25" t="n"/>
      <c r="O247" s="25" t="n"/>
      <c r="P247" s="25" t="n"/>
      <c r="Q247" s="25" t="n"/>
    </row>
    <row r="248">
      <c r="E248" s="24">
        <f>'클럭 정리'!A249</f>
        <v/>
      </c>
      <c r="F248" s="23">
        <f>'클럭 정리'!O249</f>
        <v/>
      </c>
      <c r="G248" s="25" t="n"/>
      <c r="H248" s="25" t="n"/>
      <c r="I248" s="25" t="n"/>
      <c r="J248" s="25" t="n"/>
      <c r="K248" s="25" t="n"/>
      <c r="L248" s="25" t="n"/>
      <c r="M248" s="25" t="n"/>
      <c r="N248" s="25" t="n"/>
      <c r="O248" s="25" t="n"/>
      <c r="P248" s="25" t="n"/>
      <c r="Q248" s="25" t="n"/>
    </row>
    <row r="249">
      <c r="E249" s="24">
        <f>'클럭 정리'!A250</f>
        <v/>
      </c>
      <c r="F249" s="23">
        <f>'클럭 정리'!O250</f>
        <v/>
      </c>
      <c r="G249" s="25" t="n"/>
      <c r="H249" s="25" t="n"/>
      <c r="I249" s="25" t="n"/>
      <c r="J249" s="25" t="n"/>
      <c r="K249" s="25" t="n"/>
      <c r="L249" s="25" t="n"/>
      <c r="M249" s="25" t="n"/>
      <c r="N249" s="25" t="n"/>
      <c r="O249" s="25" t="n"/>
      <c r="P249" s="25" t="n"/>
      <c r="Q249" s="25" t="n"/>
    </row>
    <row r="250">
      <c r="E250" s="24">
        <f>'클럭 정리'!A251</f>
        <v/>
      </c>
      <c r="F250" s="23">
        <f>'클럭 정리'!O251</f>
        <v/>
      </c>
      <c r="G250" s="25" t="n"/>
      <c r="H250" s="25" t="n"/>
      <c r="I250" s="25" t="n"/>
      <c r="J250" s="25" t="n"/>
      <c r="K250" s="25" t="n"/>
      <c r="L250" s="25" t="n"/>
      <c r="M250" s="25" t="n"/>
      <c r="N250" s="25" t="n"/>
      <c r="O250" s="25" t="n"/>
      <c r="P250" s="25" t="n"/>
      <c r="Q250" s="25" t="n"/>
    </row>
    <row r="251">
      <c r="E251" s="24">
        <f>'클럭 정리'!A252</f>
        <v/>
      </c>
      <c r="F251" s="23">
        <f>'클럭 정리'!O252</f>
        <v/>
      </c>
      <c r="G251" s="25" t="n"/>
      <c r="H251" s="25" t="n"/>
      <c r="I251" s="25" t="n"/>
      <c r="J251" s="25" t="n"/>
      <c r="K251" s="25" t="n"/>
      <c r="L251" s="25" t="n"/>
      <c r="M251" s="25" t="n"/>
      <c r="N251" s="25" t="n"/>
      <c r="O251" s="25" t="n"/>
      <c r="P251" s="25" t="n"/>
      <c r="Q251" s="25" t="n"/>
    </row>
    <row r="252">
      <c r="E252" s="24">
        <f>'클럭 정리'!A253</f>
        <v/>
      </c>
      <c r="F252" s="23">
        <f>'클럭 정리'!O253</f>
        <v/>
      </c>
      <c r="G252" s="25" t="n"/>
      <c r="H252" s="25" t="n"/>
      <c r="I252" s="25" t="n"/>
      <c r="J252" s="25" t="n"/>
      <c r="K252" s="25" t="n"/>
      <c r="L252" s="25" t="n"/>
      <c r="M252" s="25" t="n"/>
      <c r="N252" s="25" t="n"/>
      <c r="O252" s="25" t="n"/>
      <c r="P252" s="25" t="n"/>
      <c r="Q252" s="25" t="n"/>
    </row>
    <row r="253">
      <c r="E253" s="24">
        <f>'클럭 정리'!A254</f>
        <v/>
      </c>
      <c r="F253" s="23">
        <f>'클럭 정리'!O254</f>
        <v/>
      </c>
      <c r="G253" s="25" t="n"/>
      <c r="H253" s="25" t="n"/>
      <c r="I253" s="25" t="n"/>
      <c r="J253" s="25" t="n"/>
      <c r="K253" s="25" t="n"/>
      <c r="L253" s="25" t="n"/>
      <c r="M253" s="25" t="n"/>
      <c r="N253" s="25" t="n"/>
      <c r="O253" s="25" t="n"/>
      <c r="P253" s="25" t="n"/>
      <c r="Q253" s="25" t="n"/>
    </row>
    <row r="254">
      <c r="E254" s="24">
        <f>'클럭 정리'!A255</f>
        <v/>
      </c>
      <c r="F254" s="23">
        <f>'클럭 정리'!O255</f>
        <v/>
      </c>
      <c r="G254" s="25" t="n"/>
      <c r="H254" s="25" t="n"/>
      <c r="I254" s="25" t="n"/>
      <c r="J254" s="25" t="n"/>
      <c r="K254" s="25" t="n"/>
      <c r="L254" s="25" t="n"/>
      <c r="M254" s="25" t="n"/>
      <c r="N254" s="25" t="n"/>
      <c r="O254" s="25" t="n"/>
      <c r="P254" s="25" t="n"/>
      <c r="Q254" s="25" t="n"/>
    </row>
    <row r="255">
      <c r="E255" s="24">
        <f>'클럭 정리'!A256</f>
        <v/>
      </c>
      <c r="F255" s="23">
        <f>'클럭 정리'!O256</f>
        <v/>
      </c>
      <c r="G255" s="25" t="n"/>
      <c r="H255" s="25" t="n"/>
      <c r="I255" s="25" t="n"/>
      <c r="J255" s="25" t="n"/>
      <c r="K255" s="25" t="n"/>
      <c r="L255" s="25" t="n"/>
      <c r="M255" s="25" t="n"/>
      <c r="N255" s="25" t="n"/>
      <c r="O255" s="25" t="n"/>
      <c r="P255" s="25" t="n"/>
      <c r="Q255" s="25" t="n"/>
    </row>
    <row r="256">
      <c r="E256" s="24">
        <f>'클럭 정리'!A257</f>
        <v/>
      </c>
      <c r="F256" s="23">
        <f>'클럭 정리'!O257</f>
        <v/>
      </c>
      <c r="G256" s="25" t="n"/>
      <c r="H256" s="25" t="n"/>
      <c r="I256" s="25" t="n"/>
      <c r="J256" s="25" t="n"/>
      <c r="K256" s="25" t="n"/>
      <c r="L256" s="25" t="n"/>
      <c r="M256" s="25" t="n"/>
      <c r="N256" s="25" t="n"/>
      <c r="O256" s="25" t="n"/>
      <c r="P256" s="25" t="n"/>
      <c r="Q256" s="25" t="n"/>
    </row>
    <row r="257">
      <c r="E257" s="24">
        <f>'클럭 정리'!A258</f>
        <v/>
      </c>
      <c r="F257" s="23">
        <f>'클럭 정리'!O258</f>
        <v/>
      </c>
      <c r="G257" s="25" t="n"/>
      <c r="H257" s="25" t="n"/>
      <c r="I257" s="25" t="n"/>
      <c r="J257" s="25" t="n"/>
      <c r="K257" s="25" t="n"/>
      <c r="L257" s="25" t="n"/>
      <c r="M257" s="25" t="n"/>
      <c r="N257" s="25" t="n"/>
      <c r="O257" s="25" t="n"/>
      <c r="P257" s="25" t="n"/>
      <c r="Q257" s="25" t="n"/>
    </row>
    <row r="258">
      <c r="E258" s="24">
        <f>'클럭 정리'!A259</f>
        <v/>
      </c>
      <c r="F258" s="23">
        <f>'클럭 정리'!O259</f>
        <v/>
      </c>
      <c r="G258" s="25" t="n"/>
      <c r="H258" s="25" t="n"/>
      <c r="I258" s="25" t="n"/>
      <c r="J258" s="25" t="n"/>
      <c r="K258" s="25" t="n"/>
      <c r="L258" s="25" t="n"/>
      <c r="M258" s="25" t="n"/>
      <c r="N258" s="25" t="n"/>
      <c r="O258" s="25" t="n"/>
      <c r="P258" s="25" t="n"/>
      <c r="Q258" s="25" t="n"/>
    </row>
    <row r="259">
      <c r="E259" s="24">
        <f>'클럭 정리'!A260</f>
        <v/>
      </c>
      <c r="F259" s="23">
        <f>'클럭 정리'!O260</f>
        <v/>
      </c>
      <c r="G259" s="25" t="n"/>
      <c r="H259" s="25" t="n"/>
      <c r="I259" s="25" t="n"/>
      <c r="J259" s="25" t="n"/>
      <c r="K259" s="25" t="n"/>
      <c r="L259" s="25" t="n"/>
      <c r="M259" s="25" t="n"/>
      <c r="N259" s="25" t="n"/>
      <c r="O259" s="25" t="n"/>
      <c r="P259" s="25" t="n"/>
      <c r="Q259" s="25" t="n"/>
    </row>
    <row r="260">
      <c r="E260" s="24">
        <f>'클럭 정리'!A261</f>
        <v/>
      </c>
      <c r="F260" s="23">
        <f>'클럭 정리'!O261</f>
        <v/>
      </c>
      <c r="G260" s="25" t="n"/>
      <c r="H260" s="25" t="n"/>
      <c r="I260" s="25" t="n"/>
      <c r="J260" s="25" t="n"/>
      <c r="K260" s="25" t="n"/>
      <c r="L260" s="25" t="n"/>
      <c r="M260" s="25" t="n"/>
      <c r="N260" s="25" t="n"/>
      <c r="O260" s="25" t="n"/>
      <c r="P260" s="25" t="n"/>
      <c r="Q260" s="25" t="n"/>
    </row>
    <row r="261">
      <c r="E261" s="24">
        <f>'클럭 정리'!A262</f>
        <v/>
      </c>
      <c r="F261" s="23">
        <f>'클럭 정리'!O262</f>
        <v/>
      </c>
      <c r="G261" s="25" t="n"/>
      <c r="H261" s="25" t="n"/>
      <c r="I261" s="25" t="n"/>
      <c r="J261" s="25" t="n"/>
      <c r="K261" s="25" t="n"/>
      <c r="L261" s="25" t="n"/>
      <c r="M261" s="25" t="n"/>
      <c r="N261" s="25" t="n"/>
      <c r="O261" s="25" t="n"/>
      <c r="P261" s="25" t="n"/>
      <c r="Q261" s="25" t="n"/>
    </row>
    <row r="262">
      <c r="E262" s="24">
        <f>'클럭 정리'!A263</f>
        <v/>
      </c>
      <c r="F262" s="23">
        <f>'클럭 정리'!O263</f>
        <v/>
      </c>
      <c r="G262" s="25" t="n"/>
      <c r="H262" s="25" t="n"/>
      <c r="I262" s="25" t="n"/>
      <c r="J262" s="25" t="n"/>
      <c r="K262" s="25" t="n"/>
      <c r="L262" s="25" t="n"/>
      <c r="M262" s="25" t="n"/>
      <c r="N262" s="25" t="n"/>
      <c r="O262" s="25" t="n"/>
      <c r="P262" s="25" t="n"/>
      <c r="Q262" s="25" t="n"/>
    </row>
    <row r="263">
      <c r="E263" s="24">
        <f>'클럭 정리'!A264</f>
        <v/>
      </c>
      <c r="F263" s="23">
        <f>'클럭 정리'!O264</f>
        <v/>
      </c>
      <c r="G263" s="25" t="n"/>
      <c r="H263" s="25" t="n"/>
      <c r="I263" s="25" t="n"/>
      <c r="J263" s="25" t="n"/>
      <c r="K263" s="25" t="n"/>
      <c r="L263" s="25" t="n"/>
      <c r="M263" s="25" t="n"/>
      <c r="N263" s="25" t="n"/>
      <c r="O263" s="25" t="n"/>
      <c r="P263" s="25" t="n"/>
      <c r="Q263" s="25" t="n"/>
    </row>
    <row r="264">
      <c r="E264" s="24">
        <f>'클럭 정리'!A265</f>
        <v/>
      </c>
      <c r="F264" s="23">
        <f>'클럭 정리'!O265</f>
        <v/>
      </c>
      <c r="G264" s="25" t="n"/>
      <c r="H264" s="25" t="n"/>
      <c r="I264" s="25" t="n"/>
      <c r="J264" s="25" t="n"/>
      <c r="K264" s="25" t="n"/>
      <c r="L264" s="25" t="n"/>
      <c r="M264" s="25" t="n"/>
      <c r="N264" s="25" t="n"/>
      <c r="O264" s="25" t="n"/>
      <c r="P264" s="25" t="n"/>
      <c r="Q264" s="25" t="n"/>
    </row>
    <row r="265">
      <c r="E265" s="24">
        <f>'클럭 정리'!A266</f>
        <v/>
      </c>
      <c r="F265" s="23">
        <f>'클럭 정리'!O266</f>
        <v/>
      </c>
      <c r="G265" s="25" t="n"/>
      <c r="H265" s="25" t="n"/>
      <c r="I265" s="25" t="n"/>
      <c r="J265" s="25" t="n"/>
      <c r="K265" s="25" t="n"/>
      <c r="L265" s="25" t="n"/>
      <c r="M265" s="25" t="n"/>
      <c r="N265" s="25" t="n"/>
      <c r="O265" s="25" t="n"/>
      <c r="P265" s="25" t="n"/>
      <c r="Q265" s="25" t="n"/>
    </row>
    <row r="266">
      <c r="E266" s="24">
        <f>'클럭 정리'!A267</f>
        <v/>
      </c>
      <c r="F266" s="23">
        <f>'클럭 정리'!O267</f>
        <v/>
      </c>
      <c r="G266" s="25" t="n"/>
      <c r="H266" s="25" t="n"/>
      <c r="I266" s="25" t="n"/>
      <c r="J266" s="25" t="n"/>
      <c r="K266" s="25" t="n"/>
      <c r="L266" s="25" t="n"/>
      <c r="M266" s="25" t="n"/>
      <c r="N266" s="25" t="n"/>
      <c r="O266" s="25" t="n"/>
      <c r="P266" s="25" t="n"/>
      <c r="Q266" s="25" t="n"/>
    </row>
    <row r="267">
      <c r="E267" s="24">
        <f>'클럭 정리'!A268</f>
        <v/>
      </c>
      <c r="F267" s="23">
        <f>'클럭 정리'!O268</f>
        <v/>
      </c>
      <c r="G267" s="25" t="n"/>
      <c r="H267" s="25" t="n"/>
      <c r="I267" s="25" t="n"/>
      <c r="J267" s="25" t="n"/>
      <c r="K267" s="25" t="n"/>
      <c r="L267" s="25" t="n"/>
      <c r="M267" s="25" t="n"/>
      <c r="N267" s="25" t="n"/>
      <c r="O267" s="25" t="n"/>
      <c r="P267" s="25" t="n"/>
      <c r="Q267" s="25" t="n"/>
    </row>
    <row r="268">
      <c r="E268" s="24">
        <f>'클럭 정리'!A269</f>
        <v/>
      </c>
      <c r="F268" s="23">
        <f>'클럭 정리'!O269</f>
        <v/>
      </c>
      <c r="G268" s="25" t="n"/>
      <c r="H268" s="25" t="n"/>
      <c r="I268" s="25" t="n"/>
      <c r="J268" s="25" t="n"/>
      <c r="K268" s="25" t="n"/>
      <c r="L268" s="25" t="n"/>
      <c r="M268" s="25" t="n"/>
      <c r="N268" s="25" t="n"/>
      <c r="O268" s="25" t="n"/>
      <c r="P268" s="25" t="n"/>
      <c r="Q268" s="25" t="n"/>
    </row>
    <row r="269">
      <c r="E269" s="24">
        <f>'클럭 정리'!A270</f>
        <v/>
      </c>
      <c r="F269" s="23">
        <f>'클럭 정리'!O270</f>
        <v/>
      </c>
      <c r="G269" s="25" t="n"/>
      <c r="H269" s="25" t="n"/>
      <c r="I269" s="25" t="n"/>
      <c r="J269" s="25" t="n"/>
      <c r="K269" s="25" t="n"/>
      <c r="L269" s="25" t="n"/>
      <c r="M269" s="25" t="n"/>
      <c r="N269" s="25" t="n"/>
      <c r="O269" s="25" t="n"/>
      <c r="P269" s="25" t="n"/>
      <c r="Q269" s="25" t="n"/>
    </row>
    <row r="270">
      <c r="E270" s="24">
        <f>'클럭 정리'!A271</f>
        <v/>
      </c>
      <c r="F270" s="23">
        <f>'클럭 정리'!O271</f>
        <v/>
      </c>
      <c r="G270" s="25" t="n"/>
      <c r="H270" s="25" t="n"/>
      <c r="I270" s="25" t="n"/>
      <c r="J270" s="25" t="n"/>
      <c r="K270" s="25" t="n"/>
      <c r="L270" s="25" t="n"/>
      <c r="M270" s="25" t="n"/>
      <c r="N270" s="25" t="n"/>
      <c r="O270" s="25" t="n"/>
      <c r="P270" s="25" t="n"/>
      <c r="Q270" s="25" t="n"/>
    </row>
    <row r="271">
      <c r="E271" s="24">
        <f>'클럭 정리'!A272</f>
        <v/>
      </c>
      <c r="F271" s="23">
        <f>'클럭 정리'!O272</f>
        <v/>
      </c>
      <c r="G271" s="25" t="n"/>
      <c r="H271" s="25" t="n"/>
      <c r="I271" s="25" t="n"/>
      <c r="J271" s="25" t="n"/>
      <c r="K271" s="25" t="n"/>
      <c r="L271" s="25" t="n"/>
      <c r="M271" s="25" t="n"/>
      <c r="N271" s="25" t="n"/>
      <c r="O271" s="25" t="n"/>
      <c r="P271" s="25" t="n"/>
      <c r="Q271" s="25" t="n"/>
    </row>
    <row r="272">
      <c r="E272" s="24">
        <f>'클럭 정리'!A273</f>
        <v/>
      </c>
      <c r="F272" s="23">
        <f>'클럭 정리'!O273</f>
        <v/>
      </c>
      <c r="G272" s="25" t="n"/>
      <c r="H272" s="25" t="n"/>
      <c r="I272" s="25" t="n"/>
      <c r="J272" s="25" t="n"/>
      <c r="K272" s="25" t="n"/>
      <c r="L272" s="25" t="n"/>
      <c r="M272" s="25" t="n"/>
      <c r="N272" s="25" t="n"/>
      <c r="O272" s="25" t="n"/>
      <c r="P272" s="25" t="n"/>
      <c r="Q272" s="25" t="n"/>
    </row>
    <row r="273">
      <c r="E273" s="24">
        <f>'클럭 정리'!A274</f>
        <v/>
      </c>
      <c r="F273" s="23">
        <f>'클럭 정리'!O274</f>
        <v/>
      </c>
      <c r="G273" s="25" t="n"/>
      <c r="H273" s="25" t="n"/>
      <c r="I273" s="25" t="n"/>
      <c r="J273" s="25" t="n"/>
      <c r="K273" s="25" t="n"/>
      <c r="L273" s="25" t="n"/>
      <c r="M273" s="25" t="n"/>
      <c r="N273" s="25" t="n"/>
      <c r="O273" s="25" t="n"/>
      <c r="P273" s="25" t="n"/>
      <c r="Q273" s="25" t="n"/>
    </row>
    <row r="274">
      <c r="E274" s="24">
        <f>'클럭 정리'!A275</f>
        <v/>
      </c>
      <c r="F274" s="23">
        <f>'클럭 정리'!O275</f>
        <v/>
      </c>
      <c r="G274" s="25" t="n"/>
      <c r="H274" s="25" t="n"/>
      <c r="I274" s="25" t="n"/>
      <c r="J274" s="25" t="n"/>
      <c r="K274" s="25" t="n"/>
      <c r="L274" s="25" t="n"/>
      <c r="M274" s="25" t="n"/>
      <c r="N274" s="25" t="n"/>
      <c r="O274" s="25" t="n"/>
      <c r="P274" s="25" t="n"/>
      <c r="Q274" s="25" t="n"/>
    </row>
    <row r="275">
      <c r="E275" s="24">
        <f>'클럭 정리'!A276</f>
        <v/>
      </c>
      <c r="F275" s="23">
        <f>'클럭 정리'!O276</f>
        <v/>
      </c>
      <c r="G275" s="25" t="n"/>
      <c r="H275" s="25" t="n"/>
      <c r="I275" s="25" t="n"/>
      <c r="J275" s="25" t="n"/>
      <c r="K275" s="25" t="n"/>
      <c r="L275" s="25" t="n"/>
      <c r="M275" s="25" t="n"/>
      <c r="N275" s="25" t="n"/>
      <c r="O275" s="25" t="n"/>
      <c r="P275" s="25" t="n"/>
      <c r="Q275" s="25" t="n"/>
    </row>
    <row r="276">
      <c r="E276" s="24">
        <f>'클럭 정리'!A277</f>
        <v/>
      </c>
      <c r="F276" s="23">
        <f>'클럭 정리'!O277</f>
        <v/>
      </c>
      <c r="G276" s="25" t="n"/>
      <c r="H276" s="25" t="n"/>
      <c r="I276" s="25" t="n"/>
      <c r="J276" s="25" t="n"/>
      <c r="K276" s="25" t="n"/>
      <c r="L276" s="25" t="n"/>
      <c r="M276" s="25" t="n"/>
      <c r="N276" s="25" t="n"/>
      <c r="O276" s="25" t="n"/>
      <c r="P276" s="25" t="n"/>
      <c r="Q276" s="25" t="n"/>
    </row>
    <row r="277">
      <c r="E277" s="24">
        <f>'클럭 정리'!A278</f>
        <v/>
      </c>
      <c r="F277" s="23">
        <f>'클럭 정리'!O278</f>
        <v/>
      </c>
      <c r="G277" s="25" t="n"/>
      <c r="H277" s="25" t="n"/>
      <c r="I277" s="25" t="n"/>
      <c r="J277" s="25" t="n"/>
      <c r="K277" s="25" t="n"/>
      <c r="L277" s="25" t="n"/>
      <c r="M277" s="25" t="n"/>
      <c r="N277" s="25" t="n"/>
      <c r="O277" s="25" t="n"/>
      <c r="P277" s="25" t="n"/>
      <c r="Q277" s="25" t="n"/>
    </row>
    <row r="278">
      <c r="E278" s="24">
        <f>'클럭 정리'!A279</f>
        <v/>
      </c>
      <c r="F278" s="23">
        <f>'클럭 정리'!O279</f>
        <v/>
      </c>
      <c r="G278" s="25" t="n"/>
      <c r="H278" s="25" t="n"/>
      <c r="I278" s="25" t="n"/>
      <c r="J278" s="25" t="n"/>
      <c r="K278" s="25" t="n"/>
      <c r="L278" s="25" t="n"/>
      <c r="M278" s="25" t="n"/>
      <c r="N278" s="25" t="n"/>
      <c r="O278" s="25" t="n"/>
      <c r="P278" s="25" t="n"/>
      <c r="Q278" s="25" t="n"/>
    </row>
    <row r="279">
      <c r="E279" s="24">
        <f>'클럭 정리'!A280</f>
        <v/>
      </c>
      <c r="F279" s="23">
        <f>'클럭 정리'!O280</f>
        <v/>
      </c>
      <c r="G279" s="25" t="n"/>
      <c r="H279" s="25" t="n"/>
      <c r="I279" s="25" t="n"/>
      <c r="J279" s="25" t="n"/>
      <c r="K279" s="25" t="n"/>
      <c r="L279" s="25" t="n"/>
      <c r="M279" s="25" t="n"/>
      <c r="N279" s="25" t="n"/>
      <c r="O279" s="25" t="n"/>
      <c r="P279" s="25" t="n"/>
      <c r="Q279" s="25" t="n"/>
    </row>
    <row r="280">
      <c r="E280" s="24">
        <f>'클럭 정리'!A281</f>
        <v/>
      </c>
      <c r="F280" s="23">
        <f>'클럭 정리'!O281</f>
        <v/>
      </c>
      <c r="G280" s="25" t="n"/>
      <c r="H280" s="25" t="n"/>
      <c r="I280" s="25" t="n"/>
      <c r="J280" s="25" t="n"/>
      <c r="K280" s="25" t="n"/>
      <c r="L280" s="25" t="n"/>
      <c r="M280" s="25" t="n"/>
      <c r="N280" s="25" t="n"/>
      <c r="O280" s="25" t="n"/>
      <c r="P280" s="25" t="n"/>
      <c r="Q280" s="25" t="n"/>
    </row>
    <row r="281">
      <c r="E281" s="24">
        <f>'클럭 정리'!A282</f>
        <v/>
      </c>
      <c r="F281" s="23">
        <f>'클럭 정리'!O282</f>
        <v/>
      </c>
      <c r="G281" s="25" t="n"/>
      <c r="H281" s="25" t="n"/>
      <c r="I281" s="25" t="n"/>
      <c r="J281" s="25" t="n"/>
      <c r="K281" s="25" t="n"/>
      <c r="L281" s="25" t="n"/>
      <c r="M281" s="25" t="n"/>
      <c r="N281" s="25" t="n"/>
      <c r="O281" s="25" t="n"/>
      <c r="P281" s="25" t="n"/>
      <c r="Q281" s="25" t="n"/>
    </row>
    <row r="282">
      <c r="E282" s="24">
        <f>'클럭 정리'!A283</f>
        <v/>
      </c>
      <c r="F282" s="23">
        <f>'클럭 정리'!O283</f>
        <v/>
      </c>
      <c r="G282" s="25" t="n"/>
      <c r="H282" s="25" t="n"/>
      <c r="I282" s="25" t="n"/>
      <c r="J282" s="25" t="n"/>
      <c r="K282" s="25" t="n"/>
      <c r="L282" s="25" t="n"/>
      <c r="M282" s="25" t="n"/>
      <c r="N282" s="25" t="n"/>
      <c r="O282" s="25" t="n"/>
      <c r="P282" s="25" t="n"/>
      <c r="Q282" s="25" t="n"/>
    </row>
    <row r="283">
      <c r="E283" s="24">
        <f>'클럭 정리'!A284</f>
        <v/>
      </c>
      <c r="F283" s="23">
        <f>'클럭 정리'!O284</f>
        <v/>
      </c>
      <c r="G283" s="25" t="n"/>
      <c r="H283" s="25" t="n"/>
      <c r="I283" s="25" t="n"/>
      <c r="J283" s="25" t="n"/>
      <c r="K283" s="25" t="n"/>
      <c r="L283" s="25" t="n"/>
      <c r="M283" s="25" t="n"/>
      <c r="N283" s="25" t="n"/>
      <c r="O283" s="25" t="n"/>
      <c r="P283" s="25" t="n"/>
      <c r="Q283" s="25" t="n"/>
    </row>
    <row r="284">
      <c r="E284" s="24">
        <f>'클럭 정리'!A285</f>
        <v/>
      </c>
      <c r="F284" s="23">
        <f>'클럭 정리'!O285</f>
        <v/>
      </c>
      <c r="G284" s="25" t="n"/>
      <c r="H284" s="25" t="n"/>
      <c r="I284" s="25" t="n"/>
      <c r="J284" s="25" t="n"/>
      <c r="K284" s="25" t="n"/>
      <c r="L284" s="25" t="n"/>
      <c r="M284" s="25" t="n"/>
      <c r="N284" s="25" t="n"/>
      <c r="O284" s="25" t="n"/>
      <c r="P284" s="25" t="n"/>
      <c r="Q284" s="25" t="n"/>
    </row>
    <row r="285">
      <c r="E285" s="24">
        <f>'클럭 정리'!A286</f>
        <v/>
      </c>
      <c r="F285" s="23">
        <f>'클럭 정리'!O286</f>
        <v/>
      </c>
      <c r="G285" s="25" t="n"/>
      <c r="H285" s="25" t="n"/>
      <c r="I285" s="25" t="n"/>
      <c r="J285" s="25" t="n"/>
      <c r="K285" s="25" t="n"/>
      <c r="L285" s="25" t="n"/>
      <c r="M285" s="25" t="n"/>
      <c r="N285" s="25" t="n"/>
      <c r="O285" s="25" t="n"/>
      <c r="P285" s="25" t="n"/>
      <c r="Q285" s="25" t="n"/>
    </row>
    <row r="286">
      <c r="E286" s="24">
        <f>'클럭 정리'!A287</f>
        <v/>
      </c>
      <c r="F286" s="23">
        <f>'클럭 정리'!O287</f>
        <v/>
      </c>
      <c r="G286" s="25" t="n"/>
      <c r="H286" s="25" t="n"/>
      <c r="I286" s="25" t="n"/>
      <c r="J286" s="25" t="n"/>
      <c r="K286" s="25" t="n"/>
      <c r="L286" s="25" t="n"/>
      <c r="M286" s="25" t="n"/>
      <c r="N286" s="25" t="n"/>
      <c r="O286" s="25" t="n"/>
      <c r="P286" s="25" t="n"/>
      <c r="Q286" s="25" t="n"/>
    </row>
    <row r="287">
      <c r="E287" s="24">
        <f>'클럭 정리'!A288</f>
        <v/>
      </c>
      <c r="F287" s="23">
        <f>'클럭 정리'!O288</f>
        <v/>
      </c>
      <c r="G287" s="25" t="n"/>
      <c r="H287" s="25" t="n"/>
      <c r="I287" s="25" t="n"/>
      <c r="J287" s="25" t="n"/>
      <c r="K287" s="25" t="n"/>
      <c r="L287" s="25" t="n"/>
      <c r="M287" s="25" t="n"/>
      <c r="N287" s="25" t="n"/>
      <c r="O287" s="25" t="n"/>
      <c r="P287" s="25" t="n"/>
      <c r="Q287" s="25" t="n"/>
    </row>
    <row r="288">
      <c r="E288" s="24">
        <f>'클럭 정리'!A289</f>
        <v/>
      </c>
      <c r="F288" s="23">
        <f>'클럭 정리'!O289</f>
        <v/>
      </c>
      <c r="G288" s="25" t="n"/>
      <c r="H288" s="25" t="n"/>
      <c r="I288" s="25" t="n"/>
      <c r="J288" s="25" t="n"/>
      <c r="K288" s="25" t="n"/>
      <c r="L288" s="25" t="n"/>
      <c r="M288" s="25" t="n"/>
      <c r="N288" s="25" t="n"/>
      <c r="O288" s="25" t="n"/>
      <c r="P288" s="25" t="n"/>
      <c r="Q288" s="25" t="n"/>
    </row>
    <row r="289">
      <c r="E289" s="24">
        <f>'클럭 정리'!A290</f>
        <v/>
      </c>
      <c r="F289" s="23">
        <f>'클럭 정리'!O290</f>
        <v/>
      </c>
      <c r="G289" s="25" t="n"/>
      <c r="H289" s="25" t="n"/>
      <c r="I289" s="25" t="n"/>
      <c r="J289" s="25" t="n"/>
      <c r="K289" s="25" t="n"/>
      <c r="L289" s="25" t="n"/>
      <c r="M289" s="25" t="n"/>
      <c r="N289" s="25" t="n"/>
      <c r="O289" s="25" t="n"/>
      <c r="P289" s="25" t="n"/>
      <c r="Q289" s="25" t="n"/>
    </row>
    <row r="290">
      <c r="E290" s="24">
        <f>'클럭 정리'!A291</f>
        <v/>
      </c>
      <c r="F290" s="23">
        <f>'클럭 정리'!O291</f>
        <v/>
      </c>
      <c r="G290" s="25" t="n"/>
      <c r="H290" s="25" t="n"/>
      <c r="I290" s="25" t="n"/>
      <c r="J290" s="25" t="n"/>
      <c r="K290" s="25" t="n"/>
      <c r="L290" s="25" t="n"/>
      <c r="M290" s="25" t="n"/>
      <c r="N290" s="25" t="n"/>
      <c r="O290" s="25" t="n"/>
      <c r="P290" s="25" t="n"/>
      <c r="Q290" s="25" t="n"/>
    </row>
    <row r="291">
      <c r="E291" s="24">
        <f>'클럭 정리'!A292</f>
        <v/>
      </c>
      <c r="F291" s="23">
        <f>'클럭 정리'!O292</f>
        <v/>
      </c>
      <c r="G291" s="25" t="n"/>
      <c r="H291" s="25" t="n"/>
      <c r="I291" s="25" t="n"/>
      <c r="J291" s="25" t="n"/>
      <c r="K291" s="25" t="n"/>
      <c r="L291" s="25" t="n"/>
      <c r="M291" s="25" t="n"/>
      <c r="N291" s="25" t="n"/>
      <c r="O291" s="25" t="n"/>
      <c r="P291" s="25" t="n"/>
      <c r="Q291" s="25" t="n"/>
    </row>
    <row r="292">
      <c r="E292" s="24">
        <f>'클럭 정리'!A293</f>
        <v/>
      </c>
      <c r="F292" s="23">
        <f>'클럭 정리'!O293</f>
        <v/>
      </c>
      <c r="G292" s="25" t="n"/>
      <c r="H292" s="25" t="n"/>
      <c r="I292" s="25" t="n"/>
      <c r="J292" s="25" t="n"/>
      <c r="K292" s="25" t="n"/>
      <c r="L292" s="25" t="n"/>
      <c r="M292" s="25" t="n"/>
      <c r="N292" s="25" t="n"/>
      <c r="O292" s="25" t="n"/>
      <c r="P292" s="25" t="n"/>
      <c r="Q292" s="25" t="n"/>
    </row>
    <row r="293">
      <c r="E293" s="24">
        <f>'클럭 정리'!A294</f>
        <v/>
      </c>
      <c r="F293" s="23">
        <f>'클럭 정리'!O294</f>
        <v/>
      </c>
      <c r="G293" s="25" t="n"/>
      <c r="H293" s="25" t="n"/>
      <c r="I293" s="25" t="n"/>
      <c r="J293" s="25" t="n"/>
      <c r="K293" s="25" t="n"/>
      <c r="L293" s="25" t="n"/>
      <c r="M293" s="25" t="n"/>
      <c r="N293" s="25" t="n"/>
      <c r="O293" s="25" t="n"/>
      <c r="P293" s="25" t="n"/>
      <c r="Q293" s="25" t="n"/>
    </row>
    <row r="294">
      <c r="E294" s="24">
        <f>'클럭 정리'!A295</f>
        <v/>
      </c>
      <c r="F294" s="23">
        <f>'클럭 정리'!O295</f>
        <v/>
      </c>
      <c r="G294" s="25" t="n"/>
      <c r="H294" s="25" t="n"/>
      <c r="I294" s="25" t="n"/>
      <c r="J294" s="25" t="n"/>
      <c r="K294" s="25" t="n"/>
      <c r="L294" s="25" t="n"/>
      <c r="M294" s="25" t="n"/>
      <c r="N294" s="25" t="n"/>
      <c r="O294" s="25" t="n"/>
      <c r="P294" s="25" t="n"/>
      <c r="Q294" s="25" t="n"/>
    </row>
    <row r="295">
      <c r="E295" s="24">
        <f>'클럭 정리'!A296</f>
        <v/>
      </c>
      <c r="F295" s="23">
        <f>'클럭 정리'!O296</f>
        <v/>
      </c>
      <c r="G295" s="25" t="n"/>
      <c r="H295" s="25" t="n"/>
      <c r="I295" s="25" t="n"/>
      <c r="J295" s="25" t="n"/>
      <c r="K295" s="25" t="n"/>
      <c r="L295" s="25" t="n"/>
      <c r="M295" s="25" t="n"/>
      <c r="N295" s="25" t="n"/>
      <c r="O295" s="25" t="n"/>
      <c r="P295" s="25" t="n"/>
      <c r="Q295" s="25" t="n"/>
    </row>
    <row r="296">
      <c r="E296" s="24">
        <f>'클럭 정리'!A297</f>
        <v/>
      </c>
      <c r="F296" s="23">
        <f>'클럭 정리'!O297</f>
        <v/>
      </c>
      <c r="G296" s="25" t="n"/>
      <c r="H296" s="25" t="n"/>
      <c r="I296" s="25" t="n"/>
      <c r="J296" s="25" t="n"/>
      <c r="K296" s="25" t="n"/>
      <c r="L296" s="25" t="n"/>
      <c r="M296" s="25" t="n"/>
      <c r="N296" s="25" t="n"/>
      <c r="O296" s="25" t="n"/>
      <c r="P296" s="25" t="n"/>
      <c r="Q296" s="25" t="n"/>
    </row>
    <row r="297">
      <c r="E297" s="24">
        <f>'클럭 정리'!A298</f>
        <v/>
      </c>
      <c r="F297" s="23">
        <f>'클럭 정리'!O298</f>
        <v/>
      </c>
      <c r="G297" s="25" t="n"/>
      <c r="H297" s="25" t="n"/>
      <c r="I297" s="25" t="n"/>
      <c r="J297" s="25" t="n"/>
      <c r="K297" s="25" t="n"/>
      <c r="L297" s="25" t="n"/>
      <c r="M297" s="25" t="n"/>
      <c r="N297" s="25" t="n"/>
      <c r="O297" s="25" t="n"/>
      <c r="P297" s="25" t="n"/>
      <c r="Q297" s="25" t="n"/>
    </row>
    <row r="298">
      <c r="E298" s="24">
        <f>'클럭 정리'!A299</f>
        <v/>
      </c>
      <c r="F298" s="23">
        <f>'클럭 정리'!O299</f>
        <v/>
      </c>
      <c r="G298" s="25" t="n"/>
      <c r="H298" s="25" t="n"/>
      <c r="I298" s="25" t="n"/>
      <c r="J298" s="25" t="n"/>
      <c r="K298" s="25" t="n"/>
      <c r="L298" s="25" t="n"/>
      <c r="M298" s="25" t="n"/>
      <c r="N298" s="25" t="n"/>
      <c r="O298" s="25" t="n"/>
      <c r="P298" s="25" t="n"/>
      <c r="Q298" s="25" t="n"/>
    </row>
    <row r="299">
      <c r="E299" s="24">
        <f>'클럭 정리'!A300</f>
        <v/>
      </c>
      <c r="F299" s="23">
        <f>'클럭 정리'!O300</f>
        <v/>
      </c>
      <c r="G299" s="25" t="n"/>
      <c r="H299" s="25" t="n"/>
      <c r="I299" s="25" t="n"/>
      <c r="J299" s="25" t="n"/>
      <c r="K299" s="25" t="n"/>
      <c r="L299" s="25" t="n"/>
      <c r="M299" s="25" t="n"/>
      <c r="N299" s="25" t="n"/>
      <c r="O299" s="25" t="n"/>
      <c r="P299" s="25" t="n"/>
      <c r="Q299" s="25" t="n"/>
    </row>
    <row r="300">
      <c r="E300" s="24">
        <f>'클럭 정리'!A301</f>
        <v/>
      </c>
      <c r="F300" s="23">
        <f>'클럭 정리'!O301</f>
        <v/>
      </c>
      <c r="G300" s="25" t="n"/>
      <c r="H300" s="25" t="n"/>
      <c r="I300" s="25" t="n"/>
      <c r="J300" s="25" t="n"/>
      <c r="K300" s="25" t="n"/>
      <c r="L300" s="25" t="n"/>
      <c r="M300" s="25" t="n"/>
      <c r="N300" s="25" t="n"/>
      <c r="O300" s="25" t="n"/>
      <c r="P300" s="25" t="n"/>
      <c r="Q300" s="25" t="n"/>
    </row>
    <row r="301">
      <c r="E301" s="24">
        <f>'클럭 정리'!A302</f>
        <v/>
      </c>
      <c r="F301" s="23">
        <f>'클럭 정리'!O302</f>
        <v/>
      </c>
      <c r="G301" s="25" t="n"/>
      <c r="H301" s="25" t="n"/>
      <c r="I301" s="25" t="n"/>
      <c r="J301" s="25" t="n"/>
      <c r="K301" s="25" t="n"/>
      <c r="L301" s="25" t="n"/>
      <c r="M301" s="25" t="n"/>
      <c r="N301" s="25" t="n"/>
      <c r="O301" s="25" t="n"/>
      <c r="P301" s="25" t="n"/>
      <c r="Q301" s="25" t="n"/>
    </row>
    <row r="302">
      <c r="E302" s="24">
        <f>'클럭 정리'!A303</f>
        <v/>
      </c>
      <c r="F302" s="23">
        <f>'클럭 정리'!O303</f>
        <v/>
      </c>
      <c r="G302" s="25" t="n"/>
      <c r="H302" s="25" t="n"/>
      <c r="I302" s="25" t="n"/>
      <c r="J302" s="25" t="n"/>
      <c r="K302" s="25" t="n"/>
      <c r="L302" s="25" t="n"/>
      <c r="M302" s="25" t="n"/>
      <c r="N302" s="25" t="n"/>
      <c r="O302" s="25" t="n"/>
      <c r="P302" s="25" t="n"/>
      <c r="Q302" s="25" t="n"/>
    </row>
    <row r="303">
      <c r="E303" s="24">
        <f>'클럭 정리'!A304</f>
        <v/>
      </c>
      <c r="F303" s="23">
        <f>'클럭 정리'!O304</f>
        <v/>
      </c>
      <c r="G303" s="25" t="n"/>
      <c r="H303" s="25" t="n"/>
      <c r="I303" s="25" t="n"/>
      <c r="J303" s="25" t="n"/>
      <c r="K303" s="25" t="n"/>
      <c r="L303" s="25" t="n"/>
      <c r="M303" s="25" t="n"/>
      <c r="N303" s="25" t="n"/>
      <c r="O303" s="25" t="n"/>
      <c r="P303" s="25" t="n"/>
      <c r="Q303" s="25" t="n"/>
    </row>
    <row r="304">
      <c r="E304" s="24">
        <f>'클럭 정리'!A305</f>
        <v/>
      </c>
      <c r="F304" s="23">
        <f>'클럭 정리'!O305</f>
        <v/>
      </c>
      <c r="G304" s="25" t="n"/>
      <c r="H304" s="25" t="n"/>
      <c r="I304" s="25" t="n"/>
      <c r="J304" s="25" t="n"/>
      <c r="K304" s="25" t="n"/>
      <c r="L304" s="25" t="n"/>
      <c r="M304" s="25" t="n"/>
      <c r="N304" s="25" t="n"/>
      <c r="O304" s="25" t="n"/>
      <c r="P304" s="25" t="n"/>
      <c r="Q304" s="25" t="n"/>
    </row>
    <row r="305">
      <c r="E305" s="24">
        <f>'클럭 정리'!A306</f>
        <v/>
      </c>
      <c r="F305" s="23">
        <f>'클럭 정리'!O306</f>
        <v/>
      </c>
      <c r="G305" s="25" t="n"/>
      <c r="H305" s="25" t="n"/>
      <c r="I305" s="25" t="n"/>
      <c r="J305" s="25" t="n"/>
      <c r="K305" s="25" t="n"/>
      <c r="L305" s="25" t="n"/>
      <c r="M305" s="25" t="n"/>
      <c r="N305" s="25" t="n"/>
      <c r="O305" s="25" t="n"/>
      <c r="P305" s="25" t="n"/>
      <c r="Q305" s="25" t="n"/>
    </row>
    <row r="306">
      <c r="E306" s="24">
        <f>'클럭 정리'!A307</f>
        <v/>
      </c>
      <c r="F306" s="23">
        <f>'클럭 정리'!O307</f>
        <v/>
      </c>
      <c r="G306" s="25" t="n"/>
      <c r="H306" s="25" t="n"/>
      <c r="I306" s="25" t="n"/>
      <c r="J306" s="25" t="n"/>
      <c r="K306" s="25" t="n"/>
      <c r="L306" s="25" t="n"/>
      <c r="M306" s="25" t="n"/>
      <c r="N306" s="25" t="n"/>
      <c r="O306" s="25" t="n"/>
      <c r="P306" s="25" t="n"/>
      <c r="Q306" s="25" t="n"/>
    </row>
    <row r="307">
      <c r="E307" s="24">
        <f>'클럭 정리'!A308</f>
        <v/>
      </c>
      <c r="F307" s="23">
        <f>'클럭 정리'!O308</f>
        <v/>
      </c>
      <c r="G307" s="25" t="n"/>
      <c r="H307" s="25" t="n"/>
      <c r="I307" s="25" t="n"/>
      <c r="J307" s="25" t="n"/>
      <c r="K307" s="25" t="n"/>
      <c r="L307" s="25" t="n"/>
      <c r="M307" s="25" t="n"/>
      <c r="N307" s="25" t="n"/>
      <c r="O307" s="25" t="n"/>
      <c r="P307" s="25" t="n"/>
      <c r="Q307" s="25" t="n"/>
    </row>
    <row r="308">
      <c r="E308" s="24">
        <f>'클럭 정리'!A309</f>
        <v/>
      </c>
      <c r="F308" s="23">
        <f>'클럭 정리'!O309</f>
        <v/>
      </c>
      <c r="G308" s="25" t="n"/>
      <c r="H308" s="25" t="n"/>
      <c r="I308" s="25" t="n"/>
      <c r="J308" s="25" t="n"/>
      <c r="K308" s="25" t="n"/>
      <c r="L308" s="25" t="n"/>
      <c r="M308" s="25" t="n"/>
      <c r="N308" s="25" t="n"/>
      <c r="O308" s="25" t="n"/>
      <c r="P308" s="25" t="n"/>
      <c r="Q308" s="25" t="n"/>
    </row>
    <row r="309">
      <c r="E309" s="24">
        <f>'클럭 정리'!A310</f>
        <v/>
      </c>
      <c r="F309" s="23">
        <f>'클럭 정리'!O310</f>
        <v/>
      </c>
      <c r="G309" s="25" t="n"/>
      <c r="H309" s="25" t="n"/>
      <c r="I309" s="25" t="n"/>
      <c r="J309" s="25" t="n"/>
      <c r="K309" s="25" t="n"/>
      <c r="L309" s="25" t="n"/>
      <c r="M309" s="25" t="n"/>
      <c r="N309" s="25" t="n"/>
      <c r="O309" s="25" t="n"/>
      <c r="P309" s="25" t="n"/>
      <c r="Q309" s="25" t="n"/>
    </row>
    <row r="310">
      <c r="E310" s="24">
        <f>'클럭 정리'!A311</f>
        <v/>
      </c>
      <c r="F310" s="23">
        <f>'클럭 정리'!O311</f>
        <v/>
      </c>
      <c r="G310" s="25" t="n"/>
      <c r="H310" s="25" t="n"/>
      <c r="I310" s="25" t="n"/>
      <c r="J310" s="25" t="n"/>
      <c r="K310" s="25" t="n"/>
      <c r="L310" s="25" t="n"/>
      <c r="M310" s="25" t="n"/>
      <c r="N310" s="25" t="n"/>
      <c r="O310" s="25" t="n"/>
      <c r="P310" s="25" t="n"/>
      <c r="Q310" s="25" t="n"/>
    </row>
    <row r="311">
      <c r="E311" s="24">
        <f>'클럭 정리'!A312</f>
        <v/>
      </c>
      <c r="F311" s="23">
        <f>'클럭 정리'!O312</f>
        <v/>
      </c>
      <c r="G311" s="25" t="n"/>
      <c r="H311" s="25" t="n"/>
      <c r="I311" s="25" t="n"/>
      <c r="J311" s="25" t="n"/>
      <c r="K311" s="25" t="n"/>
      <c r="L311" s="25" t="n"/>
      <c r="M311" s="25" t="n"/>
      <c r="N311" s="25" t="n"/>
      <c r="O311" s="25" t="n"/>
      <c r="P311" s="25" t="n"/>
      <c r="Q311" s="25" t="n"/>
    </row>
    <row r="312">
      <c r="E312" s="24">
        <f>'클럭 정리'!A313</f>
        <v/>
      </c>
      <c r="F312" s="23">
        <f>'클럭 정리'!O313</f>
        <v/>
      </c>
      <c r="G312" s="25" t="n"/>
      <c r="H312" s="25" t="n"/>
      <c r="I312" s="25" t="n"/>
      <c r="J312" s="25" t="n"/>
      <c r="K312" s="25" t="n"/>
      <c r="L312" s="25" t="n"/>
      <c r="M312" s="25" t="n"/>
      <c r="N312" s="25" t="n"/>
      <c r="O312" s="25" t="n"/>
      <c r="P312" s="25" t="n"/>
      <c r="Q312" s="25" t="n"/>
    </row>
    <row r="313">
      <c r="E313" s="24">
        <f>'클럭 정리'!A314</f>
        <v/>
      </c>
      <c r="F313" s="23">
        <f>'클럭 정리'!O314</f>
        <v/>
      </c>
      <c r="G313" s="25" t="n"/>
      <c r="H313" s="25" t="n"/>
      <c r="I313" s="25" t="n"/>
      <c r="J313" s="25" t="n"/>
      <c r="K313" s="25" t="n"/>
      <c r="L313" s="25" t="n"/>
      <c r="M313" s="25" t="n"/>
      <c r="N313" s="25" t="n"/>
      <c r="O313" s="25" t="n"/>
      <c r="P313" s="25" t="n"/>
      <c r="Q313" s="25" t="n"/>
    </row>
    <row r="314">
      <c r="E314" s="24">
        <f>'클럭 정리'!A315</f>
        <v/>
      </c>
      <c r="F314" s="23">
        <f>'클럭 정리'!O315</f>
        <v/>
      </c>
      <c r="G314" s="25" t="n"/>
      <c r="H314" s="25" t="n"/>
      <c r="I314" s="25" t="n"/>
      <c r="J314" s="25" t="n"/>
      <c r="K314" s="25" t="n"/>
      <c r="L314" s="25" t="n"/>
      <c r="M314" s="25" t="n"/>
      <c r="N314" s="25" t="n"/>
      <c r="O314" s="25" t="n"/>
      <c r="P314" s="25" t="n"/>
      <c r="Q314" s="25" t="n"/>
    </row>
    <row r="315">
      <c r="E315" s="24">
        <f>'클럭 정리'!A316</f>
        <v/>
      </c>
      <c r="F315" s="23">
        <f>'클럭 정리'!O316</f>
        <v/>
      </c>
      <c r="G315" s="25" t="n"/>
      <c r="H315" s="25" t="n"/>
      <c r="I315" s="25" t="n"/>
      <c r="J315" s="25" t="n"/>
      <c r="K315" s="25" t="n"/>
      <c r="L315" s="25" t="n"/>
      <c r="M315" s="25" t="n"/>
      <c r="N315" s="25" t="n"/>
      <c r="O315" s="25" t="n"/>
      <c r="P315" s="25" t="n"/>
      <c r="Q315" s="25" t="n"/>
    </row>
    <row r="316">
      <c r="E316" s="24">
        <f>'클럭 정리'!A317</f>
        <v/>
      </c>
      <c r="F316" s="23">
        <f>'클럭 정리'!O317</f>
        <v/>
      </c>
      <c r="G316" s="25" t="n"/>
      <c r="H316" s="25" t="n"/>
      <c r="I316" s="25" t="n"/>
      <c r="J316" s="25" t="n"/>
      <c r="K316" s="25" t="n"/>
      <c r="L316" s="25" t="n"/>
      <c r="M316" s="25" t="n"/>
      <c r="N316" s="25" t="n"/>
      <c r="O316" s="25" t="n"/>
      <c r="P316" s="25" t="n"/>
      <c r="Q316" s="25" t="n"/>
    </row>
    <row r="317">
      <c r="E317" s="24">
        <f>'클럭 정리'!A318</f>
        <v/>
      </c>
      <c r="F317" s="23">
        <f>'클럭 정리'!O318</f>
        <v/>
      </c>
      <c r="G317" s="25" t="n"/>
      <c r="H317" s="25" t="n"/>
      <c r="I317" s="25" t="n"/>
      <c r="J317" s="25" t="n"/>
      <c r="K317" s="25" t="n"/>
      <c r="L317" s="25" t="n"/>
      <c r="M317" s="25" t="n"/>
      <c r="N317" s="25" t="n"/>
      <c r="O317" s="25" t="n"/>
      <c r="P317" s="25" t="n"/>
      <c r="Q317" s="25" t="n"/>
    </row>
    <row r="318">
      <c r="E318" s="24">
        <f>'클럭 정리'!A319</f>
        <v/>
      </c>
      <c r="F318" s="23">
        <f>'클럭 정리'!O319</f>
        <v/>
      </c>
      <c r="G318" s="25" t="n"/>
      <c r="H318" s="25" t="n"/>
      <c r="I318" s="25" t="n"/>
      <c r="J318" s="25" t="n"/>
      <c r="K318" s="25" t="n"/>
      <c r="L318" s="25" t="n"/>
      <c r="M318" s="25" t="n"/>
      <c r="N318" s="25" t="n"/>
      <c r="O318" s="25" t="n"/>
      <c r="P318" s="25" t="n"/>
      <c r="Q318" s="25" t="n"/>
    </row>
    <row r="319">
      <c r="E319" s="24">
        <f>'클럭 정리'!A320</f>
        <v/>
      </c>
      <c r="F319" s="23">
        <f>'클럭 정리'!O320</f>
        <v/>
      </c>
      <c r="G319" s="25" t="n"/>
      <c r="H319" s="25" t="n"/>
      <c r="I319" s="25" t="n"/>
      <c r="J319" s="25" t="n"/>
      <c r="K319" s="25" t="n"/>
      <c r="L319" s="25" t="n"/>
      <c r="M319" s="25" t="n"/>
      <c r="N319" s="25" t="n"/>
      <c r="O319" s="25" t="n"/>
      <c r="P319" s="25" t="n"/>
      <c r="Q319" s="25" t="n"/>
    </row>
    <row r="320">
      <c r="E320" s="24">
        <f>'클럭 정리'!A321</f>
        <v/>
      </c>
      <c r="F320" s="23">
        <f>'클럭 정리'!O321</f>
        <v/>
      </c>
      <c r="G320" s="25" t="n"/>
      <c r="H320" s="25" t="n"/>
      <c r="I320" s="25" t="n"/>
      <c r="J320" s="25" t="n"/>
      <c r="K320" s="25" t="n"/>
      <c r="L320" s="25" t="n"/>
      <c r="M320" s="25" t="n"/>
      <c r="N320" s="25" t="n"/>
      <c r="O320" s="25" t="n"/>
      <c r="P320" s="25" t="n"/>
      <c r="Q320" s="25" t="n"/>
    </row>
    <row r="321">
      <c r="E321" s="24">
        <f>'클럭 정리'!A322</f>
        <v/>
      </c>
      <c r="F321" s="23">
        <f>'클럭 정리'!O322</f>
        <v/>
      </c>
      <c r="G321" s="25" t="n"/>
      <c r="H321" s="25" t="n"/>
      <c r="I321" s="25" t="n"/>
      <c r="J321" s="25" t="n"/>
      <c r="K321" s="25" t="n"/>
      <c r="L321" s="25" t="n"/>
      <c r="M321" s="25" t="n"/>
      <c r="N321" s="25" t="n"/>
      <c r="O321" s="25" t="n"/>
      <c r="P321" s="25" t="n"/>
      <c r="Q321" s="25" t="n"/>
    </row>
    <row r="322">
      <c r="E322" s="24">
        <f>'클럭 정리'!A323</f>
        <v/>
      </c>
      <c r="F322" s="23">
        <f>'클럭 정리'!O323</f>
        <v/>
      </c>
      <c r="G322" s="25" t="n"/>
      <c r="H322" s="25" t="n"/>
      <c r="I322" s="25" t="n"/>
      <c r="J322" s="25" t="n"/>
      <c r="K322" s="25" t="n"/>
      <c r="L322" s="25" t="n"/>
      <c r="M322" s="25" t="n"/>
      <c r="N322" s="25" t="n"/>
      <c r="O322" s="25" t="n"/>
      <c r="P322" s="25" t="n"/>
      <c r="Q322" s="25" t="n"/>
    </row>
    <row r="323">
      <c r="E323" s="24">
        <f>'클럭 정리'!A324</f>
        <v/>
      </c>
      <c r="F323" s="23">
        <f>'클럭 정리'!O324</f>
        <v/>
      </c>
      <c r="G323" s="25" t="n"/>
      <c r="H323" s="25" t="n"/>
      <c r="I323" s="25" t="n"/>
      <c r="J323" s="25" t="n"/>
      <c r="K323" s="25" t="n"/>
      <c r="L323" s="25" t="n"/>
      <c r="M323" s="25" t="n"/>
      <c r="N323" s="25" t="n"/>
      <c r="O323" s="25" t="n"/>
      <c r="P323" s="25" t="n"/>
      <c r="Q323" s="25" t="n"/>
    </row>
    <row r="324">
      <c r="E324" s="24">
        <f>'클럭 정리'!A325</f>
        <v/>
      </c>
      <c r="F324" s="23">
        <f>'클럭 정리'!O325</f>
        <v/>
      </c>
      <c r="G324" s="25" t="n"/>
      <c r="H324" s="25" t="n"/>
      <c r="I324" s="25" t="n"/>
      <c r="J324" s="25" t="n"/>
      <c r="K324" s="25" t="n"/>
      <c r="L324" s="25" t="n"/>
      <c r="M324" s="25" t="n"/>
      <c r="N324" s="25" t="n"/>
      <c r="O324" s="25" t="n"/>
      <c r="P324" s="25" t="n"/>
      <c r="Q324" s="25" t="n"/>
    </row>
    <row r="325">
      <c r="E325" s="24">
        <f>'클럭 정리'!A326</f>
        <v/>
      </c>
      <c r="F325" s="23">
        <f>'클럭 정리'!O326</f>
        <v/>
      </c>
      <c r="G325" s="25" t="n"/>
      <c r="H325" s="25" t="n"/>
      <c r="I325" s="25" t="n"/>
      <c r="J325" s="25" t="n"/>
      <c r="K325" s="25" t="n"/>
      <c r="L325" s="25" t="n"/>
      <c r="M325" s="25" t="n"/>
      <c r="N325" s="25" t="n"/>
      <c r="O325" s="25" t="n"/>
      <c r="P325" s="25" t="n"/>
      <c r="Q325" s="25" t="n"/>
    </row>
    <row r="326">
      <c r="E326" s="24">
        <f>'클럭 정리'!A327</f>
        <v/>
      </c>
      <c r="F326" s="23">
        <f>'클럭 정리'!O327</f>
        <v/>
      </c>
      <c r="G326" s="25" t="n"/>
      <c r="H326" s="25" t="n"/>
      <c r="I326" s="25" t="n"/>
      <c r="J326" s="25" t="n"/>
      <c r="K326" s="25" t="n"/>
      <c r="L326" s="25" t="n"/>
      <c r="M326" s="25" t="n"/>
      <c r="N326" s="25" t="n"/>
      <c r="O326" s="25" t="n"/>
      <c r="P326" s="25" t="n"/>
      <c r="Q326" s="25" t="n"/>
    </row>
    <row r="327">
      <c r="E327" s="24">
        <f>'클럭 정리'!A328</f>
        <v/>
      </c>
      <c r="F327" s="23">
        <f>'클럭 정리'!O328</f>
        <v/>
      </c>
      <c r="G327" s="25" t="n"/>
      <c r="H327" s="25" t="n"/>
      <c r="I327" s="25" t="n"/>
      <c r="J327" s="25" t="n"/>
      <c r="K327" s="25" t="n"/>
      <c r="L327" s="25" t="n"/>
      <c r="M327" s="25" t="n"/>
      <c r="N327" s="25" t="n"/>
      <c r="O327" s="25" t="n"/>
      <c r="P327" s="25" t="n"/>
      <c r="Q327" s="25" t="n"/>
    </row>
    <row r="328">
      <c r="E328" s="24">
        <f>'클럭 정리'!A329</f>
        <v/>
      </c>
      <c r="F328" s="23">
        <f>'클럭 정리'!O329</f>
        <v/>
      </c>
      <c r="G328" s="25" t="n"/>
      <c r="H328" s="25" t="n"/>
      <c r="I328" s="25" t="n"/>
      <c r="J328" s="25" t="n"/>
      <c r="K328" s="25" t="n"/>
      <c r="L328" s="25" t="n"/>
      <c r="M328" s="25" t="n"/>
      <c r="N328" s="25" t="n"/>
      <c r="O328" s="25" t="n"/>
      <c r="P328" s="25" t="n"/>
      <c r="Q328" s="25" t="n"/>
    </row>
    <row r="329">
      <c r="E329" s="24">
        <f>'클럭 정리'!A330</f>
        <v/>
      </c>
      <c r="F329" s="23">
        <f>'클럭 정리'!O330</f>
        <v/>
      </c>
      <c r="G329" s="25" t="n"/>
      <c r="H329" s="25" t="n"/>
      <c r="I329" s="25" t="n"/>
      <c r="J329" s="25" t="n"/>
      <c r="K329" s="25" t="n"/>
      <c r="L329" s="25" t="n"/>
      <c r="M329" s="25" t="n"/>
      <c r="N329" s="25" t="n"/>
      <c r="O329" s="25" t="n"/>
      <c r="P329" s="25" t="n"/>
      <c r="Q329" s="25" t="n"/>
    </row>
    <row r="330">
      <c r="E330" s="24">
        <f>'클럭 정리'!A331</f>
        <v/>
      </c>
      <c r="F330" s="23">
        <f>'클럭 정리'!O331</f>
        <v/>
      </c>
      <c r="G330" s="25" t="n"/>
      <c r="H330" s="25" t="n"/>
      <c r="I330" s="25" t="n"/>
      <c r="J330" s="25" t="n"/>
      <c r="K330" s="25" t="n"/>
      <c r="L330" s="25" t="n"/>
      <c r="M330" s="25" t="n"/>
      <c r="N330" s="25" t="n"/>
      <c r="O330" s="25" t="n"/>
      <c r="P330" s="25" t="n"/>
      <c r="Q330" s="25" t="n"/>
    </row>
    <row r="331">
      <c r="E331" s="24">
        <f>'클럭 정리'!A332</f>
        <v/>
      </c>
      <c r="F331" s="23">
        <f>'클럭 정리'!O332</f>
        <v/>
      </c>
      <c r="G331" s="25" t="n"/>
      <c r="H331" s="25" t="n"/>
      <c r="I331" s="25" t="n"/>
      <c r="J331" s="25" t="n"/>
      <c r="K331" s="25" t="n"/>
      <c r="L331" s="25" t="n"/>
      <c r="M331" s="25" t="n"/>
      <c r="N331" s="25" t="n"/>
      <c r="O331" s="25" t="n"/>
      <c r="P331" s="25" t="n"/>
      <c r="Q331" s="25" t="n"/>
    </row>
    <row r="332">
      <c r="E332" s="24">
        <f>'클럭 정리'!A333</f>
        <v/>
      </c>
      <c r="F332" s="23">
        <f>'클럭 정리'!O333</f>
        <v/>
      </c>
      <c r="G332" s="25" t="n"/>
      <c r="H332" s="25" t="n"/>
      <c r="I332" s="25" t="n"/>
      <c r="J332" s="25" t="n"/>
      <c r="K332" s="25" t="n"/>
      <c r="L332" s="25" t="n"/>
      <c r="M332" s="25" t="n"/>
      <c r="N332" s="25" t="n"/>
      <c r="O332" s="25" t="n"/>
      <c r="P332" s="25" t="n"/>
      <c r="Q332" s="25" t="n"/>
    </row>
    <row r="333">
      <c r="E333" s="24">
        <f>'클럭 정리'!A334</f>
        <v/>
      </c>
      <c r="F333" s="23">
        <f>'클럭 정리'!O334</f>
        <v/>
      </c>
      <c r="G333" s="25" t="n"/>
      <c r="H333" s="25" t="n"/>
      <c r="I333" s="25" t="n"/>
      <c r="J333" s="25" t="n"/>
      <c r="K333" s="25" t="n"/>
      <c r="L333" s="25" t="n"/>
      <c r="M333" s="25" t="n"/>
      <c r="N333" s="25" t="n"/>
      <c r="O333" s="25" t="n"/>
      <c r="P333" s="25" t="n"/>
      <c r="Q333" s="25" t="n"/>
    </row>
    <row r="334">
      <c r="E334" s="24">
        <f>'클럭 정리'!A335</f>
        <v/>
      </c>
      <c r="F334" s="23">
        <f>'클럭 정리'!O335</f>
        <v/>
      </c>
      <c r="G334" s="25" t="n"/>
      <c r="H334" s="25" t="n"/>
      <c r="I334" s="25" t="n"/>
      <c r="J334" s="25" t="n"/>
      <c r="K334" s="25" t="n"/>
      <c r="L334" s="25" t="n"/>
      <c r="M334" s="25" t="n"/>
      <c r="N334" s="25" t="n"/>
      <c r="O334" s="25" t="n"/>
      <c r="P334" s="25" t="n"/>
      <c r="Q334" s="25" t="n"/>
    </row>
    <row r="335">
      <c r="E335" s="24">
        <f>'클럭 정리'!A336</f>
        <v/>
      </c>
      <c r="F335" s="23">
        <f>'클럭 정리'!O336</f>
        <v/>
      </c>
      <c r="G335" s="25" t="n"/>
      <c r="H335" s="25" t="n"/>
      <c r="I335" s="25" t="n"/>
      <c r="J335" s="25" t="n"/>
      <c r="K335" s="25" t="n"/>
      <c r="L335" s="25" t="n"/>
      <c r="M335" s="25" t="n"/>
      <c r="N335" s="25" t="n"/>
      <c r="O335" s="25" t="n"/>
      <c r="P335" s="25" t="n"/>
      <c r="Q335" s="25" t="n"/>
    </row>
    <row r="336">
      <c r="E336" s="24">
        <f>'클럭 정리'!A337</f>
        <v/>
      </c>
      <c r="F336" s="23">
        <f>'클럭 정리'!O337</f>
        <v/>
      </c>
      <c r="G336" s="25" t="n"/>
      <c r="H336" s="25" t="n"/>
      <c r="I336" s="25" t="n"/>
      <c r="J336" s="25" t="n"/>
      <c r="K336" s="25" t="n"/>
      <c r="L336" s="25" t="n"/>
      <c r="M336" s="25" t="n"/>
      <c r="N336" s="25" t="n"/>
      <c r="O336" s="25" t="n"/>
      <c r="P336" s="25" t="n"/>
      <c r="Q336" s="25" t="n"/>
    </row>
    <row r="337">
      <c r="E337" s="24">
        <f>'클럭 정리'!A338</f>
        <v/>
      </c>
      <c r="F337" s="23">
        <f>'클럭 정리'!O338</f>
        <v/>
      </c>
      <c r="G337" s="25" t="n"/>
      <c r="H337" s="25" t="n"/>
      <c r="I337" s="25" t="n"/>
      <c r="J337" s="25" t="n"/>
      <c r="K337" s="25" t="n"/>
      <c r="L337" s="25" t="n"/>
      <c r="M337" s="25" t="n"/>
      <c r="N337" s="25" t="n"/>
      <c r="O337" s="25" t="n"/>
      <c r="P337" s="25" t="n"/>
      <c r="Q337" s="25" t="n"/>
    </row>
    <row r="338">
      <c r="E338" s="24">
        <f>'클럭 정리'!A339</f>
        <v/>
      </c>
      <c r="F338" s="23">
        <f>'클럭 정리'!O339</f>
        <v/>
      </c>
      <c r="G338" s="25" t="n"/>
      <c r="H338" s="25" t="n"/>
      <c r="I338" s="25" t="n"/>
      <c r="J338" s="25" t="n"/>
      <c r="K338" s="25" t="n"/>
      <c r="L338" s="25" t="n"/>
      <c r="M338" s="25" t="n"/>
      <c r="N338" s="25" t="n"/>
      <c r="O338" s="25" t="n"/>
      <c r="P338" s="25" t="n"/>
      <c r="Q338" s="25" t="n"/>
    </row>
    <row r="339">
      <c r="E339" s="24">
        <f>'클럭 정리'!A340</f>
        <v/>
      </c>
      <c r="F339" s="23">
        <f>'클럭 정리'!O340</f>
        <v/>
      </c>
      <c r="G339" s="25" t="n"/>
      <c r="H339" s="25" t="n"/>
      <c r="I339" s="25" t="n"/>
      <c r="J339" s="25" t="n"/>
      <c r="K339" s="25" t="n"/>
      <c r="L339" s="25" t="n"/>
      <c r="M339" s="25" t="n"/>
      <c r="N339" s="25" t="n"/>
      <c r="O339" s="25" t="n"/>
      <c r="P339" s="25" t="n"/>
      <c r="Q339" s="25" t="n"/>
    </row>
    <row r="340">
      <c r="E340" s="24">
        <f>'클럭 정리'!A341</f>
        <v/>
      </c>
      <c r="F340" s="23">
        <f>'클럭 정리'!O341</f>
        <v/>
      </c>
      <c r="G340" s="25" t="n"/>
      <c r="H340" s="25" t="n"/>
      <c r="I340" s="25" t="n"/>
      <c r="J340" s="25" t="n"/>
      <c r="K340" s="25" t="n"/>
      <c r="L340" s="25" t="n"/>
      <c r="M340" s="25" t="n"/>
      <c r="N340" s="25" t="n"/>
      <c r="O340" s="25" t="n"/>
      <c r="P340" s="25" t="n"/>
      <c r="Q340" s="25" t="n"/>
    </row>
    <row r="341">
      <c r="E341" s="24">
        <f>'클럭 정리'!A342</f>
        <v/>
      </c>
      <c r="F341" s="23">
        <f>'클럭 정리'!O342</f>
        <v/>
      </c>
      <c r="G341" s="25" t="n"/>
      <c r="H341" s="25" t="n"/>
      <c r="I341" s="25" t="n"/>
      <c r="J341" s="25" t="n"/>
      <c r="K341" s="25" t="n"/>
      <c r="L341" s="25" t="n"/>
      <c r="M341" s="25" t="n"/>
      <c r="N341" s="25" t="n"/>
      <c r="O341" s="25" t="n"/>
      <c r="P341" s="25" t="n"/>
      <c r="Q341" s="25" t="n"/>
    </row>
    <row r="342">
      <c r="E342" s="24">
        <f>'클럭 정리'!A343</f>
        <v/>
      </c>
      <c r="F342" s="23">
        <f>'클럭 정리'!O343</f>
        <v/>
      </c>
      <c r="G342" s="25" t="n"/>
      <c r="H342" s="25" t="n"/>
      <c r="I342" s="25" t="n"/>
      <c r="J342" s="25" t="n"/>
      <c r="K342" s="25" t="n"/>
      <c r="L342" s="25" t="n"/>
      <c r="M342" s="25" t="n"/>
      <c r="N342" s="25" t="n"/>
      <c r="O342" s="25" t="n"/>
      <c r="P342" s="25" t="n"/>
      <c r="Q342" s="25" t="n"/>
    </row>
    <row r="343">
      <c r="E343" s="24">
        <f>'클럭 정리'!A344</f>
        <v/>
      </c>
      <c r="F343" s="23">
        <f>'클럭 정리'!O344</f>
        <v/>
      </c>
      <c r="G343" s="25" t="n"/>
      <c r="H343" s="25" t="n"/>
      <c r="I343" s="25" t="n"/>
      <c r="J343" s="25" t="n"/>
      <c r="K343" s="25" t="n"/>
      <c r="L343" s="25" t="n"/>
      <c r="M343" s="25" t="n"/>
      <c r="N343" s="25" t="n"/>
      <c r="O343" s="25" t="n"/>
      <c r="P343" s="25" t="n"/>
      <c r="Q343" s="25" t="n"/>
    </row>
    <row r="344">
      <c r="E344" s="24">
        <f>'클럭 정리'!A345</f>
        <v/>
      </c>
      <c r="F344" s="23">
        <f>'클럭 정리'!O345</f>
        <v/>
      </c>
      <c r="G344" s="25" t="n"/>
      <c r="H344" s="25" t="n"/>
      <c r="I344" s="25" t="n"/>
      <c r="J344" s="25" t="n"/>
      <c r="K344" s="25" t="n"/>
      <c r="L344" s="25" t="n"/>
      <c r="M344" s="25" t="n"/>
      <c r="N344" s="25" t="n"/>
      <c r="O344" s="25" t="n"/>
      <c r="P344" s="25" t="n"/>
      <c r="Q344" s="25" t="n"/>
    </row>
    <row r="345">
      <c r="E345" s="24">
        <f>'클럭 정리'!A346</f>
        <v/>
      </c>
      <c r="F345" s="23">
        <f>'클럭 정리'!O346</f>
        <v/>
      </c>
      <c r="G345" s="25" t="n"/>
      <c r="H345" s="25" t="n"/>
      <c r="I345" s="25" t="n"/>
      <c r="J345" s="25" t="n"/>
      <c r="K345" s="25" t="n"/>
      <c r="L345" s="25" t="n"/>
      <c r="M345" s="25" t="n"/>
      <c r="N345" s="25" t="n"/>
      <c r="O345" s="25" t="n"/>
      <c r="P345" s="25" t="n"/>
      <c r="Q345" s="25" t="n"/>
    </row>
    <row r="346">
      <c r="E346" s="24">
        <f>'클럭 정리'!A347</f>
        <v/>
      </c>
      <c r="F346" s="23">
        <f>'클럭 정리'!O347</f>
        <v/>
      </c>
      <c r="G346" s="25" t="n"/>
      <c r="H346" s="25" t="n"/>
      <c r="I346" s="25" t="n"/>
      <c r="J346" s="25" t="n"/>
      <c r="K346" s="25" t="n"/>
      <c r="L346" s="25" t="n"/>
      <c r="M346" s="25" t="n"/>
      <c r="N346" s="25" t="n"/>
      <c r="O346" s="25" t="n"/>
      <c r="P346" s="25" t="n"/>
      <c r="Q346" s="25" t="n"/>
    </row>
    <row r="347">
      <c r="E347" s="24">
        <f>'클럭 정리'!A348</f>
        <v/>
      </c>
      <c r="F347" s="23">
        <f>'클럭 정리'!O348</f>
        <v/>
      </c>
      <c r="G347" s="25" t="n"/>
      <c r="H347" s="25" t="n"/>
      <c r="I347" s="25" t="n"/>
      <c r="J347" s="25" t="n"/>
      <c r="K347" s="25" t="n"/>
      <c r="L347" s="25" t="n"/>
      <c r="M347" s="25" t="n"/>
      <c r="N347" s="25" t="n"/>
      <c r="O347" s="25" t="n"/>
      <c r="P347" s="25" t="n"/>
      <c r="Q347" s="25" t="n"/>
    </row>
    <row r="348">
      <c r="E348" s="24">
        <f>'클럭 정리'!A349</f>
        <v/>
      </c>
      <c r="F348" s="23">
        <f>'클럭 정리'!O349</f>
        <v/>
      </c>
      <c r="G348" s="25" t="n"/>
      <c r="H348" s="25" t="n"/>
      <c r="I348" s="25" t="n"/>
      <c r="J348" s="25" t="n"/>
      <c r="K348" s="25" t="n"/>
      <c r="L348" s="25" t="n"/>
      <c r="M348" s="25" t="n"/>
      <c r="N348" s="25" t="n"/>
      <c r="O348" s="25" t="n"/>
      <c r="P348" s="25" t="n"/>
      <c r="Q348" s="25" t="n"/>
    </row>
    <row r="349">
      <c r="E349" s="24">
        <f>'클럭 정리'!A350</f>
        <v/>
      </c>
      <c r="F349" s="23">
        <f>'클럭 정리'!O350</f>
        <v/>
      </c>
      <c r="G349" s="25" t="n"/>
      <c r="H349" s="25" t="n"/>
      <c r="I349" s="25" t="n"/>
      <c r="J349" s="25" t="n"/>
      <c r="K349" s="25" t="n"/>
      <c r="L349" s="25" t="n"/>
      <c r="M349" s="25" t="n"/>
      <c r="N349" s="25" t="n"/>
      <c r="O349" s="25" t="n"/>
      <c r="P349" s="25" t="n"/>
      <c r="Q349" s="25" t="n"/>
    </row>
    <row r="350">
      <c r="E350" s="24">
        <f>'클럭 정리'!A351</f>
        <v/>
      </c>
      <c r="F350" s="23">
        <f>'클럭 정리'!O351</f>
        <v/>
      </c>
      <c r="G350" s="25" t="n"/>
      <c r="H350" s="25" t="n"/>
      <c r="I350" s="25" t="n"/>
      <c r="J350" s="25" t="n"/>
      <c r="K350" s="25" t="n"/>
      <c r="L350" s="25" t="n"/>
      <c r="M350" s="25" t="n"/>
      <c r="N350" s="25" t="n"/>
      <c r="O350" s="25" t="n"/>
      <c r="P350" s="25" t="n"/>
      <c r="Q350" s="25" t="n"/>
    </row>
    <row r="351">
      <c r="E351" s="24">
        <f>'클럭 정리'!A352</f>
        <v/>
      </c>
      <c r="F351" s="23">
        <f>'클럭 정리'!O352</f>
        <v/>
      </c>
      <c r="G351" s="25" t="n"/>
      <c r="H351" s="25" t="n"/>
      <c r="I351" s="25" t="n"/>
      <c r="J351" s="25" t="n"/>
      <c r="K351" s="25" t="n"/>
      <c r="L351" s="25" t="n"/>
      <c r="M351" s="25" t="n"/>
      <c r="N351" s="25" t="n"/>
      <c r="O351" s="25" t="n"/>
      <c r="P351" s="25" t="n"/>
      <c r="Q351" s="25" t="n"/>
    </row>
    <row r="352">
      <c r="E352" s="24">
        <f>'클럭 정리'!A353</f>
        <v/>
      </c>
      <c r="F352" s="23">
        <f>'클럭 정리'!O353</f>
        <v/>
      </c>
      <c r="G352" s="25" t="n"/>
      <c r="H352" s="25" t="n"/>
      <c r="I352" s="25" t="n"/>
      <c r="J352" s="25" t="n"/>
      <c r="K352" s="25" t="n"/>
      <c r="L352" s="25" t="n"/>
      <c r="M352" s="25" t="n"/>
      <c r="N352" s="25" t="n"/>
      <c r="O352" s="25" t="n"/>
      <c r="P352" s="25" t="n"/>
      <c r="Q352" s="25" t="n"/>
    </row>
    <row r="353">
      <c r="E353" s="24">
        <f>'클럭 정리'!A354</f>
        <v/>
      </c>
      <c r="F353" s="23">
        <f>'클럭 정리'!O354</f>
        <v/>
      </c>
      <c r="G353" s="25" t="n"/>
      <c r="H353" s="25" t="n"/>
      <c r="I353" s="25" t="n"/>
      <c r="J353" s="25" t="n"/>
      <c r="K353" s="25" t="n"/>
      <c r="L353" s="25" t="n"/>
      <c r="M353" s="25" t="n"/>
      <c r="N353" s="25" t="n"/>
      <c r="O353" s="25" t="n"/>
      <c r="P353" s="25" t="n"/>
      <c r="Q353" s="25" t="n"/>
    </row>
    <row r="354">
      <c r="E354" s="24">
        <f>'클럭 정리'!A355</f>
        <v/>
      </c>
      <c r="F354" s="23">
        <f>'클럭 정리'!O355</f>
        <v/>
      </c>
      <c r="G354" s="25" t="n"/>
      <c r="H354" s="25" t="n"/>
      <c r="I354" s="25" t="n"/>
      <c r="J354" s="25" t="n"/>
      <c r="K354" s="25" t="n"/>
      <c r="L354" s="25" t="n"/>
      <c r="M354" s="25" t="n"/>
      <c r="N354" s="25" t="n"/>
      <c r="O354" s="25" t="n"/>
      <c r="P354" s="25" t="n"/>
      <c r="Q354" s="25" t="n"/>
    </row>
    <row r="355">
      <c r="E355" s="24">
        <f>'클럭 정리'!A356</f>
        <v/>
      </c>
      <c r="F355" s="23">
        <f>'클럭 정리'!O356</f>
        <v/>
      </c>
      <c r="G355" s="25" t="n"/>
      <c r="H355" s="25" t="n"/>
      <c r="I355" s="25" t="n"/>
      <c r="J355" s="25" t="n"/>
      <c r="K355" s="25" t="n"/>
      <c r="L355" s="25" t="n"/>
      <c r="M355" s="25" t="n"/>
      <c r="N355" s="25" t="n"/>
      <c r="O355" s="25" t="n"/>
      <c r="P355" s="25" t="n"/>
      <c r="Q355" s="25" t="n"/>
    </row>
    <row r="356">
      <c r="E356" s="24">
        <f>'클럭 정리'!A357</f>
        <v/>
      </c>
      <c r="F356" s="23">
        <f>'클럭 정리'!O357</f>
        <v/>
      </c>
      <c r="G356" s="25" t="n"/>
      <c r="H356" s="25" t="n"/>
      <c r="I356" s="25" t="n"/>
      <c r="J356" s="25" t="n"/>
      <c r="K356" s="25" t="n"/>
      <c r="L356" s="25" t="n"/>
      <c r="M356" s="25" t="n"/>
      <c r="N356" s="25" t="n"/>
      <c r="O356" s="25" t="n"/>
      <c r="P356" s="25" t="n"/>
      <c r="Q356" s="25" t="n"/>
    </row>
    <row r="357">
      <c r="E357" s="24">
        <f>'클럭 정리'!A358</f>
        <v/>
      </c>
      <c r="F357" s="23">
        <f>'클럭 정리'!O358</f>
        <v/>
      </c>
      <c r="G357" s="25" t="n"/>
      <c r="H357" s="25" t="n"/>
      <c r="I357" s="25" t="n"/>
      <c r="J357" s="25" t="n"/>
      <c r="K357" s="25" t="n"/>
      <c r="L357" s="25" t="n"/>
      <c r="M357" s="25" t="n"/>
      <c r="N357" s="25" t="n"/>
      <c r="O357" s="25" t="n"/>
      <c r="P357" s="25" t="n"/>
      <c r="Q357" s="25" t="n"/>
    </row>
    <row r="358">
      <c r="E358" s="24">
        <f>'클럭 정리'!A359</f>
        <v/>
      </c>
      <c r="F358" s="23">
        <f>'클럭 정리'!O359</f>
        <v/>
      </c>
      <c r="G358" s="25" t="n"/>
      <c r="H358" s="25" t="n"/>
      <c r="I358" s="25" t="n"/>
      <c r="J358" s="25" t="n"/>
      <c r="K358" s="25" t="n"/>
      <c r="L358" s="25" t="n"/>
      <c r="M358" s="25" t="n"/>
      <c r="N358" s="25" t="n"/>
      <c r="O358" s="25" t="n"/>
      <c r="P358" s="25" t="n"/>
      <c r="Q358" s="25" t="n"/>
    </row>
    <row r="359">
      <c r="E359" s="24">
        <f>'클럭 정리'!A360</f>
        <v/>
      </c>
      <c r="F359" s="23">
        <f>'클럭 정리'!O360</f>
        <v/>
      </c>
      <c r="G359" s="25" t="n"/>
      <c r="H359" s="25" t="n"/>
      <c r="I359" s="25" t="n"/>
      <c r="J359" s="25" t="n"/>
      <c r="K359" s="25" t="n"/>
      <c r="L359" s="25" t="n"/>
      <c r="M359" s="25" t="n"/>
      <c r="N359" s="25" t="n"/>
      <c r="O359" s="25" t="n"/>
      <c r="P359" s="25" t="n"/>
      <c r="Q359" s="25" t="n"/>
    </row>
    <row r="360">
      <c r="E360" s="24">
        <f>'클럭 정리'!A361</f>
        <v/>
      </c>
      <c r="F360" s="23">
        <f>'클럭 정리'!O361</f>
        <v/>
      </c>
      <c r="G360" s="25" t="n"/>
      <c r="H360" s="25" t="n"/>
      <c r="I360" s="25" t="n"/>
      <c r="J360" s="25" t="n"/>
      <c r="K360" s="25" t="n"/>
      <c r="L360" s="25" t="n"/>
      <c r="M360" s="25" t="n"/>
      <c r="N360" s="25" t="n"/>
      <c r="O360" s="25" t="n"/>
      <c r="P360" s="25" t="n"/>
      <c r="Q360" s="25" t="n"/>
    </row>
    <row r="361">
      <c r="E361" s="24">
        <f>'클럭 정리'!A362</f>
        <v/>
      </c>
      <c r="F361" s="23">
        <f>'클럭 정리'!O362</f>
        <v/>
      </c>
      <c r="G361" s="25" t="n"/>
      <c r="H361" s="25" t="n"/>
      <c r="I361" s="25" t="n"/>
      <c r="J361" s="25" t="n"/>
      <c r="K361" s="25" t="n"/>
      <c r="L361" s="25" t="n"/>
      <c r="M361" s="25" t="n"/>
      <c r="N361" s="25" t="n"/>
      <c r="O361" s="25" t="n"/>
      <c r="P361" s="25" t="n"/>
      <c r="Q361" s="25" t="n"/>
    </row>
    <row r="362">
      <c r="E362" s="24">
        <f>'클럭 정리'!A363</f>
        <v/>
      </c>
      <c r="F362" s="23">
        <f>'클럭 정리'!O363</f>
        <v/>
      </c>
      <c r="G362" s="25" t="n"/>
      <c r="H362" s="25" t="n"/>
      <c r="I362" s="25" t="n"/>
      <c r="J362" s="25" t="n"/>
      <c r="K362" s="25" t="n"/>
      <c r="L362" s="25" t="n"/>
      <c r="M362" s="25" t="n"/>
      <c r="N362" s="25" t="n"/>
      <c r="O362" s="25" t="n"/>
      <c r="P362" s="25" t="n"/>
      <c r="Q362" s="25" t="n"/>
    </row>
    <row r="363">
      <c r="E363" s="24">
        <f>'클럭 정리'!A364</f>
        <v/>
      </c>
      <c r="F363" s="23">
        <f>'클럭 정리'!O364</f>
        <v/>
      </c>
      <c r="G363" s="25" t="n"/>
      <c r="H363" s="25" t="n"/>
      <c r="I363" s="25" t="n"/>
      <c r="J363" s="25" t="n"/>
      <c r="K363" s="25" t="n"/>
      <c r="L363" s="25" t="n"/>
      <c r="M363" s="25" t="n"/>
      <c r="N363" s="25" t="n"/>
      <c r="O363" s="25" t="n"/>
      <c r="P363" s="25" t="n"/>
      <c r="Q363" s="25" t="n"/>
    </row>
    <row r="364">
      <c r="E364" s="24">
        <f>'클럭 정리'!A365</f>
        <v/>
      </c>
      <c r="F364" s="23">
        <f>'클럭 정리'!O365</f>
        <v/>
      </c>
      <c r="G364" s="25" t="n"/>
      <c r="H364" s="25" t="n"/>
      <c r="I364" s="25" t="n"/>
      <c r="J364" s="25" t="n"/>
      <c r="K364" s="25" t="n"/>
      <c r="L364" s="25" t="n"/>
      <c r="M364" s="25" t="n"/>
      <c r="N364" s="25" t="n"/>
      <c r="O364" s="25" t="n"/>
      <c r="P364" s="25" t="n"/>
      <c r="Q364" s="25" t="n"/>
    </row>
    <row r="365">
      <c r="E365" s="24">
        <f>'클럭 정리'!A366</f>
        <v/>
      </c>
      <c r="F365" s="23">
        <f>'클럭 정리'!O366</f>
        <v/>
      </c>
      <c r="G365" s="25" t="n"/>
      <c r="H365" s="25" t="n"/>
      <c r="I365" s="25" t="n"/>
      <c r="J365" s="25" t="n"/>
      <c r="K365" s="25" t="n"/>
      <c r="L365" s="25" t="n"/>
      <c r="M365" s="25" t="n"/>
      <c r="N365" s="25" t="n"/>
      <c r="O365" s="25" t="n"/>
      <c r="P365" s="25" t="n"/>
      <c r="Q365" s="25" t="n"/>
    </row>
    <row r="366">
      <c r="E366" s="24">
        <f>'클럭 정리'!A367</f>
        <v/>
      </c>
      <c r="F366" s="23">
        <f>'클럭 정리'!O367</f>
        <v/>
      </c>
      <c r="G366" s="25" t="n"/>
      <c r="H366" s="25" t="n"/>
      <c r="I366" s="25" t="n"/>
      <c r="J366" s="25" t="n"/>
      <c r="K366" s="25" t="n"/>
      <c r="L366" s="25" t="n"/>
      <c r="M366" s="25" t="n"/>
      <c r="N366" s="25" t="n"/>
      <c r="O366" s="25" t="n"/>
      <c r="P366" s="25" t="n"/>
      <c r="Q366" s="25" t="n"/>
    </row>
    <row r="367">
      <c r="E367" s="24">
        <f>'클럭 정리'!A368</f>
        <v/>
      </c>
      <c r="F367" s="23">
        <f>'클럭 정리'!O368</f>
        <v/>
      </c>
      <c r="G367" s="25" t="n"/>
      <c r="H367" s="25" t="n"/>
      <c r="I367" s="25" t="n"/>
      <c r="J367" s="25" t="n"/>
      <c r="K367" s="25" t="n"/>
      <c r="L367" s="25" t="n"/>
      <c r="M367" s="25" t="n"/>
      <c r="N367" s="25" t="n"/>
      <c r="O367" s="25" t="n"/>
      <c r="P367" s="25" t="n"/>
      <c r="Q367" s="25" t="n"/>
    </row>
    <row r="368">
      <c r="E368" s="24">
        <f>'클럭 정리'!A369</f>
        <v/>
      </c>
      <c r="F368" s="23">
        <f>'클럭 정리'!O369</f>
        <v/>
      </c>
      <c r="G368" s="25" t="n"/>
      <c r="H368" s="25" t="n"/>
      <c r="I368" s="25" t="n"/>
      <c r="J368" s="25" t="n"/>
      <c r="K368" s="25" t="n"/>
      <c r="L368" s="25" t="n"/>
      <c r="M368" s="25" t="n"/>
      <c r="N368" s="25" t="n"/>
      <c r="O368" s="25" t="n"/>
      <c r="P368" s="25" t="n"/>
      <c r="Q368" s="25" t="n"/>
    </row>
    <row r="369">
      <c r="E369" s="24">
        <f>'클럭 정리'!A370</f>
        <v/>
      </c>
      <c r="F369" s="23">
        <f>'클럭 정리'!O370</f>
        <v/>
      </c>
      <c r="G369" s="25" t="n"/>
      <c r="H369" s="25" t="n"/>
      <c r="I369" s="25" t="n"/>
      <c r="J369" s="25" t="n"/>
      <c r="K369" s="25" t="n"/>
      <c r="L369" s="25" t="n"/>
      <c r="M369" s="25" t="n"/>
      <c r="N369" s="25" t="n"/>
      <c r="O369" s="25" t="n"/>
      <c r="P369" s="25" t="n"/>
      <c r="Q369" s="25" t="n"/>
    </row>
    <row r="370">
      <c r="E370" s="24">
        <f>'클럭 정리'!A371</f>
        <v/>
      </c>
      <c r="F370" s="23">
        <f>'클럭 정리'!O371</f>
        <v/>
      </c>
      <c r="G370" s="25" t="n"/>
      <c r="H370" s="25" t="n"/>
      <c r="I370" s="25" t="n"/>
      <c r="J370" s="25" t="n"/>
      <c r="K370" s="25" t="n"/>
      <c r="L370" s="25" t="n"/>
      <c r="M370" s="25" t="n"/>
      <c r="N370" s="25" t="n"/>
      <c r="O370" s="25" t="n"/>
      <c r="P370" s="25" t="n"/>
      <c r="Q370" s="25" t="n"/>
    </row>
    <row r="371">
      <c r="E371" s="24">
        <f>'클럭 정리'!A372</f>
        <v/>
      </c>
      <c r="F371" s="23">
        <f>'클럭 정리'!O372</f>
        <v/>
      </c>
      <c r="G371" s="25" t="n"/>
      <c r="H371" s="25" t="n"/>
      <c r="I371" s="25" t="n"/>
      <c r="J371" s="25" t="n"/>
      <c r="K371" s="25" t="n"/>
      <c r="L371" s="25" t="n"/>
      <c r="M371" s="25" t="n"/>
      <c r="N371" s="25" t="n"/>
      <c r="O371" s="25" t="n"/>
      <c r="P371" s="25" t="n"/>
      <c r="Q371" s="25" t="n"/>
    </row>
    <row r="372">
      <c r="E372" s="24">
        <f>'클럭 정리'!A373</f>
        <v/>
      </c>
      <c r="F372" s="23">
        <f>'클럭 정리'!O373</f>
        <v/>
      </c>
      <c r="G372" s="25" t="n"/>
      <c r="H372" s="25" t="n"/>
      <c r="I372" s="25" t="n"/>
      <c r="J372" s="25" t="n"/>
      <c r="K372" s="25" t="n"/>
      <c r="L372" s="25" t="n"/>
      <c r="M372" s="25" t="n"/>
      <c r="N372" s="25" t="n"/>
      <c r="O372" s="25" t="n"/>
      <c r="P372" s="25" t="n"/>
      <c r="Q372" s="25" t="n"/>
    </row>
    <row r="373">
      <c r="E373" s="24">
        <f>'클럭 정리'!A374</f>
        <v/>
      </c>
      <c r="F373" s="23">
        <f>'클럭 정리'!O374</f>
        <v/>
      </c>
      <c r="G373" s="25" t="n"/>
      <c r="H373" s="25" t="n"/>
      <c r="I373" s="25" t="n"/>
      <c r="J373" s="25" t="n"/>
      <c r="K373" s="25" t="n"/>
      <c r="L373" s="25" t="n"/>
      <c r="M373" s="25" t="n"/>
      <c r="N373" s="25" t="n"/>
      <c r="O373" s="25" t="n"/>
      <c r="P373" s="25" t="n"/>
      <c r="Q373" s="25" t="n"/>
    </row>
    <row r="374">
      <c r="E374" s="24">
        <f>'클럭 정리'!A375</f>
        <v/>
      </c>
      <c r="F374" s="23">
        <f>'클럭 정리'!O375</f>
        <v/>
      </c>
      <c r="G374" s="25" t="n"/>
      <c r="H374" s="25" t="n"/>
      <c r="I374" s="25" t="n"/>
      <c r="J374" s="25" t="n"/>
      <c r="K374" s="25" t="n"/>
      <c r="L374" s="25" t="n"/>
      <c r="M374" s="25" t="n"/>
      <c r="N374" s="25" t="n"/>
      <c r="O374" s="25" t="n"/>
      <c r="P374" s="25" t="n"/>
      <c r="Q374" s="25" t="n"/>
    </row>
    <row r="375">
      <c r="E375" s="24">
        <f>'클럭 정리'!A376</f>
        <v/>
      </c>
      <c r="F375" s="23">
        <f>'클럭 정리'!O376</f>
        <v/>
      </c>
      <c r="G375" s="25" t="n"/>
      <c r="H375" s="25" t="n"/>
      <c r="I375" s="25" t="n"/>
      <c r="J375" s="25" t="n"/>
      <c r="K375" s="25" t="n"/>
      <c r="L375" s="25" t="n"/>
      <c r="M375" s="25" t="n"/>
      <c r="N375" s="25" t="n"/>
      <c r="O375" s="25" t="n"/>
      <c r="P375" s="25" t="n"/>
      <c r="Q375" s="25" t="n"/>
    </row>
    <row r="376">
      <c r="E376" s="24">
        <f>'클럭 정리'!A377</f>
        <v/>
      </c>
      <c r="F376" s="23">
        <f>'클럭 정리'!O377</f>
        <v/>
      </c>
      <c r="G376" s="25" t="n"/>
      <c r="H376" s="25" t="n"/>
      <c r="I376" s="25" t="n"/>
      <c r="J376" s="25" t="n"/>
      <c r="K376" s="25" t="n"/>
      <c r="L376" s="25" t="n"/>
      <c r="M376" s="25" t="n"/>
      <c r="N376" s="25" t="n"/>
      <c r="O376" s="25" t="n"/>
      <c r="P376" s="25" t="n"/>
      <c r="Q376" s="25" t="n"/>
    </row>
    <row r="377">
      <c r="E377" s="24">
        <f>'클럭 정리'!A378</f>
        <v/>
      </c>
      <c r="F377" s="23">
        <f>'클럭 정리'!O378</f>
        <v/>
      </c>
      <c r="G377" s="25" t="n"/>
      <c r="H377" s="25" t="n"/>
      <c r="I377" s="25" t="n"/>
      <c r="J377" s="25" t="n"/>
      <c r="K377" s="25" t="n"/>
      <c r="L377" s="25" t="n"/>
      <c r="M377" s="25" t="n"/>
      <c r="N377" s="25" t="n"/>
      <c r="O377" s="25" t="n"/>
      <c r="P377" s="25" t="n"/>
      <c r="Q377" s="25" t="n"/>
    </row>
    <row r="378">
      <c r="E378" s="24">
        <f>'클럭 정리'!A379</f>
        <v/>
      </c>
      <c r="F378" s="23">
        <f>'클럭 정리'!O379</f>
        <v/>
      </c>
      <c r="G378" s="25" t="n"/>
      <c r="H378" s="25" t="n"/>
      <c r="I378" s="25" t="n"/>
      <c r="J378" s="25" t="n"/>
      <c r="K378" s="25" t="n"/>
      <c r="L378" s="25" t="n"/>
      <c r="M378" s="25" t="n"/>
      <c r="N378" s="25" t="n"/>
      <c r="O378" s="25" t="n"/>
      <c r="P378" s="25" t="n"/>
      <c r="Q378" s="25" t="n"/>
    </row>
    <row r="379">
      <c r="E379" s="24">
        <f>'클럭 정리'!A380</f>
        <v/>
      </c>
      <c r="F379" s="23">
        <f>'클럭 정리'!O380</f>
        <v/>
      </c>
      <c r="G379" s="25" t="n"/>
      <c r="H379" s="25" t="n"/>
      <c r="I379" s="25" t="n"/>
      <c r="J379" s="25" t="n"/>
      <c r="K379" s="25" t="n"/>
      <c r="L379" s="25" t="n"/>
      <c r="M379" s="25" t="n"/>
      <c r="N379" s="25" t="n"/>
      <c r="O379" s="25" t="n"/>
      <c r="P379" s="25" t="n"/>
      <c r="Q379" s="25" t="n"/>
    </row>
    <row r="380">
      <c r="E380" s="24">
        <f>'클럭 정리'!A381</f>
        <v/>
      </c>
      <c r="F380" s="23">
        <f>'클럭 정리'!O381</f>
        <v/>
      </c>
      <c r="G380" s="25" t="n"/>
      <c r="H380" s="25" t="n"/>
      <c r="I380" s="25" t="n"/>
      <c r="J380" s="25" t="n"/>
      <c r="K380" s="25" t="n"/>
      <c r="L380" s="25" t="n"/>
      <c r="M380" s="25" t="n"/>
      <c r="N380" s="25" t="n"/>
      <c r="O380" s="25" t="n"/>
      <c r="P380" s="25" t="n"/>
      <c r="Q380" s="25" t="n"/>
    </row>
    <row r="381">
      <c r="E381" s="24">
        <f>'클럭 정리'!A382</f>
        <v/>
      </c>
      <c r="F381" s="23">
        <f>'클럭 정리'!O382</f>
        <v/>
      </c>
      <c r="G381" s="25" t="n"/>
      <c r="H381" s="25" t="n"/>
      <c r="I381" s="25" t="n"/>
      <c r="J381" s="25" t="n"/>
      <c r="K381" s="25" t="n"/>
      <c r="L381" s="25" t="n"/>
      <c r="M381" s="25" t="n"/>
      <c r="N381" s="25" t="n"/>
      <c r="O381" s="25" t="n"/>
      <c r="P381" s="25" t="n"/>
      <c r="Q381" s="25" t="n"/>
    </row>
    <row r="382">
      <c r="E382" s="24">
        <f>'클럭 정리'!A383</f>
        <v/>
      </c>
      <c r="F382" s="23">
        <f>'클럭 정리'!O383</f>
        <v/>
      </c>
      <c r="G382" s="25" t="n"/>
      <c r="H382" s="25" t="n"/>
      <c r="I382" s="25" t="n"/>
      <c r="J382" s="25" t="n"/>
      <c r="K382" s="25" t="n"/>
      <c r="L382" s="25" t="n"/>
      <c r="M382" s="25" t="n"/>
      <c r="N382" s="25" t="n"/>
      <c r="O382" s="25" t="n"/>
      <c r="P382" s="25" t="n"/>
      <c r="Q382" s="25" t="n"/>
    </row>
    <row r="383">
      <c r="E383" s="24">
        <f>'클럭 정리'!A384</f>
        <v/>
      </c>
      <c r="F383" s="23">
        <f>'클럭 정리'!O384</f>
        <v/>
      </c>
      <c r="G383" s="25" t="n"/>
      <c r="H383" s="25" t="n"/>
      <c r="I383" s="25" t="n"/>
      <c r="J383" s="25" t="n"/>
      <c r="K383" s="25" t="n"/>
      <c r="L383" s="25" t="n"/>
      <c r="M383" s="25" t="n"/>
      <c r="N383" s="25" t="n"/>
      <c r="O383" s="25" t="n"/>
      <c r="P383" s="25" t="n"/>
      <c r="Q383" s="25" t="n"/>
    </row>
    <row r="384">
      <c r="E384" s="24">
        <f>'클럭 정리'!A385</f>
        <v/>
      </c>
      <c r="F384" s="23">
        <f>'클럭 정리'!O385</f>
        <v/>
      </c>
      <c r="G384" s="25" t="n"/>
      <c r="H384" s="25" t="n"/>
      <c r="I384" s="25" t="n"/>
      <c r="J384" s="25" t="n"/>
      <c r="K384" s="25" t="n"/>
      <c r="L384" s="25" t="n"/>
      <c r="M384" s="25" t="n"/>
      <c r="N384" s="25" t="n"/>
      <c r="O384" s="25" t="n"/>
      <c r="P384" s="25" t="n"/>
      <c r="Q384" s="25" t="n"/>
    </row>
    <row r="385">
      <c r="E385" s="24">
        <f>'클럭 정리'!A386</f>
        <v/>
      </c>
      <c r="F385" s="23">
        <f>'클럭 정리'!O386</f>
        <v/>
      </c>
      <c r="G385" s="25" t="n"/>
      <c r="H385" s="25" t="n"/>
      <c r="I385" s="25" t="n"/>
      <c r="J385" s="25" t="n"/>
      <c r="K385" s="25" t="n"/>
      <c r="L385" s="25" t="n"/>
      <c r="M385" s="25" t="n"/>
      <c r="N385" s="25" t="n"/>
      <c r="O385" s="25" t="n"/>
      <c r="P385" s="25" t="n"/>
      <c r="Q385" s="25" t="n"/>
    </row>
    <row r="386">
      <c r="E386" s="24">
        <f>'클럭 정리'!A387</f>
        <v/>
      </c>
      <c r="F386" s="23">
        <f>'클럭 정리'!O387</f>
        <v/>
      </c>
      <c r="G386" s="25" t="n"/>
      <c r="H386" s="25" t="n"/>
      <c r="I386" s="25" t="n"/>
      <c r="J386" s="25" t="n"/>
      <c r="K386" s="25" t="n"/>
      <c r="L386" s="25" t="n"/>
      <c r="M386" s="25" t="n"/>
      <c r="N386" s="25" t="n"/>
      <c r="O386" s="25" t="n"/>
      <c r="P386" s="25" t="n"/>
      <c r="Q386" s="25" t="n"/>
    </row>
    <row r="387">
      <c r="E387" s="24">
        <f>'클럭 정리'!A388</f>
        <v/>
      </c>
      <c r="F387" s="23">
        <f>'클럭 정리'!O388</f>
        <v/>
      </c>
      <c r="G387" s="25" t="n"/>
      <c r="H387" s="25" t="n"/>
      <c r="I387" s="25" t="n"/>
      <c r="J387" s="25" t="n"/>
      <c r="K387" s="25" t="n"/>
      <c r="L387" s="25" t="n"/>
      <c r="M387" s="25" t="n"/>
      <c r="N387" s="25" t="n"/>
      <c r="O387" s="25" t="n"/>
      <c r="P387" s="25" t="n"/>
      <c r="Q387" s="25" t="n"/>
    </row>
    <row r="388">
      <c r="E388" s="24">
        <f>'클럭 정리'!A389</f>
        <v/>
      </c>
      <c r="F388" s="23">
        <f>'클럭 정리'!O389</f>
        <v/>
      </c>
      <c r="G388" s="25" t="n"/>
      <c r="H388" s="25" t="n"/>
      <c r="I388" s="25" t="n"/>
      <c r="J388" s="25" t="n"/>
      <c r="K388" s="25" t="n"/>
      <c r="L388" s="25" t="n"/>
      <c r="M388" s="25" t="n"/>
      <c r="N388" s="25" t="n"/>
      <c r="O388" s="25" t="n"/>
      <c r="P388" s="25" t="n"/>
      <c r="Q388" s="25" t="n"/>
    </row>
    <row r="389">
      <c r="E389" s="24">
        <f>'클럭 정리'!A390</f>
        <v/>
      </c>
      <c r="F389" s="23">
        <f>'클럭 정리'!O390</f>
        <v/>
      </c>
      <c r="G389" s="25" t="n"/>
      <c r="H389" s="25" t="n"/>
      <c r="I389" s="25" t="n"/>
      <c r="J389" s="25" t="n"/>
      <c r="K389" s="25" t="n"/>
      <c r="L389" s="25" t="n"/>
      <c r="M389" s="25" t="n"/>
      <c r="N389" s="25" t="n"/>
      <c r="O389" s="25" t="n"/>
      <c r="P389" s="25" t="n"/>
      <c r="Q389" s="25" t="n"/>
    </row>
    <row r="390">
      <c r="E390" s="24">
        <f>'클럭 정리'!A391</f>
        <v/>
      </c>
      <c r="F390" s="23">
        <f>'클럭 정리'!O391</f>
        <v/>
      </c>
      <c r="G390" s="25" t="n"/>
      <c r="H390" s="25" t="n"/>
      <c r="I390" s="25" t="n"/>
      <c r="J390" s="25" t="n"/>
      <c r="K390" s="25" t="n"/>
      <c r="L390" s="25" t="n"/>
      <c r="M390" s="25" t="n"/>
      <c r="N390" s="25" t="n"/>
      <c r="O390" s="25" t="n"/>
      <c r="P390" s="25" t="n"/>
      <c r="Q390" s="25" t="n"/>
    </row>
    <row r="391">
      <c r="E391" s="24">
        <f>'클럭 정리'!A392</f>
        <v/>
      </c>
      <c r="F391" s="23">
        <f>'클럭 정리'!O392</f>
        <v/>
      </c>
      <c r="G391" s="25" t="n"/>
      <c r="H391" s="25" t="n"/>
      <c r="I391" s="25" t="n"/>
      <c r="J391" s="25" t="n"/>
      <c r="K391" s="25" t="n"/>
      <c r="L391" s="25" t="n"/>
      <c r="M391" s="25" t="n"/>
      <c r="N391" s="25" t="n"/>
      <c r="O391" s="25" t="n"/>
      <c r="P391" s="25" t="n"/>
      <c r="Q391" s="25" t="n"/>
    </row>
    <row r="392">
      <c r="E392" s="24">
        <f>'클럭 정리'!A393</f>
        <v/>
      </c>
      <c r="F392" s="23">
        <f>'클럭 정리'!O393</f>
        <v/>
      </c>
      <c r="G392" s="25" t="n"/>
      <c r="H392" s="25" t="n"/>
      <c r="I392" s="25" t="n"/>
      <c r="J392" s="25" t="n"/>
      <c r="K392" s="25" t="n"/>
      <c r="L392" s="25" t="n"/>
      <c r="M392" s="25" t="n"/>
      <c r="N392" s="25" t="n"/>
      <c r="O392" s="25" t="n"/>
      <c r="P392" s="25" t="n"/>
      <c r="Q392" s="25" t="n"/>
    </row>
    <row r="393">
      <c r="E393" s="24">
        <f>'클럭 정리'!A394</f>
        <v/>
      </c>
      <c r="F393" s="23">
        <f>'클럭 정리'!O394</f>
        <v/>
      </c>
      <c r="G393" s="25" t="n"/>
      <c r="H393" s="25" t="n"/>
      <c r="I393" s="25" t="n"/>
      <c r="J393" s="25" t="n"/>
      <c r="K393" s="25" t="n"/>
      <c r="L393" s="25" t="n"/>
      <c r="M393" s="25" t="n"/>
      <c r="N393" s="25" t="n"/>
      <c r="O393" s="25" t="n"/>
      <c r="P393" s="25" t="n"/>
      <c r="Q393" s="25" t="n"/>
    </row>
    <row r="394">
      <c r="E394" s="24">
        <f>'클럭 정리'!A395</f>
        <v/>
      </c>
      <c r="F394" s="23">
        <f>'클럭 정리'!O395</f>
        <v/>
      </c>
      <c r="G394" s="25" t="n"/>
      <c r="H394" s="25" t="n"/>
      <c r="I394" s="25" t="n"/>
      <c r="J394" s="25" t="n"/>
      <c r="K394" s="25" t="n"/>
      <c r="L394" s="25" t="n"/>
      <c r="M394" s="25" t="n"/>
      <c r="N394" s="25" t="n"/>
      <c r="O394" s="25" t="n"/>
      <c r="P394" s="25" t="n"/>
      <c r="Q394" s="25" t="n"/>
    </row>
    <row r="395">
      <c r="E395" s="24">
        <f>'클럭 정리'!A396</f>
        <v/>
      </c>
      <c r="F395" s="23">
        <f>'클럭 정리'!O396</f>
        <v/>
      </c>
      <c r="G395" s="25" t="n"/>
      <c r="H395" s="25" t="n"/>
      <c r="I395" s="25" t="n"/>
      <c r="J395" s="25" t="n"/>
      <c r="K395" s="25" t="n"/>
      <c r="L395" s="25" t="n"/>
      <c r="M395" s="25" t="n"/>
      <c r="N395" s="25" t="n"/>
      <c r="O395" s="25" t="n"/>
      <c r="P395" s="25" t="n"/>
      <c r="Q395" s="25" t="n"/>
    </row>
    <row r="396">
      <c r="E396" s="24">
        <f>'클럭 정리'!A397</f>
        <v/>
      </c>
      <c r="F396" s="23">
        <f>'클럭 정리'!O397</f>
        <v/>
      </c>
      <c r="G396" s="25" t="n"/>
      <c r="H396" s="25" t="n"/>
      <c r="I396" s="25" t="n"/>
      <c r="J396" s="25" t="n"/>
      <c r="K396" s="25" t="n"/>
      <c r="L396" s="25" t="n"/>
      <c r="M396" s="25" t="n"/>
      <c r="N396" s="25" t="n"/>
      <c r="O396" s="25" t="n"/>
      <c r="P396" s="25" t="n"/>
      <c r="Q396" s="25" t="n"/>
    </row>
    <row r="397">
      <c r="E397" s="24">
        <f>'클럭 정리'!A398</f>
        <v/>
      </c>
      <c r="F397" s="23">
        <f>'클럭 정리'!O398</f>
        <v/>
      </c>
      <c r="G397" s="25" t="n"/>
      <c r="H397" s="25" t="n"/>
      <c r="I397" s="25" t="n"/>
      <c r="J397" s="25" t="n"/>
      <c r="K397" s="25" t="n"/>
      <c r="L397" s="25" t="n"/>
      <c r="M397" s="25" t="n"/>
      <c r="N397" s="25" t="n"/>
      <c r="O397" s="25" t="n"/>
      <c r="P397" s="25" t="n"/>
      <c r="Q397" s="25" t="n"/>
    </row>
    <row r="398">
      <c r="E398" s="24">
        <f>'클럭 정리'!A399</f>
        <v/>
      </c>
      <c r="F398" s="23">
        <f>'클럭 정리'!O399</f>
        <v/>
      </c>
      <c r="G398" s="25" t="n"/>
      <c r="H398" s="25" t="n"/>
      <c r="I398" s="25" t="n"/>
      <c r="J398" s="25" t="n"/>
      <c r="K398" s="25" t="n"/>
      <c r="L398" s="25" t="n"/>
      <c r="M398" s="25" t="n"/>
      <c r="N398" s="25" t="n"/>
      <c r="O398" s="25" t="n"/>
      <c r="P398" s="25" t="n"/>
      <c r="Q398" s="25" t="n"/>
    </row>
    <row r="399">
      <c r="E399" s="24">
        <f>'클럭 정리'!A400</f>
        <v/>
      </c>
      <c r="F399" s="23">
        <f>'클럭 정리'!O400</f>
        <v/>
      </c>
      <c r="G399" s="25" t="n"/>
      <c r="H399" s="25" t="n"/>
      <c r="I399" s="25" t="n"/>
      <c r="J399" s="25" t="n"/>
      <c r="K399" s="25" t="n"/>
      <c r="L399" s="25" t="n"/>
      <c r="M399" s="25" t="n"/>
      <c r="N399" s="25" t="n"/>
      <c r="O399" s="25" t="n"/>
      <c r="P399" s="25" t="n"/>
      <c r="Q399" s="25" t="n"/>
    </row>
    <row r="400">
      <c r="E400" s="24">
        <f>'클럭 정리'!A401</f>
        <v/>
      </c>
      <c r="F400" s="23">
        <f>'클럭 정리'!O401</f>
        <v/>
      </c>
      <c r="G400" s="25" t="n"/>
      <c r="H400" s="25" t="n"/>
      <c r="I400" s="25" t="n"/>
      <c r="J400" s="25" t="n"/>
      <c r="K400" s="25" t="n"/>
      <c r="L400" s="25" t="n"/>
      <c r="M400" s="25" t="n"/>
      <c r="N400" s="25" t="n"/>
      <c r="O400" s="25" t="n"/>
      <c r="P400" s="25" t="n"/>
      <c r="Q400" s="25" t="n"/>
    </row>
    <row r="401">
      <c r="E401" s="24">
        <f>'클럭 정리'!A402</f>
        <v/>
      </c>
      <c r="F401" s="23">
        <f>'클럭 정리'!O402</f>
        <v/>
      </c>
      <c r="G401" s="25" t="n"/>
      <c r="H401" s="25" t="n"/>
      <c r="I401" s="25" t="n"/>
      <c r="J401" s="25" t="n"/>
      <c r="K401" s="25" t="n"/>
      <c r="L401" s="25" t="n"/>
      <c r="M401" s="25" t="n"/>
      <c r="N401" s="25" t="n"/>
      <c r="O401" s="25" t="n"/>
      <c r="P401" s="25" t="n"/>
      <c r="Q401" s="25" t="n"/>
    </row>
    <row r="402">
      <c r="E402" s="24">
        <f>'클럭 정리'!A403</f>
        <v/>
      </c>
      <c r="F402" s="23">
        <f>'클럭 정리'!O403</f>
        <v/>
      </c>
      <c r="G402" s="25" t="n"/>
      <c r="H402" s="25" t="n"/>
      <c r="I402" s="25" t="n"/>
      <c r="J402" s="25" t="n"/>
      <c r="K402" s="25" t="n"/>
      <c r="L402" s="25" t="n"/>
      <c r="M402" s="25" t="n"/>
      <c r="N402" s="25" t="n"/>
      <c r="O402" s="25" t="n"/>
      <c r="P402" s="25" t="n"/>
      <c r="Q402" s="25" t="n"/>
    </row>
    <row r="403">
      <c r="E403" s="24">
        <f>'클럭 정리'!A404</f>
        <v/>
      </c>
      <c r="F403" s="23">
        <f>'클럭 정리'!O404</f>
        <v/>
      </c>
      <c r="G403" s="25" t="n"/>
      <c r="H403" s="25" t="n"/>
      <c r="I403" s="25" t="n"/>
      <c r="J403" s="25" t="n"/>
      <c r="K403" s="25" t="n"/>
      <c r="L403" s="25" t="n"/>
      <c r="M403" s="25" t="n"/>
      <c r="N403" s="25" t="n"/>
      <c r="O403" s="25" t="n"/>
      <c r="P403" s="25" t="n"/>
      <c r="Q403" s="25" t="n"/>
    </row>
    <row r="404">
      <c r="E404" s="24">
        <f>'클럭 정리'!A405</f>
        <v/>
      </c>
      <c r="F404" s="23">
        <f>'클럭 정리'!O405</f>
        <v/>
      </c>
      <c r="G404" s="25" t="n"/>
      <c r="H404" s="25" t="n"/>
      <c r="I404" s="25" t="n"/>
      <c r="J404" s="25" t="n"/>
      <c r="K404" s="25" t="n"/>
      <c r="L404" s="25" t="n"/>
      <c r="M404" s="25" t="n"/>
      <c r="N404" s="25" t="n"/>
      <c r="O404" s="25" t="n"/>
      <c r="P404" s="25" t="n"/>
      <c r="Q404" s="25" t="n"/>
    </row>
    <row r="405">
      <c r="E405" s="24">
        <f>'클럭 정리'!A406</f>
        <v/>
      </c>
      <c r="F405" s="23">
        <f>'클럭 정리'!O406</f>
        <v/>
      </c>
      <c r="G405" s="25" t="n"/>
      <c r="H405" s="25" t="n"/>
      <c r="I405" s="25" t="n"/>
      <c r="J405" s="25" t="n"/>
      <c r="K405" s="25" t="n"/>
      <c r="L405" s="25" t="n"/>
      <c r="M405" s="25" t="n"/>
      <c r="N405" s="25" t="n"/>
      <c r="O405" s="25" t="n"/>
      <c r="P405" s="25" t="n"/>
      <c r="Q405" s="25" t="n"/>
    </row>
    <row r="406">
      <c r="E406" s="24">
        <f>'클럭 정리'!A407</f>
        <v/>
      </c>
      <c r="F406" s="23">
        <f>'클럭 정리'!O407</f>
        <v/>
      </c>
      <c r="G406" s="25" t="n"/>
      <c r="H406" s="25" t="n"/>
      <c r="I406" s="25" t="n"/>
      <c r="J406" s="25" t="n"/>
      <c r="K406" s="25" t="n"/>
      <c r="L406" s="25" t="n"/>
      <c r="M406" s="25" t="n"/>
      <c r="N406" s="25" t="n"/>
      <c r="O406" s="25" t="n"/>
      <c r="P406" s="25" t="n"/>
      <c r="Q406" s="25" t="n"/>
    </row>
    <row r="407">
      <c r="E407" s="24">
        <f>'클럭 정리'!A408</f>
        <v/>
      </c>
      <c r="F407" s="23">
        <f>'클럭 정리'!O408</f>
        <v/>
      </c>
      <c r="G407" s="25" t="n"/>
      <c r="H407" s="25" t="n"/>
      <c r="I407" s="25" t="n"/>
      <c r="J407" s="25" t="n"/>
      <c r="K407" s="25" t="n"/>
      <c r="L407" s="25" t="n"/>
      <c r="M407" s="25" t="n"/>
      <c r="N407" s="25" t="n"/>
      <c r="O407" s="25" t="n"/>
      <c r="P407" s="25" t="n"/>
      <c r="Q407" s="25" t="n"/>
    </row>
    <row r="408">
      <c r="E408" s="24">
        <f>'클럭 정리'!A409</f>
        <v/>
      </c>
      <c r="F408" s="23">
        <f>'클럭 정리'!O409</f>
        <v/>
      </c>
      <c r="G408" s="25" t="n"/>
      <c r="H408" s="25" t="n"/>
      <c r="I408" s="25" t="n"/>
      <c r="J408" s="25" t="n"/>
      <c r="K408" s="25" t="n"/>
      <c r="L408" s="25" t="n"/>
      <c r="M408" s="25" t="n"/>
      <c r="N408" s="25" t="n"/>
      <c r="O408" s="25" t="n"/>
      <c r="P408" s="25" t="n"/>
      <c r="Q408" s="25" t="n"/>
    </row>
    <row r="409">
      <c r="E409" s="24">
        <f>'클럭 정리'!A410</f>
        <v/>
      </c>
      <c r="F409" s="23">
        <f>'클럭 정리'!O410</f>
        <v/>
      </c>
      <c r="G409" s="25" t="n"/>
      <c r="H409" s="25" t="n"/>
      <c r="I409" s="25" t="n"/>
      <c r="J409" s="25" t="n"/>
      <c r="K409" s="25" t="n"/>
      <c r="L409" s="25" t="n"/>
      <c r="M409" s="25" t="n"/>
      <c r="N409" s="25" t="n"/>
      <c r="O409" s="25" t="n"/>
      <c r="P409" s="25" t="n"/>
      <c r="Q409" s="25" t="n"/>
    </row>
    <row r="410">
      <c r="E410" s="24">
        <f>'클럭 정리'!A411</f>
        <v/>
      </c>
      <c r="F410" s="23">
        <f>'클럭 정리'!O411</f>
        <v/>
      </c>
      <c r="G410" s="25" t="n"/>
      <c r="H410" s="25" t="n"/>
      <c r="I410" s="25" t="n"/>
      <c r="J410" s="25" t="n"/>
      <c r="K410" s="25" t="n"/>
      <c r="L410" s="25" t="n"/>
      <c r="M410" s="25" t="n"/>
      <c r="N410" s="25" t="n"/>
      <c r="O410" s="25" t="n"/>
      <c r="P410" s="25" t="n"/>
      <c r="Q410" s="25" t="n"/>
    </row>
    <row r="411">
      <c r="E411" s="24">
        <f>'클럭 정리'!A412</f>
        <v/>
      </c>
      <c r="F411" s="23">
        <f>'클럭 정리'!O412</f>
        <v/>
      </c>
      <c r="G411" s="25" t="n"/>
      <c r="H411" s="25" t="n"/>
      <c r="I411" s="25" t="n"/>
      <c r="J411" s="25" t="n"/>
      <c r="K411" s="25" t="n"/>
      <c r="L411" s="25" t="n"/>
      <c r="M411" s="25" t="n"/>
      <c r="N411" s="25" t="n"/>
      <c r="O411" s="25" t="n"/>
      <c r="P411" s="25" t="n"/>
      <c r="Q411" s="25" t="n"/>
    </row>
    <row r="412">
      <c r="E412" s="24">
        <f>'클럭 정리'!A413</f>
        <v/>
      </c>
      <c r="F412" s="23">
        <f>'클럭 정리'!O413</f>
        <v/>
      </c>
      <c r="G412" s="25" t="n"/>
      <c r="H412" s="25" t="n"/>
      <c r="I412" s="25" t="n"/>
      <c r="J412" s="25" t="n"/>
      <c r="K412" s="25" t="n"/>
      <c r="L412" s="25" t="n"/>
      <c r="M412" s="25" t="n"/>
      <c r="N412" s="25" t="n"/>
      <c r="O412" s="25" t="n"/>
      <c r="P412" s="25" t="n"/>
      <c r="Q412" s="25" t="n"/>
    </row>
    <row r="413">
      <c r="E413" s="24">
        <f>'클럭 정리'!A414</f>
        <v/>
      </c>
      <c r="F413" s="23">
        <f>'클럭 정리'!O414</f>
        <v/>
      </c>
      <c r="G413" s="25" t="n"/>
      <c r="H413" s="25" t="n"/>
      <c r="I413" s="25" t="n"/>
      <c r="J413" s="25" t="n"/>
      <c r="K413" s="25" t="n"/>
      <c r="L413" s="25" t="n"/>
      <c r="M413" s="25" t="n"/>
      <c r="N413" s="25" t="n"/>
      <c r="O413" s="25" t="n"/>
      <c r="P413" s="25" t="n"/>
      <c r="Q413" s="25" t="n"/>
    </row>
    <row r="414">
      <c r="E414" s="24">
        <f>'클럭 정리'!A415</f>
        <v/>
      </c>
      <c r="F414" s="23">
        <f>'클럭 정리'!O415</f>
        <v/>
      </c>
      <c r="G414" s="25" t="n"/>
      <c r="H414" s="25" t="n"/>
      <c r="I414" s="25" t="n"/>
      <c r="J414" s="25" t="n"/>
      <c r="K414" s="25" t="n"/>
      <c r="L414" s="25" t="n"/>
      <c r="M414" s="25" t="n"/>
      <c r="N414" s="25" t="n"/>
      <c r="O414" s="25" t="n"/>
      <c r="P414" s="25" t="n"/>
      <c r="Q414" s="25" t="n"/>
    </row>
    <row r="415">
      <c r="E415" s="24">
        <f>'클럭 정리'!A416</f>
        <v/>
      </c>
      <c r="F415" s="23">
        <f>'클럭 정리'!O416</f>
        <v/>
      </c>
      <c r="G415" s="25" t="n"/>
      <c r="H415" s="25" t="n"/>
      <c r="I415" s="25" t="n"/>
      <c r="J415" s="25" t="n"/>
      <c r="K415" s="25" t="n"/>
      <c r="L415" s="25" t="n"/>
      <c r="M415" s="25" t="n"/>
      <c r="N415" s="25" t="n"/>
      <c r="O415" s="25" t="n"/>
      <c r="P415" s="25" t="n"/>
      <c r="Q415" s="25" t="n"/>
    </row>
    <row r="416">
      <c r="E416" s="24">
        <f>'클럭 정리'!A417</f>
        <v/>
      </c>
      <c r="F416" s="23">
        <f>'클럭 정리'!O417</f>
        <v/>
      </c>
      <c r="G416" s="25" t="n"/>
      <c r="H416" s="25" t="n"/>
      <c r="I416" s="25" t="n"/>
      <c r="J416" s="25" t="n"/>
      <c r="K416" s="25" t="n"/>
      <c r="L416" s="25" t="n"/>
      <c r="M416" s="25" t="n"/>
      <c r="N416" s="25" t="n"/>
      <c r="O416" s="25" t="n"/>
      <c r="P416" s="25" t="n"/>
      <c r="Q416" s="25" t="n"/>
    </row>
    <row r="417">
      <c r="E417" s="24">
        <f>'클럭 정리'!A418</f>
        <v/>
      </c>
      <c r="F417" s="23">
        <f>'클럭 정리'!O418</f>
        <v/>
      </c>
      <c r="G417" s="25" t="n"/>
      <c r="H417" s="25" t="n"/>
      <c r="I417" s="25" t="n"/>
      <c r="J417" s="25" t="n"/>
      <c r="K417" s="25" t="n"/>
      <c r="L417" s="25" t="n"/>
      <c r="M417" s="25" t="n"/>
      <c r="N417" s="25" t="n"/>
      <c r="O417" s="25" t="n"/>
      <c r="P417" s="25" t="n"/>
      <c r="Q417" s="25" t="n"/>
    </row>
    <row r="418">
      <c r="E418" s="24">
        <f>'클럭 정리'!A419</f>
        <v/>
      </c>
      <c r="F418" s="23">
        <f>'클럭 정리'!O419</f>
        <v/>
      </c>
      <c r="G418" s="25" t="n"/>
      <c r="H418" s="25" t="n"/>
      <c r="I418" s="25" t="n"/>
      <c r="J418" s="25" t="n"/>
      <c r="K418" s="25" t="n"/>
      <c r="L418" s="25" t="n"/>
      <c r="M418" s="25" t="n"/>
      <c r="N418" s="25" t="n"/>
      <c r="O418" s="25" t="n"/>
      <c r="P418" s="25" t="n"/>
      <c r="Q418" s="25" t="n"/>
    </row>
    <row r="419">
      <c r="E419" s="24">
        <f>'클럭 정리'!A420</f>
        <v/>
      </c>
      <c r="F419" s="23">
        <f>'클럭 정리'!O420</f>
        <v/>
      </c>
      <c r="G419" s="25" t="n"/>
      <c r="H419" s="25" t="n"/>
      <c r="I419" s="25" t="n"/>
      <c r="J419" s="25" t="n"/>
      <c r="K419" s="25" t="n"/>
      <c r="L419" s="25" t="n"/>
      <c r="M419" s="25" t="n"/>
      <c r="N419" s="25" t="n"/>
      <c r="O419" s="25" t="n"/>
      <c r="P419" s="25" t="n"/>
      <c r="Q419" s="25" t="n"/>
    </row>
    <row r="420">
      <c r="E420" s="24">
        <f>'클럭 정리'!A421</f>
        <v/>
      </c>
      <c r="F420" s="23">
        <f>'클럭 정리'!O421</f>
        <v/>
      </c>
      <c r="G420" s="25" t="n"/>
      <c r="H420" s="25" t="n"/>
      <c r="I420" s="25" t="n"/>
      <c r="J420" s="25" t="n"/>
      <c r="K420" s="25" t="n"/>
      <c r="L420" s="25" t="n"/>
      <c r="M420" s="25" t="n"/>
      <c r="N420" s="25" t="n"/>
      <c r="O420" s="25" t="n"/>
      <c r="P420" s="25" t="n"/>
      <c r="Q420" s="25" t="n"/>
    </row>
    <row r="421">
      <c r="E421" s="24">
        <f>'클럭 정리'!A422</f>
        <v/>
      </c>
      <c r="F421" s="23">
        <f>'클럭 정리'!O422</f>
        <v/>
      </c>
      <c r="G421" s="25" t="n"/>
      <c r="H421" s="25" t="n"/>
      <c r="I421" s="25" t="n"/>
      <c r="J421" s="25" t="n"/>
      <c r="K421" s="25" t="n"/>
      <c r="L421" s="25" t="n"/>
      <c r="M421" s="25" t="n"/>
      <c r="N421" s="25" t="n"/>
      <c r="O421" s="25" t="n"/>
      <c r="P421" s="25" t="n"/>
      <c r="Q421" s="25" t="n"/>
    </row>
    <row r="422">
      <c r="E422" s="24">
        <f>'클럭 정리'!A423</f>
        <v/>
      </c>
      <c r="F422" s="23">
        <f>'클럭 정리'!O423</f>
        <v/>
      </c>
      <c r="G422" s="25" t="n"/>
      <c r="H422" s="25" t="n"/>
      <c r="I422" s="25" t="n"/>
      <c r="J422" s="25" t="n"/>
      <c r="K422" s="25" t="n"/>
      <c r="L422" s="25" t="n"/>
      <c r="M422" s="25" t="n"/>
      <c r="N422" s="25" t="n"/>
      <c r="O422" s="25" t="n"/>
      <c r="P422" s="25" t="n"/>
      <c r="Q422" s="25" t="n"/>
    </row>
    <row r="423">
      <c r="E423" s="24">
        <f>'클럭 정리'!A424</f>
        <v/>
      </c>
      <c r="F423" s="23">
        <f>'클럭 정리'!O424</f>
        <v/>
      </c>
      <c r="G423" s="25" t="n"/>
      <c r="H423" s="25" t="n"/>
      <c r="I423" s="25" t="n"/>
      <c r="J423" s="25" t="n"/>
      <c r="K423" s="25" t="n"/>
      <c r="L423" s="25" t="n"/>
      <c r="M423" s="25" t="n"/>
      <c r="N423" s="25" t="n"/>
      <c r="O423" s="25" t="n"/>
      <c r="P423" s="25" t="n"/>
      <c r="Q423" s="25" t="n"/>
    </row>
    <row r="424">
      <c r="E424" s="24">
        <f>'클럭 정리'!A425</f>
        <v/>
      </c>
      <c r="F424" s="23">
        <f>'클럭 정리'!O425</f>
        <v/>
      </c>
      <c r="G424" s="25" t="n"/>
      <c r="H424" s="25" t="n"/>
      <c r="I424" s="25" t="n"/>
      <c r="J424" s="25" t="n"/>
      <c r="K424" s="25" t="n"/>
      <c r="L424" s="25" t="n"/>
      <c r="M424" s="25" t="n"/>
      <c r="N424" s="25" t="n"/>
      <c r="O424" s="25" t="n"/>
      <c r="P424" s="25" t="n"/>
      <c r="Q424" s="25" t="n"/>
    </row>
    <row r="425">
      <c r="E425" s="24">
        <f>'클럭 정리'!A426</f>
        <v/>
      </c>
      <c r="F425" s="23">
        <f>'클럭 정리'!O426</f>
        <v/>
      </c>
      <c r="G425" s="25" t="n"/>
      <c r="H425" s="25" t="n"/>
      <c r="I425" s="25" t="n"/>
      <c r="J425" s="25" t="n"/>
      <c r="K425" s="25" t="n"/>
      <c r="L425" s="25" t="n"/>
      <c r="M425" s="25" t="n"/>
      <c r="N425" s="25" t="n"/>
      <c r="O425" s="25" t="n"/>
      <c r="P425" s="25" t="n"/>
      <c r="Q425" s="25" t="n"/>
    </row>
    <row r="426">
      <c r="E426" s="24">
        <f>'클럭 정리'!A427</f>
        <v/>
      </c>
      <c r="F426" s="23">
        <f>'클럭 정리'!O427</f>
        <v/>
      </c>
      <c r="G426" s="25" t="n"/>
      <c r="H426" s="25" t="n"/>
      <c r="I426" s="25" t="n"/>
      <c r="J426" s="25" t="n"/>
      <c r="K426" s="25" t="n"/>
      <c r="L426" s="25" t="n"/>
      <c r="M426" s="25" t="n"/>
      <c r="N426" s="25" t="n"/>
      <c r="O426" s="25" t="n"/>
      <c r="P426" s="25" t="n"/>
      <c r="Q426" s="25" t="n"/>
    </row>
    <row r="427">
      <c r="E427" s="24">
        <f>'클럭 정리'!A428</f>
        <v/>
      </c>
      <c r="F427" s="23">
        <f>'클럭 정리'!O428</f>
        <v/>
      </c>
      <c r="G427" s="25" t="n"/>
      <c r="H427" s="25" t="n"/>
      <c r="I427" s="25" t="n"/>
      <c r="J427" s="25" t="n"/>
      <c r="K427" s="25" t="n"/>
      <c r="L427" s="25" t="n"/>
      <c r="M427" s="25" t="n"/>
      <c r="N427" s="25" t="n"/>
      <c r="O427" s="25" t="n"/>
      <c r="P427" s="25" t="n"/>
      <c r="Q427" s="25" t="n"/>
    </row>
    <row r="428">
      <c r="E428" s="24">
        <f>'클럭 정리'!A429</f>
        <v/>
      </c>
      <c r="F428" s="23">
        <f>'클럭 정리'!O429</f>
        <v/>
      </c>
      <c r="G428" s="25" t="n"/>
      <c r="H428" s="25" t="n"/>
      <c r="I428" s="25" t="n"/>
      <c r="J428" s="25" t="n"/>
      <c r="K428" s="25" t="n"/>
      <c r="L428" s="25" t="n"/>
      <c r="M428" s="25" t="n"/>
      <c r="N428" s="25" t="n"/>
      <c r="O428" s="25" t="n"/>
      <c r="P428" s="25" t="n"/>
      <c r="Q428" s="25" t="n"/>
    </row>
    <row r="429">
      <c r="E429" s="24">
        <f>'클럭 정리'!A430</f>
        <v/>
      </c>
      <c r="F429" s="23">
        <f>'클럭 정리'!O430</f>
        <v/>
      </c>
      <c r="G429" s="25" t="n"/>
      <c r="H429" s="25" t="n"/>
      <c r="I429" s="25" t="n"/>
      <c r="J429" s="25" t="n"/>
      <c r="K429" s="25" t="n"/>
      <c r="L429" s="25" t="n"/>
      <c r="M429" s="25" t="n"/>
      <c r="N429" s="25" t="n"/>
      <c r="O429" s="25" t="n"/>
      <c r="P429" s="25" t="n"/>
      <c r="Q429" s="25" t="n"/>
    </row>
    <row r="430">
      <c r="E430" s="24">
        <f>'클럭 정리'!A431</f>
        <v/>
      </c>
      <c r="F430" s="23">
        <f>'클럭 정리'!O431</f>
        <v/>
      </c>
      <c r="G430" s="25" t="n"/>
      <c r="H430" s="25" t="n"/>
      <c r="I430" s="25" t="n"/>
      <c r="J430" s="25" t="n"/>
      <c r="K430" s="25" t="n"/>
      <c r="L430" s="25" t="n"/>
      <c r="M430" s="25" t="n"/>
      <c r="N430" s="25" t="n"/>
      <c r="O430" s="25" t="n"/>
      <c r="P430" s="25" t="n"/>
      <c r="Q430" s="25" t="n"/>
    </row>
    <row r="431">
      <c r="E431" s="24">
        <f>'클럭 정리'!A432</f>
        <v/>
      </c>
      <c r="F431" s="23">
        <f>'클럭 정리'!O432</f>
        <v/>
      </c>
      <c r="G431" s="25" t="n"/>
      <c r="H431" s="25" t="n"/>
      <c r="I431" s="25" t="n"/>
      <c r="J431" s="25" t="n"/>
      <c r="K431" s="25" t="n"/>
      <c r="L431" s="25" t="n"/>
      <c r="M431" s="25" t="n"/>
      <c r="N431" s="25" t="n"/>
      <c r="O431" s="25" t="n"/>
      <c r="P431" s="25" t="n"/>
      <c r="Q431" s="25" t="n"/>
    </row>
    <row r="432">
      <c r="E432" s="24">
        <f>'클럭 정리'!A433</f>
        <v/>
      </c>
      <c r="F432" s="23">
        <f>'클럭 정리'!O433</f>
        <v/>
      </c>
      <c r="G432" s="25" t="n"/>
      <c r="H432" s="25" t="n"/>
      <c r="I432" s="25" t="n"/>
      <c r="J432" s="25" t="n"/>
      <c r="K432" s="25" t="n"/>
      <c r="L432" s="25" t="n"/>
      <c r="M432" s="25" t="n"/>
      <c r="N432" s="25" t="n"/>
      <c r="O432" s="25" t="n"/>
      <c r="P432" s="25" t="n"/>
      <c r="Q432" s="25" t="n"/>
    </row>
    <row r="433">
      <c r="E433" s="24">
        <f>'클럭 정리'!A434</f>
        <v/>
      </c>
      <c r="F433" s="23">
        <f>'클럭 정리'!O434</f>
        <v/>
      </c>
      <c r="G433" s="25" t="n"/>
      <c r="H433" s="25" t="n"/>
      <c r="I433" s="25" t="n"/>
      <c r="J433" s="25" t="n"/>
      <c r="K433" s="25" t="n"/>
      <c r="L433" s="25" t="n"/>
      <c r="M433" s="25" t="n"/>
      <c r="N433" s="25" t="n"/>
      <c r="O433" s="25" t="n"/>
      <c r="P433" s="25" t="n"/>
      <c r="Q433" s="25" t="n"/>
    </row>
    <row r="434">
      <c r="E434" s="24">
        <f>'클럭 정리'!A435</f>
        <v/>
      </c>
      <c r="F434" s="23">
        <f>'클럭 정리'!O435</f>
        <v/>
      </c>
      <c r="G434" s="25" t="n"/>
      <c r="H434" s="25" t="n"/>
      <c r="I434" s="25" t="n"/>
      <c r="J434" s="25" t="n"/>
      <c r="K434" s="25" t="n"/>
      <c r="L434" s="25" t="n"/>
      <c r="M434" s="25" t="n"/>
      <c r="N434" s="25" t="n"/>
      <c r="O434" s="25" t="n"/>
      <c r="P434" s="25" t="n"/>
      <c r="Q434" s="25" t="n"/>
    </row>
    <row r="435">
      <c r="E435" s="24">
        <f>'클럭 정리'!A436</f>
        <v/>
      </c>
      <c r="F435" s="23">
        <f>'클럭 정리'!O436</f>
        <v/>
      </c>
      <c r="G435" s="25" t="n"/>
      <c r="H435" s="25" t="n"/>
      <c r="I435" s="25" t="n"/>
      <c r="J435" s="25" t="n"/>
      <c r="K435" s="25" t="n"/>
      <c r="L435" s="25" t="n"/>
      <c r="M435" s="25" t="n"/>
      <c r="N435" s="25" t="n"/>
      <c r="O435" s="25" t="n"/>
      <c r="P435" s="25" t="n"/>
      <c r="Q435" s="25" t="n"/>
    </row>
    <row r="436">
      <c r="E436" s="24">
        <f>'클럭 정리'!A437</f>
        <v/>
      </c>
      <c r="F436" s="23">
        <f>'클럭 정리'!O437</f>
        <v/>
      </c>
      <c r="G436" s="25" t="n"/>
      <c r="H436" s="25" t="n"/>
      <c r="I436" s="25" t="n"/>
      <c r="J436" s="25" t="n"/>
      <c r="K436" s="25" t="n"/>
      <c r="L436" s="25" t="n"/>
      <c r="M436" s="25" t="n"/>
      <c r="N436" s="25" t="n"/>
      <c r="O436" s="25" t="n"/>
      <c r="P436" s="25" t="n"/>
      <c r="Q436" s="25" t="n"/>
    </row>
    <row r="437">
      <c r="E437" s="24">
        <f>'클럭 정리'!A438</f>
        <v/>
      </c>
      <c r="F437" s="23">
        <f>'클럭 정리'!O438</f>
        <v/>
      </c>
      <c r="G437" s="25" t="n"/>
      <c r="H437" s="25" t="n"/>
      <c r="I437" s="25" t="n"/>
      <c r="J437" s="25" t="n"/>
      <c r="K437" s="25" t="n"/>
      <c r="L437" s="25" t="n"/>
      <c r="M437" s="25" t="n"/>
      <c r="N437" s="25" t="n"/>
      <c r="O437" s="25" t="n"/>
      <c r="P437" s="25" t="n"/>
      <c r="Q437" s="25" t="n"/>
    </row>
    <row r="438">
      <c r="E438" s="24">
        <f>'클럭 정리'!A439</f>
        <v/>
      </c>
      <c r="F438" s="23">
        <f>'클럭 정리'!O439</f>
        <v/>
      </c>
      <c r="G438" s="25" t="n"/>
      <c r="H438" s="25" t="n"/>
      <c r="I438" s="25" t="n"/>
      <c r="J438" s="25" t="n"/>
      <c r="K438" s="25" t="n"/>
      <c r="L438" s="25" t="n"/>
      <c r="M438" s="25" t="n"/>
      <c r="N438" s="25" t="n"/>
      <c r="O438" s="25" t="n"/>
      <c r="P438" s="25" t="n"/>
      <c r="Q438" s="25" t="n"/>
    </row>
    <row r="439">
      <c r="E439" s="24">
        <f>'클럭 정리'!A440</f>
        <v/>
      </c>
      <c r="F439" s="23">
        <f>'클럭 정리'!O440</f>
        <v/>
      </c>
      <c r="G439" s="25" t="n"/>
      <c r="H439" s="25" t="n"/>
      <c r="I439" s="25" t="n"/>
      <c r="J439" s="25" t="n"/>
      <c r="K439" s="25" t="n"/>
      <c r="L439" s="25" t="n"/>
      <c r="M439" s="25" t="n"/>
      <c r="N439" s="25" t="n"/>
      <c r="O439" s="25" t="n"/>
      <c r="P439" s="25" t="n"/>
      <c r="Q439" s="25" t="n"/>
    </row>
    <row r="440">
      <c r="E440" s="24">
        <f>'클럭 정리'!A441</f>
        <v/>
      </c>
      <c r="F440" s="23">
        <f>'클럭 정리'!O441</f>
        <v/>
      </c>
      <c r="G440" s="25" t="n"/>
      <c r="H440" s="25" t="n"/>
      <c r="I440" s="25" t="n"/>
      <c r="J440" s="25" t="n"/>
      <c r="K440" s="25" t="n"/>
      <c r="L440" s="25" t="n"/>
      <c r="M440" s="25" t="n"/>
      <c r="N440" s="25" t="n"/>
      <c r="O440" s="25" t="n"/>
      <c r="P440" s="25" t="n"/>
      <c r="Q440" s="25" t="n"/>
    </row>
    <row r="441">
      <c r="E441" s="24">
        <f>'클럭 정리'!A442</f>
        <v/>
      </c>
      <c r="F441" s="23">
        <f>'클럭 정리'!O442</f>
        <v/>
      </c>
      <c r="G441" s="25" t="n"/>
      <c r="H441" s="25" t="n"/>
      <c r="I441" s="25" t="n"/>
      <c r="J441" s="25" t="n"/>
      <c r="K441" s="25" t="n"/>
      <c r="L441" s="25" t="n"/>
      <c r="M441" s="25" t="n"/>
      <c r="N441" s="25" t="n"/>
      <c r="O441" s="25" t="n"/>
      <c r="P441" s="25" t="n"/>
      <c r="Q441" s="25" t="n"/>
    </row>
    <row r="442">
      <c r="E442" s="24">
        <f>'클럭 정리'!A443</f>
        <v/>
      </c>
      <c r="F442" s="23">
        <f>'클럭 정리'!O443</f>
        <v/>
      </c>
      <c r="G442" s="25" t="n"/>
      <c r="H442" s="25" t="n"/>
      <c r="I442" s="25" t="n"/>
      <c r="J442" s="25" t="n"/>
      <c r="K442" s="25" t="n"/>
      <c r="L442" s="25" t="n"/>
      <c r="M442" s="25" t="n"/>
      <c r="N442" s="25" t="n"/>
      <c r="O442" s="25" t="n"/>
      <c r="P442" s="25" t="n"/>
      <c r="Q442" s="25" t="n"/>
    </row>
    <row r="443">
      <c r="E443" s="24">
        <f>'클럭 정리'!A444</f>
        <v/>
      </c>
      <c r="F443" s="23">
        <f>'클럭 정리'!O444</f>
        <v/>
      </c>
      <c r="G443" s="25" t="n"/>
      <c r="H443" s="25" t="n"/>
      <c r="I443" s="25" t="n"/>
      <c r="J443" s="25" t="n"/>
      <c r="K443" s="25" t="n"/>
      <c r="L443" s="25" t="n"/>
      <c r="M443" s="25" t="n"/>
      <c r="N443" s="25" t="n"/>
      <c r="O443" s="25" t="n"/>
      <c r="P443" s="25" t="n"/>
      <c r="Q443" s="25" t="n"/>
    </row>
    <row r="444">
      <c r="E444" s="24">
        <f>'클럭 정리'!A445</f>
        <v/>
      </c>
      <c r="F444" s="23">
        <f>'클럭 정리'!O445</f>
        <v/>
      </c>
      <c r="G444" s="25" t="n"/>
      <c r="H444" s="25" t="n"/>
      <c r="I444" s="25" t="n"/>
      <c r="J444" s="25" t="n"/>
      <c r="K444" s="25" t="n"/>
      <c r="L444" s="25" t="n"/>
      <c r="M444" s="25" t="n"/>
      <c r="N444" s="25" t="n"/>
      <c r="O444" s="25" t="n"/>
      <c r="P444" s="25" t="n"/>
      <c r="Q444" s="25" t="n"/>
    </row>
    <row r="445">
      <c r="E445" s="24">
        <f>'클럭 정리'!A446</f>
        <v/>
      </c>
      <c r="F445" s="23">
        <f>'클럭 정리'!O446</f>
        <v/>
      </c>
      <c r="G445" s="25" t="n"/>
      <c r="H445" s="25" t="n"/>
      <c r="I445" s="25" t="n"/>
      <c r="J445" s="25" t="n"/>
      <c r="K445" s="25" t="n"/>
      <c r="L445" s="25" t="n"/>
      <c r="M445" s="25" t="n"/>
      <c r="N445" s="25" t="n"/>
      <c r="O445" s="25" t="n"/>
      <c r="P445" s="25" t="n"/>
      <c r="Q445" s="25" t="n"/>
    </row>
    <row r="446">
      <c r="E446" s="24">
        <f>'클럭 정리'!A447</f>
        <v/>
      </c>
      <c r="F446" s="23">
        <f>'클럭 정리'!O447</f>
        <v/>
      </c>
      <c r="G446" s="25" t="n"/>
      <c r="H446" s="25" t="n"/>
      <c r="I446" s="25" t="n"/>
      <c r="J446" s="25" t="n"/>
      <c r="K446" s="25" t="n"/>
      <c r="L446" s="25" t="n"/>
      <c r="M446" s="25" t="n"/>
      <c r="N446" s="25" t="n"/>
      <c r="O446" s="25" t="n"/>
      <c r="P446" s="25" t="n"/>
      <c r="Q446" s="25" t="n"/>
    </row>
    <row r="447">
      <c r="E447" s="24">
        <f>'클럭 정리'!A448</f>
        <v/>
      </c>
      <c r="F447" s="23">
        <f>'클럭 정리'!O448</f>
        <v/>
      </c>
      <c r="G447" s="25" t="n"/>
      <c r="H447" s="25" t="n"/>
      <c r="I447" s="25" t="n"/>
      <c r="J447" s="25" t="n"/>
      <c r="K447" s="25" t="n"/>
      <c r="L447" s="25" t="n"/>
      <c r="M447" s="25" t="n"/>
      <c r="N447" s="25" t="n"/>
      <c r="O447" s="25" t="n"/>
      <c r="P447" s="25" t="n"/>
      <c r="Q447" s="25" t="n"/>
    </row>
    <row r="448">
      <c r="E448" s="24">
        <f>'클럭 정리'!A449</f>
        <v/>
      </c>
      <c r="F448" s="23">
        <f>'클럭 정리'!O449</f>
        <v/>
      </c>
      <c r="G448" s="25" t="n"/>
      <c r="H448" s="25" t="n"/>
      <c r="I448" s="25" t="n"/>
      <c r="J448" s="25" t="n"/>
      <c r="K448" s="25" t="n"/>
      <c r="L448" s="25" t="n"/>
      <c r="M448" s="25" t="n"/>
      <c r="N448" s="25" t="n"/>
      <c r="O448" s="25" t="n"/>
      <c r="P448" s="25" t="n"/>
      <c r="Q448" s="25" t="n"/>
    </row>
    <row r="449">
      <c r="E449" s="24">
        <f>'클럭 정리'!A450</f>
        <v/>
      </c>
      <c r="F449" s="23">
        <f>'클럭 정리'!O450</f>
        <v/>
      </c>
      <c r="G449" s="25" t="n"/>
      <c r="H449" s="25" t="n"/>
      <c r="I449" s="25" t="n"/>
      <c r="J449" s="25" t="n"/>
      <c r="K449" s="25" t="n"/>
      <c r="L449" s="25" t="n"/>
      <c r="M449" s="25" t="n"/>
      <c r="N449" s="25" t="n"/>
      <c r="O449" s="25" t="n"/>
      <c r="P449" s="25" t="n"/>
      <c r="Q449" s="25" t="n"/>
    </row>
    <row r="450">
      <c r="E450" s="24">
        <f>'클럭 정리'!A451</f>
        <v/>
      </c>
      <c r="F450" s="23">
        <f>'클럭 정리'!O451</f>
        <v/>
      </c>
      <c r="G450" s="25" t="n"/>
      <c r="H450" s="25" t="n"/>
      <c r="I450" s="25" t="n"/>
      <c r="J450" s="25" t="n"/>
      <c r="K450" s="25" t="n"/>
      <c r="L450" s="25" t="n"/>
      <c r="M450" s="25" t="n"/>
      <c r="N450" s="25" t="n"/>
      <c r="O450" s="25" t="n"/>
      <c r="P450" s="25" t="n"/>
      <c r="Q450" s="25" t="n"/>
    </row>
    <row r="451">
      <c r="E451" s="24">
        <f>'클럭 정리'!A452</f>
        <v/>
      </c>
      <c r="F451" s="23">
        <f>'클럭 정리'!O452</f>
        <v/>
      </c>
      <c r="G451" s="25" t="n"/>
      <c r="H451" s="25" t="n"/>
      <c r="I451" s="25" t="n"/>
      <c r="J451" s="25" t="n"/>
      <c r="K451" s="25" t="n"/>
      <c r="L451" s="25" t="n"/>
      <c r="M451" s="25" t="n"/>
      <c r="N451" s="25" t="n"/>
      <c r="O451" s="25" t="n"/>
      <c r="P451" s="25" t="n"/>
      <c r="Q451" s="25" t="n"/>
    </row>
    <row r="452">
      <c r="E452" s="24">
        <f>'클럭 정리'!A453</f>
        <v/>
      </c>
      <c r="F452" s="23">
        <f>'클럭 정리'!O453</f>
        <v/>
      </c>
      <c r="G452" s="25" t="n"/>
      <c r="H452" s="25" t="n"/>
      <c r="I452" s="25" t="n"/>
      <c r="J452" s="25" t="n"/>
      <c r="K452" s="25" t="n"/>
      <c r="L452" s="25" t="n"/>
      <c r="M452" s="25" t="n"/>
      <c r="N452" s="25" t="n"/>
      <c r="O452" s="25" t="n"/>
      <c r="P452" s="25" t="n"/>
      <c r="Q452" s="25" t="n"/>
    </row>
    <row r="453">
      <c r="E453" s="24">
        <f>'클럭 정리'!A454</f>
        <v/>
      </c>
      <c r="F453" s="23">
        <f>'클럭 정리'!O454</f>
        <v/>
      </c>
      <c r="G453" s="25" t="n"/>
      <c r="H453" s="25" t="n"/>
      <c r="I453" s="25" t="n"/>
      <c r="J453" s="25" t="n"/>
      <c r="K453" s="25" t="n"/>
      <c r="L453" s="25" t="n"/>
      <c r="M453" s="25" t="n"/>
      <c r="N453" s="25" t="n"/>
      <c r="O453" s="25" t="n"/>
      <c r="P453" s="25" t="n"/>
      <c r="Q453" s="25" t="n"/>
    </row>
    <row r="454">
      <c r="E454" s="24">
        <f>'클럭 정리'!A455</f>
        <v/>
      </c>
      <c r="F454" s="23">
        <f>'클럭 정리'!O455</f>
        <v/>
      </c>
      <c r="G454" s="25" t="n"/>
      <c r="H454" s="25" t="n"/>
      <c r="I454" s="25" t="n"/>
      <c r="J454" s="25" t="n"/>
      <c r="K454" s="25" t="n"/>
      <c r="L454" s="25" t="n"/>
      <c r="M454" s="25" t="n"/>
      <c r="N454" s="25" t="n"/>
      <c r="O454" s="25" t="n"/>
      <c r="P454" s="25" t="n"/>
      <c r="Q454" s="25" t="n"/>
    </row>
    <row r="455">
      <c r="E455" s="24">
        <f>'클럭 정리'!A456</f>
        <v/>
      </c>
      <c r="F455" s="23">
        <f>'클럭 정리'!O456</f>
        <v/>
      </c>
      <c r="G455" s="25" t="n"/>
      <c r="H455" s="25" t="n"/>
      <c r="I455" s="25" t="n"/>
      <c r="J455" s="25" t="n"/>
      <c r="K455" s="25" t="n"/>
      <c r="L455" s="25" t="n"/>
      <c r="M455" s="25" t="n"/>
      <c r="N455" s="25" t="n"/>
      <c r="O455" s="25" t="n"/>
      <c r="P455" s="25" t="n"/>
      <c r="Q455" s="25" t="n"/>
    </row>
    <row r="456">
      <c r="E456" s="24">
        <f>'클럭 정리'!A457</f>
        <v/>
      </c>
      <c r="F456" s="23">
        <f>'클럭 정리'!O457</f>
        <v/>
      </c>
      <c r="G456" s="25" t="n"/>
      <c r="H456" s="25" t="n"/>
      <c r="I456" s="25" t="n"/>
      <c r="J456" s="25" t="n"/>
      <c r="K456" s="25" t="n"/>
      <c r="L456" s="25" t="n"/>
      <c r="M456" s="25" t="n"/>
      <c r="N456" s="25" t="n"/>
      <c r="O456" s="25" t="n"/>
      <c r="P456" s="25" t="n"/>
      <c r="Q456" s="25" t="n"/>
    </row>
    <row r="457">
      <c r="E457" s="24">
        <f>'클럭 정리'!A458</f>
        <v/>
      </c>
      <c r="F457" s="23">
        <f>'클럭 정리'!O458</f>
        <v/>
      </c>
      <c r="G457" s="25" t="n"/>
      <c r="H457" s="25" t="n"/>
      <c r="I457" s="25" t="n"/>
      <c r="J457" s="25" t="n"/>
      <c r="K457" s="25" t="n"/>
      <c r="L457" s="25" t="n"/>
      <c r="M457" s="25" t="n"/>
      <c r="N457" s="25" t="n"/>
      <c r="O457" s="25" t="n"/>
      <c r="P457" s="25" t="n"/>
      <c r="Q457" s="25" t="n"/>
    </row>
    <row r="458">
      <c r="E458" s="24">
        <f>'클럭 정리'!A459</f>
        <v/>
      </c>
      <c r="F458" s="23">
        <f>'클럭 정리'!O459</f>
        <v/>
      </c>
      <c r="G458" s="25" t="n"/>
      <c r="H458" s="25" t="n"/>
      <c r="I458" s="25" t="n"/>
      <c r="J458" s="25" t="n"/>
      <c r="K458" s="25" t="n"/>
      <c r="L458" s="25" t="n"/>
      <c r="M458" s="25" t="n"/>
      <c r="N458" s="25" t="n"/>
      <c r="O458" s="25" t="n"/>
      <c r="P458" s="25" t="n"/>
      <c r="Q458" s="25" t="n"/>
    </row>
    <row r="459">
      <c r="E459" s="24">
        <f>'클럭 정리'!A460</f>
        <v/>
      </c>
      <c r="F459" s="23">
        <f>'클럭 정리'!O460</f>
        <v/>
      </c>
      <c r="G459" s="25" t="n"/>
      <c r="H459" s="25" t="n"/>
      <c r="I459" s="25" t="n"/>
      <c r="J459" s="25" t="n"/>
      <c r="K459" s="25" t="n"/>
      <c r="L459" s="25" t="n"/>
      <c r="M459" s="25" t="n"/>
      <c r="N459" s="25" t="n"/>
      <c r="O459" s="25" t="n"/>
      <c r="P459" s="25" t="n"/>
      <c r="Q459" s="25" t="n"/>
    </row>
    <row r="460">
      <c r="E460" s="24">
        <f>'클럭 정리'!A461</f>
        <v/>
      </c>
      <c r="F460" s="23">
        <f>'클럭 정리'!O461</f>
        <v/>
      </c>
      <c r="G460" s="25" t="n"/>
      <c r="H460" s="25" t="n"/>
      <c r="I460" s="25" t="n"/>
      <c r="J460" s="25" t="n"/>
      <c r="K460" s="25" t="n"/>
      <c r="L460" s="25" t="n"/>
      <c r="M460" s="25" t="n"/>
      <c r="N460" s="25" t="n"/>
      <c r="O460" s="25" t="n"/>
      <c r="P460" s="25" t="n"/>
      <c r="Q460" s="25" t="n"/>
    </row>
    <row r="461">
      <c r="E461" s="24">
        <f>'클럭 정리'!A462</f>
        <v/>
      </c>
      <c r="F461" s="23">
        <f>'클럭 정리'!O462</f>
        <v/>
      </c>
      <c r="G461" s="25" t="n"/>
      <c r="H461" s="25" t="n"/>
      <c r="I461" s="25" t="n"/>
      <c r="J461" s="25" t="n"/>
      <c r="K461" s="25" t="n"/>
      <c r="L461" s="25" t="n"/>
      <c r="M461" s="25" t="n"/>
      <c r="N461" s="25" t="n"/>
      <c r="O461" s="25" t="n"/>
      <c r="P461" s="25" t="n"/>
      <c r="Q461" s="25" t="n"/>
    </row>
    <row r="462">
      <c r="E462" s="24">
        <f>'클럭 정리'!A463</f>
        <v/>
      </c>
      <c r="F462" s="23">
        <f>'클럭 정리'!O463</f>
        <v/>
      </c>
      <c r="G462" s="25" t="n"/>
      <c r="H462" s="25" t="n"/>
      <c r="I462" s="25" t="n"/>
      <c r="J462" s="25" t="n"/>
      <c r="K462" s="25" t="n"/>
      <c r="L462" s="25" t="n"/>
      <c r="M462" s="25" t="n"/>
      <c r="N462" s="25" t="n"/>
      <c r="O462" s="25" t="n"/>
      <c r="P462" s="25" t="n"/>
      <c r="Q462" s="25" t="n"/>
    </row>
    <row r="463">
      <c r="E463" s="24">
        <f>'클럭 정리'!A464</f>
        <v/>
      </c>
      <c r="F463" s="23">
        <f>'클럭 정리'!O464</f>
        <v/>
      </c>
      <c r="G463" s="25" t="n"/>
      <c r="H463" s="25" t="n"/>
      <c r="I463" s="25" t="n"/>
      <c r="J463" s="25" t="n"/>
      <c r="K463" s="25" t="n"/>
      <c r="L463" s="25" t="n"/>
      <c r="M463" s="25" t="n"/>
      <c r="N463" s="25" t="n"/>
      <c r="O463" s="25" t="n"/>
      <c r="P463" s="25" t="n"/>
      <c r="Q463" s="25" t="n"/>
    </row>
    <row r="464">
      <c r="E464" s="24">
        <f>'클럭 정리'!A465</f>
        <v/>
      </c>
      <c r="F464" s="23">
        <f>'클럭 정리'!O465</f>
        <v/>
      </c>
      <c r="G464" s="25" t="n"/>
      <c r="H464" s="25" t="n"/>
      <c r="I464" s="25" t="n"/>
      <c r="J464" s="25" t="n"/>
      <c r="K464" s="25" t="n"/>
      <c r="L464" s="25" t="n"/>
      <c r="M464" s="25" t="n"/>
      <c r="N464" s="25" t="n"/>
      <c r="O464" s="25" t="n"/>
      <c r="P464" s="25" t="n"/>
      <c r="Q464" s="25" t="n"/>
    </row>
    <row r="465">
      <c r="E465" s="24">
        <f>'클럭 정리'!A466</f>
        <v/>
      </c>
      <c r="F465" s="23">
        <f>'클럭 정리'!O466</f>
        <v/>
      </c>
      <c r="G465" s="25" t="n"/>
      <c r="H465" s="25" t="n"/>
      <c r="I465" s="25" t="n"/>
      <c r="J465" s="25" t="n"/>
      <c r="K465" s="25" t="n"/>
      <c r="L465" s="25" t="n"/>
      <c r="M465" s="25" t="n"/>
      <c r="N465" s="25" t="n"/>
      <c r="O465" s="25" t="n"/>
      <c r="P465" s="25" t="n"/>
      <c r="Q465" s="25" t="n"/>
    </row>
    <row r="466">
      <c r="E466" s="24">
        <f>'클럭 정리'!A467</f>
        <v/>
      </c>
      <c r="F466" s="23">
        <f>'클럭 정리'!O467</f>
        <v/>
      </c>
      <c r="G466" s="25" t="n"/>
      <c r="H466" s="25" t="n"/>
      <c r="I466" s="25" t="n"/>
      <c r="J466" s="25" t="n"/>
      <c r="K466" s="25" t="n"/>
      <c r="L466" s="25" t="n"/>
      <c r="M466" s="25" t="n"/>
      <c r="N466" s="25" t="n"/>
      <c r="O466" s="25" t="n"/>
      <c r="P466" s="25" t="n"/>
      <c r="Q466" s="25" t="n"/>
    </row>
    <row r="467">
      <c r="E467" s="24">
        <f>'클럭 정리'!A468</f>
        <v/>
      </c>
      <c r="F467" s="23">
        <f>'클럭 정리'!O468</f>
        <v/>
      </c>
      <c r="G467" s="25" t="n"/>
      <c r="H467" s="25" t="n"/>
      <c r="I467" s="25" t="n"/>
      <c r="J467" s="25" t="n"/>
      <c r="K467" s="25" t="n"/>
      <c r="L467" s="25" t="n"/>
      <c r="M467" s="25" t="n"/>
      <c r="N467" s="25" t="n"/>
      <c r="O467" s="25" t="n"/>
      <c r="P467" s="25" t="n"/>
      <c r="Q467" s="25" t="n"/>
    </row>
    <row r="468">
      <c r="E468" s="24">
        <f>'클럭 정리'!A469</f>
        <v/>
      </c>
      <c r="F468" s="23">
        <f>'클럭 정리'!O469</f>
        <v/>
      </c>
      <c r="G468" s="25" t="n"/>
      <c r="H468" s="25" t="n"/>
      <c r="I468" s="25" t="n"/>
      <c r="J468" s="25" t="n"/>
      <c r="K468" s="25" t="n"/>
      <c r="L468" s="25" t="n"/>
      <c r="M468" s="25" t="n"/>
      <c r="N468" s="25" t="n"/>
      <c r="O468" s="25" t="n"/>
      <c r="P468" s="25" t="n"/>
      <c r="Q468" s="25" t="n"/>
    </row>
    <row r="469">
      <c r="E469" s="24">
        <f>'클럭 정리'!A470</f>
        <v/>
      </c>
      <c r="F469" s="23">
        <f>'클럭 정리'!O470</f>
        <v/>
      </c>
      <c r="G469" s="25" t="n"/>
      <c r="H469" s="25" t="n"/>
      <c r="I469" s="25" t="n"/>
      <c r="J469" s="25" t="n"/>
      <c r="K469" s="25" t="n"/>
      <c r="L469" s="25" t="n"/>
      <c r="M469" s="25" t="n"/>
      <c r="N469" s="25" t="n"/>
      <c r="O469" s="25" t="n"/>
      <c r="P469" s="25" t="n"/>
      <c r="Q469" s="25" t="n"/>
    </row>
    <row r="470">
      <c r="E470" s="24">
        <f>'클럭 정리'!A471</f>
        <v/>
      </c>
      <c r="F470" s="23">
        <f>'클럭 정리'!O471</f>
        <v/>
      </c>
      <c r="G470" s="25" t="n"/>
      <c r="H470" s="25" t="n"/>
      <c r="I470" s="25" t="n"/>
      <c r="J470" s="25" t="n"/>
      <c r="K470" s="25" t="n"/>
      <c r="L470" s="25" t="n"/>
      <c r="M470" s="25" t="n"/>
      <c r="N470" s="25" t="n"/>
      <c r="O470" s="25" t="n"/>
      <c r="P470" s="25" t="n"/>
      <c r="Q470" s="25" t="n"/>
    </row>
    <row r="471">
      <c r="E471" s="24">
        <f>'클럭 정리'!A472</f>
        <v/>
      </c>
      <c r="F471" s="23">
        <f>'클럭 정리'!O472</f>
        <v/>
      </c>
      <c r="G471" s="25" t="n"/>
      <c r="H471" s="25" t="n"/>
      <c r="I471" s="25" t="n"/>
      <c r="J471" s="25" t="n"/>
      <c r="K471" s="25" t="n"/>
      <c r="L471" s="25" t="n"/>
      <c r="M471" s="25" t="n"/>
      <c r="N471" s="25" t="n"/>
      <c r="O471" s="25" t="n"/>
      <c r="P471" s="25" t="n"/>
      <c r="Q471" s="25" t="n"/>
    </row>
    <row r="472">
      <c r="E472" s="24">
        <f>'클럭 정리'!A473</f>
        <v/>
      </c>
      <c r="F472" s="23">
        <f>'클럭 정리'!O473</f>
        <v/>
      </c>
      <c r="G472" s="25" t="n"/>
      <c r="H472" s="25" t="n"/>
      <c r="I472" s="25" t="n"/>
      <c r="J472" s="25" t="n"/>
      <c r="K472" s="25" t="n"/>
      <c r="L472" s="25" t="n"/>
      <c r="M472" s="25" t="n"/>
      <c r="N472" s="25" t="n"/>
      <c r="O472" s="25" t="n"/>
      <c r="P472" s="25" t="n"/>
      <c r="Q472" s="25" t="n"/>
    </row>
    <row r="473">
      <c r="E473" s="24">
        <f>'클럭 정리'!A474</f>
        <v/>
      </c>
      <c r="F473" s="23">
        <f>'클럭 정리'!O474</f>
        <v/>
      </c>
      <c r="G473" s="25" t="n"/>
      <c r="H473" s="25" t="n"/>
      <c r="I473" s="25" t="n"/>
      <c r="J473" s="25" t="n"/>
      <c r="K473" s="25" t="n"/>
      <c r="L473" s="25" t="n"/>
      <c r="M473" s="25" t="n"/>
      <c r="N473" s="25" t="n"/>
      <c r="O473" s="25" t="n"/>
      <c r="P473" s="25" t="n"/>
      <c r="Q473" s="25" t="n"/>
    </row>
    <row r="474">
      <c r="E474" s="24">
        <f>'클럭 정리'!A475</f>
        <v/>
      </c>
      <c r="F474" s="23">
        <f>'클럭 정리'!O475</f>
        <v/>
      </c>
      <c r="G474" s="25" t="n"/>
      <c r="H474" s="25" t="n"/>
      <c r="I474" s="25" t="n"/>
      <c r="J474" s="25" t="n"/>
      <c r="K474" s="25" t="n"/>
      <c r="L474" s="25" t="n"/>
      <c r="M474" s="25" t="n"/>
      <c r="N474" s="25" t="n"/>
      <c r="O474" s="25" t="n"/>
      <c r="P474" s="25" t="n"/>
      <c r="Q474" s="25" t="n"/>
    </row>
    <row r="475">
      <c r="E475" s="24">
        <f>'클럭 정리'!A476</f>
        <v/>
      </c>
      <c r="F475" s="23">
        <f>'클럭 정리'!O476</f>
        <v/>
      </c>
      <c r="G475" s="25" t="n"/>
      <c r="H475" s="25" t="n"/>
      <c r="I475" s="25" t="n"/>
      <c r="J475" s="25" t="n"/>
      <c r="K475" s="25" t="n"/>
      <c r="L475" s="25" t="n"/>
      <c r="M475" s="25" t="n"/>
      <c r="N475" s="25" t="n"/>
      <c r="O475" s="25" t="n"/>
      <c r="P475" s="25" t="n"/>
      <c r="Q475" s="25" t="n"/>
    </row>
    <row r="476">
      <c r="E476" s="24">
        <f>'클럭 정리'!A477</f>
        <v/>
      </c>
      <c r="F476" s="23">
        <f>'클럭 정리'!O477</f>
        <v/>
      </c>
      <c r="G476" s="25" t="n"/>
      <c r="H476" s="25" t="n"/>
      <c r="I476" s="25" t="n"/>
      <c r="J476" s="25" t="n"/>
      <c r="K476" s="25" t="n"/>
      <c r="L476" s="25" t="n"/>
      <c r="M476" s="25" t="n"/>
      <c r="N476" s="25" t="n"/>
      <c r="O476" s="25" t="n"/>
      <c r="P476" s="25" t="n"/>
      <c r="Q476" s="25" t="n"/>
    </row>
    <row r="477">
      <c r="E477" s="24">
        <f>'클럭 정리'!A478</f>
        <v/>
      </c>
      <c r="F477" s="23">
        <f>'클럭 정리'!O478</f>
        <v/>
      </c>
      <c r="G477" s="25" t="n"/>
      <c r="H477" s="25" t="n"/>
      <c r="I477" s="25" t="n"/>
      <c r="J477" s="25" t="n"/>
      <c r="K477" s="25" t="n"/>
      <c r="L477" s="25" t="n"/>
      <c r="M477" s="25" t="n"/>
      <c r="N477" s="25" t="n"/>
      <c r="O477" s="25" t="n"/>
      <c r="P477" s="25" t="n"/>
      <c r="Q477" s="25" t="n"/>
    </row>
    <row r="478">
      <c r="E478" s="24">
        <f>'클럭 정리'!A479</f>
        <v/>
      </c>
      <c r="F478" s="23">
        <f>'클럭 정리'!O479</f>
        <v/>
      </c>
      <c r="G478" s="25" t="n"/>
      <c r="H478" s="25" t="n"/>
      <c r="I478" s="25" t="n"/>
      <c r="J478" s="25" t="n"/>
      <c r="K478" s="25" t="n"/>
      <c r="L478" s="25" t="n"/>
      <c r="M478" s="25" t="n"/>
      <c r="N478" s="25" t="n"/>
      <c r="O478" s="25" t="n"/>
      <c r="P478" s="25" t="n"/>
      <c r="Q478" s="25" t="n"/>
    </row>
    <row r="479">
      <c r="E479" s="24">
        <f>'클럭 정리'!A480</f>
        <v/>
      </c>
      <c r="F479" s="23">
        <f>'클럭 정리'!O480</f>
        <v/>
      </c>
      <c r="G479" s="25" t="n"/>
      <c r="H479" s="25" t="n"/>
      <c r="I479" s="25" t="n"/>
      <c r="J479" s="25" t="n"/>
      <c r="K479" s="25" t="n"/>
      <c r="L479" s="25" t="n"/>
      <c r="M479" s="25" t="n"/>
      <c r="N479" s="25" t="n"/>
      <c r="O479" s="25" t="n"/>
      <c r="P479" s="25" t="n"/>
      <c r="Q479" s="25" t="n"/>
    </row>
    <row r="480">
      <c r="E480" s="24">
        <f>'클럭 정리'!A481</f>
        <v/>
      </c>
      <c r="F480" s="23">
        <f>'클럭 정리'!O481</f>
        <v/>
      </c>
      <c r="G480" s="25" t="n"/>
      <c r="H480" s="25" t="n"/>
      <c r="I480" s="25" t="n"/>
      <c r="J480" s="25" t="n"/>
      <c r="K480" s="25" t="n"/>
      <c r="L480" s="25" t="n"/>
      <c r="M480" s="25" t="n"/>
      <c r="N480" s="25" t="n"/>
      <c r="O480" s="25" t="n"/>
      <c r="P480" s="25" t="n"/>
      <c r="Q480" s="25" t="n"/>
    </row>
    <row r="481">
      <c r="E481" s="24">
        <f>'클럭 정리'!A482</f>
        <v/>
      </c>
      <c r="F481" s="23">
        <f>'클럭 정리'!O482</f>
        <v/>
      </c>
      <c r="G481" s="25" t="n"/>
      <c r="H481" s="25" t="n"/>
      <c r="I481" s="25" t="n"/>
      <c r="J481" s="25" t="n"/>
      <c r="K481" s="25" t="n"/>
      <c r="L481" s="25" t="n"/>
      <c r="M481" s="25" t="n"/>
      <c r="N481" s="25" t="n"/>
      <c r="O481" s="25" t="n"/>
      <c r="P481" s="25" t="n"/>
      <c r="Q481" s="25" t="n"/>
    </row>
    <row r="482">
      <c r="E482" s="24">
        <f>'클럭 정리'!A483</f>
        <v/>
      </c>
      <c r="F482" s="23">
        <f>'클럭 정리'!O483</f>
        <v/>
      </c>
      <c r="G482" s="25" t="n"/>
      <c r="H482" s="25" t="n"/>
      <c r="I482" s="25" t="n"/>
      <c r="J482" s="25" t="n"/>
      <c r="K482" s="25" t="n"/>
      <c r="L482" s="25" t="n"/>
      <c r="M482" s="25" t="n"/>
      <c r="N482" s="25" t="n"/>
      <c r="O482" s="25" t="n"/>
      <c r="P482" s="25" t="n"/>
      <c r="Q482" s="25" t="n"/>
    </row>
    <row r="483">
      <c r="E483" s="24">
        <f>'클럭 정리'!A484</f>
        <v/>
      </c>
      <c r="F483" s="23">
        <f>'클럭 정리'!O484</f>
        <v/>
      </c>
      <c r="G483" s="25" t="n"/>
      <c r="H483" s="25" t="n"/>
      <c r="I483" s="25" t="n"/>
      <c r="J483" s="25" t="n"/>
      <c r="K483" s="25" t="n"/>
      <c r="L483" s="25" t="n"/>
      <c r="M483" s="25" t="n"/>
      <c r="N483" s="25" t="n"/>
      <c r="O483" s="25" t="n"/>
      <c r="P483" s="25" t="n"/>
      <c r="Q483" s="25" t="n"/>
    </row>
    <row r="484">
      <c r="E484" s="24">
        <f>'클럭 정리'!A485</f>
        <v/>
      </c>
      <c r="F484" s="23">
        <f>'클럭 정리'!O485</f>
        <v/>
      </c>
      <c r="G484" s="25" t="n"/>
      <c r="H484" s="25" t="n"/>
      <c r="I484" s="25" t="n"/>
      <c r="J484" s="25" t="n"/>
      <c r="K484" s="25" t="n"/>
      <c r="L484" s="25" t="n"/>
      <c r="M484" s="25" t="n"/>
      <c r="N484" s="25" t="n"/>
      <c r="O484" s="25" t="n"/>
      <c r="P484" s="25" t="n"/>
      <c r="Q484" s="25" t="n"/>
    </row>
    <row r="485">
      <c r="E485" s="24">
        <f>'클럭 정리'!A486</f>
        <v/>
      </c>
      <c r="F485" s="23">
        <f>'클럭 정리'!O486</f>
        <v/>
      </c>
      <c r="G485" s="25" t="n"/>
      <c r="H485" s="25" t="n"/>
      <c r="I485" s="25" t="n"/>
      <c r="J485" s="25" t="n"/>
      <c r="K485" s="25" t="n"/>
      <c r="L485" s="25" t="n"/>
      <c r="M485" s="25" t="n"/>
      <c r="N485" s="25" t="n"/>
      <c r="O485" s="25" t="n"/>
      <c r="P485" s="25" t="n"/>
      <c r="Q485" s="25" t="n"/>
    </row>
    <row r="486">
      <c r="E486" s="24">
        <f>'클럭 정리'!A487</f>
        <v/>
      </c>
      <c r="F486" s="23">
        <f>'클럭 정리'!O487</f>
        <v/>
      </c>
      <c r="G486" s="25" t="n"/>
      <c r="H486" s="25" t="n"/>
      <c r="I486" s="25" t="n"/>
      <c r="J486" s="25" t="n"/>
      <c r="K486" s="25" t="n"/>
      <c r="L486" s="25" t="n"/>
      <c r="M486" s="25" t="n"/>
      <c r="N486" s="25" t="n"/>
      <c r="O486" s="25" t="n"/>
      <c r="P486" s="25" t="n"/>
      <c r="Q486" s="25" t="n"/>
    </row>
    <row r="487">
      <c r="E487" s="24">
        <f>'클럭 정리'!A488</f>
        <v/>
      </c>
      <c r="F487" s="23">
        <f>'클럭 정리'!O488</f>
        <v/>
      </c>
      <c r="G487" s="25" t="n"/>
      <c r="H487" s="25" t="n"/>
      <c r="I487" s="25" t="n"/>
      <c r="J487" s="25" t="n"/>
      <c r="K487" s="25" t="n"/>
      <c r="L487" s="25" t="n"/>
      <c r="M487" s="25" t="n"/>
      <c r="N487" s="25" t="n"/>
      <c r="O487" s="25" t="n"/>
      <c r="P487" s="25" t="n"/>
      <c r="Q487" s="25" t="n"/>
    </row>
    <row r="488">
      <c r="E488" s="24">
        <f>'클럭 정리'!A489</f>
        <v/>
      </c>
      <c r="F488" s="23">
        <f>'클럭 정리'!O489</f>
        <v/>
      </c>
      <c r="G488" s="25" t="n"/>
      <c r="H488" s="25" t="n"/>
      <c r="I488" s="25" t="n"/>
      <c r="J488" s="25" t="n"/>
      <c r="K488" s="25" t="n"/>
      <c r="L488" s="25" t="n"/>
      <c r="M488" s="25" t="n"/>
      <c r="N488" s="25" t="n"/>
      <c r="O488" s="25" t="n"/>
      <c r="P488" s="25" t="n"/>
      <c r="Q488" s="25" t="n"/>
    </row>
    <row r="489">
      <c r="E489" s="24">
        <f>'클럭 정리'!A490</f>
        <v/>
      </c>
      <c r="F489" s="23">
        <f>'클럭 정리'!O490</f>
        <v/>
      </c>
      <c r="G489" s="25" t="n"/>
      <c r="H489" s="25" t="n"/>
      <c r="I489" s="25" t="n"/>
      <c r="J489" s="25" t="n"/>
      <c r="K489" s="25" t="n"/>
      <c r="L489" s="25" t="n"/>
      <c r="M489" s="25" t="n"/>
      <c r="N489" s="25" t="n"/>
      <c r="O489" s="25" t="n"/>
      <c r="P489" s="25" t="n"/>
      <c r="Q489" s="25" t="n"/>
    </row>
    <row r="490">
      <c r="E490" s="24">
        <f>'클럭 정리'!A491</f>
        <v/>
      </c>
      <c r="F490" s="23">
        <f>'클럭 정리'!O491</f>
        <v/>
      </c>
      <c r="G490" s="25" t="n"/>
      <c r="H490" s="25" t="n"/>
      <c r="I490" s="25" t="n"/>
      <c r="J490" s="25" t="n"/>
      <c r="K490" s="25" t="n"/>
      <c r="L490" s="25" t="n"/>
      <c r="M490" s="25" t="n"/>
      <c r="N490" s="25" t="n"/>
      <c r="O490" s="25" t="n"/>
      <c r="P490" s="25" t="n"/>
      <c r="Q490" s="25" t="n"/>
    </row>
    <row r="491">
      <c r="E491" s="24">
        <f>'클럭 정리'!A492</f>
        <v/>
      </c>
      <c r="F491" s="23">
        <f>'클럭 정리'!O492</f>
        <v/>
      </c>
      <c r="G491" s="25" t="n"/>
      <c r="H491" s="25" t="n"/>
      <c r="I491" s="25" t="n"/>
      <c r="J491" s="25" t="n"/>
      <c r="K491" s="25" t="n"/>
      <c r="L491" s="25" t="n"/>
      <c r="M491" s="25" t="n"/>
      <c r="N491" s="25" t="n"/>
      <c r="O491" s="25" t="n"/>
      <c r="P491" s="25" t="n"/>
      <c r="Q491" s="25" t="n"/>
    </row>
    <row r="492">
      <c r="E492" s="24">
        <f>'클럭 정리'!A493</f>
        <v/>
      </c>
      <c r="F492" s="23">
        <f>'클럭 정리'!O493</f>
        <v/>
      </c>
      <c r="G492" s="25" t="n"/>
      <c r="H492" s="25" t="n"/>
      <c r="I492" s="25" t="n"/>
      <c r="J492" s="25" t="n"/>
      <c r="K492" s="25" t="n"/>
      <c r="L492" s="25" t="n"/>
      <c r="M492" s="25" t="n"/>
      <c r="N492" s="25" t="n"/>
      <c r="O492" s="25" t="n"/>
      <c r="P492" s="25" t="n"/>
      <c r="Q492" s="25" t="n"/>
    </row>
    <row r="493">
      <c r="E493" s="24">
        <f>'클럭 정리'!A494</f>
        <v/>
      </c>
      <c r="F493" s="23">
        <f>'클럭 정리'!O494</f>
        <v/>
      </c>
      <c r="G493" s="25" t="n"/>
      <c r="H493" s="25" t="n"/>
      <c r="I493" s="25" t="n"/>
      <c r="J493" s="25" t="n"/>
      <c r="K493" s="25" t="n"/>
      <c r="L493" s="25" t="n"/>
      <c r="M493" s="25" t="n"/>
      <c r="N493" s="25" t="n"/>
      <c r="O493" s="25" t="n"/>
      <c r="P493" s="25" t="n"/>
      <c r="Q493" s="25" t="n"/>
    </row>
    <row r="494">
      <c r="E494" s="24">
        <f>'클럭 정리'!A495</f>
        <v/>
      </c>
      <c r="F494" s="23">
        <f>'클럭 정리'!O495</f>
        <v/>
      </c>
      <c r="G494" s="25" t="n"/>
      <c r="H494" s="25" t="n"/>
      <c r="I494" s="25" t="n"/>
      <c r="J494" s="25" t="n"/>
      <c r="K494" s="25" t="n"/>
      <c r="L494" s="25" t="n"/>
      <c r="M494" s="25" t="n"/>
      <c r="N494" s="25" t="n"/>
      <c r="O494" s="25" t="n"/>
      <c r="P494" s="25" t="n"/>
      <c r="Q494" s="25" t="n"/>
    </row>
    <row r="495">
      <c r="E495" s="24">
        <f>'클럭 정리'!A496</f>
        <v/>
      </c>
      <c r="F495" s="23">
        <f>'클럭 정리'!O496</f>
        <v/>
      </c>
      <c r="G495" s="25" t="n"/>
      <c r="H495" s="25" t="n"/>
      <c r="I495" s="25" t="n"/>
      <c r="J495" s="25" t="n"/>
      <c r="K495" s="25" t="n"/>
      <c r="L495" s="25" t="n"/>
      <c r="M495" s="25" t="n"/>
      <c r="N495" s="25" t="n"/>
      <c r="O495" s="25" t="n"/>
      <c r="P495" s="25" t="n"/>
      <c r="Q495" s="25" t="n"/>
    </row>
    <row r="496">
      <c r="E496" s="24">
        <f>'클럭 정리'!A497</f>
        <v/>
      </c>
      <c r="F496" s="23">
        <f>'클럭 정리'!O497</f>
        <v/>
      </c>
      <c r="G496" s="25" t="n"/>
      <c r="H496" s="25" t="n"/>
      <c r="I496" s="25" t="n"/>
      <c r="J496" s="25" t="n"/>
      <c r="K496" s="25" t="n"/>
      <c r="L496" s="25" t="n"/>
      <c r="M496" s="25" t="n"/>
      <c r="N496" s="25" t="n"/>
      <c r="O496" s="25" t="n"/>
      <c r="P496" s="25" t="n"/>
      <c r="Q496" s="25" t="n"/>
    </row>
    <row r="497">
      <c r="E497" s="24">
        <f>'클럭 정리'!A498</f>
        <v/>
      </c>
      <c r="F497" s="23">
        <f>'클럭 정리'!O498</f>
        <v/>
      </c>
      <c r="G497" s="25" t="n"/>
      <c r="H497" s="25" t="n"/>
      <c r="I497" s="25" t="n"/>
      <c r="J497" s="25" t="n"/>
      <c r="K497" s="25" t="n"/>
      <c r="L497" s="25" t="n"/>
      <c r="M497" s="25" t="n"/>
      <c r="N497" s="25" t="n"/>
      <c r="O497" s="25" t="n"/>
      <c r="P497" s="25" t="n"/>
      <c r="Q497" s="25" t="n"/>
    </row>
    <row r="498">
      <c r="E498" s="24">
        <f>'클럭 정리'!A499</f>
        <v/>
      </c>
      <c r="F498" s="23">
        <f>'클럭 정리'!O499</f>
        <v/>
      </c>
      <c r="G498" s="25" t="n"/>
      <c r="H498" s="25" t="n"/>
      <c r="I498" s="25" t="n"/>
      <c r="J498" s="25" t="n"/>
      <c r="K498" s="25" t="n"/>
      <c r="L498" s="25" t="n"/>
      <c r="M498" s="25" t="n"/>
      <c r="N498" s="25" t="n"/>
      <c r="O498" s="25" t="n"/>
      <c r="P498" s="25" t="n"/>
      <c r="Q498" s="25" t="n"/>
    </row>
    <row r="499">
      <c r="E499" s="24">
        <f>'클럭 정리'!A500</f>
        <v/>
      </c>
      <c r="F499" s="23">
        <f>'클럭 정리'!O500</f>
        <v/>
      </c>
      <c r="G499" s="25" t="n"/>
      <c r="H499" s="25" t="n"/>
      <c r="I499" s="25" t="n"/>
      <c r="J499" s="25" t="n"/>
      <c r="K499" s="25" t="n"/>
      <c r="L499" s="25" t="n"/>
      <c r="M499" s="25" t="n"/>
      <c r="N499" s="25" t="n"/>
      <c r="O499" s="25" t="n"/>
      <c r="P499" s="25" t="n"/>
      <c r="Q499" s="25" t="n"/>
    </row>
    <row r="500">
      <c r="E500" s="24">
        <f>'클럭 정리'!A501</f>
        <v/>
      </c>
      <c r="F500" s="23">
        <f>'클럭 정리'!O501</f>
        <v/>
      </c>
      <c r="G500" s="25" t="n"/>
      <c r="H500" s="25" t="n"/>
      <c r="I500" s="25" t="n"/>
      <c r="J500" s="25" t="n"/>
      <c r="K500" s="25" t="n"/>
      <c r="L500" s="25" t="n"/>
      <c r="M500" s="25" t="n"/>
      <c r="N500" s="25" t="n"/>
      <c r="O500" s="25" t="n"/>
      <c r="P500" s="25" t="n"/>
      <c r="Q500" s="25" t="n"/>
    </row>
    <row r="501">
      <c r="E501" s="24">
        <f>'클럭 정리'!A502</f>
        <v/>
      </c>
      <c r="F501" s="23">
        <f>'클럭 정리'!O502</f>
        <v/>
      </c>
      <c r="G501" s="25" t="n"/>
      <c r="H501" s="25" t="n"/>
      <c r="I501" s="25" t="n"/>
      <c r="J501" s="25" t="n"/>
      <c r="K501" s="25" t="n"/>
      <c r="L501" s="25" t="n"/>
      <c r="M501" s="25" t="n"/>
      <c r="N501" s="25" t="n"/>
      <c r="O501" s="25" t="n"/>
      <c r="P501" s="25" t="n"/>
      <c r="Q501" s="25" t="n"/>
    </row>
    <row r="502">
      <c r="E502" s="24">
        <f>'클럭 정리'!A503</f>
        <v/>
      </c>
      <c r="F502" s="23">
        <f>'클럭 정리'!O503</f>
        <v/>
      </c>
      <c r="G502" s="25" t="n"/>
      <c r="H502" s="25" t="n"/>
      <c r="I502" s="25" t="n"/>
      <c r="J502" s="25" t="n"/>
      <c r="K502" s="25" t="n"/>
      <c r="L502" s="25" t="n"/>
      <c r="M502" s="25" t="n"/>
      <c r="N502" s="25" t="n"/>
      <c r="O502" s="25" t="n"/>
      <c r="P502" s="25" t="n"/>
      <c r="Q502" s="25" t="n"/>
    </row>
    <row r="503">
      <c r="E503" s="24">
        <f>'클럭 정리'!A504</f>
        <v/>
      </c>
      <c r="F503" s="23">
        <f>'클럭 정리'!O504</f>
        <v/>
      </c>
      <c r="G503" s="25" t="n"/>
      <c r="H503" s="25" t="n"/>
      <c r="I503" s="25" t="n"/>
      <c r="J503" s="25" t="n"/>
      <c r="K503" s="25" t="n"/>
      <c r="L503" s="25" t="n"/>
      <c r="M503" s="25" t="n"/>
      <c r="N503" s="25" t="n"/>
      <c r="O503" s="25" t="n"/>
      <c r="P503" s="25" t="n"/>
      <c r="Q503" s="25" t="n"/>
    </row>
    <row r="504">
      <c r="E504" s="24">
        <f>'클럭 정리'!A505</f>
        <v/>
      </c>
      <c r="F504" s="23">
        <f>'클럭 정리'!O505</f>
        <v/>
      </c>
      <c r="G504" s="25" t="n"/>
      <c r="H504" s="25" t="n"/>
      <c r="I504" s="25" t="n"/>
      <c r="J504" s="25" t="n"/>
      <c r="K504" s="25" t="n"/>
      <c r="L504" s="25" t="n"/>
      <c r="M504" s="25" t="n"/>
      <c r="N504" s="25" t="n"/>
      <c r="O504" s="25" t="n"/>
      <c r="P504" s="25" t="n"/>
      <c r="Q504" s="25" t="n"/>
    </row>
    <row r="505">
      <c r="E505" s="24">
        <f>'클럭 정리'!A506</f>
        <v/>
      </c>
      <c r="F505" s="23">
        <f>'클럭 정리'!O506</f>
        <v/>
      </c>
      <c r="G505" s="25" t="n"/>
      <c r="H505" s="25" t="n"/>
      <c r="I505" s="25" t="n"/>
      <c r="J505" s="25" t="n"/>
      <c r="K505" s="25" t="n"/>
      <c r="L505" s="25" t="n"/>
      <c r="M505" s="25" t="n"/>
      <c r="N505" s="25" t="n"/>
      <c r="O505" s="25" t="n"/>
      <c r="P505" s="25" t="n"/>
      <c r="Q505" s="25" t="n"/>
    </row>
    <row r="506">
      <c r="E506" s="24">
        <f>'클럭 정리'!A507</f>
        <v/>
      </c>
      <c r="F506" s="23">
        <f>'클럭 정리'!O507</f>
        <v/>
      </c>
      <c r="G506" s="25" t="n"/>
      <c r="H506" s="25" t="n"/>
      <c r="I506" s="25" t="n"/>
      <c r="J506" s="25" t="n"/>
      <c r="K506" s="25" t="n"/>
      <c r="L506" s="25" t="n"/>
      <c r="M506" s="25" t="n"/>
      <c r="N506" s="25" t="n"/>
      <c r="O506" s="25" t="n"/>
      <c r="P506" s="25" t="n"/>
      <c r="Q506" s="25" t="n"/>
    </row>
    <row r="507">
      <c r="E507" s="24">
        <f>'클럭 정리'!A508</f>
        <v/>
      </c>
      <c r="F507" s="23">
        <f>'클럭 정리'!O508</f>
        <v/>
      </c>
      <c r="G507" s="25" t="n"/>
      <c r="H507" s="25" t="n"/>
      <c r="I507" s="25" t="n"/>
      <c r="J507" s="25" t="n"/>
      <c r="K507" s="25" t="n"/>
      <c r="L507" s="25" t="n"/>
      <c r="M507" s="25" t="n"/>
      <c r="N507" s="25" t="n"/>
      <c r="O507" s="25" t="n"/>
      <c r="P507" s="25" t="n"/>
      <c r="Q507" s="25" t="n"/>
    </row>
    <row r="508">
      <c r="E508" s="24">
        <f>'클럭 정리'!A509</f>
        <v/>
      </c>
      <c r="F508" s="23">
        <f>'클럭 정리'!O509</f>
        <v/>
      </c>
      <c r="G508" s="25" t="n"/>
      <c r="H508" s="25" t="n"/>
      <c r="I508" s="25" t="n"/>
      <c r="J508" s="25" t="n"/>
      <c r="K508" s="25" t="n"/>
      <c r="L508" s="25" t="n"/>
      <c r="M508" s="25" t="n"/>
      <c r="N508" s="25" t="n"/>
      <c r="O508" s="25" t="n"/>
      <c r="P508" s="25" t="n"/>
      <c r="Q508" s="25" t="n"/>
    </row>
    <row r="509">
      <c r="E509" s="24">
        <f>'클럭 정리'!A510</f>
        <v/>
      </c>
      <c r="F509" s="23">
        <f>'클럭 정리'!O510</f>
        <v/>
      </c>
      <c r="G509" s="25" t="n"/>
      <c r="H509" s="25" t="n"/>
      <c r="I509" s="25" t="n"/>
      <c r="J509" s="25" t="n"/>
      <c r="K509" s="25" t="n"/>
      <c r="L509" s="25" t="n"/>
      <c r="M509" s="25" t="n"/>
      <c r="N509" s="25" t="n"/>
      <c r="O509" s="25" t="n"/>
      <c r="P509" s="25" t="n"/>
      <c r="Q509" s="25" t="n"/>
    </row>
    <row r="510">
      <c r="E510" s="24">
        <f>'클럭 정리'!A511</f>
        <v/>
      </c>
      <c r="F510" s="23">
        <f>'클럭 정리'!O511</f>
        <v/>
      </c>
      <c r="G510" s="25" t="n"/>
      <c r="H510" s="25" t="n"/>
      <c r="I510" s="25" t="n"/>
      <c r="J510" s="25" t="n"/>
      <c r="K510" s="25" t="n"/>
      <c r="L510" s="25" t="n"/>
      <c r="M510" s="25" t="n"/>
      <c r="N510" s="25" t="n"/>
      <c r="O510" s="25" t="n"/>
      <c r="P510" s="25" t="n"/>
      <c r="Q510" s="25" t="n"/>
    </row>
    <row r="511">
      <c r="E511" s="24">
        <f>'클럭 정리'!A512</f>
        <v/>
      </c>
      <c r="F511" s="23">
        <f>'클럭 정리'!O512</f>
        <v/>
      </c>
      <c r="G511" s="25" t="n"/>
      <c r="H511" s="25" t="n"/>
      <c r="I511" s="25" t="n"/>
      <c r="J511" s="25" t="n"/>
      <c r="K511" s="25" t="n"/>
      <c r="L511" s="25" t="n"/>
      <c r="M511" s="25" t="n"/>
      <c r="N511" s="25" t="n"/>
      <c r="O511" s="25" t="n"/>
      <c r="P511" s="25" t="n"/>
      <c r="Q511" s="25" t="n"/>
    </row>
    <row r="512">
      <c r="E512" s="24">
        <f>'클럭 정리'!A513</f>
        <v/>
      </c>
      <c r="F512" s="23">
        <f>'클럭 정리'!O513</f>
        <v/>
      </c>
      <c r="G512" s="25" t="n"/>
      <c r="H512" s="25" t="n"/>
      <c r="I512" s="25" t="n"/>
      <c r="J512" s="25" t="n"/>
      <c r="K512" s="25" t="n"/>
      <c r="L512" s="25" t="n"/>
      <c r="M512" s="25" t="n"/>
      <c r="N512" s="25" t="n"/>
      <c r="O512" s="25" t="n"/>
      <c r="P512" s="25" t="n"/>
      <c r="Q512" s="25" t="n"/>
    </row>
    <row r="513">
      <c r="E513" s="24">
        <f>'클럭 정리'!A514</f>
        <v/>
      </c>
      <c r="F513" s="23">
        <f>'클럭 정리'!O514</f>
        <v/>
      </c>
      <c r="G513" s="25" t="n"/>
      <c r="H513" s="25" t="n"/>
      <c r="I513" s="25" t="n"/>
      <c r="J513" s="25" t="n"/>
      <c r="K513" s="25" t="n"/>
      <c r="L513" s="25" t="n"/>
      <c r="M513" s="25" t="n"/>
      <c r="N513" s="25" t="n"/>
      <c r="O513" s="25" t="n"/>
      <c r="P513" s="25" t="n"/>
      <c r="Q513" s="25" t="n"/>
    </row>
    <row r="514">
      <c r="E514" s="24">
        <f>'클럭 정리'!A515</f>
        <v/>
      </c>
      <c r="F514" s="23">
        <f>'클럭 정리'!O515</f>
        <v/>
      </c>
      <c r="G514" s="25" t="n"/>
      <c r="H514" s="25" t="n"/>
      <c r="I514" s="25" t="n"/>
      <c r="J514" s="25" t="n"/>
      <c r="K514" s="25" t="n"/>
      <c r="L514" s="25" t="n"/>
      <c r="M514" s="25" t="n"/>
      <c r="N514" s="25" t="n"/>
      <c r="O514" s="25" t="n"/>
      <c r="P514" s="25" t="n"/>
      <c r="Q514" s="25" t="n"/>
    </row>
    <row r="515">
      <c r="E515" s="24">
        <f>'클럭 정리'!A516</f>
        <v/>
      </c>
      <c r="F515" s="23">
        <f>'클럭 정리'!O516</f>
        <v/>
      </c>
      <c r="G515" s="25" t="n"/>
      <c r="H515" s="25" t="n"/>
      <c r="I515" s="25" t="n"/>
      <c r="J515" s="25" t="n"/>
      <c r="K515" s="25" t="n"/>
      <c r="L515" s="25" t="n"/>
      <c r="M515" s="25" t="n"/>
      <c r="N515" s="25" t="n"/>
      <c r="O515" s="25" t="n"/>
      <c r="P515" s="25" t="n"/>
      <c r="Q515" s="25" t="n"/>
    </row>
    <row r="516">
      <c r="E516" s="24">
        <f>'클럭 정리'!A517</f>
        <v/>
      </c>
      <c r="F516" s="23">
        <f>'클럭 정리'!O517</f>
        <v/>
      </c>
      <c r="G516" s="25" t="n"/>
      <c r="H516" s="25" t="n"/>
      <c r="I516" s="25" t="n"/>
      <c r="J516" s="25" t="n"/>
      <c r="K516" s="25" t="n"/>
      <c r="L516" s="25" t="n"/>
      <c r="M516" s="25" t="n"/>
      <c r="N516" s="25" t="n"/>
      <c r="O516" s="25" t="n"/>
      <c r="P516" s="25" t="n"/>
      <c r="Q516" s="25" t="n"/>
    </row>
    <row r="517">
      <c r="E517" s="24">
        <f>'클럭 정리'!A518</f>
        <v/>
      </c>
      <c r="F517" s="23">
        <f>'클럭 정리'!O518</f>
        <v/>
      </c>
      <c r="G517" s="25" t="n"/>
      <c r="H517" s="25" t="n"/>
      <c r="I517" s="25" t="n"/>
      <c r="J517" s="25" t="n"/>
      <c r="K517" s="25" t="n"/>
      <c r="L517" s="25" t="n"/>
      <c r="M517" s="25" t="n"/>
      <c r="N517" s="25" t="n"/>
      <c r="O517" s="25" t="n"/>
      <c r="P517" s="25" t="n"/>
      <c r="Q517" s="25" t="n"/>
    </row>
    <row r="518">
      <c r="E518" s="24">
        <f>'클럭 정리'!A519</f>
        <v/>
      </c>
      <c r="F518" s="23">
        <f>'클럭 정리'!O519</f>
        <v/>
      </c>
      <c r="G518" s="25" t="n"/>
      <c r="H518" s="25" t="n"/>
      <c r="I518" s="25" t="n"/>
      <c r="J518" s="25" t="n"/>
      <c r="K518" s="25" t="n"/>
      <c r="L518" s="25" t="n"/>
      <c r="M518" s="25" t="n"/>
      <c r="N518" s="25" t="n"/>
      <c r="O518" s="25" t="n"/>
      <c r="P518" s="25" t="n"/>
      <c r="Q518" s="25" t="n"/>
    </row>
    <row r="519">
      <c r="E519" s="24">
        <f>'클럭 정리'!A520</f>
        <v/>
      </c>
      <c r="F519" s="23">
        <f>'클럭 정리'!O520</f>
        <v/>
      </c>
      <c r="G519" s="25" t="n"/>
      <c r="H519" s="25" t="n"/>
      <c r="I519" s="25" t="n"/>
      <c r="J519" s="25" t="n"/>
      <c r="K519" s="25" t="n"/>
      <c r="L519" s="25" t="n"/>
      <c r="M519" s="25" t="n"/>
      <c r="N519" s="25" t="n"/>
      <c r="O519" s="25" t="n"/>
      <c r="P519" s="25" t="n"/>
      <c r="Q519" s="25" t="n"/>
    </row>
    <row r="520">
      <c r="E520" s="24">
        <f>'클럭 정리'!A521</f>
        <v/>
      </c>
      <c r="F520" s="23">
        <f>'클럭 정리'!O521</f>
        <v/>
      </c>
      <c r="G520" s="25" t="n"/>
      <c r="H520" s="25" t="n"/>
      <c r="I520" s="25" t="n"/>
      <c r="J520" s="25" t="n"/>
      <c r="K520" s="25" t="n"/>
      <c r="L520" s="25" t="n"/>
      <c r="M520" s="25" t="n"/>
      <c r="N520" s="25" t="n"/>
      <c r="O520" s="25" t="n"/>
      <c r="P520" s="25" t="n"/>
      <c r="Q520" s="25" t="n"/>
    </row>
    <row r="521">
      <c r="E521" s="24">
        <f>'클럭 정리'!A522</f>
        <v/>
      </c>
      <c r="F521" s="23">
        <f>'클럭 정리'!O522</f>
        <v/>
      </c>
      <c r="G521" s="25" t="n"/>
      <c r="H521" s="25" t="n"/>
      <c r="I521" s="25" t="n"/>
      <c r="J521" s="25" t="n"/>
      <c r="K521" s="25" t="n"/>
      <c r="L521" s="25" t="n"/>
      <c r="M521" s="25" t="n"/>
      <c r="N521" s="25" t="n"/>
      <c r="O521" s="25" t="n"/>
      <c r="P521" s="25" t="n"/>
      <c r="Q521" s="25" t="n"/>
    </row>
    <row r="522">
      <c r="E522" s="24">
        <f>'클럭 정리'!A523</f>
        <v/>
      </c>
      <c r="F522" s="23">
        <f>'클럭 정리'!O523</f>
        <v/>
      </c>
      <c r="G522" s="25" t="n"/>
      <c r="H522" s="25" t="n"/>
      <c r="I522" s="25" t="n"/>
      <c r="J522" s="25" t="n"/>
      <c r="K522" s="25" t="n"/>
      <c r="L522" s="25" t="n"/>
      <c r="M522" s="25" t="n"/>
      <c r="N522" s="25" t="n"/>
      <c r="O522" s="25" t="n"/>
      <c r="P522" s="25" t="n"/>
      <c r="Q522" s="25" t="n"/>
    </row>
    <row r="523">
      <c r="E523" s="24">
        <f>'클럭 정리'!A524</f>
        <v/>
      </c>
      <c r="F523" s="23">
        <f>'클럭 정리'!O524</f>
        <v/>
      </c>
      <c r="G523" s="25" t="n"/>
      <c r="H523" s="25" t="n"/>
      <c r="I523" s="25" t="n"/>
      <c r="J523" s="25" t="n"/>
      <c r="K523" s="25" t="n"/>
      <c r="L523" s="25" t="n"/>
      <c r="M523" s="25" t="n"/>
      <c r="N523" s="25" t="n"/>
      <c r="O523" s="25" t="n"/>
      <c r="P523" s="25" t="n"/>
      <c r="Q523" s="25" t="n"/>
    </row>
    <row r="524">
      <c r="E524" s="24">
        <f>'클럭 정리'!A525</f>
        <v/>
      </c>
      <c r="F524" s="23">
        <f>'클럭 정리'!O525</f>
        <v/>
      </c>
      <c r="G524" s="25" t="n"/>
      <c r="H524" s="25" t="n"/>
      <c r="I524" s="25" t="n"/>
      <c r="J524" s="25" t="n"/>
      <c r="K524" s="25" t="n"/>
      <c r="L524" s="25" t="n"/>
      <c r="M524" s="25" t="n"/>
      <c r="N524" s="25" t="n"/>
      <c r="O524" s="25" t="n"/>
      <c r="P524" s="25" t="n"/>
      <c r="Q524" s="25" t="n"/>
    </row>
    <row r="525">
      <c r="E525" s="24">
        <f>'클럭 정리'!A526</f>
        <v/>
      </c>
      <c r="F525" s="23">
        <f>'클럭 정리'!O526</f>
        <v/>
      </c>
      <c r="G525" s="25" t="n"/>
      <c r="H525" s="25" t="n"/>
      <c r="I525" s="25" t="n"/>
      <c r="J525" s="25" t="n"/>
      <c r="K525" s="25" t="n"/>
      <c r="L525" s="25" t="n"/>
      <c r="M525" s="25" t="n"/>
      <c r="N525" s="25" t="n"/>
      <c r="O525" s="25" t="n"/>
      <c r="P525" s="25" t="n"/>
      <c r="Q525" s="25" t="n"/>
    </row>
    <row r="526">
      <c r="E526" s="24">
        <f>'클럭 정리'!A527</f>
        <v/>
      </c>
      <c r="F526" s="23">
        <f>'클럭 정리'!O527</f>
        <v/>
      </c>
      <c r="G526" s="25" t="n"/>
      <c r="H526" s="25" t="n"/>
      <c r="I526" s="25" t="n"/>
      <c r="J526" s="25" t="n"/>
      <c r="K526" s="25" t="n"/>
      <c r="L526" s="25" t="n"/>
      <c r="M526" s="25" t="n"/>
      <c r="N526" s="25" t="n"/>
      <c r="O526" s="25" t="n"/>
      <c r="P526" s="25" t="n"/>
      <c r="Q526" s="25" t="n"/>
    </row>
    <row r="527">
      <c r="E527" s="24">
        <f>'클럭 정리'!A528</f>
        <v/>
      </c>
      <c r="F527" s="23">
        <f>'클럭 정리'!O528</f>
        <v/>
      </c>
      <c r="G527" s="25" t="n"/>
      <c r="H527" s="25" t="n"/>
      <c r="I527" s="25" t="n"/>
      <c r="J527" s="25" t="n"/>
      <c r="K527" s="25" t="n"/>
      <c r="L527" s="25" t="n"/>
      <c r="M527" s="25" t="n"/>
      <c r="N527" s="25" t="n"/>
      <c r="O527" s="25" t="n"/>
      <c r="P527" s="25" t="n"/>
      <c r="Q527" s="25" t="n"/>
    </row>
    <row r="528">
      <c r="E528" s="24">
        <f>'클럭 정리'!A529</f>
        <v/>
      </c>
      <c r="F528" s="23">
        <f>'클럭 정리'!O529</f>
        <v/>
      </c>
      <c r="G528" s="25" t="n"/>
      <c r="H528" s="25" t="n"/>
      <c r="I528" s="25" t="n"/>
      <c r="J528" s="25" t="n"/>
      <c r="K528" s="25" t="n"/>
      <c r="L528" s="25" t="n"/>
      <c r="M528" s="25" t="n"/>
      <c r="N528" s="25" t="n"/>
      <c r="O528" s="25" t="n"/>
      <c r="P528" s="25" t="n"/>
      <c r="Q528" s="25" t="n"/>
    </row>
    <row r="529">
      <c r="E529" s="24">
        <f>'클럭 정리'!A530</f>
        <v/>
      </c>
      <c r="F529" s="23">
        <f>'클럭 정리'!O530</f>
        <v/>
      </c>
      <c r="G529" s="25" t="n"/>
      <c r="H529" s="25" t="n"/>
      <c r="I529" s="25" t="n"/>
      <c r="J529" s="25" t="n"/>
      <c r="K529" s="25" t="n"/>
      <c r="L529" s="25" t="n"/>
      <c r="M529" s="25" t="n"/>
      <c r="N529" s="25" t="n"/>
      <c r="O529" s="25" t="n"/>
      <c r="P529" s="25" t="n"/>
      <c r="Q529" s="25" t="n"/>
    </row>
    <row r="530">
      <c r="E530" s="24">
        <f>'클럭 정리'!A531</f>
        <v/>
      </c>
      <c r="F530" s="23">
        <f>'클럭 정리'!O531</f>
        <v/>
      </c>
      <c r="G530" s="25" t="n"/>
      <c r="H530" s="25" t="n"/>
      <c r="I530" s="25" t="n"/>
      <c r="J530" s="25" t="n"/>
      <c r="K530" s="25" t="n"/>
      <c r="L530" s="25" t="n"/>
      <c r="M530" s="25" t="n"/>
      <c r="N530" s="25" t="n"/>
      <c r="O530" s="25" t="n"/>
      <c r="P530" s="25" t="n"/>
      <c r="Q530" s="25" t="n"/>
    </row>
    <row r="531">
      <c r="E531" s="24">
        <f>'클럭 정리'!A532</f>
        <v/>
      </c>
      <c r="F531" s="23">
        <f>'클럭 정리'!O532</f>
        <v/>
      </c>
      <c r="G531" s="25" t="n"/>
      <c r="H531" s="25" t="n"/>
      <c r="I531" s="25" t="n"/>
      <c r="J531" s="25" t="n"/>
      <c r="K531" s="25" t="n"/>
      <c r="L531" s="25" t="n"/>
      <c r="M531" s="25" t="n"/>
      <c r="N531" s="25" t="n"/>
      <c r="O531" s="25" t="n"/>
      <c r="P531" s="25" t="n"/>
      <c r="Q531" s="25" t="n"/>
    </row>
    <row r="532">
      <c r="E532" s="24">
        <f>'클럭 정리'!A533</f>
        <v/>
      </c>
      <c r="F532" s="23">
        <f>'클럭 정리'!O533</f>
        <v/>
      </c>
      <c r="G532" s="25" t="n"/>
      <c r="H532" s="25" t="n"/>
      <c r="I532" s="25" t="n"/>
      <c r="J532" s="25" t="n"/>
      <c r="K532" s="25" t="n"/>
      <c r="L532" s="25" t="n"/>
      <c r="M532" s="25" t="n"/>
      <c r="N532" s="25" t="n"/>
      <c r="O532" s="25" t="n"/>
      <c r="P532" s="25" t="n"/>
      <c r="Q532" s="25" t="n"/>
    </row>
    <row r="533">
      <c r="E533" s="24">
        <f>'클럭 정리'!A534</f>
        <v/>
      </c>
      <c r="F533" s="23">
        <f>'클럭 정리'!O534</f>
        <v/>
      </c>
      <c r="G533" s="25" t="n"/>
      <c r="H533" s="25" t="n"/>
      <c r="I533" s="25" t="n"/>
      <c r="J533" s="25" t="n"/>
      <c r="K533" s="25" t="n"/>
      <c r="L533" s="25" t="n"/>
      <c r="M533" s="25" t="n"/>
      <c r="N533" s="25" t="n"/>
      <c r="O533" s="25" t="n"/>
      <c r="P533" s="25" t="n"/>
      <c r="Q533" s="25" t="n"/>
    </row>
    <row r="534">
      <c r="E534" s="24">
        <f>'클럭 정리'!A535</f>
        <v/>
      </c>
      <c r="F534" s="23">
        <f>'클럭 정리'!O535</f>
        <v/>
      </c>
      <c r="G534" s="25" t="n"/>
      <c r="H534" s="25" t="n"/>
      <c r="I534" s="25" t="n"/>
      <c r="J534" s="25" t="n"/>
      <c r="K534" s="25" t="n"/>
      <c r="L534" s="25" t="n"/>
      <c r="M534" s="25" t="n"/>
      <c r="N534" s="25" t="n"/>
      <c r="O534" s="25" t="n"/>
      <c r="P534" s="25" t="n"/>
      <c r="Q534" s="25" t="n"/>
    </row>
    <row r="535">
      <c r="E535" s="24">
        <f>'클럭 정리'!A536</f>
        <v/>
      </c>
      <c r="F535" s="23">
        <f>'클럭 정리'!O536</f>
        <v/>
      </c>
      <c r="G535" s="25" t="n"/>
      <c r="H535" s="25" t="n"/>
      <c r="I535" s="25" t="n"/>
      <c r="J535" s="25" t="n"/>
      <c r="K535" s="25" t="n"/>
      <c r="L535" s="25" t="n"/>
      <c r="M535" s="25" t="n"/>
      <c r="N535" s="25" t="n"/>
      <c r="O535" s="25" t="n"/>
      <c r="P535" s="25" t="n"/>
      <c r="Q535" s="25" t="n"/>
    </row>
    <row r="536">
      <c r="E536" s="24">
        <f>'클럭 정리'!A537</f>
        <v/>
      </c>
      <c r="F536" s="23">
        <f>'클럭 정리'!O537</f>
        <v/>
      </c>
      <c r="G536" s="25" t="n"/>
      <c r="H536" s="25" t="n"/>
      <c r="I536" s="25" t="n"/>
      <c r="J536" s="25" t="n"/>
      <c r="K536" s="25" t="n"/>
      <c r="L536" s="25" t="n"/>
      <c r="M536" s="25" t="n"/>
      <c r="N536" s="25" t="n"/>
      <c r="O536" s="25" t="n"/>
      <c r="P536" s="25" t="n"/>
      <c r="Q536" s="25" t="n"/>
    </row>
    <row r="537">
      <c r="E537" s="24">
        <f>'클럭 정리'!A538</f>
        <v/>
      </c>
      <c r="F537" s="23">
        <f>'클럭 정리'!O538</f>
        <v/>
      </c>
      <c r="G537" s="25" t="n"/>
      <c r="H537" s="25" t="n"/>
      <c r="I537" s="25" t="n"/>
      <c r="J537" s="25" t="n"/>
      <c r="K537" s="25" t="n"/>
      <c r="L537" s="25" t="n"/>
      <c r="M537" s="25" t="n"/>
      <c r="N537" s="25" t="n"/>
      <c r="O537" s="25" t="n"/>
      <c r="P537" s="25" t="n"/>
      <c r="Q537" s="25" t="n"/>
    </row>
    <row r="538">
      <c r="E538" s="24">
        <f>'클럭 정리'!A539</f>
        <v/>
      </c>
      <c r="F538" s="23">
        <f>'클럭 정리'!O539</f>
        <v/>
      </c>
      <c r="G538" s="25" t="n"/>
      <c r="H538" s="25" t="n"/>
      <c r="I538" s="25" t="n"/>
      <c r="J538" s="25" t="n"/>
      <c r="K538" s="25" t="n"/>
      <c r="L538" s="25" t="n"/>
      <c r="M538" s="25" t="n"/>
      <c r="N538" s="25" t="n"/>
      <c r="O538" s="25" t="n"/>
      <c r="P538" s="25" t="n"/>
      <c r="Q538" s="25" t="n"/>
    </row>
    <row r="539">
      <c r="E539" s="24">
        <f>'클럭 정리'!A540</f>
        <v/>
      </c>
      <c r="F539" s="23">
        <f>'클럭 정리'!O540</f>
        <v/>
      </c>
      <c r="G539" s="25" t="n"/>
      <c r="H539" s="25" t="n"/>
      <c r="I539" s="25" t="n"/>
      <c r="J539" s="25" t="n"/>
      <c r="K539" s="25" t="n"/>
      <c r="L539" s="25" t="n"/>
      <c r="M539" s="25" t="n"/>
      <c r="N539" s="25" t="n"/>
      <c r="O539" s="25" t="n"/>
      <c r="P539" s="25" t="n"/>
      <c r="Q539" s="25" t="n"/>
    </row>
    <row r="540">
      <c r="E540" s="24">
        <f>'클럭 정리'!A541</f>
        <v/>
      </c>
      <c r="F540" s="23">
        <f>'클럭 정리'!O541</f>
        <v/>
      </c>
      <c r="G540" s="25" t="n"/>
      <c r="H540" s="25" t="n"/>
      <c r="I540" s="25" t="n"/>
      <c r="J540" s="25" t="n"/>
      <c r="K540" s="25" t="n"/>
      <c r="L540" s="25" t="n"/>
      <c r="M540" s="25" t="n"/>
      <c r="N540" s="25" t="n"/>
      <c r="O540" s="25" t="n"/>
      <c r="P540" s="25" t="n"/>
      <c r="Q540" s="25" t="n"/>
    </row>
    <row r="541">
      <c r="E541" s="24">
        <f>'클럭 정리'!A542</f>
        <v/>
      </c>
      <c r="F541" s="23">
        <f>'클럭 정리'!O542</f>
        <v/>
      </c>
      <c r="G541" s="25" t="n"/>
      <c r="H541" s="25" t="n"/>
      <c r="I541" s="25" t="n"/>
      <c r="J541" s="25" t="n"/>
      <c r="K541" s="25" t="n"/>
      <c r="L541" s="25" t="n"/>
      <c r="M541" s="25" t="n"/>
      <c r="N541" s="25" t="n"/>
      <c r="O541" s="25" t="n"/>
      <c r="P541" s="25" t="n"/>
      <c r="Q541" s="25" t="n"/>
    </row>
    <row r="542">
      <c r="E542" s="24">
        <f>'클럭 정리'!A543</f>
        <v/>
      </c>
      <c r="F542" s="23">
        <f>'클럭 정리'!O543</f>
        <v/>
      </c>
      <c r="G542" s="25" t="n"/>
      <c r="H542" s="25" t="n"/>
      <c r="I542" s="25" t="n"/>
      <c r="J542" s="25" t="n"/>
      <c r="K542" s="25" t="n"/>
      <c r="L542" s="25" t="n"/>
      <c r="M542" s="25" t="n"/>
      <c r="N542" s="25" t="n"/>
      <c r="O542" s="25" t="n"/>
      <c r="P542" s="25" t="n"/>
      <c r="Q542" s="25" t="n"/>
    </row>
    <row r="543">
      <c r="E543" s="24">
        <f>'클럭 정리'!A544</f>
        <v/>
      </c>
      <c r="F543" s="23">
        <f>'클럭 정리'!O544</f>
        <v/>
      </c>
      <c r="G543" s="25" t="n"/>
      <c r="H543" s="25" t="n"/>
      <c r="I543" s="25" t="n"/>
      <c r="J543" s="25" t="n"/>
      <c r="K543" s="25" t="n"/>
      <c r="L543" s="25" t="n"/>
      <c r="M543" s="25" t="n"/>
      <c r="N543" s="25" t="n"/>
      <c r="O543" s="25" t="n"/>
      <c r="P543" s="25" t="n"/>
      <c r="Q543" s="25" t="n"/>
    </row>
    <row r="544">
      <c r="E544" s="24">
        <f>'클럭 정리'!A545</f>
        <v/>
      </c>
      <c r="F544" s="23">
        <f>'클럭 정리'!O545</f>
        <v/>
      </c>
      <c r="G544" s="25" t="n"/>
      <c r="H544" s="25" t="n"/>
      <c r="I544" s="25" t="n"/>
      <c r="J544" s="25" t="n"/>
      <c r="K544" s="25" t="n"/>
      <c r="L544" s="25" t="n"/>
      <c r="M544" s="25" t="n"/>
      <c r="N544" s="25" t="n"/>
      <c r="O544" s="25" t="n"/>
      <c r="P544" s="25" t="n"/>
      <c r="Q544" s="25" t="n"/>
    </row>
    <row r="545">
      <c r="E545" s="24">
        <f>'클럭 정리'!A546</f>
        <v/>
      </c>
      <c r="F545" s="23">
        <f>'클럭 정리'!O546</f>
        <v/>
      </c>
      <c r="G545" s="25" t="n"/>
      <c r="H545" s="25" t="n"/>
      <c r="I545" s="25" t="n"/>
      <c r="J545" s="25" t="n"/>
      <c r="K545" s="25" t="n"/>
      <c r="L545" s="25" t="n"/>
      <c r="M545" s="25" t="n"/>
      <c r="N545" s="25" t="n"/>
      <c r="O545" s="25" t="n"/>
      <c r="P545" s="25" t="n"/>
      <c r="Q545" s="25" t="n"/>
    </row>
    <row r="546">
      <c r="E546" s="24">
        <f>'클럭 정리'!A547</f>
        <v/>
      </c>
      <c r="F546" s="23">
        <f>'클럭 정리'!O547</f>
        <v/>
      </c>
      <c r="G546" s="25" t="n"/>
      <c r="H546" s="25" t="n"/>
      <c r="I546" s="25" t="n"/>
      <c r="J546" s="25" t="n"/>
      <c r="K546" s="25" t="n"/>
      <c r="L546" s="25" t="n"/>
      <c r="M546" s="25" t="n"/>
      <c r="N546" s="25" t="n"/>
      <c r="O546" s="25" t="n"/>
      <c r="P546" s="25" t="n"/>
      <c r="Q546" s="25" t="n"/>
    </row>
    <row r="547">
      <c r="E547" s="24">
        <f>'클럭 정리'!A548</f>
        <v/>
      </c>
      <c r="F547" s="23">
        <f>'클럭 정리'!O548</f>
        <v/>
      </c>
      <c r="G547" s="25" t="n"/>
      <c r="H547" s="25" t="n"/>
      <c r="I547" s="25" t="n"/>
      <c r="J547" s="25" t="n"/>
      <c r="K547" s="25" t="n"/>
      <c r="L547" s="25" t="n"/>
      <c r="M547" s="25" t="n"/>
      <c r="N547" s="25" t="n"/>
      <c r="O547" s="25" t="n"/>
      <c r="P547" s="25" t="n"/>
      <c r="Q547" s="25" t="n"/>
    </row>
    <row r="548">
      <c r="E548" s="24">
        <f>'클럭 정리'!A549</f>
        <v/>
      </c>
      <c r="F548" s="23">
        <f>'클럭 정리'!O549</f>
        <v/>
      </c>
      <c r="G548" s="25" t="n"/>
      <c r="H548" s="25" t="n"/>
      <c r="I548" s="25" t="n"/>
      <c r="J548" s="25" t="n"/>
      <c r="K548" s="25" t="n"/>
      <c r="L548" s="25" t="n"/>
      <c r="M548" s="25" t="n"/>
      <c r="N548" s="25" t="n"/>
      <c r="O548" s="25" t="n"/>
      <c r="P548" s="25" t="n"/>
      <c r="Q548" s="25" t="n"/>
    </row>
    <row r="549">
      <c r="E549" s="24">
        <f>'클럭 정리'!A550</f>
        <v/>
      </c>
      <c r="F549" s="23">
        <f>'클럭 정리'!O550</f>
        <v/>
      </c>
      <c r="G549" s="25" t="n"/>
      <c r="H549" s="25" t="n"/>
      <c r="I549" s="25" t="n"/>
      <c r="J549" s="25" t="n"/>
      <c r="K549" s="25" t="n"/>
      <c r="L549" s="25" t="n"/>
      <c r="M549" s="25" t="n"/>
      <c r="N549" s="25" t="n"/>
      <c r="O549" s="25" t="n"/>
      <c r="P549" s="25" t="n"/>
      <c r="Q549" s="25" t="n"/>
    </row>
    <row r="550">
      <c r="E550" s="24">
        <f>'클럭 정리'!A551</f>
        <v/>
      </c>
      <c r="F550" s="23">
        <f>'클럭 정리'!O551</f>
        <v/>
      </c>
      <c r="G550" s="25" t="n"/>
      <c r="H550" s="25" t="n"/>
      <c r="I550" s="25" t="n"/>
      <c r="J550" s="25" t="n"/>
      <c r="K550" s="25" t="n"/>
      <c r="L550" s="25" t="n"/>
      <c r="M550" s="25" t="n"/>
      <c r="N550" s="25" t="n"/>
      <c r="O550" s="25" t="n"/>
      <c r="P550" s="25" t="n"/>
      <c r="Q550" s="25" t="n"/>
    </row>
    <row r="551">
      <c r="E551" s="24">
        <f>'클럭 정리'!A552</f>
        <v/>
      </c>
      <c r="F551" s="23">
        <f>'클럭 정리'!O552</f>
        <v/>
      </c>
      <c r="G551" s="25" t="n"/>
      <c r="H551" s="25" t="n"/>
      <c r="I551" s="25" t="n"/>
      <c r="J551" s="25" t="n"/>
      <c r="K551" s="25" t="n"/>
      <c r="L551" s="25" t="n"/>
      <c r="M551" s="25" t="n"/>
      <c r="N551" s="25" t="n"/>
      <c r="O551" s="25" t="n"/>
      <c r="P551" s="25" t="n"/>
      <c r="Q551" s="25" t="n"/>
    </row>
    <row r="552">
      <c r="E552" s="24">
        <f>'클럭 정리'!A553</f>
        <v/>
      </c>
      <c r="F552" s="23">
        <f>'클럭 정리'!O553</f>
        <v/>
      </c>
      <c r="G552" s="25" t="n"/>
      <c r="H552" s="25" t="n"/>
      <c r="I552" s="25" t="n"/>
      <c r="J552" s="25" t="n"/>
      <c r="K552" s="25" t="n"/>
      <c r="L552" s="25" t="n"/>
      <c r="M552" s="25" t="n"/>
      <c r="N552" s="25" t="n"/>
      <c r="O552" s="25" t="n"/>
      <c r="P552" s="25" t="n"/>
      <c r="Q552" s="25" t="n"/>
    </row>
    <row r="553">
      <c r="E553" s="24">
        <f>'클럭 정리'!A554</f>
        <v/>
      </c>
      <c r="F553" s="23">
        <f>'클럭 정리'!O554</f>
        <v/>
      </c>
      <c r="G553" s="25" t="n"/>
      <c r="H553" s="25" t="n"/>
      <c r="I553" s="25" t="n"/>
      <c r="J553" s="25" t="n"/>
      <c r="K553" s="25" t="n"/>
      <c r="L553" s="25" t="n"/>
      <c r="M553" s="25" t="n"/>
      <c r="N553" s="25" t="n"/>
      <c r="O553" s="25" t="n"/>
      <c r="P553" s="25" t="n"/>
      <c r="Q553" s="25" t="n"/>
    </row>
    <row r="554">
      <c r="E554" s="24">
        <f>'클럭 정리'!A555</f>
        <v/>
      </c>
      <c r="F554" s="23">
        <f>'클럭 정리'!O555</f>
        <v/>
      </c>
      <c r="G554" s="25" t="n"/>
      <c r="H554" s="25" t="n"/>
      <c r="I554" s="25" t="n"/>
      <c r="J554" s="25" t="n"/>
      <c r="K554" s="25" t="n"/>
      <c r="L554" s="25" t="n"/>
      <c r="M554" s="25" t="n"/>
      <c r="N554" s="25" t="n"/>
      <c r="O554" s="25" t="n"/>
      <c r="P554" s="25" t="n"/>
      <c r="Q554" s="25" t="n"/>
    </row>
    <row r="555">
      <c r="E555" s="24">
        <f>'클럭 정리'!A556</f>
        <v/>
      </c>
      <c r="F555" s="23">
        <f>'클럭 정리'!O556</f>
        <v/>
      </c>
      <c r="G555" s="25" t="n"/>
      <c r="H555" s="25" t="n"/>
      <c r="I555" s="25" t="n"/>
      <c r="J555" s="25" t="n"/>
      <c r="K555" s="25" t="n"/>
      <c r="L555" s="25" t="n"/>
      <c r="M555" s="25" t="n"/>
      <c r="N555" s="25" t="n"/>
      <c r="O555" s="25" t="n"/>
      <c r="P555" s="25" t="n"/>
      <c r="Q555" s="25" t="n"/>
    </row>
    <row r="556">
      <c r="E556" s="24">
        <f>'클럭 정리'!A557</f>
        <v/>
      </c>
      <c r="F556" s="23">
        <f>'클럭 정리'!O557</f>
        <v/>
      </c>
      <c r="G556" s="25" t="n"/>
      <c r="H556" s="25" t="n"/>
      <c r="I556" s="25" t="n"/>
      <c r="J556" s="25" t="n"/>
      <c r="K556" s="25" t="n"/>
      <c r="L556" s="25" t="n"/>
      <c r="M556" s="25" t="n"/>
      <c r="N556" s="25" t="n"/>
      <c r="O556" s="25" t="n"/>
      <c r="P556" s="25" t="n"/>
      <c r="Q556" s="25" t="n"/>
    </row>
    <row r="557">
      <c r="E557" s="24">
        <f>'클럭 정리'!A558</f>
        <v/>
      </c>
      <c r="F557" s="23">
        <f>'클럭 정리'!O558</f>
        <v/>
      </c>
      <c r="G557" s="25" t="n"/>
      <c r="H557" s="25" t="n"/>
      <c r="I557" s="25" t="n"/>
      <c r="J557" s="25" t="n"/>
      <c r="K557" s="25" t="n"/>
      <c r="L557" s="25" t="n"/>
      <c r="M557" s="25" t="n"/>
      <c r="N557" s="25" t="n"/>
      <c r="O557" s="25" t="n"/>
      <c r="P557" s="25" t="n"/>
      <c r="Q557" s="25" t="n"/>
    </row>
    <row r="558">
      <c r="E558" s="24">
        <f>'클럭 정리'!A559</f>
        <v/>
      </c>
      <c r="F558" s="23">
        <f>'클럭 정리'!O559</f>
        <v/>
      </c>
      <c r="G558" s="25" t="n"/>
      <c r="H558" s="25" t="n"/>
      <c r="I558" s="25" t="n"/>
      <c r="J558" s="25" t="n"/>
      <c r="K558" s="25" t="n"/>
      <c r="L558" s="25" t="n"/>
      <c r="M558" s="25" t="n"/>
      <c r="N558" s="25" t="n"/>
      <c r="O558" s="25" t="n"/>
      <c r="P558" s="25" t="n"/>
      <c r="Q558" s="25" t="n"/>
    </row>
    <row r="559">
      <c r="E559" s="24">
        <f>'클럭 정리'!A560</f>
        <v/>
      </c>
      <c r="F559" s="23">
        <f>'클럭 정리'!O560</f>
        <v/>
      </c>
      <c r="G559" s="25" t="n"/>
      <c r="H559" s="25" t="n"/>
      <c r="I559" s="25" t="n"/>
      <c r="J559" s="25" t="n"/>
      <c r="K559" s="25" t="n"/>
      <c r="L559" s="25" t="n"/>
      <c r="M559" s="25" t="n"/>
      <c r="N559" s="25" t="n"/>
      <c r="O559" s="25" t="n"/>
      <c r="P559" s="25" t="n"/>
      <c r="Q559" s="25" t="n"/>
    </row>
    <row r="560">
      <c r="E560" s="24">
        <f>'클럭 정리'!A561</f>
        <v/>
      </c>
      <c r="F560" s="23">
        <f>'클럭 정리'!O561</f>
        <v/>
      </c>
      <c r="G560" s="25" t="n"/>
      <c r="H560" s="25" t="n"/>
      <c r="I560" s="25" t="n"/>
      <c r="J560" s="25" t="n"/>
      <c r="K560" s="25" t="n"/>
      <c r="L560" s="25" t="n"/>
      <c r="M560" s="25" t="n"/>
      <c r="N560" s="25" t="n"/>
      <c r="O560" s="25" t="n"/>
      <c r="P560" s="25" t="n"/>
      <c r="Q560" s="25" t="n"/>
    </row>
    <row r="561">
      <c r="E561" s="24">
        <f>'클럭 정리'!A562</f>
        <v/>
      </c>
      <c r="F561" s="23">
        <f>'클럭 정리'!O562</f>
        <v/>
      </c>
      <c r="G561" s="25" t="n"/>
      <c r="H561" s="25" t="n"/>
      <c r="I561" s="25" t="n"/>
      <c r="J561" s="25" t="n"/>
      <c r="K561" s="25" t="n"/>
      <c r="L561" s="25" t="n"/>
      <c r="M561" s="25" t="n"/>
      <c r="N561" s="25" t="n"/>
      <c r="O561" s="25" t="n"/>
      <c r="P561" s="25" t="n"/>
      <c r="Q561" s="25" t="n"/>
    </row>
    <row r="562">
      <c r="E562" s="24">
        <f>'클럭 정리'!A563</f>
        <v/>
      </c>
      <c r="F562" s="23">
        <f>'클럭 정리'!O563</f>
        <v/>
      </c>
      <c r="G562" s="25" t="n"/>
      <c r="H562" s="25" t="n"/>
      <c r="I562" s="25" t="n"/>
      <c r="J562" s="25" t="n"/>
      <c r="K562" s="25" t="n"/>
      <c r="L562" s="25" t="n"/>
      <c r="M562" s="25" t="n"/>
      <c r="N562" s="25" t="n"/>
      <c r="O562" s="25" t="n"/>
      <c r="P562" s="25" t="n"/>
      <c r="Q562" s="25" t="n"/>
    </row>
    <row r="563">
      <c r="E563" s="24">
        <f>'클럭 정리'!A564</f>
        <v/>
      </c>
      <c r="F563" s="23">
        <f>'클럭 정리'!O564</f>
        <v/>
      </c>
      <c r="G563" s="25" t="n"/>
      <c r="H563" s="25" t="n"/>
      <c r="I563" s="25" t="n"/>
      <c r="J563" s="25" t="n"/>
      <c r="K563" s="25" t="n"/>
      <c r="L563" s="25" t="n"/>
      <c r="M563" s="25" t="n"/>
      <c r="N563" s="25" t="n"/>
      <c r="O563" s="25" t="n"/>
      <c r="P563" s="25" t="n"/>
      <c r="Q563" s="25" t="n"/>
    </row>
    <row r="564">
      <c r="E564" s="24">
        <f>'클럭 정리'!A565</f>
        <v/>
      </c>
      <c r="F564" s="23">
        <f>'클럭 정리'!O565</f>
        <v/>
      </c>
      <c r="G564" s="25" t="n"/>
      <c r="H564" s="25" t="n"/>
      <c r="I564" s="25" t="n"/>
      <c r="J564" s="25" t="n"/>
      <c r="K564" s="25" t="n"/>
      <c r="L564" s="25" t="n"/>
      <c r="M564" s="25" t="n"/>
      <c r="N564" s="25" t="n"/>
      <c r="O564" s="25" t="n"/>
      <c r="P564" s="25" t="n"/>
      <c r="Q564" s="25" t="n"/>
    </row>
    <row r="565">
      <c r="E565" s="24">
        <f>'클럭 정리'!A566</f>
        <v/>
      </c>
      <c r="F565" s="23">
        <f>'클럭 정리'!O566</f>
        <v/>
      </c>
      <c r="G565" s="25" t="n"/>
      <c r="H565" s="25" t="n"/>
      <c r="I565" s="25" t="n"/>
      <c r="J565" s="25" t="n"/>
      <c r="K565" s="25" t="n"/>
      <c r="L565" s="25" t="n"/>
      <c r="M565" s="25" t="n"/>
      <c r="N565" s="25" t="n"/>
      <c r="O565" s="25" t="n"/>
      <c r="P565" s="25" t="n"/>
      <c r="Q565" s="25" t="n"/>
    </row>
    <row r="566">
      <c r="E566" s="24">
        <f>'클럭 정리'!A567</f>
        <v/>
      </c>
      <c r="F566" s="23">
        <f>'클럭 정리'!O567</f>
        <v/>
      </c>
      <c r="G566" s="25" t="n"/>
      <c r="H566" s="25" t="n"/>
      <c r="I566" s="25" t="n"/>
      <c r="J566" s="25" t="n"/>
      <c r="K566" s="25" t="n"/>
      <c r="L566" s="25" t="n"/>
      <c r="M566" s="25" t="n"/>
      <c r="N566" s="25" t="n"/>
      <c r="O566" s="25" t="n"/>
      <c r="P566" s="25" t="n"/>
      <c r="Q566" s="25" t="n"/>
    </row>
    <row r="567">
      <c r="E567" s="24">
        <f>'클럭 정리'!A568</f>
        <v/>
      </c>
      <c r="F567" s="23">
        <f>'클럭 정리'!O568</f>
        <v/>
      </c>
      <c r="G567" s="25" t="n"/>
      <c r="H567" s="25" t="n"/>
      <c r="I567" s="25" t="n"/>
      <c r="J567" s="25" t="n"/>
      <c r="K567" s="25" t="n"/>
      <c r="L567" s="25" t="n"/>
      <c r="M567" s="25" t="n"/>
      <c r="N567" s="25" t="n"/>
      <c r="O567" s="25" t="n"/>
      <c r="P567" s="25" t="n"/>
      <c r="Q567" s="25" t="n"/>
    </row>
    <row r="568">
      <c r="E568" s="24">
        <f>'클럭 정리'!A569</f>
        <v/>
      </c>
      <c r="F568" s="23">
        <f>'클럭 정리'!O569</f>
        <v/>
      </c>
      <c r="G568" s="25" t="n"/>
      <c r="H568" s="25" t="n"/>
      <c r="I568" s="25" t="n"/>
      <c r="J568" s="25" t="n"/>
      <c r="K568" s="25" t="n"/>
      <c r="L568" s="25" t="n"/>
      <c r="M568" s="25" t="n"/>
      <c r="N568" s="25" t="n"/>
      <c r="O568" s="25" t="n"/>
      <c r="P568" s="25" t="n"/>
      <c r="Q568" s="25" t="n"/>
    </row>
    <row r="569">
      <c r="E569" s="24">
        <f>'클럭 정리'!A570</f>
        <v/>
      </c>
      <c r="F569" s="23">
        <f>'클럭 정리'!O570</f>
        <v/>
      </c>
      <c r="G569" s="25" t="n"/>
      <c r="H569" s="25" t="n"/>
      <c r="I569" s="25" t="n"/>
      <c r="J569" s="25" t="n"/>
      <c r="K569" s="25" t="n"/>
      <c r="L569" s="25" t="n"/>
      <c r="M569" s="25" t="n"/>
      <c r="N569" s="25" t="n"/>
      <c r="O569" s="25" t="n"/>
      <c r="P569" s="25" t="n"/>
      <c r="Q569" s="25" t="n"/>
    </row>
    <row r="570">
      <c r="E570" s="24">
        <f>'클럭 정리'!A571</f>
        <v/>
      </c>
      <c r="F570" s="23">
        <f>'클럭 정리'!O571</f>
        <v/>
      </c>
      <c r="G570" s="25" t="n"/>
      <c r="H570" s="25" t="n"/>
      <c r="I570" s="25" t="n"/>
      <c r="J570" s="25" t="n"/>
      <c r="K570" s="25" t="n"/>
      <c r="L570" s="25" t="n"/>
      <c r="M570" s="25" t="n"/>
      <c r="N570" s="25" t="n"/>
      <c r="O570" s="25" t="n"/>
      <c r="P570" s="25" t="n"/>
      <c r="Q570" s="25" t="n"/>
    </row>
    <row r="571">
      <c r="E571" s="24">
        <f>'클럭 정리'!A572</f>
        <v/>
      </c>
      <c r="F571" s="23">
        <f>'클럭 정리'!O572</f>
        <v/>
      </c>
      <c r="G571" s="25" t="n"/>
      <c r="H571" s="25" t="n"/>
      <c r="I571" s="25" t="n"/>
      <c r="J571" s="25" t="n"/>
      <c r="K571" s="25" t="n"/>
      <c r="L571" s="25" t="n"/>
      <c r="M571" s="25" t="n"/>
      <c r="N571" s="25" t="n"/>
      <c r="O571" s="25" t="n"/>
      <c r="P571" s="25" t="n"/>
      <c r="Q571" s="25" t="n"/>
    </row>
    <row r="572">
      <c r="E572" s="24">
        <f>'클럭 정리'!A573</f>
        <v/>
      </c>
      <c r="F572" s="23">
        <f>'클럭 정리'!O573</f>
        <v/>
      </c>
      <c r="G572" s="25" t="n"/>
      <c r="H572" s="25" t="n"/>
      <c r="I572" s="25" t="n"/>
      <c r="J572" s="25" t="n"/>
      <c r="K572" s="25" t="n"/>
      <c r="L572" s="25" t="n"/>
      <c r="M572" s="25" t="n"/>
      <c r="N572" s="25" t="n"/>
      <c r="O572" s="25" t="n"/>
      <c r="P572" s="25" t="n"/>
      <c r="Q572" s="25" t="n"/>
    </row>
    <row r="573">
      <c r="E573" s="24">
        <f>'클럭 정리'!A574</f>
        <v/>
      </c>
      <c r="F573" s="23">
        <f>'클럭 정리'!O574</f>
        <v/>
      </c>
      <c r="G573" s="25" t="n"/>
      <c r="H573" s="25" t="n"/>
      <c r="I573" s="25" t="n"/>
      <c r="J573" s="25" t="n"/>
      <c r="K573" s="25" t="n"/>
      <c r="L573" s="25" t="n"/>
      <c r="M573" s="25" t="n"/>
      <c r="N573" s="25" t="n"/>
      <c r="O573" s="25" t="n"/>
      <c r="P573" s="25" t="n"/>
      <c r="Q573" s="25" t="n"/>
    </row>
    <row r="574">
      <c r="E574" s="24">
        <f>'클럭 정리'!A575</f>
        <v/>
      </c>
      <c r="F574" s="23">
        <f>'클럭 정리'!O575</f>
        <v/>
      </c>
      <c r="G574" s="25" t="n"/>
      <c r="H574" s="25" t="n"/>
      <c r="I574" s="25" t="n"/>
      <c r="J574" s="25" t="n"/>
      <c r="K574" s="25" t="n"/>
      <c r="L574" s="25" t="n"/>
      <c r="M574" s="25" t="n"/>
      <c r="N574" s="25" t="n"/>
      <c r="O574" s="25" t="n"/>
      <c r="P574" s="25" t="n"/>
      <c r="Q574" s="25" t="n"/>
    </row>
    <row r="575">
      <c r="E575" s="24">
        <f>'클럭 정리'!A576</f>
        <v/>
      </c>
      <c r="F575" s="23">
        <f>'클럭 정리'!O576</f>
        <v/>
      </c>
      <c r="G575" s="25" t="n"/>
      <c r="H575" s="25" t="n"/>
      <c r="I575" s="25" t="n"/>
      <c r="J575" s="25" t="n"/>
      <c r="K575" s="25" t="n"/>
      <c r="L575" s="25" t="n"/>
      <c r="M575" s="25" t="n"/>
      <c r="N575" s="25" t="n"/>
      <c r="O575" s="25" t="n"/>
      <c r="P575" s="25" t="n"/>
      <c r="Q575" s="25" t="n"/>
    </row>
    <row r="576">
      <c r="E576" s="24">
        <f>'클럭 정리'!A577</f>
        <v/>
      </c>
      <c r="F576" s="23">
        <f>'클럭 정리'!O577</f>
        <v/>
      </c>
      <c r="G576" s="25" t="n"/>
      <c r="H576" s="25" t="n"/>
      <c r="I576" s="25" t="n"/>
      <c r="J576" s="25" t="n"/>
      <c r="K576" s="25" t="n"/>
      <c r="L576" s="25" t="n"/>
      <c r="M576" s="25" t="n"/>
      <c r="N576" s="25" t="n"/>
      <c r="O576" s="25" t="n"/>
      <c r="P576" s="25" t="n"/>
      <c r="Q576" s="25" t="n"/>
    </row>
    <row r="577">
      <c r="E577" s="24">
        <f>'클럭 정리'!A578</f>
        <v/>
      </c>
      <c r="F577" s="23">
        <f>'클럭 정리'!O578</f>
        <v/>
      </c>
      <c r="G577" s="25" t="n"/>
      <c r="H577" s="25" t="n"/>
      <c r="I577" s="25" t="n"/>
      <c r="J577" s="25" t="n"/>
      <c r="K577" s="25" t="n"/>
      <c r="L577" s="25" t="n"/>
      <c r="M577" s="25" t="n"/>
      <c r="N577" s="25" t="n"/>
      <c r="O577" s="25" t="n"/>
      <c r="P577" s="25" t="n"/>
      <c r="Q577" s="25" t="n"/>
    </row>
    <row r="578">
      <c r="E578" s="24">
        <f>'클럭 정리'!A579</f>
        <v/>
      </c>
      <c r="F578" s="23">
        <f>'클럭 정리'!O579</f>
        <v/>
      </c>
      <c r="G578" s="25" t="n"/>
      <c r="H578" s="25" t="n"/>
      <c r="I578" s="25" t="n"/>
      <c r="J578" s="25" t="n"/>
      <c r="K578" s="25" t="n"/>
      <c r="L578" s="25" t="n"/>
      <c r="M578" s="25" t="n"/>
      <c r="N578" s="25" t="n"/>
      <c r="O578" s="25" t="n"/>
      <c r="P578" s="25" t="n"/>
      <c r="Q578" s="25" t="n"/>
    </row>
    <row r="579">
      <c r="E579" s="24">
        <f>'클럭 정리'!A580</f>
        <v/>
      </c>
      <c r="F579" s="23">
        <f>'클럭 정리'!O580</f>
        <v/>
      </c>
      <c r="G579" s="25" t="n"/>
      <c r="H579" s="25" t="n"/>
      <c r="I579" s="25" t="n"/>
      <c r="J579" s="25" t="n"/>
      <c r="K579" s="25" t="n"/>
      <c r="L579" s="25" t="n"/>
      <c r="M579" s="25" t="n"/>
      <c r="N579" s="25" t="n"/>
      <c r="O579" s="25" t="n"/>
      <c r="P579" s="25" t="n"/>
      <c r="Q579" s="25" t="n"/>
    </row>
    <row r="580">
      <c r="E580" s="24">
        <f>'클럭 정리'!A581</f>
        <v/>
      </c>
      <c r="F580" s="23">
        <f>'클럭 정리'!O581</f>
        <v/>
      </c>
      <c r="G580" s="25" t="n"/>
      <c r="H580" s="25" t="n"/>
      <c r="I580" s="25" t="n"/>
      <c r="J580" s="25" t="n"/>
      <c r="K580" s="25" t="n"/>
      <c r="L580" s="25" t="n"/>
      <c r="M580" s="25" t="n"/>
      <c r="N580" s="25" t="n"/>
      <c r="O580" s="25" t="n"/>
      <c r="P580" s="25" t="n"/>
      <c r="Q580" s="25" t="n"/>
    </row>
    <row r="581">
      <c r="E581" s="24">
        <f>'클럭 정리'!A582</f>
        <v/>
      </c>
      <c r="F581" s="23">
        <f>'클럭 정리'!O582</f>
        <v/>
      </c>
      <c r="G581" s="25" t="n"/>
      <c r="H581" s="25" t="n"/>
      <c r="I581" s="25" t="n"/>
      <c r="J581" s="25" t="n"/>
      <c r="K581" s="25" t="n"/>
      <c r="L581" s="25" t="n"/>
      <c r="M581" s="25" t="n"/>
      <c r="N581" s="25" t="n"/>
      <c r="O581" s="25" t="n"/>
      <c r="P581" s="25" t="n"/>
      <c r="Q581" s="25" t="n"/>
    </row>
    <row r="582">
      <c r="E582" s="24">
        <f>'클럭 정리'!A583</f>
        <v/>
      </c>
      <c r="F582" s="23">
        <f>'클럭 정리'!O583</f>
        <v/>
      </c>
      <c r="G582" s="25" t="n"/>
      <c r="H582" s="25" t="n"/>
      <c r="I582" s="25" t="n"/>
      <c r="J582" s="25" t="n"/>
      <c r="K582" s="25" t="n"/>
      <c r="L582" s="25" t="n"/>
      <c r="M582" s="25" t="n"/>
      <c r="N582" s="25" t="n"/>
      <c r="O582" s="25" t="n"/>
      <c r="P582" s="25" t="n"/>
      <c r="Q582" s="25" t="n"/>
    </row>
    <row r="583">
      <c r="E583" s="24">
        <f>'클럭 정리'!A584</f>
        <v/>
      </c>
      <c r="F583" s="23">
        <f>'클럭 정리'!O584</f>
        <v/>
      </c>
      <c r="G583" s="25" t="n"/>
      <c r="H583" s="25" t="n"/>
      <c r="I583" s="25" t="n"/>
      <c r="J583" s="25" t="n"/>
      <c r="K583" s="25" t="n"/>
      <c r="L583" s="25" t="n"/>
      <c r="M583" s="25" t="n"/>
      <c r="N583" s="25" t="n"/>
      <c r="O583" s="25" t="n"/>
      <c r="P583" s="25" t="n"/>
      <c r="Q583" s="25" t="n"/>
    </row>
    <row r="584">
      <c r="E584" s="24">
        <f>'클럭 정리'!A585</f>
        <v/>
      </c>
      <c r="F584" s="23">
        <f>'클럭 정리'!O585</f>
        <v/>
      </c>
      <c r="G584" s="25" t="n"/>
      <c r="H584" s="25" t="n"/>
      <c r="I584" s="25" t="n"/>
      <c r="J584" s="25" t="n"/>
      <c r="K584" s="25" t="n"/>
      <c r="L584" s="25" t="n"/>
      <c r="M584" s="25" t="n"/>
      <c r="N584" s="25" t="n"/>
      <c r="O584" s="25" t="n"/>
      <c r="P584" s="25" t="n"/>
      <c r="Q584" s="25" t="n"/>
    </row>
    <row r="585">
      <c r="E585" s="24">
        <f>'클럭 정리'!A586</f>
        <v/>
      </c>
      <c r="F585" s="23">
        <f>'클럭 정리'!O586</f>
        <v/>
      </c>
      <c r="G585" s="25" t="n"/>
      <c r="H585" s="25" t="n"/>
      <c r="I585" s="25" t="n"/>
      <c r="J585" s="25" t="n"/>
      <c r="K585" s="25" t="n"/>
      <c r="L585" s="25" t="n"/>
      <c r="M585" s="25" t="n"/>
      <c r="N585" s="25" t="n"/>
      <c r="O585" s="25" t="n"/>
      <c r="P585" s="25" t="n"/>
      <c r="Q585" s="25" t="n"/>
    </row>
    <row r="586">
      <c r="E586" s="24">
        <f>'클럭 정리'!A587</f>
        <v/>
      </c>
      <c r="F586" s="23">
        <f>'클럭 정리'!O587</f>
        <v/>
      </c>
      <c r="G586" s="25" t="n"/>
      <c r="H586" s="25" t="n"/>
      <c r="I586" s="25" t="n"/>
      <c r="J586" s="25" t="n"/>
      <c r="K586" s="25" t="n"/>
      <c r="L586" s="25" t="n"/>
      <c r="M586" s="25" t="n"/>
      <c r="N586" s="25" t="n"/>
      <c r="O586" s="25" t="n"/>
      <c r="P586" s="25" t="n"/>
      <c r="Q586" s="25" t="n"/>
    </row>
    <row r="587">
      <c r="E587" s="24">
        <f>'클럭 정리'!A588</f>
        <v/>
      </c>
      <c r="F587" s="23">
        <f>'클럭 정리'!O588</f>
        <v/>
      </c>
      <c r="G587" s="25" t="n"/>
      <c r="H587" s="25" t="n"/>
      <c r="I587" s="25" t="n"/>
      <c r="J587" s="25" t="n"/>
      <c r="K587" s="25" t="n"/>
      <c r="L587" s="25" t="n"/>
      <c r="M587" s="25" t="n"/>
      <c r="N587" s="25" t="n"/>
      <c r="O587" s="25" t="n"/>
      <c r="P587" s="25" t="n"/>
      <c r="Q587" s="25" t="n"/>
    </row>
    <row r="588">
      <c r="E588" s="24">
        <f>'클럭 정리'!A589</f>
        <v/>
      </c>
      <c r="F588" s="23">
        <f>'클럭 정리'!O589</f>
        <v/>
      </c>
      <c r="G588" s="25" t="n"/>
      <c r="H588" s="25" t="n"/>
      <c r="I588" s="25" t="n"/>
      <c r="J588" s="25" t="n"/>
      <c r="K588" s="25" t="n"/>
      <c r="L588" s="25" t="n"/>
      <c r="M588" s="25" t="n"/>
      <c r="N588" s="25" t="n"/>
      <c r="O588" s="25" t="n"/>
      <c r="P588" s="25" t="n"/>
      <c r="Q588" s="25" t="n"/>
    </row>
    <row r="589">
      <c r="E589" s="24">
        <f>'클럭 정리'!A590</f>
        <v/>
      </c>
      <c r="F589" s="23">
        <f>'클럭 정리'!O590</f>
        <v/>
      </c>
      <c r="G589" s="25" t="n"/>
      <c r="H589" s="25" t="n"/>
      <c r="I589" s="25" t="n"/>
      <c r="J589" s="25" t="n"/>
      <c r="K589" s="25" t="n"/>
      <c r="L589" s="25" t="n"/>
      <c r="M589" s="25" t="n"/>
      <c r="N589" s="25" t="n"/>
      <c r="O589" s="25" t="n"/>
      <c r="P589" s="25" t="n"/>
      <c r="Q589" s="25" t="n"/>
    </row>
    <row r="590">
      <c r="E590" s="24">
        <f>'클럭 정리'!A591</f>
        <v/>
      </c>
      <c r="F590" s="23">
        <f>'클럭 정리'!O591</f>
        <v/>
      </c>
      <c r="G590" s="25" t="n"/>
      <c r="H590" s="25" t="n"/>
      <c r="I590" s="25" t="n"/>
      <c r="J590" s="25" t="n"/>
      <c r="K590" s="25" t="n"/>
      <c r="L590" s="25" t="n"/>
      <c r="M590" s="25" t="n"/>
      <c r="N590" s="25" t="n"/>
      <c r="O590" s="25" t="n"/>
      <c r="P590" s="25" t="n"/>
      <c r="Q590" s="25" t="n"/>
    </row>
    <row r="591">
      <c r="E591" s="24">
        <f>'클럭 정리'!A592</f>
        <v/>
      </c>
      <c r="F591" s="23">
        <f>'클럭 정리'!O592</f>
        <v/>
      </c>
      <c r="G591" s="25" t="n"/>
      <c r="H591" s="25" t="n"/>
      <c r="I591" s="25" t="n"/>
      <c r="J591" s="25" t="n"/>
      <c r="K591" s="25" t="n"/>
      <c r="L591" s="25" t="n"/>
      <c r="M591" s="25" t="n"/>
      <c r="N591" s="25" t="n"/>
      <c r="O591" s="25" t="n"/>
      <c r="P591" s="25" t="n"/>
      <c r="Q591" s="25" t="n"/>
    </row>
    <row r="592">
      <c r="E592" s="24">
        <f>'클럭 정리'!A593</f>
        <v/>
      </c>
      <c r="F592" s="23">
        <f>'클럭 정리'!O593</f>
        <v/>
      </c>
      <c r="G592" s="25" t="n"/>
      <c r="H592" s="25" t="n"/>
      <c r="I592" s="25" t="n"/>
      <c r="J592" s="25" t="n"/>
      <c r="K592" s="25" t="n"/>
      <c r="L592" s="25" t="n"/>
      <c r="M592" s="25" t="n"/>
      <c r="N592" s="25" t="n"/>
      <c r="O592" s="25" t="n"/>
      <c r="P592" s="25" t="n"/>
      <c r="Q592" s="25" t="n"/>
    </row>
    <row r="593">
      <c r="E593" s="24">
        <f>'클럭 정리'!A594</f>
        <v/>
      </c>
      <c r="F593" s="23">
        <f>'클럭 정리'!O594</f>
        <v/>
      </c>
      <c r="G593" s="25" t="n"/>
      <c r="H593" s="25" t="n"/>
      <c r="I593" s="25" t="n"/>
      <c r="J593" s="25" t="n"/>
      <c r="K593" s="25" t="n"/>
      <c r="L593" s="25" t="n"/>
      <c r="M593" s="25" t="n"/>
      <c r="N593" s="25" t="n"/>
      <c r="O593" s="25" t="n"/>
      <c r="P593" s="25" t="n"/>
      <c r="Q593" s="25" t="n"/>
    </row>
    <row r="594">
      <c r="E594" s="24">
        <f>'클럭 정리'!A595</f>
        <v/>
      </c>
      <c r="F594" s="23">
        <f>'클럭 정리'!O595</f>
        <v/>
      </c>
      <c r="G594" s="25" t="n"/>
      <c r="H594" s="25" t="n"/>
      <c r="I594" s="25" t="n"/>
      <c r="J594" s="25" t="n"/>
      <c r="K594" s="25" t="n"/>
      <c r="L594" s="25" t="n"/>
      <c r="M594" s="25" t="n"/>
      <c r="N594" s="25" t="n"/>
      <c r="O594" s="25" t="n"/>
      <c r="P594" s="25" t="n"/>
      <c r="Q594" s="25" t="n"/>
    </row>
    <row r="595">
      <c r="E595" s="24">
        <f>'클럭 정리'!A596</f>
        <v/>
      </c>
      <c r="F595" s="23">
        <f>'클럭 정리'!O596</f>
        <v/>
      </c>
      <c r="G595" s="25" t="n"/>
      <c r="H595" s="25" t="n"/>
      <c r="I595" s="25" t="n"/>
      <c r="J595" s="25" t="n"/>
      <c r="K595" s="25" t="n"/>
      <c r="L595" s="25" t="n"/>
      <c r="M595" s="25" t="n"/>
      <c r="N595" s="25" t="n"/>
      <c r="O595" s="25" t="n"/>
      <c r="P595" s="25" t="n"/>
      <c r="Q595" s="25" t="n"/>
    </row>
    <row r="596">
      <c r="E596" s="24">
        <f>'클럭 정리'!A597</f>
        <v/>
      </c>
      <c r="F596" s="23">
        <f>'클럭 정리'!O597</f>
        <v/>
      </c>
      <c r="G596" s="25" t="n"/>
      <c r="H596" s="25" t="n"/>
      <c r="I596" s="25" t="n"/>
      <c r="J596" s="25" t="n"/>
      <c r="K596" s="25" t="n"/>
      <c r="L596" s="25" t="n"/>
      <c r="M596" s="25" t="n"/>
      <c r="N596" s="25" t="n"/>
      <c r="O596" s="25" t="n"/>
      <c r="P596" s="25" t="n"/>
      <c r="Q596" s="25" t="n"/>
    </row>
    <row r="597">
      <c r="E597" s="24">
        <f>'클럭 정리'!A598</f>
        <v/>
      </c>
      <c r="F597" s="23">
        <f>'클럭 정리'!O598</f>
        <v/>
      </c>
      <c r="G597" s="25" t="n"/>
      <c r="H597" s="25" t="n"/>
      <c r="I597" s="25" t="n"/>
      <c r="J597" s="25" t="n"/>
      <c r="K597" s="25" t="n"/>
      <c r="L597" s="25" t="n"/>
      <c r="M597" s="25" t="n"/>
      <c r="N597" s="25" t="n"/>
      <c r="O597" s="25" t="n"/>
      <c r="P597" s="25" t="n"/>
      <c r="Q597" s="25" t="n"/>
    </row>
    <row r="598">
      <c r="E598" s="24">
        <f>'클럭 정리'!A599</f>
        <v/>
      </c>
      <c r="F598" s="23">
        <f>'클럭 정리'!O599</f>
        <v/>
      </c>
      <c r="G598" s="25" t="n"/>
      <c r="H598" s="25" t="n"/>
      <c r="I598" s="25" t="n"/>
      <c r="J598" s="25" t="n"/>
      <c r="K598" s="25" t="n"/>
      <c r="L598" s="25" t="n"/>
      <c r="M598" s="25" t="n"/>
      <c r="N598" s="25" t="n"/>
      <c r="O598" s="25" t="n"/>
      <c r="P598" s="25" t="n"/>
      <c r="Q598" s="25" t="n"/>
    </row>
    <row r="599">
      <c r="E599" s="24">
        <f>'클럭 정리'!A600</f>
        <v/>
      </c>
      <c r="F599" s="23">
        <f>'클럭 정리'!O600</f>
        <v/>
      </c>
      <c r="G599" s="25" t="n"/>
      <c r="H599" s="25" t="n"/>
      <c r="I599" s="25" t="n"/>
      <c r="J599" s="25" t="n"/>
      <c r="K599" s="25" t="n"/>
      <c r="L599" s="25" t="n"/>
      <c r="M599" s="25" t="n"/>
      <c r="N599" s="25" t="n"/>
      <c r="O599" s="25" t="n"/>
      <c r="P599" s="25" t="n"/>
      <c r="Q599" s="25" t="n"/>
    </row>
    <row r="600">
      <c r="E600" s="24">
        <f>'클럭 정리'!A601</f>
        <v/>
      </c>
      <c r="F600" s="23">
        <f>'클럭 정리'!O601</f>
        <v/>
      </c>
      <c r="G600" s="25" t="n"/>
      <c r="H600" s="25" t="n"/>
      <c r="I600" s="25" t="n"/>
      <c r="J600" s="25" t="n"/>
      <c r="K600" s="25" t="n"/>
      <c r="L600" s="25" t="n"/>
      <c r="M600" s="25" t="n"/>
      <c r="N600" s="25" t="n"/>
      <c r="O600" s="25" t="n"/>
      <c r="P600" s="25" t="n"/>
      <c r="Q600" s="25" t="n"/>
    </row>
    <row r="601">
      <c r="E601" s="24">
        <f>'클럭 정리'!A602</f>
        <v/>
      </c>
      <c r="F601" s="23">
        <f>'클럭 정리'!O602</f>
        <v/>
      </c>
      <c r="G601" s="25" t="n"/>
      <c r="H601" s="25" t="n"/>
      <c r="I601" s="25" t="n"/>
      <c r="J601" s="25" t="n"/>
      <c r="K601" s="25" t="n"/>
      <c r="L601" s="25" t="n"/>
      <c r="M601" s="25" t="n"/>
      <c r="N601" s="25" t="n"/>
      <c r="O601" s="25" t="n"/>
      <c r="P601" s="25" t="n"/>
      <c r="Q601" s="25" t="n"/>
    </row>
    <row r="602">
      <c r="E602" s="24">
        <f>'클럭 정리'!A603</f>
        <v/>
      </c>
      <c r="F602" s="23">
        <f>'클럭 정리'!O603</f>
        <v/>
      </c>
      <c r="G602" s="25" t="n"/>
      <c r="H602" s="25" t="n"/>
      <c r="I602" s="25" t="n"/>
      <c r="J602" s="25" t="n"/>
      <c r="K602" s="25" t="n"/>
      <c r="L602" s="25" t="n"/>
      <c r="M602" s="25" t="n"/>
      <c r="N602" s="25" t="n"/>
      <c r="O602" s="25" t="n"/>
      <c r="P602" s="25" t="n"/>
      <c r="Q602" s="25" t="n"/>
    </row>
    <row r="603">
      <c r="E603" s="24">
        <f>'클럭 정리'!A604</f>
        <v/>
      </c>
      <c r="F603" s="23">
        <f>'클럭 정리'!O604</f>
        <v/>
      </c>
      <c r="G603" s="25" t="n"/>
      <c r="H603" s="25" t="n"/>
      <c r="I603" s="25" t="n"/>
      <c r="J603" s="25" t="n"/>
      <c r="K603" s="25" t="n"/>
      <c r="L603" s="25" t="n"/>
      <c r="M603" s="25" t="n"/>
      <c r="N603" s="25" t="n"/>
      <c r="O603" s="25" t="n"/>
      <c r="P603" s="25" t="n"/>
      <c r="Q603" s="25" t="n"/>
    </row>
    <row r="604">
      <c r="E604" s="24">
        <f>'클럭 정리'!A605</f>
        <v/>
      </c>
      <c r="F604" s="23">
        <f>'클럭 정리'!O605</f>
        <v/>
      </c>
      <c r="G604" s="25" t="n"/>
      <c r="H604" s="25" t="n"/>
      <c r="I604" s="25" t="n"/>
      <c r="J604" s="25" t="n"/>
      <c r="K604" s="25" t="n"/>
      <c r="L604" s="25" t="n"/>
      <c r="M604" s="25" t="n"/>
      <c r="N604" s="25" t="n"/>
      <c r="O604" s="25" t="n"/>
      <c r="P604" s="25" t="n"/>
      <c r="Q604" s="25" t="n"/>
    </row>
    <row r="605">
      <c r="E605" s="24">
        <f>'클럭 정리'!A606</f>
        <v/>
      </c>
      <c r="F605" s="23">
        <f>'클럭 정리'!O606</f>
        <v/>
      </c>
      <c r="G605" s="25" t="n"/>
      <c r="H605" s="25" t="n"/>
      <c r="I605" s="25" t="n"/>
      <c r="J605" s="25" t="n"/>
      <c r="K605" s="25" t="n"/>
      <c r="L605" s="25" t="n"/>
      <c r="M605" s="25" t="n"/>
      <c r="N605" s="25" t="n"/>
      <c r="O605" s="25" t="n"/>
      <c r="P605" s="25" t="n"/>
      <c r="Q605" s="25" t="n"/>
    </row>
    <row r="606">
      <c r="E606" s="24">
        <f>'클럭 정리'!A607</f>
        <v/>
      </c>
      <c r="F606" s="23">
        <f>'클럭 정리'!O607</f>
        <v/>
      </c>
      <c r="G606" s="25" t="n"/>
      <c r="H606" s="25" t="n"/>
      <c r="I606" s="25" t="n"/>
      <c r="J606" s="25" t="n"/>
      <c r="K606" s="25" t="n"/>
      <c r="L606" s="25" t="n"/>
      <c r="M606" s="25" t="n"/>
      <c r="N606" s="25" t="n"/>
      <c r="O606" s="25" t="n"/>
      <c r="P606" s="25" t="n"/>
      <c r="Q606" s="25" t="n"/>
    </row>
    <row r="607">
      <c r="E607" s="24">
        <f>'클럭 정리'!A608</f>
        <v/>
      </c>
      <c r="F607" s="23">
        <f>'클럭 정리'!O608</f>
        <v/>
      </c>
      <c r="G607" s="25" t="n"/>
      <c r="H607" s="25" t="n"/>
      <c r="I607" s="25" t="n"/>
      <c r="J607" s="25" t="n"/>
      <c r="K607" s="25" t="n"/>
      <c r="L607" s="25" t="n"/>
      <c r="M607" s="25" t="n"/>
      <c r="N607" s="25" t="n"/>
      <c r="O607" s="25" t="n"/>
      <c r="P607" s="25" t="n"/>
      <c r="Q607" s="25" t="n"/>
    </row>
    <row r="608">
      <c r="E608" s="24">
        <f>'클럭 정리'!A609</f>
        <v/>
      </c>
      <c r="F608" s="23">
        <f>'클럭 정리'!O609</f>
        <v/>
      </c>
      <c r="G608" s="25" t="n"/>
      <c r="H608" s="25" t="n"/>
      <c r="I608" s="25" t="n"/>
      <c r="J608" s="25" t="n"/>
      <c r="K608" s="25" t="n"/>
      <c r="L608" s="25" t="n"/>
      <c r="M608" s="25" t="n"/>
      <c r="N608" s="25" t="n"/>
      <c r="O608" s="25" t="n"/>
      <c r="P608" s="25" t="n"/>
      <c r="Q608" s="25" t="n"/>
    </row>
    <row r="609">
      <c r="E609" s="24">
        <f>'클럭 정리'!A610</f>
        <v/>
      </c>
      <c r="F609" s="23">
        <f>'클럭 정리'!O610</f>
        <v/>
      </c>
      <c r="G609" s="25" t="n"/>
      <c r="H609" s="25" t="n"/>
      <c r="I609" s="25" t="n"/>
      <c r="J609" s="25" t="n"/>
      <c r="K609" s="25" t="n"/>
      <c r="L609" s="25" t="n"/>
      <c r="M609" s="25" t="n"/>
      <c r="N609" s="25" t="n"/>
      <c r="O609" s="25" t="n"/>
      <c r="P609" s="25" t="n"/>
      <c r="Q609" s="25" t="n"/>
    </row>
    <row r="610">
      <c r="E610" s="24">
        <f>'클럭 정리'!A611</f>
        <v/>
      </c>
      <c r="F610" s="23">
        <f>'클럭 정리'!O611</f>
        <v/>
      </c>
      <c r="G610" s="25" t="n"/>
      <c r="H610" s="25" t="n"/>
      <c r="I610" s="25" t="n"/>
      <c r="J610" s="25" t="n"/>
      <c r="K610" s="25" t="n"/>
      <c r="L610" s="25" t="n"/>
      <c r="M610" s="25" t="n"/>
      <c r="N610" s="25" t="n"/>
      <c r="O610" s="25" t="n"/>
      <c r="P610" s="25" t="n"/>
      <c r="Q610" s="25" t="n"/>
    </row>
    <row r="611">
      <c r="E611" s="24">
        <f>'클럭 정리'!A612</f>
        <v/>
      </c>
      <c r="F611" s="23">
        <f>'클럭 정리'!O612</f>
        <v/>
      </c>
      <c r="G611" s="25" t="n"/>
      <c r="H611" s="25" t="n"/>
      <c r="I611" s="25" t="n"/>
      <c r="J611" s="25" t="n"/>
      <c r="K611" s="25" t="n"/>
      <c r="L611" s="25" t="n"/>
      <c r="M611" s="25" t="n"/>
      <c r="N611" s="25" t="n"/>
      <c r="O611" s="25" t="n"/>
      <c r="P611" s="25" t="n"/>
      <c r="Q611" s="25" t="n"/>
    </row>
    <row r="612">
      <c r="E612" s="24">
        <f>'클럭 정리'!A613</f>
        <v/>
      </c>
      <c r="F612" s="23">
        <f>'클럭 정리'!O613</f>
        <v/>
      </c>
      <c r="G612" s="25" t="n"/>
      <c r="H612" s="25" t="n"/>
      <c r="I612" s="25" t="n"/>
      <c r="J612" s="25" t="n"/>
      <c r="K612" s="25" t="n"/>
      <c r="L612" s="25" t="n"/>
      <c r="M612" s="25" t="n"/>
      <c r="N612" s="25" t="n"/>
      <c r="O612" s="25" t="n"/>
      <c r="P612" s="25" t="n"/>
      <c r="Q612" s="25" t="n"/>
    </row>
    <row r="613">
      <c r="E613" s="24">
        <f>'클럭 정리'!A614</f>
        <v/>
      </c>
      <c r="F613" s="23">
        <f>'클럭 정리'!O614</f>
        <v/>
      </c>
      <c r="G613" s="25" t="n"/>
      <c r="H613" s="25" t="n"/>
      <c r="I613" s="25" t="n"/>
      <c r="J613" s="25" t="n"/>
      <c r="K613" s="25" t="n"/>
      <c r="L613" s="25" t="n"/>
      <c r="M613" s="25" t="n"/>
      <c r="N613" s="25" t="n"/>
      <c r="O613" s="25" t="n"/>
      <c r="P613" s="25" t="n"/>
      <c r="Q613" s="25" t="n"/>
    </row>
    <row r="614">
      <c r="E614" s="24">
        <f>'클럭 정리'!A615</f>
        <v/>
      </c>
      <c r="F614" s="23">
        <f>'클럭 정리'!O615</f>
        <v/>
      </c>
      <c r="G614" s="25" t="n"/>
      <c r="H614" s="25" t="n"/>
      <c r="I614" s="25" t="n"/>
      <c r="J614" s="25" t="n"/>
      <c r="K614" s="25" t="n"/>
      <c r="L614" s="25" t="n"/>
      <c r="M614" s="25" t="n"/>
      <c r="N614" s="25" t="n"/>
      <c r="O614" s="25" t="n"/>
      <c r="P614" s="25" t="n"/>
      <c r="Q614" s="25" t="n"/>
    </row>
    <row r="615">
      <c r="E615" s="24">
        <f>'클럭 정리'!A616</f>
        <v/>
      </c>
      <c r="F615" s="23">
        <f>'클럭 정리'!O616</f>
        <v/>
      </c>
      <c r="G615" s="25" t="n"/>
      <c r="H615" s="25" t="n"/>
      <c r="I615" s="25" t="n"/>
      <c r="J615" s="25" t="n"/>
      <c r="K615" s="25" t="n"/>
      <c r="L615" s="25" t="n"/>
      <c r="M615" s="25" t="n"/>
      <c r="N615" s="25" t="n"/>
      <c r="O615" s="25" t="n"/>
      <c r="P615" s="25" t="n"/>
      <c r="Q615" s="25" t="n"/>
    </row>
    <row r="616">
      <c r="E616" s="24">
        <f>'클럭 정리'!A617</f>
        <v/>
      </c>
      <c r="F616" s="23">
        <f>'클럭 정리'!O617</f>
        <v/>
      </c>
      <c r="G616" s="25" t="n"/>
      <c r="H616" s="25" t="n"/>
      <c r="I616" s="25" t="n"/>
      <c r="J616" s="25" t="n"/>
      <c r="K616" s="25" t="n"/>
      <c r="L616" s="25" t="n"/>
      <c r="M616" s="25" t="n"/>
      <c r="N616" s="25" t="n"/>
      <c r="O616" s="25" t="n"/>
      <c r="P616" s="25" t="n"/>
      <c r="Q616" s="25" t="n"/>
    </row>
    <row r="617">
      <c r="E617" s="24">
        <f>'클럭 정리'!A618</f>
        <v/>
      </c>
      <c r="F617" s="23">
        <f>'클럭 정리'!O618</f>
        <v/>
      </c>
      <c r="G617" s="25" t="n"/>
      <c r="H617" s="25" t="n"/>
      <c r="I617" s="25" t="n"/>
      <c r="J617" s="25" t="n"/>
      <c r="K617" s="25" t="n"/>
      <c r="L617" s="25" t="n"/>
      <c r="M617" s="25" t="n"/>
      <c r="N617" s="25" t="n"/>
      <c r="O617" s="25" t="n"/>
      <c r="P617" s="25" t="n"/>
      <c r="Q617" s="25" t="n"/>
    </row>
    <row r="618">
      <c r="E618" s="24">
        <f>'클럭 정리'!A619</f>
        <v/>
      </c>
      <c r="F618" s="23">
        <f>'클럭 정리'!O619</f>
        <v/>
      </c>
      <c r="G618" s="25" t="n"/>
      <c r="H618" s="25" t="n"/>
      <c r="I618" s="25" t="n"/>
      <c r="J618" s="25" t="n"/>
      <c r="K618" s="25" t="n"/>
      <c r="L618" s="25" t="n"/>
      <c r="M618" s="25" t="n"/>
      <c r="N618" s="25" t="n"/>
      <c r="O618" s="25" t="n"/>
      <c r="P618" s="25" t="n"/>
      <c r="Q618" s="25" t="n"/>
    </row>
    <row r="619">
      <c r="E619" s="24">
        <f>'클럭 정리'!A620</f>
        <v/>
      </c>
      <c r="F619" s="23">
        <f>'클럭 정리'!O620</f>
        <v/>
      </c>
      <c r="G619" s="25" t="n"/>
      <c r="H619" s="25" t="n"/>
      <c r="I619" s="25" t="n"/>
      <c r="J619" s="25" t="n"/>
      <c r="K619" s="25" t="n"/>
      <c r="L619" s="25" t="n"/>
      <c r="M619" s="25" t="n"/>
      <c r="N619" s="25" t="n"/>
      <c r="O619" s="25" t="n"/>
      <c r="P619" s="25" t="n"/>
      <c r="Q619" s="25" t="n"/>
    </row>
    <row r="620">
      <c r="E620" s="24">
        <f>'클럭 정리'!A621</f>
        <v/>
      </c>
      <c r="F620" s="23">
        <f>'클럭 정리'!O621</f>
        <v/>
      </c>
      <c r="G620" s="25" t="n"/>
      <c r="H620" s="25" t="n"/>
      <c r="I620" s="25" t="n"/>
      <c r="J620" s="25" t="n"/>
      <c r="K620" s="25" t="n"/>
      <c r="L620" s="25" t="n"/>
      <c r="M620" s="25" t="n"/>
      <c r="N620" s="25" t="n"/>
      <c r="O620" s="25" t="n"/>
      <c r="P620" s="25" t="n"/>
      <c r="Q620" s="25" t="n"/>
    </row>
    <row r="621">
      <c r="E621" s="24">
        <f>'클럭 정리'!A622</f>
        <v/>
      </c>
      <c r="F621" s="23">
        <f>'클럭 정리'!O622</f>
        <v/>
      </c>
      <c r="G621" s="25" t="n"/>
      <c r="H621" s="25" t="n"/>
      <c r="I621" s="25" t="n"/>
      <c r="J621" s="25" t="n"/>
      <c r="K621" s="25" t="n"/>
      <c r="L621" s="25" t="n"/>
      <c r="M621" s="25" t="n"/>
      <c r="N621" s="25" t="n"/>
      <c r="O621" s="25" t="n"/>
      <c r="P621" s="25" t="n"/>
      <c r="Q621" s="25" t="n"/>
    </row>
    <row r="622">
      <c r="E622" s="24">
        <f>'클럭 정리'!A623</f>
        <v/>
      </c>
      <c r="F622" s="23">
        <f>'클럭 정리'!O623</f>
        <v/>
      </c>
      <c r="G622" s="25" t="n"/>
      <c r="H622" s="25" t="n"/>
      <c r="I622" s="25" t="n"/>
      <c r="J622" s="25" t="n"/>
      <c r="K622" s="25" t="n"/>
      <c r="L622" s="25" t="n"/>
      <c r="M622" s="25" t="n"/>
      <c r="N622" s="25" t="n"/>
      <c r="O622" s="25" t="n"/>
      <c r="P622" s="25" t="n"/>
      <c r="Q622" s="25" t="n"/>
    </row>
    <row r="623">
      <c r="E623" s="24">
        <f>'클럭 정리'!A624</f>
        <v/>
      </c>
      <c r="F623" s="23">
        <f>'클럭 정리'!O624</f>
        <v/>
      </c>
      <c r="G623" s="25" t="n"/>
      <c r="H623" s="25" t="n"/>
      <c r="I623" s="25" t="n"/>
      <c r="J623" s="25" t="n"/>
      <c r="K623" s="25" t="n"/>
      <c r="L623" s="25" t="n"/>
      <c r="M623" s="25" t="n"/>
      <c r="N623" s="25" t="n"/>
      <c r="O623" s="25" t="n"/>
      <c r="P623" s="25" t="n"/>
      <c r="Q623" s="25" t="n"/>
    </row>
    <row r="624">
      <c r="E624" s="24">
        <f>'클럭 정리'!A625</f>
        <v/>
      </c>
      <c r="F624" s="23">
        <f>'클럭 정리'!O625</f>
        <v/>
      </c>
      <c r="G624" s="25" t="n"/>
      <c r="H624" s="25" t="n"/>
      <c r="I624" s="25" t="n"/>
      <c r="J624" s="25" t="n"/>
      <c r="K624" s="25" t="n"/>
      <c r="L624" s="25" t="n"/>
      <c r="M624" s="25" t="n"/>
      <c r="N624" s="25" t="n"/>
      <c r="O624" s="25" t="n"/>
      <c r="P624" s="25" t="n"/>
      <c r="Q624" s="25" t="n"/>
    </row>
    <row r="625">
      <c r="E625" s="24">
        <f>'클럭 정리'!A626</f>
        <v/>
      </c>
      <c r="F625" s="23">
        <f>'클럭 정리'!O626</f>
        <v/>
      </c>
      <c r="G625" s="25" t="n"/>
      <c r="H625" s="25" t="n"/>
      <c r="I625" s="25" t="n"/>
      <c r="J625" s="25" t="n"/>
      <c r="K625" s="25" t="n"/>
      <c r="L625" s="25" t="n"/>
      <c r="M625" s="25" t="n"/>
      <c r="N625" s="25" t="n"/>
      <c r="O625" s="25" t="n"/>
      <c r="P625" s="25" t="n"/>
      <c r="Q625" s="25" t="n"/>
    </row>
    <row r="626">
      <c r="E626" s="24">
        <f>'클럭 정리'!A627</f>
        <v/>
      </c>
      <c r="F626" s="23">
        <f>'클럭 정리'!O627</f>
        <v/>
      </c>
      <c r="G626" s="25" t="n"/>
      <c r="H626" s="25" t="n"/>
      <c r="I626" s="25" t="n"/>
      <c r="J626" s="25" t="n"/>
      <c r="K626" s="25" t="n"/>
      <c r="L626" s="25" t="n"/>
      <c r="M626" s="25" t="n"/>
      <c r="N626" s="25" t="n"/>
      <c r="O626" s="25" t="n"/>
      <c r="P626" s="25" t="n"/>
      <c r="Q626" s="25" t="n"/>
    </row>
    <row r="627">
      <c r="E627" s="24">
        <f>'클럭 정리'!A628</f>
        <v/>
      </c>
      <c r="F627" s="23">
        <f>'클럭 정리'!O628</f>
        <v/>
      </c>
      <c r="G627" s="25" t="n"/>
      <c r="H627" s="25" t="n"/>
      <c r="I627" s="25" t="n"/>
      <c r="J627" s="25" t="n"/>
      <c r="K627" s="25" t="n"/>
      <c r="L627" s="25" t="n"/>
      <c r="M627" s="25" t="n"/>
      <c r="N627" s="25" t="n"/>
      <c r="O627" s="25" t="n"/>
      <c r="P627" s="25" t="n"/>
      <c r="Q627" s="25" t="n"/>
    </row>
    <row r="628">
      <c r="E628" s="24">
        <f>'클럭 정리'!A629</f>
        <v/>
      </c>
      <c r="F628" s="23">
        <f>'클럭 정리'!O629</f>
        <v/>
      </c>
      <c r="G628" s="25" t="n"/>
      <c r="H628" s="25" t="n"/>
      <c r="I628" s="25" t="n"/>
      <c r="J628" s="25" t="n"/>
      <c r="K628" s="25" t="n"/>
      <c r="L628" s="25" t="n"/>
      <c r="M628" s="25" t="n"/>
      <c r="N628" s="25" t="n"/>
      <c r="O628" s="25" t="n"/>
      <c r="P628" s="25" t="n"/>
      <c r="Q628" s="25" t="n"/>
    </row>
    <row r="629">
      <c r="E629" s="24">
        <f>'클럭 정리'!A630</f>
        <v/>
      </c>
      <c r="F629" s="23">
        <f>'클럭 정리'!O630</f>
        <v/>
      </c>
      <c r="G629" s="25" t="n"/>
      <c r="H629" s="25" t="n"/>
      <c r="I629" s="25" t="n"/>
      <c r="J629" s="25" t="n"/>
      <c r="K629" s="25" t="n"/>
      <c r="L629" s="25" t="n"/>
      <c r="M629" s="25" t="n"/>
      <c r="N629" s="25" t="n"/>
      <c r="O629" s="25" t="n"/>
      <c r="P629" s="25" t="n"/>
      <c r="Q629" s="25" t="n"/>
    </row>
    <row r="630">
      <c r="E630" s="24">
        <f>'클럭 정리'!A631</f>
        <v/>
      </c>
      <c r="F630" s="23">
        <f>'클럭 정리'!O631</f>
        <v/>
      </c>
      <c r="G630" s="25" t="n"/>
      <c r="H630" s="25" t="n"/>
      <c r="I630" s="25" t="n"/>
      <c r="J630" s="25" t="n"/>
      <c r="K630" s="25" t="n"/>
      <c r="L630" s="25" t="n"/>
      <c r="M630" s="25" t="n"/>
      <c r="N630" s="25" t="n"/>
      <c r="O630" s="25" t="n"/>
      <c r="P630" s="25" t="n"/>
      <c r="Q630" s="25" t="n"/>
    </row>
    <row r="631">
      <c r="E631" s="24">
        <f>'클럭 정리'!A632</f>
        <v/>
      </c>
      <c r="F631" s="23">
        <f>'클럭 정리'!O632</f>
        <v/>
      </c>
      <c r="G631" s="25" t="n"/>
      <c r="H631" s="25" t="n"/>
      <c r="I631" s="25" t="n"/>
      <c r="J631" s="25" t="n"/>
      <c r="K631" s="25" t="n"/>
      <c r="L631" s="25" t="n"/>
      <c r="M631" s="25" t="n"/>
      <c r="N631" s="25" t="n"/>
      <c r="O631" s="25" t="n"/>
      <c r="P631" s="25" t="n"/>
      <c r="Q631" s="25" t="n"/>
    </row>
    <row r="632">
      <c r="E632" s="24">
        <f>'클럭 정리'!A633</f>
        <v/>
      </c>
      <c r="F632" s="23">
        <f>'클럭 정리'!O633</f>
        <v/>
      </c>
      <c r="G632" s="25" t="n"/>
      <c r="H632" s="25" t="n"/>
      <c r="I632" s="25" t="n"/>
      <c r="J632" s="25" t="n"/>
      <c r="K632" s="25" t="n"/>
      <c r="L632" s="25" t="n"/>
      <c r="M632" s="25" t="n"/>
      <c r="N632" s="25" t="n"/>
      <c r="O632" s="25" t="n"/>
      <c r="P632" s="25" t="n"/>
      <c r="Q632" s="25" t="n"/>
    </row>
    <row r="633">
      <c r="E633" s="24">
        <f>'클럭 정리'!A634</f>
        <v/>
      </c>
      <c r="F633" s="23">
        <f>'클럭 정리'!O634</f>
        <v/>
      </c>
      <c r="G633" s="25" t="n"/>
      <c r="H633" s="25" t="n"/>
      <c r="I633" s="25" t="n"/>
      <c r="J633" s="25" t="n"/>
      <c r="K633" s="25" t="n"/>
      <c r="L633" s="25" t="n"/>
      <c r="M633" s="25" t="n"/>
      <c r="N633" s="25" t="n"/>
      <c r="O633" s="25" t="n"/>
      <c r="P633" s="25" t="n"/>
      <c r="Q633" s="25" t="n"/>
    </row>
    <row r="634">
      <c r="E634" s="24">
        <f>'클럭 정리'!A635</f>
        <v/>
      </c>
      <c r="F634" s="23">
        <f>'클럭 정리'!O635</f>
        <v/>
      </c>
      <c r="G634" s="25" t="n"/>
      <c r="H634" s="25" t="n"/>
      <c r="I634" s="25" t="n"/>
      <c r="J634" s="25" t="n"/>
      <c r="K634" s="25" t="n"/>
      <c r="L634" s="25" t="n"/>
      <c r="M634" s="25" t="n"/>
      <c r="N634" s="25" t="n"/>
      <c r="O634" s="25" t="n"/>
      <c r="P634" s="25" t="n"/>
      <c r="Q634" s="25" t="n"/>
    </row>
    <row r="635">
      <c r="E635" s="24">
        <f>'클럭 정리'!A636</f>
        <v/>
      </c>
      <c r="F635" s="23">
        <f>'클럭 정리'!O636</f>
        <v/>
      </c>
      <c r="G635" s="25" t="n"/>
      <c r="H635" s="25" t="n"/>
      <c r="I635" s="25" t="n"/>
      <c r="J635" s="25" t="n"/>
      <c r="K635" s="25" t="n"/>
      <c r="L635" s="25" t="n"/>
      <c r="M635" s="25" t="n"/>
      <c r="N635" s="25" t="n"/>
      <c r="O635" s="25" t="n"/>
      <c r="P635" s="25" t="n"/>
      <c r="Q635" s="25" t="n"/>
    </row>
    <row r="636">
      <c r="E636" s="24">
        <f>'클럭 정리'!A637</f>
        <v/>
      </c>
      <c r="F636" s="23">
        <f>'클럭 정리'!O637</f>
        <v/>
      </c>
      <c r="G636" s="25" t="n"/>
      <c r="H636" s="25" t="n"/>
      <c r="I636" s="25" t="n"/>
      <c r="J636" s="25" t="n"/>
      <c r="K636" s="25" t="n"/>
      <c r="L636" s="25" t="n"/>
      <c r="M636" s="25" t="n"/>
      <c r="N636" s="25" t="n"/>
      <c r="O636" s="25" t="n"/>
      <c r="P636" s="25" t="n"/>
      <c r="Q636" s="25" t="n"/>
    </row>
    <row r="637">
      <c r="E637" s="24">
        <f>'클럭 정리'!A638</f>
        <v/>
      </c>
      <c r="F637" s="23">
        <f>'클럭 정리'!O638</f>
        <v/>
      </c>
      <c r="G637" s="25" t="n"/>
      <c r="H637" s="25" t="n"/>
      <c r="I637" s="25" t="n"/>
      <c r="J637" s="25" t="n"/>
      <c r="K637" s="25" t="n"/>
      <c r="L637" s="25" t="n"/>
      <c r="M637" s="25" t="n"/>
      <c r="N637" s="25" t="n"/>
      <c r="O637" s="25" t="n"/>
      <c r="P637" s="25" t="n"/>
      <c r="Q637" s="25" t="n"/>
    </row>
    <row r="638">
      <c r="E638" s="24">
        <f>'클럭 정리'!A639</f>
        <v/>
      </c>
      <c r="F638" s="23">
        <f>'클럭 정리'!O639</f>
        <v/>
      </c>
      <c r="G638" s="25" t="n"/>
      <c r="H638" s="25" t="n"/>
      <c r="I638" s="25" t="n"/>
      <c r="J638" s="25" t="n"/>
      <c r="K638" s="25" t="n"/>
      <c r="L638" s="25" t="n"/>
      <c r="M638" s="25" t="n"/>
      <c r="N638" s="25" t="n"/>
      <c r="O638" s="25" t="n"/>
      <c r="P638" s="25" t="n"/>
      <c r="Q638" s="25" t="n"/>
    </row>
    <row r="639">
      <c r="E639" s="24">
        <f>'클럭 정리'!A640</f>
        <v/>
      </c>
      <c r="F639" s="23">
        <f>'클럭 정리'!O640</f>
        <v/>
      </c>
      <c r="G639" s="25" t="n"/>
      <c r="H639" s="25" t="n"/>
      <c r="I639" s="25" t="n"/>
      <c r="J639" s="25" t="n"/>
      <c r="K639" s="25" t="n"/>
      <c r="L639" s="25" t="n"/>
      <c r="M639" s="25" t="n"/>
      <c r="N639" s="25" t="n"/>
      <c r="O639" s="25" t="n"/>
      <c r="P639" s="25" t="n"/>
      <c r="Q639" s="25" t="n"/>
    </row>
    <row r="640">
      <c r="E640" s="24">
        <f>'클럭 정리'!A641</f>
        <v/>
      </c>
      <c r="F640" s="23">
        <f>'클럭 정리'!O641</f>
        <v/>
      </c>
      <c r="G640" s="25" t="n"/>
      <c r="H640" s="25" t="n"/>
      <c r="I640" s="25" t="n"/>
      <c r="J640" s="25" t="n"/>
      <c r="K640" s="25" t="n"/>
      <c r="L640" s="25" t="n"/>
      <c r="M640" s="25" t="n"/>
      <c r="N640" s="25" t="n"/>
      <c r="O640" s="25" t="n"/>
      <c r="P640" s="25" t="n"/>
      <c r="Q640" s="25" t="n"/>
    </row>
    <row r="641">
      <c r="E641" s="24">
        <f>'클럭 정리'!A642</f>
        <v/>
      </c>
      <c r="F641" s="23">
        <f>'클럭 정리'!O642</f>
        <v/>
      </c>
      <c r="G641" s="25" t="n"/>
      <c r="H641" s="25" t="n"/>
      <c r="I641" s="25" t="n"/>
      <c r="J641" s="25" t="n"/>
      <c r="K641" s="25" t="n"/>
      <c r="L641" s="25" t="n"/>
      <c r="M641" s="25" t="n"/>
      <c r="N641" s="25" t="n"/>
      <c r="O641" s="25" t="n"/>
      <c r="P641" s="25" t="n"/>
      <c r="Q641" s="25" t="n"/>
    </row>
    <row r="642">
      <c r="E642" s="24">
        <f>'클럭 정리'!A643</f>
        <v/>
      </c>
      <c r="F642" s="23">
        <f>'클럭 정리'!O643</f>
        <v/>
      </c>
      <c r="G642" s="25" t="n"/>
      <c r="H642" s="25" t="n"/>
      <c r="I642" s="25" t="n"/>
      <c r="J642" s="25" t="n"/>
      <c r="K642" s="25" t="n"/>
      <c r="L642" s="25" t="n"/>
      <c r="M642" s="25" t="n"/>
      <c r="N642" s="25" t="n"/>
      <c r="O642" s="25" t="n"/>
      <c r="P642" s="25" t="n"/>
      <c r="Q642" s="25" t="n"/>
    </row>
    <row r="643">
      <c r="E643" s="24">
        <f>'클럭 정리'!A644</f>
        <v/>
      </c>
      <c r="F643" s="23">
        <f>'클럭 정리'!O644</f>
        <v/>
      </c>
      <c r="G643" s="25" t="n"/>
      <c r="H643" s="25" t="n"/>
      <c r="I643" s="25" t="n"/>
      <c r="J643" s="25" t="n"/>
      <c r="K643" s="25" t="n"/>
      <c r="L643" s="25" t="n"/>
      <c r="M643" s="25" t="n"/>
      <c r="N643" s="25" t="n"/>
      <c r="O643" s="25" t="n"/>
      <c r="P643" s="25" t="n"/>
      <c r="Q643" s="25" t="n"/>
    </row>
    <row r="644">
      <c r="E644" s="24">
        <f>'클럭 정리'!A645</f>
        <v/>
      </c>
      <c r="F644" s="23">
        <f>'클럭 정리'!O645</f>
        <v/>
      </c>
      <c r="G644" s="25" t="n"/>
      <c r="H644" s="25" t="n"/>
      <c r="I644" s="25" t="n"/>
      <c r="J644" s="25" t="n"/>
      <c r="K644" s="25" t="n"/>
      <c r="L644" s="25" t="n"/>
      <c r="M644" s="25" t="n"/>
      <c r="N644" s="25" t="n"/>
      <c r="O644" s="25" t="n"/>
      <c r="P644" s="25" t="n"/>
      <c r="Q644" s="25" t="n"/>
    </row>
    <row r="645">
      <c r="E645" s="24">
        <f>'클럭 정리'!A646</f>
        <v/>
      </c>
      <c r="F645" s="23">
        <f>'클럭 정리'!O646</f>
        <v/>
      </c>
      <c r="G645" s="25" t="n"/>
      <c r="H645" s="25" t="n"/>
      <c r="I645" s="25" t="n"/>
      <c r="J645" s="25" t="n"/>
      <c r="K645" s="25" t="n"/>
      <c r="L645" s="25" t="n"/>
      <c r="M645" s="25" t="n"/>
      <c r="N645" s="25" t="n"/>
      <c r="O645" s="25" t="n"/>
      <c r="P645" s="25" t="n"/>
      <c r="Q645" s="25" t="n"/>
    </row>
    <row r="646">
      <c r="E646" s="24">
        <f>'클럭 정리'!A647</f>
        <v/>
      </c>
      <c r="F646" s="23">
        <f>'클럭 정리'!O647</f>
        <v/>
      </c>
      <c r="G646" s="25" t="n"/>
      <c r="H646" s="25" t="n"/>
      <c r="I646" s="25" t="n"/>
      <c r="J646" s="25" t="n"/>
      <c r="K646" s="25" t="n"/>
      <c r="L646" s="25" t="n"/>
      <c r="M646" s="25" t="n"/>
      <c r="N646" s="25" t="n"/>
      <c r="O646" s="25" t="n"/>
      <c r="P646" s="25" t="n"/>
      <c r="Q646" s="25" t="n"/>
    </row>
    <row r="647">
      <c r="E647" s="24">
        <f>'클럭 정리'!A648</f>
        <v/>
      </c>
      <c r="F647" s="23">
        <f>'클럭 정리'!O648</f>
        <v/>
      </c>
      <c r="G647" s="25" t="n"/>
      <c r="H647" s="25" t="n"/>
      <c r="I647" s="25" t="n"/>
      <c r="J647" s="25" t="n"/>
      <c r="K647" s="25" t="n"/>
      <c r="L647" s="25" t="n"/>
      <c r="M647" s="25" t="n"/>
      <c r="N647" s="25" t="n"/>
      <c r="O647" s="25" t="n"/>
      <c r="P647" s="25" t="n"/>
      <c r="Q647" s="25" t="n"/>
    </row>
    <row r="648">
      <c r="E648" s="24">
        <f>'클럭 정리'!A649</f>
        <v/>
      </c>
      <c r="F648" s="23">
        <f>'클럭 정리'!O649</f>
        <v/>
      </c>
      <c r="G648" s="25" t="n"/>
      <c r="H648" s="25" t="n"/>
      <c r="I648" s="25" t="n"/>
      <c r="J648" s="25" t="n"/>
      <c r="K648" s="25" t="n"/>
      <c r="L648" s="25" t="n"/>
      <c r="M648" s="25" t="n"/>
      <c r="N648" s="25" t="n"/>
      <c r="O648" s="25" t="n"/>
      <c r="P648" s="25" t="n"/>
      <c r="Q648" s="25" t="n"/>
    </row>
    <row r="649">
      <c r="E649" s="24">
        <f>'클럭 정리'!A650</f>
        <v/>
      </c>
      <c r="F649" s="23">
        <f>'클럭 정리'!O650</f>
        <v/>
      </c>
      <c r="G649" s="25" t="n"/>
      <c r="H649" s="25" t="n"/>
      <c r="I649" s="25" t="n"/>
      <c r="J649" s="25" t="n"/>
      <c r="K649" s="25" t="n"/>
      <c r="L649" s="25" t="n"/>
      <c r="M649" s="25" t="n"/>
      <c r="N649" s="25" t="n"/>
      <c r="O649" s="25" t="n"/>
      <c r="P649" s="25" t="n"/>
      <c r="Q649" s="25" t="n"/>
    </row>
    <row r="650">
      <c r="E650" s="24">
        <f>'클럭 정리'!A651</f>
        <v/>
      </c>
      <c r="F650" s="23">
        <f>'클럭 정리'!O651</f>
        <v/>
      </c>
      <c r="G650" s="25" t="n"/>
      <c r="H650" s="25" t="n"/>
      <c r="I650" s="25" t="n"/>
      <c r="J650" s="25" t="n"/>
      <c r="K650" s="25" t="n"/>
      <c r="L650" s="25" t="n"/>
      <c r="M650" s="25" t="n"/>
      <c r="N650" s="25" t="n"/>
      <c r="O650" s="25" t="n"/>
      <c r="P650" s="25" t="n"/>
      <c r="Q650" s="25" t="n"/>
    </row>
    <row r="651">
      <c r="E651" s="24">
        <f>'클럭 정리'!A652</f>
        <v/>
      </c>
      <c r="F651" s="23">
        <f>'클럭 정리'!O652</f>
        <v/>
      </c>
      <c r="G651" s="25" t="n"/>
      <c r="H651" s="25" t="n"/>
      <c r="I651" s="25" t="n"/>
      <c r="J651" s="25" t="n"/>
      <c r="K651" s="25" t="n"/>
      <c r="L651" s="25" t="n"/>
      <c r="M651" s="25" t="n"/>
      <c r="N651" s="25" t="n"/>
      <c r="O651" s="25" t="n"/>
      <c r="P651" s="25" t="n"/>
      <c r="Q651" s="25" t="n"/>
    </row>
    <row r="652">
      <c r="E652" s="24">
        <f>'클럭 정리'!A653</f>
        <v/>
      </c>
      <c r="F652" s="23">
        <f>'클럭 정리'!O653</f>
        <v/>
      </c>
      <c r="G652" s="25" t="n"/>
      <c r="H652" s="25" t="n"/>
      <c r="I652" s="25" t="n"/>
      <c r="J652" s="25" t="n"/>
      <c r="K652" s="25" t="n"/>
      <c r="L652" s="25" t="n"/>
      <c r="M652" s="25" t="n"/>
      <c r="N652" s="25" t="n"/>
      <c r="O652" s="25" t="n"/>
      <c r="P652" s="25" t="n"/>
      <c r="Q652" s="25" t="n"/>
    </row>
    <row r="653">
      <c r="E653" s="24">
        <f>'클럭 정리'!A654</f>
        <v/>
      </c>
      <c r="F653" s="23">
        <f>'클럭 정리'!O654</f>
        <v/>
      </c>
      <c r="G653" s="25" t="n"/>
      <c r="H653" s="25" t="n"/>
      <c r="I653" s="25" t="n"/>
      <c r="J653" s="25" t="n"/>
      <c r="K653" s="25" t="n"/>
      <c r="L653" s="25" t="n"/>
      <c r="M653" s="25" t="n"/>
      <c r="N653" s="25" t="n"/>
      <c r="O653" s="25" t="n"/>
      <c r="P653" s="25" t="n"/>
      <c r="Q653" s="25" t="n"/>
    </row>
    <row r="654">
      <c r="E654" s="24">
        <f>'클럭 정리'!A655</f>
        <v/>
      </c>
      <c r="F654" s="23">
        <f>'클럭 정리'!O655</f>
        <v/>
      </c>
      <c r="G654" s="25" t="n"/>
      <c r="H654" s="25" t="n"/>
      <c r="I654" s="25" t="n"/>
      <c r="J654" s="25" t="n"/>
      <c r="K654" s="25" t="n"/>
      <c r="L654" s="25" t="n"/>
      <c r="M654" s="25" t="n"/>
      <c r="N654" s="25" t="n"/>
      <c r="O654" s="25" t="n"/>
      <c r="P654" s="25" t="n"/>
      <c r="Q654" s="25" t="n"/>
    </row>
    <row r="655">
      <c r="E655" s="24">
        <f>'클럭 정리'!A656</f>
        <v/>
      </c>
      <c r="F655" s="23">
        <f>'클럭 정리'!O656</f>
        <v/>
      </c>
      <c r="G655" s="25" t="n"/>
      <c r="H655" s="25" t="n"/>
      <c r="I655" s="25" t="n"/>
      <c r="J655" s="25" t="n"/>
      <c r="K655" s="25" t="n"/>
      <c r="L655" s="25" t="n"/>
      <c r="M655" s="25" t="n"/>
      <c r="N655" s="25" t="n"/>
      <c r="O655" s="25" t="n"/>
      <c r="P655" s="25" t="n"/>
      <c r="Q655" s="25" t="n"/>
    </row>
    <row r="656">
      <c r="E656" s="24">
        <f>'클럭 정리'!A657</f>
        <v/>
      </c>
      <c r="F656" s="23">
        <f>'클럭 정리'!O657</f>
        <v/>
      </c>
      <c r="G656" s="25" t="n"/>
      <c r="H656" s="25" t="n"/>
      <c r="I656" s="25" t="n"/>
      <c r="J656" s="25" t="n"/>
      <c r="K656" s="25" t="n"/>
      <c r="L656" s="25" t="n"/>
      <c r="M656" s="25" t="n"/>
      <c r="N656" s="25" t="n"/>
      <c r="O656" s="25" t="n"/>
      <c r="P656" s="25" t="n"/>
      <c r="Q656" s="25" t="n"/>
    </row>
    <row r="657">
      <c r="E657" s="24">
        <f>'클럭 정리'!A658</f>
        <v/>
      </c>
      <c r="F657" s="23">
        <f>'클럭 정리'!O658</f>
        <v/>
      </c>
      <c r="G657" s="25" t="n"/>
      <c r="H657" s="25" t="n"/>
      <c r="I657" s="25" t="n"/>
      <c r="J657" s="25" t="n"/>
      <c r="K657" s="25" t="n"/>
      <c r="L657" s="25" t="n"/>
      <c r="M657" s="25" t="n"/>
      <c r="N657" s="25" t="n"/>
      <c r="O657" s="25" t="n"/>
      <c r="P657" s="25" t="n"/>
      <c r="Q657" s="25" t="n"/>
    </row>
    <row r="658">
      <c r="E658" s="24">
        <f>'클럭 정리'!A659</f>
        <v/>
      </c>
      <c r="F658" s="23">
        <f>'클럭 정리'!O659</f>
        <v/>
      </c>
      <c r="G658" s="25" t="n"/>
      <c r="H658" s="25" t="n"/>
      <c r="I658" s="25" t="n"/>
      <c r="J658" s="25" t="n"/>
      <c r="K658" s="25" t="n"/>
      <c r="L658" s="25" t="n"/>
      <c r="M658" s="25" t="n"/>
      <c r="N658" s="25" t="n"/>
      <c r="O658" s="25" t="n"/>
      <c r="P658" s="25" t="n"/>
      <c r="Q658" s="25" t="n"/>
    </row>
    <row r="659">
      <c r="E659" s="24">
        <f>'클럭 정리'!A660</f>
        <v/>
      </c>
      <c r="F659" s="23">
        <f>'클럭 정리'!O660</f>
        <v/>
      </c>
      <c r="G659" s="25" t="n"/>
      <c r="H659" s="25" t="n"/>
      <c r="I659" s="25" t="n"/>
      <c r="J659" s="25" t="n"/>
      <c r="K659" s="25" t="n"/>
      <c r="L659" s="25" t="n"/>
      <c r="M659" s="25" t="n"/>
      <c r="N659" s="25" t="n"/>
      <c r="O659" s="25" t="n"/>
      <c r="P659" s="25" t="n"/>
      <c r="Q659" s="25" t="n"/>
    </row>
    <row r="660">
      <c r="E660" s="24">
        <f>'클럭 정리'!A661</f>
        <v/>
      </c>
      <c r="F660" s="23">
        <f>'클럭 정리'!O661</f>
        <v/>
      </c>
      <c r="G660" s="25" t="n"/>
      <c r="H660" s="25" t="n"/>
      <c r="I660" s="25" t="n"/>
      <c r="J660" s="25" t="n"/>
      <c r="K660" s="25" t="n"/>
      <c r="L660" s="25" t="n"/>
      <c r="M660" s="25" t="n"/>
      <c r="N660" s="25" t="n"/>
      <c r="O660" s="25" t="n"/>
      <c r="P660" s="25" t="n"/>
      <c r="Q660" s="25" t="n"/>
    </row>
    <row r="661">
      <c r="E661" s="24">
        <f>'클럭 정리'!A662</f>
        <v/>
      </c>
      <c r="F661" s="23">
        <f>'클럭 정리'!O662</f>
        <v/>
      </c>
      <c r="G661" s="25" t="n"/>
      <c r="H661" s="25" t="n"/>
      <c r="I661" s="25" t="n"/>
      <c r="J661" s="25" t="n"/>
      <c r="K661" s="25" t="n"/>
      <c r="L661" s="25" t="n"/>
      <c r="M661" s="25" t="n"/>
      <c r="N661" s="25" t="n"/>
      <c r="O661" s="25" t="n"/>
      <c r="P661" s="25" t="n"/>
      <c r="Q661" s="25" t="n"/>
    </row>
    <row r="662">
      <c r="E662" s="24">
        <f>'클럭 정리'!A663</f>
        <v/>
      </c>
      <c r="F662" s="23">
        <f>'클럭 정리'!O663</f>
        <v/>
      </c>
      <c r="G662" s="25" t="n"/>
      <c r="H662" s="25" t="n"/>
      <c r="I662" s="25" t="n"/>
      <c r="J662" s="25" t="n"/>
      <c r="K662" s="25" t="n"/>
      <c r="L662" s="25" t="n"/>
      <c r="M662" s="25" t="n"/>
      <c r="N662" s="25" t="n"/>
      <c r="O662" s="25" t="n"/>
      <c r="P662" s="25" t="n"/>
      <c r="Q662" s="25" t="n"/>
    </row>
    <row r="663">
      <c r="E663" s="24">
        <f>'클럭 정리'!A664</f>
        <v/>
      </c>
      <c r="F663" s="23">
        <f>'클럭 정리'!O664</f>
        <v/>
      </c>
      <c r="G663" s="25" t="n"/>
      <c r="H663" s="25" t="n"/>
      <c r="I663" s="25" t="n"/>
      <c r="J663" s="25" t="n"/>
      <c r="K663" s="25" t="n"/>
      <c r="L663" s="25" t="n"/>
      <c r="M663" s="25" t="n"/>
      <c r="N663" s="25" t="n"/>
      <c r="O663" s="25" t="n"/>
      <c r="P663" s="25" t="n"/>
      <c r="Q663" s="25" t="n"/>
    </row>
    <row r="664">
      <c r="E664" s="24">
        <f>'클럭 정리'!A665</f>
        <v/>
      </c>
      <c r="F664" s="23">
        <f>'클럭 정리'!O665</f>
        <v/>
      </c>
      <c r="G664" s="25" t="n"/>
      <c r="H664" s="25" t="n"/>
      <c r="I664" s="25" t="n"/>
      <c r="J664" s="25" t="n"/>
      <c r="K664" s="25" t="n"/>
      <c r="L664" s="25" t="n"/>
      <c r="M664" s="25" t="n"/>
      <c r="N664" s="25" t="n"/>
      <c r="O664" s="25" t="n"/>
      <c r="P664" s="25" t="n"/>
      <c r="Q664" s="25" t="n"/>
    </row>
    <row r="665">
      <c r="E665" s="24">
        <f>'클럭 정리'!A666</f>
        <v/>
      </c>
      <c r="F665" s="23">
        <f>'클럭 정리'!O666</f>
        <v/>
      </c>
      <c r="G665" s="25" t="n"/>
      <c r="H665" s="25" t="n"/>
      <c r="I665" s="25" t="n"/>
      <c r="J665" s="25" t="n"/>
      <c r="K665" s="25" t="n"/>
      <c r="L665" s="25" t="n"/>
      <c r="M665" s="25" t="n"/>
      <c r="N665" s="25" t="n"/>
      <c r="O665" s="25" t="n"/>
      <c r="P665" s="25" t="n"/>
      <c r="Q665" s="25" t="n"/>
    </row>
    <row r="666">
      <c r="E666" s="24">
        <f>'클럭 정리'!A667</f>
        <v/>
      </c>
      <c r="F666" s="23">
        <f>'클럭 정리'!O667</f>
        <v/>
      </c>
      <c r="G666" s="25" t="n"/>
      <c r="H666" s="25" t="n"/>
      <c r="I666" s="25" t="n"/>
      <c r="J666" s="25" t="n"/>
      <c r="K666" s="25" t="n"/>
      <c r="L666" s="25" t="n"/>
      <c r="M666" s="25" t="n"/>
      <c r="N666" s="25" t="n"/>
      <c r="O666" s="25" t="n"/>
      <c r="P666" s="25" t="n"/>
      <c r="Q666" s="25" t="n"/>
    </row>
    <row r="667">
      <c r="E667" s="24">
        <f>'클럭 정리'!A668</f>
        <v/>
      </c>
      <c r="F667" s="23">
        <f>'클럭 정리'!O668</f>
        <v/>
      </c>
      <c r="G667" s="25" t="n"/>
      <c r="H667" s="25" t="n"/>
      <c r="I667" s="25" t="n"/>
      <c r="J667" s="25" t="n"/>
      <c r="K667" s="25" t="n"/>
      <c r="L667" s="25" t="n"/>
      <c r="M667" s="25" t="n"/>
      <c r="N667" s="25" t="n"/>
      <c r="O667" s="25" t="n"/>
      <c r="P667" s="25" t="n"/>
      <c r="Q667" s="25" t="n"/>
    </row>
    <row r="668">
      <c r="E668" s="24">
        <f>'클럭 정리'!A669</f>
        <v/>
      </c>
      <c r="F668" s="23">
        <f>'클럭 정리'!O669</f>
        <v/>
      </c>
      <c r="G668" s="25" t="n"/>
      <c r="H668" s="25" t="n"/>
      <c r="I668" s="25" t="n"/>
      <c r="J668" s="25" t="n"/>
      <c r="K668" s="25" t="n"/>
      <c r="L668" s="25" t="n"/>
      <c r="M668" s="25" t="n"/>
      <c r="N668" s="25" t="n"/>
      <c r="O668" s="25" t="n"/>
      <c r="P668" s="25" t="n"/>
      <c r="Q668" s="25" t="n"/>
    </row>
    <row r="669">
      <c r="E669" s="24">
        <f>'클럭 정리'!A670</f>
        <v/>
      </c>
      <c r="F669" s="23">
        <f>'클럭 정리'!O670</f>
        <v/>
      </c>
      <c r="G669" s="25" t="n"/>
      <c r="H669" s="25" t="n"/>
      <c r="I669" s="25" t="n"/>
      <c r="J669" s="25" t="n"/>
      <c r="K669" s="25" t="n"/>
      <c r="L669" s="25" t="n"/>
      <c r="M669" s="25" t="n"/>
      <c r="N669" s="25" t="n"/>
      <c r="O669" s="25" t="n"/>
      <c r="P669" s="25" t="n"/>
      <c r="Q669" s="25" t="n"/>
    </row>
    <row r="670">
      <c r="E670" s="24">
        <f>'클럭 정리'!A671</f>
        <v/>
      </c>
      <c r="F670" s="23">
        <f>'클럭 정리'!O671</f>
        <v/>
      </c>
      <c r="G670" s="25" t="n"/>
      <c r="H670" s="25" t="n"/>
      <c r="I670" s="25" t="n"/>
      <c r="J670" s="25" t="n"/>
      <c r="K670" s="25" t="n"/>
      <c r="L670" s="25" t="n"/>
      <c r="M670" s="25" t="n"/>
      <c r="N670" s="25" t="n"/>
      <c r="O670" s="25" t="n"/>
      <c r="P670" s="25" t="n"/>
      <c r="Q670" s="25" t="n"/>
    </row>
    <row r="671">
      <c r="E671" s="24">
        <f>'클럭 정리'!A672</f>
        <v/>
      </c>
      <c r="F671" s="23">
        <f>'클럭 정리'!O672</f>
        <v/>
      </c>
      <c r="G671" s="25" t="n"/>
      <c r="H671" s="25" t="n"/>
      <c r="I671" s="25" t="n"/>
      <c r="J671" s="25" t="n"/>
      <c r="K671" s="25" t="n"/>
      <c r="L671" s="25" t="n"/>
      <c r="M671" s="25" t="n"/>
      <c r="N671" s="25" t="n"/>
      <c r="O671" s="25" t="n"/>
      <c r="P671" s="25" t="n"/>
      <c r="Q671" s="25" t="n"/>
    </row>
    <row r="672">
      <c r="E672" s="24">
        <f>'클럭 정리'!A673</f>
        <v/>
      </c>
      <c r="F672" s="23">
        <f>'클럭 정리'!O673</f>
        <v/>
      </c>
      <c r="G672" s="25" t="n"/>
      <c r="H672" s="25" t="n"/>
      <c r="I672" s="25" t="n"/>
      <c r="J672" s="25" t="n"/>
      <c r="K672" s="25" t="n"/>
      <c r="L672" s="25" t="n"/>
      <c r="M672" s="25" t="n"/>
      <c r="N672" s="25" t="n"/>
      <c r="O672" s="25" t="n"/>
      <c r="P672" s="25" t="n"/>
      <c r="Q672" s="25" t="n"/>
    </row>
    <row r="673">
      <c r="E673" s="24">
        <f>'클럭 정리'!A674</f>
        <v/>
      </c>
      <c r="F673" s="23">
        <f>'클럭 정리'!O674</f>
        <v/>
      </c>
      <c r="G673" s="25" t="n"/>
      <c r="H673" s="25" t="n"/>
      <c r="I673" s="25" t="n"/>
      <c r="J673" s="25" t="n"/>
      <c r="K673" s="25" t="n"/>
      <c r="L673" s="25" t="n"/>
      <c r="M673" s="25" t="n"/>
      <c r="N673" s="25" t="n"/>
      <c r="O673" s="25" t="n"/>
      <c r="P673" s="25" t="n"/>
      <c r="Q673" s="25" t="n"/>
    </row>
    <row r="674">
      <c r="E674" s="24">
        <f>'클럭 정리'!A675</f>
        <v/>
      </c>
      <c r="F674" s="23">
        <f>'클럭 정리'!O675</f>
        <v/>
      </c>
      <c r="G674" s="25" t="n"/>
      <c r="H674" s="25" t="n"/>
      <c r="I674" s="25" t="n"/>
      <c r="J674" s="25" t="n"/>
      <c r="K674" s="25" t="n"/>
      <c r="L674" s="25" t="n"/>
      <c r="M674" s="25" t="n"/>
      <c r="N674" s="25" t="n"/>
      <c r="O674" s="25" t="n"/>
      <c r="P674" s="25" t="n"/>
      <c r="Q674" s="25" t="n"/>
    </row>
    <row r="675">
      <c r="E675" s="24">
        <f>'클럭 정리'!A676</f>
        <v/>
      </c>
      <c r="F675" s="23">
        <f>'클럭 정리'!O676</f>
        <v/>
      </c>
      <c r="G675" s="25" t="n"/>
      <c r="H675" s="25" t="n"/>
      <c r="I675" s="25" t="n"/>
      <c r="J675" s="25" t="n"/>
      <c r="K675" s="25" t="n"/>
      <c r="L675" s="25" t="n"/>
      <c r="M675" s="25" t="n"/>
      <c r="N675" s="25" t="n"/>
      <c r="O675" s="25" t="n"/>
      <c r="P675" s="25" t="n"/>
      <c r="Q675" s="25" t="n"/>
    </row>
    <row r="676">
      <c r="E676" s="24">
        <f>'클럭 정리'!A677</f>
        <v/>
      </c>
      <c r="F676" s="23">
        <f>'클럭 정리'!O677</f>
        <v/>
      </c>
      <c r="G676" s="25" t="n"/>
      <c r="H676" s="25" t="n"/>
      <c r="I676" s="25" t="n"/>
      <c r="J676" s="25" t="n"/>
      <c r="K676" s="25" t="n"/>
      <c r="L676" s="25" t="n"/>
      <c r="M676" s="25" t="n"/>
      <c r="N676" s="25" t="n"/>
      <c r="O676" s="25" t="n"/>
      <c r="P676" s="25" t="n"/>
      <c r="Q676" s="25" t="n"/>
    </row>
    <row r="677">
      <c r="E677" s="24">
        <f>'클럭 정리'!A678</f>
        <v/>
      </c>
      <c r="F677" s="23">
        <f>'클럭 정리'!O678</f>
        <v/>
      </c>
      <c r="G677" s="25" t="n"/>
      <c r="H677" s="25" t="n"/>
      <c r="I677" s="25" t="n"/>
      <c r="J677" s="25" t="n"/>
      <c r="K677" s="25" t="n"/>
      <c r="L677" s="25" t="n"/>
      <c r="M677" s="25" t="n"/>
      <c r="N677" s="25" t="n"/>
      <c r="O677" s="25" t="n"/>
      <c r="P677" s="25" t="n"/>
      <c r="Q677" s="25" t="n"/>
    </row>
    <row r="678">
      <c r="E678" s="24">
        <f>'클럭 정리'!A679</f>
        <v/>
      </c>
      <c r="F678" s="23">
        <f>'클럭 정리'!O679</f>
        <v/>
      </c>
      <c r="G678" s="25" t="n"/>
      <c r="H678" s="25" t="n"/>
      <c r="I678" s="25" t="n"/>
      <c r="J678" s="25" t="n"/>
      <c r="K678" s="25" t="n"/>
      <c r="L678" s="25" t="n"/>
      <c r="M678" s="25" t="n"/>
      <c r="N678" s="25" t="n"/>
      <c r="O678" s="25" t="n"/>
      <c r="P678" s="25" t="n"/>
      <c r="Q678" s="25" t="n"/>
    </row>
    <row r="679">
      <c r="E679" s="24">
        <f>'클럭 정리'!A680</f>
        <v/>
      </c>
      <c r="F679" s="23">
        <f>'클럭 정리'!O680</f>
        <v/>
      </c>
      <c r="G679" s="25" t="n"/>
      <c r="H679" s="25" t="n"/>
      <c r="I679" s="25" t="n"/>
      <c r="J679" s="25" t="n"/>
      <c r="K679" s="25" t="n"/>
      <c r="L679" s="25" t="n"/>
      <c r="M679" s="25" t="n"/>
      <c r="N679" s="25" t="n"/>
      <c r="O679" s="25" t="n"/>
      <c r="P679" s="25" t="n"/>
      <c r="Q679" s="25" t="n"/>
    </row>
    <row r="680">
      <c r="E680" s="24">
        <f>'클럭 정리'!A681</f>
        <v/>
      </c>
      <c r="F680" s="23">
        <f>'클럭 정리'!O681</f>
        <v/>
      </c>
      <c r="G680" s="25" t="n"/>
      <c r="H680" s="25" t="n"/>
      <c r="I680" s="25" t="n"/>
      <c r="J680" s="25" t="n"/>
      <c r="K680" s="25" t="n"/>
      <c r="L680" s="25" t="n"/>
      <c r="M680" s="25" t="n"/>
      <c r="N680" s="25" t="n"/>
      <c r="O680" s="25" t="n"/>
      <c r="P680" s="25" t="n"/>
      <c r="Q680" s="25" t="n"/>
    </row>
    <row r="681">
      <c r="E681" s="24">
        <f>'클럭 정리'!A682</f>
        <v/>
      </c>
      <c r="F681" s="23">
        <f>'클럭 정리'!O682</f>
        <v/>
      </c>
      <c r="G681" s="25" t="n"/>
      <c r="H681" s="25" t="n"/>
      <c r="I681" s="25" t="n"/>
      <c r="J681" s="25" t="n"/>
      <c r="K681" s="25" t="n"/>
      <c r="L681" s="25" t="n"/>
      <c r="M681" s="25" t="n"/>
      <c r="N681" s="25" t="n"/>
      <c r="O681" s="25" t="n"/>
      <c r="P681" s="25" t="n"/>
      <c r="Q681" s="25" t="n"/>
    </row>
    <row r="682">
      <c r="E682" s="24">
        <f>'클럭 정리'!A683</f>
        <v/>
      </c>
      <c r="F682" s="23">
        <f>'클럭 정리'!O683</f>
        <v/>
      </c>
      <c r="G682" s="25" t="n"/>
      <c r="H682" s="25" t="n"/>
      <c r="I682" s="25" t="n"/>
      <c r="J682" s="25" t="n"/>
      <c r="K682" s="25" t="n"/>
      <c r="L682" s="25" t="n"/>
      <c r="M682" s="25" t="n"/>
      <c r="N682" s="25" t="n"/>
      <c r="O682" s="25" t="n"/>
      <c r="P682" s="25" t="n"/>
      <c r="Q682" s="25" t="n"/>
    </row>
    <row r="683">
      <c r="E683" s="24">
        <f>'클럭 정리'!A684</f>
        <v/>
      </c>
      <c r="F683" s="23">
        <f>'클럭 정리'!O684</f>
        <v/>
      </c>
      <c r="G683" s="25" t="n"/>
      <c r="H683" s="25" t="n"/>
      <c r="I683" s="25" t="n"/>
      <c r="J683" s="25" t="n"/>
      <c r="K683" s="25" t="n"/>
      <c r="L683" s="25" t="n"/>
      <c r="M683" s="25" t="n"/>
      <c r="N683" s="25" t="n"/>
      <c r="O683" s="25" t="n"/>
      <c r="P683" s="25" t="n"/>
      <c r="Q683" s="25" t="n"/>
    </row>
    <row r="684">
      <c r="E684" s="24">
        <f>'클럭 정리'!A685</f>
        <v/>
      </c>
      <c r="F684" s="23">
        <f>'클럭 정리'!O685</f>
        <v/>
      </c>
      <c r="G684" s="25" t="n"/>
      <c r="H684" s="25" t="n"/>
      <c r="I684" s="25" t="n"/>
      <c r="J684" s="25" t="n"/>
      <c r="K684" s="25" t="n"/>
      <c r="L684" s="25" t="n"/>
      <c r="M684" s="25" t="n"/>
      <c r="N684" s="25" t="n"/>
      <c r="O684" s="25" t="n"/>
      <c r="P684" s="25" t="n"/>
      <c r="Q684" s="25" t="n"/>
    </row>
    <row r="685">
      <c r="E685" s="24">
        <f>'클럭 정리'!A686</f>
        <v/>
      </c>
      <c r="F685" s="23">
        <f>'클럭 정리'!O686</f>
        <v/>
      </c>
      <c r="G685" s="25" t="n"/>
      <c r="H685" s="25" t="n"/>
      <c r="I685" s="25" t="n"/>
      <c r="J685" s="25" t="n"/>
      <c r="K685" s="25" t="n"/>
      <c r="L685" s="25" t="n"/>
      <c r="M685" s="25" t="n"/>
      <c r="N685" s="25" t="n"/>
      <c r="O685" s="25" t="n"/>
      <c r="P685" s="25" t="n"/>
      <c r="Q685" s="25" t="n"/>
    </row>
    <row r="686">
      <c r="E686" s="24">
        <f>'클럭 정리'!A687</f>
        <v/>
      </c>
      <c r="F686" s="23">
        <f>'클럭 정리'!O687</f>
        <v/>
      </c>
      <c r="G686" s="25" t="n"/>
      <c r="H686" s="25" t="n"/>
      <c r="I686" s="25" t="n"/>
      <c r="J686" s="25" t="n"/>
      <c r="K686" s="25" t="n"/>
      <c r="L686" s="25" t="n"/>
      <c r="M686" s="25" t="n"/>
      <c r="N686" s="25" t="n"/>
      <c r="O686" s="25" t="n"/>
      <c r="P686" s="25" t="n"/>
      <c r="Q686" s="25" t="n"/>
    </row>
    <row r="687">
      <c r="E687" s="24">
        <f>'클럭 정리'!A688</f>
        <v/>
      </c>
      <c r="F687" s="23">
        <f>'클럭 정리'!O688</f>
        <v/>
      </c>
      <c r="G687" s="25" t="n"/>
      <c r="H687" s="25" t="n"/>
      <c r="I687" s="25" t="n"/>
      <c r="J687" s="25" t="n"/>
      <c r="K687" s="25" t="n"/>
      <c r="L687" s="25" t="n"/>
      <c r="M687" s="25" t="n"/>
      <c r="N687" s="25" t="n"/>
      <c r="O687" s="25" t="n"/>
      <c r="P687" s="25" t="n"/>
      <c r="Q687" s="25" t="n"/>
    </row>
    <row r="688">
      <c r="E688" s="24">
        <f>'클럭 정리'!A689</f>
        <v/>
      </c>
      <c r="F688" s="23">
        <f>'클럭 정리'!O689</f>
        <v/>
      </c>
      <c r="G688" s="25" t="n"/>
      <c r="H688" s="25" t="n"/>
      <c r="I688" s="25" t="n"/>
      <c r="J688" s="25" t="n"/>
      <c r="K688" s="25" t="n"/>
      <c r="L688" s="25" t="n"/>
      <c r="M688" s="25" t="n"/>
      <c r="N688" s="25" t="n"/>
      <c r="O688" s="25" t="n"/>
      <c r="P688" s="25" t="n"/>
      <c r="Q688" s="25" t="n"/>
    </row>
    <row r="689">
      <c r="E689" s="24">
        <f>'클럭 정리'!A690</f>
        <v/>
      </c>
      <c r="F689" s="23">
        <f>'클럭 정리'!O690</f>
        <v/>
      </c>
      <c r="G689" s="25" t="n"/>
      <c r="H689" s="25" t="n"/>
      <c r="I689" s="25" t="n"/>
      <c r="J689" s="25" t="n"/>
      <c r="K689" s="25" t="n"/>
      <c r="L689" s="25" t="n"/>
      <c r="M689" s="25" t="n"/>
      <c r="N689" s="25" t="n"/>
      <c r="O689" s="25" t="n"/>
      <c r="P689" s="25" t="n"/>
      <c r="Q689" s="25" t="n"/>
    </row>
    <row r="690">
      <c r="E690" s="24">
        <f>'클럭 정리'!A691</f>
        <v/>
      </c>
      <c r="F690" s="23">
        <f>'클럭 정리'!O691</f>
        <v/>
      </c>
      <c r="G690" s="25" t="n"/>
      <c r="H690" s="25" t="n"/>
      <c r="I690" s="25" t="n"/>
      <c r="J690" s="25" t="n"/>
      <c r="K690" s="25" t="n"/>
      <c r="L690" s="25" t="n"/>
      <c r="M690" s="25" t="n"/>
      <c r="N690" s="25" t="n"/>
      <c r="O690" s="25" t="n"/>
      <c r="P690" s="25" t="n"/>
      <c r="Q690" s="25" t="n"/>
    </row>
    <row r="691">
      <c r="E691" s="24">
        <f>'클럭 정리'!A692</f>
        <v/>
      </c>
      <c r="F691" s="23">
        <f>'클럭 정리'!O692</f>
        <v/>
      </c>
      <c r="G691" s="25" t="n"/>
      <c r="H691" s="25" t="n"/>
      <c r="I691" s="25" t="n"/>
      <c r="J691" s="25" t="n"/>
      <c r="K691" s="25" t="n"/>
      <c r="L691" s="25" t="n"/>
      <c r="M691" s="25" t="n"/>
      <c r="N691" s="25" t="n"/>
      <c r="O691" s="25" t="n"/>
      <c r="P691" s="25" t="n"/>
      <c r="Q691" s="25" t="n"/>
    </row>
    <row r="692">
      <c r="E692" s="24">
        <f>'클럭 정리'!A693</f>
        <v/>
      </c>
      <c r="F692" s="23">
        <f>'클럭 정리'!O693</f>
        <v/>
      </c>
      <c r="G692" s="25" t="n"/>
      <c r="H692" s="25" t="n"/>
      <c r="I692" s="25" t="n"/>
      <c r="J692" s="25" t="n"/>
      <c r="K692" s="25" t="n"/>
      <c r="L692" s="25" t="n"/>
      <c r="M692" s="25" t="n"/>
      <c r="N692" s="25" t="n"/>
      <c r="O692" s="25" t="n"/>
      <c r="P692" s="25" t="n"/>
      <c r="Q692" s="25" t="n"/>
    </row>
    <row r="693">
      <c r="E693" s="24">
        <f>'클럭 정리'!A694</f>
        <v/>
      </c>
      <c r="F693" s="23">
        <f>'클럭 정리'!O694</f>
        <v/>
      </c>
      <c r="G693" s="25" t="n"/>
      <c r="H693" s="25" t="n"/>
      <c r="I693" s="25" t="n"/>
      <c r="J693" s="25" t="n"/>
      <c r="K693" s="25" t="n"/>
      <c r="L693" s="25" t="n"/>
      <c r="M693" s="25" t="n"/>
      <c r="N693" s="25" t="n"/>
      <c r="O693" s="25" t="n"/>
      <c r="P693" s="25" t="n"/>
      <c r="Q693" s="25" t="n"/>
    </row>
    <row r="694">
      <c r="E694" s="24">
        <f>'클럭 정리'!A695</f>
        <v/>
      </c>
      <c r="F694" s="23">
        <f>'클럭 정리'!O695</f>
        <v/>
      </c>
      <c r="G694" s="25" t="n"/>
      <c r="H694" s="25" t="n"/>
      <c r="I694" s="25" t="n"/>
      <c r="J694" s="25" t="n"/>
      <c r="K694" s="25" t="n"/>
      <c r="L694" s="25" t="n"/>
      <c r="M694" s="25" t="n"/>
      <c r="N694" s="25" t="n"/>
      <c r="O694" s="25" t="n"/>
      <c r="P694" s="25" t="n"/>
      <c r="Q694" s="25" t="n"/>
    </row>
    <row r="695">
      <c r="E695" s="24">
        <f>'클럭 정리'!A696</f>
        <v/>
      </c>
      <c r="F695" s="23">
        <f>'클럭 정리'!O696</f>
        <v/>
      </c>
      <c r="G695" s="25" t="n"/>
      <c r="H695" s="25" t="n"/>
      <c r="I695" s="25" t="n"/>
      <c r="J695" s="25" t="n"/>
      <c r="K695" s="25" t="n"/>
      <c r="L695" s="25" t="n"/>
      <c r="M695" s="25" t="n"/>
      <c r="N695" s="25" t="n"/>
      <c r="O695" s="25" t="n"/>
      <c r="P695" s="25" t="n"/>
      <c r="Q695" s="25" t="n"/>
    </row>
    <row r="696">
      <c r="E696" s="24">
        <f>'클럭 정리'!A697</f>
        <v/>
      </c>
      <c r="F696" s="23">
        <f>'클럭 정리'!O697</f>
        <v/>
      </c>
      <c r="G696" s="25" t="n"/>
      <c r="H696" s="25" t="n"/>
      <c r="I696" s="25" t="n"/>
      <c r="J696" s="25" t="n"/>
      <c r="K696" s="25" t="n"/>
      <c r="L696" s="25" t="n"/>
      <c r="M696" s="25" t="n"/>
      <c r="N696" s="25" t="n"/>
      <c r="O696" s="25" t="n"/>
      <c r="P696" s="25" t="n"/>
      <c r="Q696" s="25" t="n"/>
    </row>
    <row r="697">
      <c r="E697" s="24">
        <f>'클럭 정리'!A698</f>
        <v/>
      </c>
      <c r="F697" s="23">
        <f>'클럭 정리'!O698</f>
        <v/>
      </c>
      <c r="G697" s="25" t="n"/>
      <c r="H697" s="25" t="n"/>
      <c r="I697" s="25" t="n"/>
      <c r="J697" s="25" t="n"/>
      <c r="K697" s="25" t="n"/>
      <c r="L697" s="25" t="n"/>
      <c r="M697" s="25" t="n"/>
      <c r="N697" s="25" t="n"/>
      <c r="O697" s="25" t="n"/>
      <c r="P697" s="25" t="n"/>
      <c r="Q697" s="25" t="n"/>
    </row>
    <row r="698">
      <c r="E698" s="24">
        <f>'클럭 정리'!A699</f>
        <v/>
      </c>
      <c r="F698" s="23">
        <f>'클럭 정리'!O699</f>
        <v/>
      </c>
      <c r="G698" s="25" t="n"/>
      <c r="H698" s="25" t="n"/>
      <c r="I698" s="25" t="n"/>
      <c r="J698" s="25" t="n"/>
      <c r="K698" s="25" t="n"/>
      <c r="L698" s="25" t="n"/>
      <c r="M698" s="25" t="n"/>
      <c r="N698" s="25" t="n"/>
      <c r="O698" s="25" t="n"/>
      <c r="P698" s="25" t="n"/>
      <c r="Q698" s="25" t="n"/>
    </row>
    <row r="699">
      <c r="E699" s="24">
        <f>'클럭 정리'!A700</f>
        <v/>
      </c>
      <c r="F699" s="23">
        <f>'클럭 정리'!O700</f>
        <v/>
      </c>
      <c r="G699" s="25" t="n"/>
      <c r="H699" s="25" t="n"/>
      <c r="I699" s="25" t="n"/>
      <c r="J699" s="25" t="n"/>
      <c r="K699" s="25" t="n"/>
      <c r="L699" s="25" t="n"/>
      <c r="M699" s="25" t="n"/>
      <c r="N699" s="25" t="n"/>
      <c r="O699" s="25" t="n"/>
      <c r="P699" s="25" t="n"/>
      <c r="Q699" s="25" t="n"/>
    </row>
    <row r="700">
      <c r="E700" s="24">
        <f>'클럭 정리'!A701</f>
        <v/>
      </c>
      <c r="F700" s="23">
        <f>'클럭 정리'!O701</f>
        <v/>
      </c>
      <c r="G700" s="25" t="n"/>
      <c r="H700" s="25" t="n"/>
      <c r="I700" s="25" t="n"/>
      <c r="J700" s="25" t="n"/>
      <c r="K700" s="25" t="n"/>
      <c r="L700" s="25" t="n"/>
      <c r="M700" s="25" t="n"/>
      <c r="N700" s="25" t="n"/>
      <c r="O700" s="25" t="n"/>
      <c r="P700" s="25" t="n"/>
      <c r="Q700" s="25" t="n"/>
    </row>
    <row r="701">
      <c r="E701" s="24">
        <f>'클럭 정리'!A702</f>
        <v/>
      </c>
      <c r="F701" s="23">
        <f>'클럭 정리'!O702</f>
        <v/>
      </c>
      <c r="G701" s="25" t="n"/>
      <c r="H701" s="25" t="n"/>
      <c r="I701" s="25" t="n"/>
      <c r="J701" s="25" t="n"/>
      <c r="K701" s="25" t="n"/>
      <c r="L701" s="25" t="n"/>
      <c r="M701" s="25" t="n"/>
      <c r="N701" s="25" t="n"/>
      <c r="O701" s="25" t="n"/>
      <c r="P701" s="25" t="n"/>
      <c r="Q701" s="25" t="n"/>
    </row>
    <row r="702">
      <c r="E702" s="24">
        <f>'클럭 정리'!A703</f>
        <v/>
      </c>
      <c r="F702" s="23">
        <f>'클럭 정리'!O703</f>
        <v/>
      </c>
      <c r="G702" s="25" t="n"/>
      <c r="H702" s="25" t="n"/>
      <c r="I702" s="25" t="n"/>
      <c r="J702" s="25" t="n"/>
      <c r="K702" s="25" t="n"/>
      <c r="L702" s="25" t="n"/>
      <c r="M702" s="25" t="n"/>
      <c r="N702" s="25" t="n"/>
      <c r="O702" s="25" t="n"/>
      <c r="P702" s="25" t="n"/>
      <c r="Q702" s="25" t="n"/>
    </row>
    <row r="703">
      <c r="E703" s="24">
        <f>'클럭 정리'!A704</f>
        <v/>
      </c>
      <c r="F703" s="23">
        <f>'클럭 정리'!O704</f>
        <v/>
      </c>
      <c r="G703" s="25" t="n"/>
      <c r="H703" s="25" t="n"/>
      <c r="I703" s="25" t="n"/>
      <c r="J703" s="25" t="n"/>
      <c r="K703" s="25" t="n"/>
      <c r="L703" s="25" t="n"/>
      <c r="M703" s="25" t="n"/>
      <c r="N703" s="25" t="n"/>
      <c r="O703" s="25" t="n"/>
      <c r="P703" s="25" t="n"/>
      <c r="Q703" s="25" t="n"/>
    </row>
    <row r="704">
      <c r="E704" s="24">
        <f>'클럭 정리'!A705</f>
        <v/>
      </c>
      <c r="F704" s="23">
        <f>'클럭 정리'!O705</f>
        <v/>
      </c>
      <c r="G704" s="25" t="n"/>
      <c r="H704" s="25" t="n"/>
      <c r="I704" s="25" t="n"/>
      <c r="J704" s="25" t="n"/>
      <c r="K704" s="25" t="n"/>
      <c r="L704" s="25" t="n"/>
      <c r="M704" s="25" t="n"/>
      <c r="N704" s="25" t="n"/>
      <c r="O704" s="25" t="n"/>
      <c r="P704" s="25" t="n"/>
      <c r="Q704" s="25" t="n"/>
    </row>
    <row r="705">
      <c r="E705" s="24">
        <f>'클럭 정리'!A706</f>
        <v/>
      </c>
      <c r="F705" s="23">
        <f>'클럭 정리'!O706</f>
        <v/>
      </c>
      <c r="G705" s="25" t="n"/>
      <c r="H705" s="25" t="n"/>
      <c r="I705" s="25" t="n"/>
      <c r="J705" s="25" t="n"/>
      <c r="K705" s="25" t="n"/>
      <c r="L705" s="25" t="n"/>
      <c r="M705" s="25" t="n"/>
      <c r="N705" s="25" t="n"/>
      <c r="O705" s="25" t="n"/>
      <c r="P705" s="25" t="n"/>
      <c r="Q705" s="25" t="n"/>
    </row>
    <row r="706">
      <c r="E706" s="24">
        <f>'클럭 정리'!A707</f>
        <v/>
      </c>
      <c r="F706" s="23">
        <f>'클럭 정리'!O707</f>
        <v/>
      </c>
      <c r="G706" s="25" t="n"/>
      <c r="H706" s="25" t="n"/>
      <c r="I706" s="25" t="n"/>
      <c r="J706" s="25" t="n"/>
      <c r="K706" s="25" t="n"/>
      <c r="L706" s="25" t="n"/>
      <c r="M706" s="25" t="n"/>
      <c r="N706" s="25" t="n"/>
      <c r="O706" s="25" t="n"/>
      <c r="P706" s="25" t="n"/>
      <c r="Q706" s="25" t="n"/>
    </row>
    <row r="707">
      <c r="E707" s="24">
        <f>'클럭 정리'!A708</f>
        <v/>
      </c>
      <c r="F707" s="23">
        <f>'클럭 정리'!O708</f>
        <v/>
      </c>
      <c r="G707" s="25" t="n"/>
      <c r="H707" s="25" t="n"/>
      <c r="I707" s="25" t="n"/>
      <c r="J707" s="25" t="n"/>
      <c r="K707" s="25" t="n"/>
      <c r="L707" s="25" t="n"/>
      <c r="M707" s="25" t="n"/>
      <c r="N707" s="25" t="n"/>
      <c r="O707" s="25" t="n"/>
      <c r="P707" s="25" t="n"/>
      <c r="Q707" s="25" t="n"/>
    </row>
    <row r="708">
      <c r="E708" s="24">
        <f>'클럭 정리'!A709</f>
        <v/>
      </c>
      <c r="F708" s="23">
        <f>'클럭 정리'!O709</f>
        <v/>
      </c>
      <c r="G708" s="25" t="n"/>
      <c r="H708" s="25" t="n"/>
      <c r="I708" s="25" t="n"/>
      <c r="J708" s="25" t="n"/>
      <c r="K708" s="25" t="n"/>
      <c r="L708" s="25" t="n"/>
      <c r="M708" s="25" t="n"/>
      <c r="N708" s="25" t="n"/>
      <c r="O708" s="25" t="n"/>
      <c r="P708" s="25" t="n"/>
      <c r="Q708" s="25" t="n"/>
    </row>
    <row r="709">
      <c r="E709" s="24">
        <f>'클럭 정리'!A710</f>
        <v/>
      </c>
      <c r="F709" s="23">
        <f>'클럭 정리'!O710</f>
        <v/>
      </c>
      <c r="G709" s="25" t="n"/>
      <c r="H709" s="25" t="n"/>
      <c r="I709" s="25" t="n"/>
      <c r="J709" s="25" t="n"/>
      <c r="K709" s="25" t="n"/>
      <c r="L709" s="25" t="n"/>
      <c r="M709" s="25" t="n"/>
      <c r="N709" s="25" t="n"/>
      <c r="O709" s="25" t="n"/>
      <c r="P709" s="25" t="n"/>
      <c r="Q709" s="25" t="n"/>
    </row>
    <row r="710">
      <c r="E710" s="24">
        <f>'클럭 정리'!A711</f>
        <v/>
      </c>
      <c r="F710" s="23">
        <f>'클럭 정리'!O711</f>
        <v/>
      </c>
      <c r="G710" s="25" t="n"/>
      <c r="H710" s="25" t="n"/>
      <c r="I710" s="25" t="n"/>
      <c r="J710" s="25" t="n"/>
      <c r="K710" s="25" t="n"/>
      <c r="L710" s="25" t="n"/>
      <c r="M710" s="25" t="n"/>
      <c r="N710" s="25" t="n"/>
      <c r="O710" s="25" t="n"/>
      <c r="P710" s="25" t="n"/>
      <c r="Q710" s="25" t="n"/>
    </row>
    <row r="711">
      <c r="E711" s="24">
        <f>'클럭 정리'!A712</f>
        <v/>
      </c>
      <c r="F711" s="23">
        <f>'클럭 정리'!O712</f>
        <v/>
      </c>
      <c r="G711" s="25" t="n"/>
      <c r="H711" s="25" t="n"/>
      <c r="I711" s="25" t="n"/>
      <c r="J711" s="25" t="n"/>
      <c r="K711" s="25" t="n"/>
      <c r="L711" s="25" t="n"/>
      <c r="M711" s="25" t="n"/>
      <c r="N711" s="25" t="n"/>
      <c r="O711" s="25" t="n"/>
      <c r="P711" s="25" t="n"/>
      <c r="Q711" s="25" t="n"/>
    </row>
    <row r="712">
      <c r="E712" s="24">
        <f>'클럭 정리'!A713</f>
        <v/>
      </c>
      <c r="F712" s="23">
        <f>'클럭 정리'!O713</f>
        <v/>
      </c>
      <c r="G712" s="25" t="n"/>
      <c r="H712" s="25" t="n"/>
      <c r="I712" s="25" t="n"/>
      <c r="J712" s="25" t="n"/>
      <c r="K712" s="25" t="n"/>
      <c r="L712" s="25" t="n"/>
      <c r="M712" s="25" t="n"/>
      <c r="N712" s="25" t="n"/>
      <c r="O712" s="25" t="n"/>
      <c r="P712" s="25" t="n"/>
      <c r="Q712" s="25" t="n"/>
    </row>
    <row r="713">
      <c r="E713" s="24">
        <f>'클럭 정리'!A714</f>
        <v/>
      </c>
      <c r="F713" s="23">
        <f>'클럭 정리'!O714</f>
        <v/>
      </c>
      <c r="G713" s="25" t="n"/>
      <c r="H713" s="25" t="n"/>
      <c r="I713" s="25" t="n"/>
      <c r="J713" s="25" t="n"/>
      <c r="K713" s="25" t="n"/>
      <c r="L713" s="25" t="n"/>
      <c r="M713" s="25" t="n"/>
      <c r="N713" s="25" t="n"/>
      <c r="O713" s="25" t="n"/>
      <c r="P713" s="25" t="n"/>
      <c r="Q713" s="25" t="n"/>
    </row>
    <row r="714">
      <c r="E714" s="24">
        <f>'클럭 정리'!A715</f>
        <v/>
      </c>
      <c r="F714" s="23">
        <f>'클럭 정리'!O715</f>
        <v/>
      </c>
      <c r="G714" s="25" t="n"/>
      <c r="H714" s="25" t="n"/>
      <c r="I714" s="25" t="n"/>
      <c r="J714" s="25" t="n"/>
      <c r="K714" s="25" t="n"/>
      <c r="L714" s="25" t="n"/>
      <c r="M714" s="25" t="n"/>
      <c r="N714" s="25" t="n"/>
      <c r="O714" s="25" t="n"/>
      <c r="P714" s="25" t="n"/>
      <c r="Q714" s="25" t="n"/>
    </row>
    <row r="715">
      <c r="E715" s="24">
        <f>'클럭 정리'!A716</f>
        <v/>
      </c>
      <c r="F715" s="23">
        <f>'클럭 정리'!O716</f>
        <v/>
      </c>
      <c r="G715" s="25" t="n"/>
      <c r="H715" s="25" t="n"/>
      <c r="I715" s="25" t="n"/>
      <c r="J715" s="25" t="n"/>
      <c r="K715" s="25" t="n"/>
      <c r="L715" s="25" t="n"/>
      <c r="M715" s="25" t="n"/>
      <c r="N715" s="25" t="n"/>
      <c r="O715" s="25" t="n"/>
      <c r="P715" s="25" t="n"/>
      <c r="Q715" s="25" t="n"/>
    </row>
    <row r="716">
      <c r="E716" s="24">
        <f>'클럭 정리'!A717</f>
        <v/>
      </c>
      <c r="F716" s="23">
        <f>'클럭 정리'!O717</f>
        <v/>
      </c>
      <c r="G716" s="25" t="n"/>
      <c r="H716" s="25" t="n"/>
      <c r="I716" s="25" t="n"/>
      <c r="J716" s="25" t="n"/>
      <c r="K716" s="25" t="n"/>
      <c r="L716" s="25" t="n"/>
      <c r="M716" s="25" t="n"/>
      <c r="N716" s="25" t="n"/>
      <c r="O716" s="25" t="n"/>
      <c r="P716" s="25" t="n"/>
      <c r="Q716" s="25" t="n"/>
    </row>
    <row r="717">
      <c r="E717" s="24">
        <f>'클럭 정리'!A718</f>
        <v/>
      </c>
      <c r="F717" s="23">
        <f>'클럭 정리'!O718</f>
        <v/>
      </c>
      <c r="G717" s="25" t="n"/>
      <c r="H717" s="25" t="n"/>
      <c r="I717" s="25" t="n"/>
      <c r="J717" s="25" t="n"/>
      <c r="K717" s="25" t="n"/>
      <c r="L717" s="25" t="n"/>
      <c r="M717" s="25" t="n"/>
      <c r="N717" s="25" t="n"/>
      <c r="O717" s="25" t="n"/>
      <c r="P717" s="25" t="n"/>
      <c r="Q717" s="25" t="n"/>
    </row>
    <row r="718">
      <c r="E718" s="24">
        <f>'클럭 정리'!A719</f>
        <v/>
      </c>
      <c r="F718" s="23">
        <f>'클럭 정리'!O719</f>
        <v/>
      </c>
      <c r="G718" s="25" t="n"/>
      <c r="H718" s="25" t="n"/>
      <c r="I718" s="25" t="n"/>
      <c r="J718" s="25" t="n"/>
      <c r="K718" s="25" t="n"/>
      <c r="L718" s="25" t="n"/>
      <c r="M718" s="25" t="n"/>
      <c r="N718" s="25" t="n"/>
      <c r="O718" s="25" t="n"/>
      <c r="P718" s="25" t="n"/>
      <c r="Q718" s="25" t="n"/>
    </row>
    <row r="719">
      <c r="E719" s="24">
        <f>'클럭 정리'!A720</f>
        <v/>
      </c>
      <c r="F719" s="23">
        <f>'클럭 정리'!O720</f>
        <v/>
      </c>
      <c r="G719" s="25" t="n"/>
      <c r="H719" s="25" t="n"/>
      <c r="I719" s="25" t="n"/>
      <c r="J719" s="25" t="n"/>
      <c r="K719" s="25" t="n"/>
      <c r="L719" s="25" t="n"/>
      <c r="M719" s="25" t="n"/>
      <c r="N719" s="25" t="n"/>
      <c r="O719" s="25" t="n"/>
      <c r="P719" s="25" t="n"/>
      <c r="Q719" s="25" t="n"/>
    </row>
    <row r="720">
      <c r="E720" s="24">
        <f>'클럭 정리'!A721</f>
        <v/>
      </c>
      <c r="F720" s="23">
        <f>'클럭 정리'!O721</f>
        <v/>
      </c>
      <c r="G720" s="25" t="n"/>
      <c r="H720" s="25" t="n"/>
      <c r="I720" s="25" t="n"/>
      <c r="J720" s="25" t="n"/>
      <c r="K720" s="25" t="n"/>
      <c r="L720" s="25" t="n"/>
      <c r="M720" s="25" t="n"/>
      <c r="N720" s="25" t="n"/>
      <c r="O720" s="25" t="n"/>
      <c r="P720" s="25" t="n"/>
      <c r="Q720" s="25" t="n"/>
    </row>
    <row r="721">
      <c r="E721" s="24">
        <f>'클럭 정리'!A722</f>
        <v/>
      </c>
      <c r="F721" s="23">
        <f>'클럭 정리'!O722</f>
        <v/>
      </c>
      <c r="G721" s="25" t="n"/>
      <c r="H721" s="25" t="n"/>
      <c r="I721" s="25" t="n"/>
      <c r="J721" s="25" t="n"/>
      <c r="K721" s="25" t="n"/>
      <c r="L721" s="25" t="n"/>
      <c r="M721" s="25" t="n"/>
      <c r="N721" s="25" t="n"/>
      <c r="O721" s="25" t="n"/>
      <c r="P721" s="25" t="n"/>
      <c r="Q721" s="25" t="n"/>
    </row>
    <row r="722">
      <c r="E722" s="24">
        <f>'클럭 정리'!A723</f>
        <v/>
      </c>
      <c r="F722" s="23">
        <f>'클럭 정리'!O723</f>
        <v/>
      </c>
      <c r="G722" s="25" t="n"/>
      <c r="H722" s="25" t="n"/>
      <c r="I722" s="25" t="n"/>
      <c r="J722" s="25" t="n"/>
      <c r="K722" s="25" t="n"/>
      <c r="L722" s="25" t="n"/>
      <c r="M722" s="25" t="n"/>
      <c r="N722" s="25" t="n"/>
      <c r="O722" s="25" t="n"/>
      <c r="P722" s="25" t="n"/>
      <c r="Q722" s="25" t="n"/>
    </row>
    <row r="723">
      <c r="E723" s="24">
        <f>'클럭 정리'!A724</f>
        <v/>
      </c>
      <c r="F723" s="23">
        <f>'클럭 정리'!O724</f>
        <v/>
      </c>
      <c r="G723" s="25" t="n"/>
      <c r="H723" s="25" t="n"/>
      <c r="I723" s="25" t="n"/>
      <c r="J723" s="25" t="n"/>
      <c r="K723" s="25" t="n"/>
      <c r="L723" s="25" t="n"/>
      <c r="M723" s="25" t="n"/>
      <c r="N723" s="25" t="n"/>
      <c r="O723" s="25" t="n"/>
      <c r="P723" s="25" t="n"/>
      <c r="Q723" s="25" t="n"/>
    </row>
    <row r="724">
      <c r="E724" s="24">
        <f>'클럭 정리'!A725</f>
        <v/>
      </c>
      <c r="F724" s="23">
        <f>'클럭 정리'!O725</f>
        <v/>
      </c>
      <c r="G724" s="25" t="n"/>
      <c r="H724" s="25" t="n"/>
      <c r="I724" s="25" t="n"/>
      <c r="J724" s="25" t="n"/>
      <c r="K724" s="25" t="n"/>
      <c r="L724" s="25" t="n"/>
      <c r="M724" s="25" t="n"/>
      <c r="N724" s="25" t="n"/>
      <c r="O724" s="25" t="n"/>
      <c r="P724" s="25" t="n"/>
      <c r="Q724" s="25" t="n"/>
    </row>
    <row r="725">
      <c r="E725" s="24">
        <f>'클럭 정리'!A726</f>
        <v/>
      </c>
      <c r="F725" s="23">
        <f>'클럭 정리'!O726</f>
        <v/>
      </c>
      <c r="G725" s="25" t="n"/>
      <c r="H725" s="25" t="n"/>
      <c r="I725" s="25" t="n"/>
      <c r="J725" s="25" t="n"/>
      <c r="K725" s="25" t="n"/>
      <c r="L725" s="25" t="n"/>
      <c r="M725" s="25" t="n"/>
      <c r="N725" s="25" t="n"/>
      <c r="O725" s="25" t="n"/>
      <c r="P725" s="25" t="n"/>
      <c r="Q725" s="25" t="n"/>
    </row>
    <row r="726">
      <c r="E726" s="24">
        <f>'클럭 정리'!A727</f>
        <v/>
      </c>
      <c r="F726" s="23">
        <f>'클럭 정리'!O727</f>
        <v/>
      </c>
      <c r="G726" s="25" t="n"/>
      <c r="H726" s="25" t="n"/>
      <c r="I726" s="25" t="n"/>
      <c r="J726" s="25" t="n"/>
      <c r="K726" s="25" t="n"/>
      <c r="L726" s="25" t="n"/>
      <c r="M726" s="25" t="n"/>
      <c r="N726" s="25" t="n"/>
      <c r="O726" s="25" t="n"/>
      <c r="P726" s="25" t="n"/>
      <c r="Q726" s="25" t="n"/>
    </row>
    <row r="727">
      <c r="E727" s="24">
        <f>'클럭 정리'!A728</f>
        <v/>
      </c>
      <c r="F727" s="23">
        <f>'클럭 정리'!O728</f>
        <v/>
      </c>
      <c r="G727" s="25" t="n"/>
      <c r="H727" s="25" t="n"/>
      <c r="I727" s="25" t="n"/>
      <c r="J727" s="25" t="n"/>
      <c r="K727" s="25" t="n"/>
      <c r="L727" s="25" t="n"/>
      <c r="M727" s="25" t="n"/>
      <c r="N727" s="25" t="n"/>
      <c r="O727" s="25" t="n"/>
      <c r="P727" s="25" t="n"/>
      <c r="Q727" s="25" t="n"/>
    </row>
    <row r="728">
      <c r="E728" s="24">
        <f>'클럭 정리'!A729</f>
        <v/>
      </c>
      <c r="F728" s="23">
        <f>'클럭 정리'!O729</f>
        <v/>
      </c>
      <c r="G728" s="25" t="n"/>
      <c r="H728" s="25" t="n"/>
      <c r="I728" s="25" t="n"/>
      <c r="J728" s="25" t="n"/>
      <c r="K728" s="25" t="n"/>
      <c r="L728" s="25" t="n"/>
      <c r="M728" s="25" t="n"/>
      <c r="N728" s="25" t="n"/>
      <c r="O728" s="25" t="n"/>
      <c r="P728" s="25" t="n"/>
      <c r="Q728" s="25" t="n"/>
    </row>
    <row r="729">
      <c r="E729" s="24">
        <f>'클럭 정리'!A730</f>
        <v/>
      </c>
      <c r="F729" s="23">
        <f>'클럭 정리'!O730</f>
        <v/>
      </c>
      <c r="G729" s="25" t="n"/>
      <c r="H729" s="25" t="n"/>
      <c r="I729" s="25" t="n"/>
      <c r="J729" s="25" t="n"/>
      <c r="K729" s="25" t="n"/>
      <c r="L729" s="25" t="n"/>
      <c r="M729" s="25" t="n"/>
      <c r="N729" s="25" t="n"/>
      <c r="O729" s="25" t="n"/>
      <c r="P729" s="25" t="n"/>
      <c r="Q729" s="25" t="n"/>
    </row>
    <row r="730">
      <c r="E730" s="24">
        <f>'클럭 정리'!A731</f>
        <v/>
      </c>
      <c r="F730" s="23">
        <f>'클럭 정리'!O731</f>
        <v/>
      </c>
      <c r="G730" s="25" t="n"/>
      <c r="H730" s="25" t="n"/>
      <c r="I730" s="25" t="n"/>
      <c r="J730" s="25" t="n"/>
      <c r="K730" s="25" t="n"/>
      <c r="L730" s="25" t="n"/>
      <c r="M730" s="25" t="n"/>
      <c r="N730" s="25" t="n"/>
      <c r="O730" s="25" t="n"/>
      <c r="P730" s="25" t="n"/>
      <c r="Q730" s="25" t="n"/>
    </row>
    <row r="731">
      <c r="E731" s="24">
        <f>'클럭 정리'!A732</f>
        <v/>
      </c>
      <c r="F731" s="23">
        <f>'클럭 정리'!O732</f>
        <v/>
      </c>
      <c r="G731" s="25" t="n"/>
      <c r="H731" s="25" t="n"/>
      <c r="I731" s="25" t="n"/>
      <c r="J731" s="25" t="n"/>
      <c r="K731" s="25" t="n"/>
      <c r="L731" s="25" t="n"/>
      <c r="M731" s="25" t="n"/>
      <c r="N731" s="25" t="n"/>
      <c r="O731" s="25" t="n"/>
      <c r="P731" s="25" t="n"/>
      <c r="Q731" s="25" t="n"/>
    </row>
    <row r="732">
      <c r="E732" s="24">
        <f>'클럭 정리'!A733</f>
        <v/>
      </c>
      <c r="F732" s="23">
        <f>'클럭 정리'!O733</f>
        <v/>
      </c>
      <c r="G732" s="25" t="n"/>
      <c r="H732" s="25" t="n"/>
      <c r="I732" s="25" t="n"/>
      <c r="J732" s="25" t="n"/>
      <c r="K732" s="25" t="n"/>
      <c r="L732" s="25" t="n"/>
      <c r="M732" s="25" t="n"/>
      <c r="N732" s="25" t="n"/>
      <c r="O732" s="25" t="n"/>
      <c r="P732" s="25" t="n"/>
      <c r="Q732" s="25" t="n"/>
    </row>
    <row r="733">
      <c r="E733" s="24">
        <f>'클럭 정리'!A734</f>
        <v/>
      </c>
      <c r="F733" s="23">
        <f>'클럭 정리'!O734</f>
        <v/>
      </c>
      <c r="G733" s="25" t="n"/>
      <c r="H733" s="25" t="n"/>
      <c r="I733" s="25" t="n"/>
      <c r="J733" s="25" t="n"/>
      <c r="K733" s="25" t="n"/>
      <c r="L733" s="25" t="n"/>
      <c r="M733" s="25" t="n"/>
      <c r="N733" s="25" t="n"/>
      <c r="O733" s="25" t="n"/>
      <c r="P733" s="25" t="n"/>
      <c r="Q733" s="25" t="n"/>
    </row>
    <row r="734">
      <c r="E734" s="24">
        <f>'클럭 정리'!A735</f>
        <v/>
      </c>
      <c r="F734" s="23">
        <f>'클럭 정리'!O735</f>
        <v/>
      </c>
      <c r="G734" s="25" t="n"/>
      <c r="H734" s="25" t="n"/>
      <c r="I734" s="25" t="n"/>
      <c r="J734" s="25" t="n"/>
      <c r="K734" s="25" t="n"/>
      <c r="L734" s="25" t="n"/>
      <c r="M734" s="25" t="n"/>
      <c r="N734" s="25" t="n"/>
      <c r="O734" s="25" t="n"/>
      <c r="P734" s="25" t="n"/>
      <c r="Q734" s="25" t="n"/>
    </row>
    <row r="735">
      <c r="E735" s="24">
        <f>'클럭 정리'!A736</f>
        <v/>
      </c>
      <c r="F735" s="23">
        <f>'클럭 정리'!O736</f>
        <v/>
      </c>
      <c r="G735" s="25" t="n"/>
      <c r="H735" s="25" t="n"/>
      <c r="I735" s="25" t="n"/>
      <c r="J735" s="25" t="n"/>
      <c r="K735" s="25" t="n"/>
      <c r="L735" s="25" t="n"/>
      <c r="M735" s="25" t="n"/>
      <c r="N735" s="25" t="n"/>
      <c r="O735" s="25" t="n"/>
      <c r="P735" s="25" t="n"/>
      <c r="Q735" s="25" t="n"/>
    </row>
    <row r="736">
      <c r="E736" s="24">
        <f>'클럭 정리'!A737</f>
        <v/>
      </c>
      <c r="F736" s="23">
        <f>'클럭 정리'!O737</f>
        <v/>
      </c>
      <c r="G736" s="25" t="n"/>
      <c r="H736" s="25" t="n"/>
      <c r="I736" s="25" t="n"/>
      <c r="J736" s="25" t="n"/>
      <c r="K736" s="25" t="n"/>
      <c r="L736" s="25" t="n"/>
      <c r="M736" s="25" t="n"/>
      <c r="N736" s="25" t="n"/>
      <c r="O736" s="25" t="n"/>
      <c r="P736" s="25" t="n"/>
      <c r="Q736" s="25" t="n"/>
    </row>
    <row r="737">
      <c r="E737" s="24">
        <f>'클럭 정리'!A738</f>
        <v/>
      </c>
      <c r="F737" s="23">
        <f>'클럭 정리'!O738</f>
        <v/>
      </c>
      <c r="G737" s="25" t="n"/>
      <c r="H737" s="25" t="n"/>
      <c r="I737" s="25" t="n"/>
      <c r="J737" s="25" t="n"/>
      <c r="K737" s="25" t="n"/>
      <c r="L737" s="25" t="n"/>
      <c r="M737" s="25" t="n"/>
      <c r="N737" s="25" t="n"/>
      <c r="O737" s="25" t="n"/>
      <c r="P737" s="25" t="n"/>
      <c r="Q737" s="25" t="n"/>
    </row>
    <row r="738">
      <c r="E738" s="24">
        <f>'클럭 정리'!A739</f>
        <v/>
      </c>
      <c r="F738" s="23">
        <f>'클럭 정리'!O739</f>
        <v/>
      </c>
      <c r="G738" s="25" t="n"/>
      <c r="H738" s="25" t="n"/>
      <c r="I738" s="25" t="n"/>
      <c r="J738" s="25" t="n"/>
      <c r="K738" s="25" t="n"/>
      <c r="L738" s="25" t="n"/>
      <c r="M738" s="25" t="n"/>
      <c r="N738" s="25" t="n"/>
      <c r="O738" s="25" t="n"/>
      <c r="P738" s="25" t="n"/>
      <c r="Q738" s="25" t="n"/>
    </row>
    <row r="739">
      <c r="E739" s="24">
        <f>'클럭 정리'!A740</f>
        <v/>
      </c>
      <c r="F739" s="23">
        <f>'클럭 정리'!O740</f>
        <v/>
      </c>
      <c r="G739" s="25" t="n"/>
      <c r="H739" s="25" t="n"/>
      <c r="I739" s="25" t="n"/>
      <c r="J739" s="25" t="n"/>
      <c r="K739" s="25" t="n"/>
      <c r="L739" s="25" t="n"/>
      <c r="M739" s="25" t="n"/>
      <c r="N739" s="25" t="n"/>
      <c r="O739" s="25" t="n"/>
      <c r="P739" s="25" t="n"/>
      <c r="Q739" s="25" t="n"/>
    </row>
    <row r="740">
      <c r="E740" s="24">
        <f>'클럭 정리'!A741</f>
        <v/>
      </c>
      <c r="F740" s="23">
        <f>'클럭 정리'!O741</f>
        <v/>
      </c>
      <c r="G740" s="25" t="n"/>
      <c r="H740" s="25" t="n"/>
      <c r="I740" s="25" t="n"/>
      <c r="J740" s="25" t="n"/>
      <c r="K740" s="25" t="n"/>
      <c r="L740" s="25" t="n"/>
      <c r="M740" s="25" t="n"/>
      <c r="N740" s="25" t="n"/>
      <c r="O740" s="25" t="n"/>
      <c r="P740" s="25" t="n"/>
      <c r="Q740" s="25" t="n"/>
    </row>
    <row r="741">
      <c r="E741" s="24">
        <f>'클럭 정리'!A742</f>
        <v/>
      </c>
      <c r="F741" s="23">
        <f>'클럭 정리'!O742</f>
        <v/>
      </c>
      <c r="G741" s="25" t="n"/>
      <c r="H741" s="25" t="n"/>
      <c r="I741" s="25" t="n"/>
      <c r="J741" s="25" t="n"/>
      <c r="K741" s="25" t="n"/>
      <c r="L741" s="25" t="n"/>
      <c r="M741" s="25" t="n"/>
      <c r="N741" s="25" t="n"/>
      <c r="O741" s="25" t="n"/>
      <c r="P741" s="25" t="n"/>
      <c r="Q741" s="25" t="n"/>
    </row>
    <row r="742">
      <c r="E742" s="24">
        <f>'클럭 정리'!A743</f>
        <v/>
      </c>
      <c r="F742" s="23">
        <f>'클럭 정리'!O743</f>
        <v/>
      </c>
      <c r="G742" s="25" t="n"/>
      <c r="H742" s="25" t="n"/>
      <c r="I742" s="25" t="n"/>
      <c r="J742" s="25" t="n"/>
      <c r="K742" s="25" t="n"/>
      <c r="L742" s="25" t="n"/>
      <c r="M742" s="25" t="n"/>
      <c r="N742" s="25" t="n"/>
      <c r="O742" s="25" t="n"/>
      <c r="P742" s="25" t="n"/>
      <c r="Q742" s="25" t="n"/>
    </row>
    <row r="743">
      <c r="E743" s="24">
        <f>'클럭 정리'!A744</f>
        <v/>
      </c>
      <c r="F743" s="23">
        <f>'클럭 정리'!O744</f>
        <v/>
      </c>
      <c r="G743" s="25" t="n"/>
      <c r="H743" s="25" t="n"/>
      <c r="I743" s="25" t="n"/>
      <c r="J743" s="25" t="n"/>
      <c r="K743" s="25" t="n"/>
      <c r="L743" s="25" t="n"/>
      <c r="M743" s="25" t="n"/>
      <c r="N743" s="25" t="n"/>
      <c r="O743" s="25" t="n"/>
      <c r="P743" s="25" t="n"/>
      <c r="Q743" s="25" t="n"/>
    </row>
    <row r="744">
      <c r="E744" s="24">
        <f>'클럭 정리'!A745</f>
        <v/>
      </c>
      <c r="F744" s="23">
        <f>'클럭 정리'!O745</f>
        <v/>
      </c>
      <c r="G744" s="25" t="n"/>
      <c r="H744" s="25" t="n"/>
      <c r="I744" s="25" t="n"/>
      <c r="J744" s="25" t="n"/>
      <c r="K744" s="25" t="n"/>
      <c r="L744" s="25" t="n"/>
      <c r="M744" s="25" t="n"/>
      <c r="N744" s="25" t="n"/>
      <c r="O744" s="25" t="n"/>
      <c r="P744" s="25" t="n"/>
      <c r="Q744" s="25" t="n"/>
    </row>
    <row r="745">
      <c r="E745" s="24">
        <f>'클럭 정리'!A746</f>
        <v/>
      </c>
      <c r="F745" s="23">
        <f>'클럭 정리'!O746</f>
        <v/>
      </c>
      <c r="G745" s="25" t="n"/>
      <c r="H745" s="25" t="n"/>
      <c r="I745" s="25" t="n"/>
      <c r="J745" s="25" t="n"/>
      <c r="K745" s="25" t="n"/>
      <c r="L745" s="25" t="n"/>
      <c r="M745" s="25" t="n"/>
      <c r="N745" s="25" t="n"/>
      <c r="O745" s="25" t="n"/>
      <c r="P745" s="25" t="n"/>
      <c r="Q745" s="25" t="n"/>
    </row>
    <row r="746">
      <c r="E746" s="24">
        <f>'클럭 정리'!A747</f>
        <v/>
      </c>
      <c r="F746" s="23">
        <f>'클럭 정리'!O747</f>
        <v/>
      </c>
      <c r="G746" s="25" t="n"/>
      <c r="H746" s="25" t="n"/>
      <c r="I746" s="25" t="n"/>
      <c r="J746" s="25" t="n"/>
      <c r="K746" s="25" t="n"/>
      <c r="L746" s="25" t="n"/>
      <c r="M746" s="25" t="n"/>
      <c r="N746" s="25" t="n"/>
      <c r="O746" s="25" t="n"/>
      <c r="P746" s="25" t="n"/>
      <c r="Q746" s="25" t="n"/>
    </row>
    <row r="747">
      <c r="E747" s="24">
        <f>'클럭 정리'!A748</f>
        <v/>
      </c>
      <c r="F747" s="23">
        <f>'클럭 정리'!O748</f>
        <v/>
      </c>
      <c r="G747" s="25" t="n"/>
      <c r="H747" s="25" t="n"/>
      <c r="I747" s="25" t="n"/>
      <c r="J747" s="25" t="n"/>
      <c r="K747" s="25" t="n"/>
      <c r="L747" s="25" t="n"/>
      <c r="M747" s="25" t="n"/>
      <c r="N747" s="25" t="n"/>
      <c r="O747" s="25" t="n"/>
      <c r="P747" s="25" t="n"/>
      <c r="Q747" s="25" t="n"/>
    </row>
    <row r="748">
      <c r="E748" s="24">
        <f>'클럭 정리'!A749</f>
        <v/>
      </c>
      <c r="F748" s="23">
        <f>'클럭 정리'!O749</f>
        <v/>
      </c>
      <c r="G748" s="25" t="n"/>
      <c r="H748" s="25" t="n"/>
      <c r="I748" s="25" t="n"/>
      <c r="J748" s="25" t="n"/>
      <c r="K748" s="25" t="n"/>
      <c r="L748" s="25" t="n"/>
      <c r="M748" s="25" t="n"/>
      <c r="N748" s="25" t="n"/>
      <c r="O748" s="25" t="n"/>
      <c r="P748" s="25" t="n"/>
      <c r="Q748" s="25" t="n"/>
    </row>
    <row r="749">
      <c r="E749" s="24">
        <f>'클럭 정리'!A750</f>
        <v/>
      </c>
      <c r="F749" s="23">
        <f>'클럭 정리'!O750</f>
        <v/>
      </c>
      <c r="G749" s="25" t="n"/>
      <c r="H749" s="25" t="n"/>
      <c r="I749" s="25" t="n"/>
      <c r="J749" s="25" t="n"/>
      <c r="K749" s="25" t="n"/>
      <c r="L749" s="25" t="n"/>
      <c r="M749" s="25" t="n"/>
      <c r="N749" s="25" t="n"/>
      <c r="O749" s="25" t="n"/>
      <c r="P749" s="25" t="n"/>
      <c r="Q749" s="25" t="n"/>
    </row>
    <row r="750">
      <c r="E750" s="24">
        <f>'클럭 정리'!A751</f>
        <v/>
      </c>
      <c r="F750" s="23">
        <f>'클럭 정리'!O751</f>
        <v/>
      </c>
      <c r="G750" s="25" t="n"/>
      <c r="H750" s="25" t="n"/>
      <c r="I750" s="25" t="n"/>
      <c r="J750" s="25" t="n"/>
      <c r="K750" s="25" t="n"/>
      <c r="L750" s="25" t="n"/>
      <c r="M750" s="25" t="n"/>
      <c r="N750" s="25" t="n"/>
      <c r="O750" s="25" t="n"/>
      <c r="P750" s="25" t="n"/>
      <c r="Q750" s="25" t="n"/>
    </row>
    <row r="751">
      <c r="E751" s="24">
        <f>'클럭 정리'!A752</f>
        <v/>
      </c>
      <c r="F751" s="23">
        <f>'클럭 정리'!O752</f>
        <v/>
      </c>
      <c r="G751" s="25" t="n"/>
      <c r="H751" s="25" t="n"/>
      <c r="I751" s="25" t="n"/>
      <c r="J751" s="25" t="n"/>
      <c r="K751" s="25" t="n"/>
      <c r="L751" s="25" t="n"/>
      <c r="M751" s="25" t="n"/>
      <c r="N751" s="25" t="n"/>
      <c r="O751" s="25" t="n"/>
      <c r="P751" s="25" t="n"/>
      <c r="Q751" s="25" t="n"/>
    </row>
    <row r="752">
      <c r="E752" s="24">
        <f>'클럭 정리'!A753</f>
        <v/>
      </c>
      <c r="F752" s="23">
        <f>'클럭 정리'!O753</f>
        <v/>
      </c>
      <c r="G752" s="25" t="n"/>
      <c r="H752" s="25" t="n"/>
      <c r="I752" s="25" t="n"/>
      <c r="J752" s="25" t="n"/>
      <c r="K752" s="25" t="n"/>
      <c r="L752" s="25" t="n"/>
      <c r="M752" s="25" t="n"/>
      <c r="N752" s="25" t="n"/>
      <c r="O752" s="25" t="n"/>
      <c r="P752" s="25" t="n"/>
      <c r="Q752" s="25" t="n"/>
    </row>
    <row r="753">
      <c r="E753" s="24">
        <f>'클럭 정리'!A754</f>
        <v/>
      </c>
      <c r="F753" s="23">
        <f>'클럭 정리'!O754</f>
        <v/>
      </c>
      <c r="G753" s="25" t="n"/>
      <c r="H753" s="25" t="n"/>
      <c r="I753" s="25" t="n"/>
      <c r="J753" s="25" t="n"/>
      <c r="K753" s="25" t="n"/>
      <c r="L753" s="25" t="n"/>
      <c r="M753" s="25" t="n"/>
      <c r="N753" s="25" t="n"/>
      <c r="O753" s="25" t="n"/>
      <c r="P753" s="25" t="n"/>
      <c r="Q753" s="25" t="n"/>
    </row>
    <row r="754">
      <c r="E754" s="24">
        <f>'클럭 정리'!A755</f>
        <v/>
      </c>
      <c r="F754" s="23">
        <f>'클럭 정리'!O755</f>
        <v/>
      </c>
      <c r="G754" s="25" t="n"/>
      <c r="H754" s="25" t="n"/>
      <c r="I754" s="25" t="n"/>
      <c r="J754" s="25" t="n"/>
      <c r="K754" s="25" t="n"/>
      <c r="L754" s="25" t="n"/>
      <c r="M754" s="25" t="n"/>
      <c r="N754" s="25" t="n"/>
      <c r="O754" s="25" t="n"/>
      <c r="P754" s="25" t="n"/>
      <c r="Q754" s="25" t="n"/>
    </row>
    <row r="755">
      <c r="E755" s="24">
        <f>'클럭 정리'!A756</f>
        <v/>
      </c>
      <c r="F755" s="23">
        <f>'클럭 정리'!O756</f>
        <v/>
      </c>
      <c r="G755" s="25" t="n"/>
      <c r="H755" s="25" t="n"/>
      <c r="I755" s="25" t="n"/>
      <c r="J755" s="25" t="n"/>
      <c r="K755" s="25" t="n"/>
      <c r="L755" s="25" t="n"/>
      <c r="M755" s="25" t="n"/>
      <c r="N755" s="25" t="n"/>
      <c r="O755" s="25" t="n"/>
      <c r="P755" s="25" t="n"/>
      <c r="Q755" s="25" t="n"/>
    </row>
    <row r="756">
      <c r="E756" s="24">
        <f>'클럭 정리'!A757</f>
        <v/>
      </c>
      <c r="F756" s="23">
        <f>'클럭 정리'!O757</f>
        <v/>
      </c>
      <c r="G756" s="25" t="n"/>
      <c r="H756" s="25" t="n"/>
      <c r="I756" s="25" t="n"/>
      <c r="J756" s="25" t="n"/>
      <c r="K756" s="25" t="n"/>
      <c r="L756" s="25" t="n"/>
      <c r="M756" s="25" t="n"/>
      <c r="N756" s="25" t="n"/>
      <c r="O756" s="25" t="n"/>
      <c r="P756" s="25" t="n"/>
      <c r="Q756" s="25" t="n"/>
    </row>
    <row r="757">
      <c r="E757" s="24">
        <f>'클럭 정리'!A758</f>
        <v/>
      </c>
      <c r="F757" s="23">
        <f>'클럭 정리'!O758</f>
        <v/>
      </c>
      <c r="G757" s="25" t="n"/>
      <c r="H757" s="25" t="n"/>
      <c r="I757" s="25" t="n"/>
      <c r="J757" s="25" t="n"/>
      <c r="K757" s="25" t="n"/>
      <c r="L757" s="25" t="n"/>
      <c r="M757" s="25" t="n"/>
      <c r="N757" s="25" t="n"/>
      <c r="O757" s="25" t="n"/>
      <c r="P757" s="25" t="n"/>
      <c r="Q757" s="25" t="n"/>
    </row>
    <row r="758">
      <c r="E758" s="24">
        <f>'클럭 정리'!A759</f>
        <v/>
      </c>
      <c r="F758" s="23">
        <f>'클럭 정리'!O759</f>
        <v/>
      </c>
      <c r="G758" s="25" t="n"/>
      <c r="H758" s="25" t="n"/>
      <c r="I758" s="25" t="n"/>
      <c r="J758" s="25" t="n"/>
      <c r="K758" s="25" t="n"/>
      <c r="L758" s="25" t="n"/>
      <c r="M758" s="25" t="n"/>
      <c r="N758" s="25" t="n"/>
      <c r="O758" s="25" t="n"/>
      <c r="P758" s="25" t="n"/>
      <c r="Q758" s="25" t="n"/>
    </row>
    <row r="759">
      <c r="E759" s="24">
        <f>'클럭 정리'!A760</f>
        <v/>
      </c>
      <c r="F759" s="23">
        <f>'클럭 정리'!O760</f>
        <v/>
      </c>
      <c r="G759" s="25" t="n"/>
      <c r="H759" s="25" t="n"/>
      <c r="I759" s="25" t="n"/>
      <c r="J759" s="25" t="n"/>
      <c r="K759" s="25" t="n"/>
      <c r="L759" s="25" t="n"/>
      <c r="M759" s="25" t="n"/>
      <c r="N759" s="25" t="n"/>
      <c r="O759" s="25" t="n"/>
      <c r="P759" s="25" t="n"/>
      <c r="Q759" s="25" t="n"/>
    </row>
    <row r="760">
      <c r="E760" s="24">
        <f>'클럭 정리'!A761</f>
        <v/>
      </c>
      <c r="F760" s="23">
        <f>'클럭 정리'!O761</f>
        <v/>
      </c>
      <c r="G760" s="25" t="n"/>
      <c r="H760" s="25" t="n"/>
      <c r="I760" s="25" t="n"/>
      <c r="J760" s="25" t="n"/>
      <c r="K760" s="25" t="n"/>
      <c r="L760" s="25" t="n"/>
      <c r="M760" s="25" t="n"/>
      <c r="N760" s="25" t="n"/>
      <c r="O760" s="25" t="n"/>
      <c r="P760" s="25" t="n"/>
      <c r="Q760" s="25" t="n"/>
    </row>
    <row r="761">
      <c r="E761" s="24">
        <f>'클럭 정리'!A762</f>
        <v/>
      </c>
      <c r="F761" s="23">
        <f>'클럭 정리'!O762</f>
        <v/>
      </c>
      <c r="G761" s="25" t="n"/>
      <c r="H761" s="25" t="n"/>
      <c r="I761" s="25" t="n"/>
      <c r="J761" s="25" t="n"/>
      <c r="K761" s="25" t="n"/>
      <c r="L761" s="25" t="n"/>
      <c r="M761" s="25" t="n"/>
      <c r="N761" s="25" t="n"/>
      <c r="O761" s="25" t="n"/>
      <c r="P761" s="25" t="n"/>
      <c r="Q761" s="25" t="n"/>
    </row>
    <row r="762">
      <c r="E762" s="24">
        <f>'클럭 정리'!A763</f>
        <v/>
      </c>
      <c r="F762" s="23">
        <f>'클럭 정리'!O763</f>
        <v/>
      </c>
      <c r="G762" s="25" t="n"/>
      <c r="H762" s="25" t="n"/>
      <c r="I762" s="25" t="n"/>
      <c r="J762" s="25" t="n"/>
      <c r="K762" s="25" t="n"/>
      <c r="L762" s="25" t="n"/>
      <c r="M762" s="25" t="n"/>
      <c r="N762" s="25" t="n"/>
      <c r="O762" s="25" t="n"/>
      <c r="P762" s="25" t="n"/>
      <c r="Q762" s="25" t="n"/>
    </row>
    <row r="763">
      <c r="E763" s="24">
        <f>'클럭 정리'!A764</f>
        <v/>
      </c>
      <c r="F763" s="23">
        <f>'클럭 정리'!O764</f>
        <v/>
      </c>
      <c r="G763" s="25" t="n"/>
      <c r="H763" s="25" t="n"/>
      <c r="I763" s="25" t="n"/>
      <c r="J763" s="25" t="n"/>
      <c r="K763" s="25" t="n"/>
      <c r="L763" s="25" t="n"/>
      <c r="M763" s="25" t="n"/>
      <c r="N763" s="25" t="n"/>
      <c r="O763" s="25" t="n"/>
      <c r="P763" s="25" t="n"/>
      <c r="Q763" s="25" t="n"/>
    </row>
    <row r="764">
      <c r="E764" s="24">
        <f>'클럭 정리'!A765</f>
        <v/>
      </c>
      <c r="F764" s="23">
        <f>'클럭 정리'!O765</f>
        <v/>
      </c>
      <c r="G764" s="25" t="n"/>
      <c r="H764" s="25" t="n"/>
      <c r="I764" s="25" t="n"/>
      <c r="J764" s="25" t="n"/>
      <c r="K764" s="25" t="n"/>
      <c r="L764" s="25" t="n"/>
      <c r="M764" s="25" t="n"/>
      <c r="N764" s="25" t="n"/>
      <c r="O764" s="25" t="n"/>
      <c r="P764" s="25" t="n"/>
      <c r="Q764" s="25" t="n"/>
    </row>
    <row r="765">
      <c r="E765" s="24">
        <f>'클럭 정리'!A766</f>
        <v/>
      </c>
      <c r="F765" s="23">
        <f>'클럭 정리'!O766</f>
        <v/>
      </c>
      <c r="G765" s="25" t="n"/>
      <c r="H765" s="25" t="n"/>
      <c r="I765" s="25" t="n"/>
      <c r="J765" s="25" t="n"/>
      <c r="K765" s="25" t="n"/>
      <c r="L765" s="25" t="n"/>
      <c r="M765" s="25" t="n"/>
      <c r="N765" s="25" t="n"/>
      <c r="O765" s="25" t="n"/>
      <c r="P765" s="25" t="n"/>
      <c r="Q765" s="25" t="n"/>
    </row>
    <row r="766">
      <c r="E766" s="24">
        <f>'클럭 정리'!A767</f>
        <v/>
      </c>
      <c r="F766" s="23">
        <f>'클럭 정리'!O767</f>
        <v/>
      </c>
      <c r="G766" s="25" t="n"/>
      <c r="H766" s="25" t="n"/>
      <c r="I766" s="25" t="n"/>
      <c r="J766" s="25" t="n"/>
      <c r="K766" s="25" t="n"/>
      <c r="L766" s="25" t="n"/>
      <c r="M766" s="25" t="n"/>
      <c r="N766" s="25" t="n"/>
      <c r="O766" s="25" t="n"/>
      <c r="P766" s="25" t="n"/>
      <c r="Q766" s="25" t="n"/>
    </row>
    <row r="767">
      <c r="E767" s="24">
        <f>'클럭 정리'!A768</f>
        <v/>
      </c>
      <c r="F767" s="23">
        <f>'클럭 정리'!O768</f>
        <v/>
      </c>
      <c r="G767" s="25" t="n"/>
      <c r="H767" s="25" t="n"/>
      <c r="I767" s="25" t="n"/>
      <c r="J767" s="25" t="n"/>
      <c r="K767" s="25" t="n"/>
      <c r="L767" s="25" t="n"/>
      <c r="M767" s="25" t="n"/>
      <c r="N767" s="25" t="n"/>
      <c r="O767" s="25" t="n"/>
      <c r="P767" s="25" t="n"/>
      <c r="Q767" s="25" t="n"/>
    </row>
    <row r="768">
      <c r="E768" s="24">
        <f>'클럭 정리'!A769</f>
        <v/>
      </c>
      <c r="F768" s="23">
        <f>'클럭 정리'!O769</f>
        <v/>
      </c>
      <c r="G768" s="25" t="n"/>
      <c r="H768" s="25" t="n"/>
      <c r="I768" s="25" t="n"/>
      <c r="J768" s="25" t="n"/>
      <c r="K768" s="25" t="n"/>
      <c r="L768" s="25" t="n"/>
      <c r="M768" s="25" t="n"/>
      <c r="N768" s="25" t="n"/>
      <c r="O768" s="25" t="n"/>
      <c r="P768" s="25" t="n"/>
      <c r="Q768" s="25" t="n"/>
    </row>
    <row r="769">
      <c r="E769" s="24">
        <f>'클럭 정리'!A770</f>
        <v/>
      </c>
      <c r="F769" s="23">
        <f>'클럭 정리'!O770</f>
        <v/>
      </c>
      <c r="G769" s="25" t="n"/>
      <c r="H769" s="25" t="n"/>
      <c r="I769" s="25" t="n"/>
      <c r="J769" s="25" t="n"/>
      <c r="K769" s="25" t="n"/>
      <c r="L769" s="25" t="n"/>
      <c r="M769" s="25" t="n"/>
      <c r="N769" s="25" t="n"/>
      <c r="O769" s="25" t="n"/>
      <c r="P769" s="25" t="n"/>
      <c r="Q769" s="25" t="n"/>
    </row>
    <row r="770">
      <c r="E770" s="24">
        <f>'클럭 정리'!A771</f>
        <v/>
      </c>
      <c r="F770" s="23">
        <f>'클럭 정리'!O771</f>
        <v/>
      </c>
      <c r="G770" s="25" t="n"/>
      <c r="H770" s="25" t="n"/>
      <c r="I770" s="25" t="n"/>
      <c r="J770" s="25" t="n"/>
      <c r="K770" s="25" t="n"/>
      <c r="L770" s="25" t="n"/>
      <c r="M770" s="25" t="n"/>
      <c r="N770" s="25" t="n"/>
      <c r="O770" s="25" t="n"/>
      <c r="P770" s="25" t="n"/>
      <c r="Q770" s="25" t="n"/>
    </row>
    <row r="771">
      <c r="E771" s="24">
        <f>'클럭 정리'!A772</f>
        <v/>
      </c>
      <c r="F771" s="23">
        <f>'클럭 정리'!O772</f>
        <v/>
      </c>
      <c r="G771" s="25" t="n"/>
      <c r="H771" s="25" t="n"/>
      <c r="I771" s="25" t="n"/>
      <c r="J771" s="25" t="n"/>
      <c r="K771" s="25" t="n"/>
      <c r="L771" s="25" t="n"/>
      <c r="M771" s="25" t="n"/>
      <c r="N771" s="25" t="n"/>
      <c r="O771" s="25" t="n"/>
      <c r="P771" s="25" t="n"/>
      <c r="Q771" s="25" t="n"/>
    </row>
    <row r="772">
      <c r="E772" s="24">
        <f>'클럭 정리'!A773</f>
        <v/>
      </c>
      <c r="F772" s="23">
        <f>'클럭 정리'!O773</f>
        <v/>
      </c>
      <c r="G772" s="25" t="n"/>
      <c r="H772" s="25" t="n"/>
      <c r="I772" s="25" t="n"/>
      <c r="J772" s="25" t="n"/>
      <c r="K772" s="25" t="n"/>
      <c r="L772" s="25" t="n"/>
      <c r="M772" s="25" t="n"/>
      <c r="N772" s="25" t="n"/>
      <c r="O772" s="25" t="n"/>
      <c r="P772" s="25" t="n"/>
      <c r="Q772" s="25" t="n"/>
    </row>
    <row r="773">
      <c r="E773" s="24">
        <f>'클럭 정리'!A774</f>
        <v/>
      </c>
      <c r="F773" s="23">
        <f>'클럭 정리'!O774</f>
        <v/>
      </c>
      <c r="G773" s="25" t="n"/>
      <c r="H773" s="25" t="n"/>
      <c r="I773" s="25" t="n"/>
      <c r="J773" s="25" t="n"/>
      <c r="K773" s="25" t="n"/>
      <c r="L773" s="25" t="n"/>
      <c r="M773" s="25" t="n"/>
      <c r="N773" s="25" t="n"/>
      <c r="O773" s="25" t="n"/>
      <c r="P773" s="25" t="n"/>
      <c r="Q773" s="25" t="n"/>
    </row>
    <row r="774">
      <c r="E774" s="24">
        <f>'클럭 정리'!A775</f>
        <v/>
      </c>
      <c r="F774" s="23">
        <f>'클럭 정리'!O775</f>
        <v/>
      </c>
      <c r="G774" s="25" t="n"/>
      <c r="H774" s="25" t="n"/>
      <c r="I774" s="25" t="n"/>
      <c r="J774" s="25" t="n"/>
      <c r="K774" s="25" t="n"/>
      <c r="L774" s="25" t="n"/>
      <c r="M774" s="25" t="n"/>
      <c r="N774" s="25" t="n"/>
      <c r="O774" s="25" t="n"/>
      <c r="P774" s="25" t="n"/>
      <c r="Q774" s="25" t="n"/>
    </row>
    <row r="775">
      <c r="E775" s="24">
        <f>'클럭 정리'!A776</f>
        <v/>
      </c>
      <c r="F775" s="23">
        <f>'클럭 정리'!O776</f>
        <v/>
      </c>
      <c r="G775" s="25" t="n"/>
      <c r="H775" s="25" t="n"/>
      <c r="I775" s="25" t="n"/>
      <c r="J775" s="25" t="n"/>
      <c r="K775" s="25" t="n"/>
      <c r="L775" s="25" t="n"/>
      <c r="M775" s="25" t="n"/>
      <c r="N775" s="25" t="n"/>
      <c r="O775" s="25" t="n"/>
      <c r="P775" s="25" t="n"/>
      <c r="Q775" s="25" t="n"/>
    </row>
    <row r="776">
      <c r="E776" s="24">
        <f>'클럭 정리'!A777</f>
        <v/>
      </c>
      <c r="F776" s="23">
        <f>'클럭 정리'!O777</f>
        <v/>
      </c>
      <c r="G776" s="25" t="n"/>
      <c r="H776" s="25" t="n"/>
      <c r="I776" s="25" t="n"/>
      <c r="J776" s="25" t="n"/>
      <c r="K776" s="25" t="n"/>
      <c r="L776" s="25" t="n"/>
      <c r="M776" s="25" t="n"/>
      <c r="N776" s="25" t="n"/>
      <c r="O776" s="25" t="n"/>
      <c r="P776" s="25" t="n"/>
      <c r="Q776" s="25" t="n"/>
    </row>
    <row r="777">
      <c r="E777" s="24">
        <f>'클럭 정리'!A778</f>
        <v/>
      </c>
      <c r="F777" s="23">
        <f>'클럭 정리'!O778</f>
        <v/>
      </c>
      <c r="G777" s="25" t="n"/>
      <c r="H777" s="25" t="n"/>
      <c r="I777" s="25" t="n"/>
      <c r="J777" s="25" t="n"/>
      <c r="K777" s="25" t="n"/>
      <c r="L777" s="25" t="n"/>
      <c r="M777" s="25" t="n"/>
      <c r="N777" s="25" t="n"/>
      <c r="O777" s="25" t="n"/>
      <c r="P777" s="25" t="n"/>
      <c r="Q777" s="25" t="n"/>
    </row>
    <row r="778">
      <c r="E778" s="24">
        <f>'클럭 정리'!A779</f>
        <v/>
      </c>
      <c r="F778" s="23">
        <f>'클럭 정리'!O779</f>
        <v/>
      </c>
      <c r="G778" s="25" t="n"/>
      <c r="H778" s="25" t="n"/>
      <c r="I778" s="25" t="n"/>
      <c r="J778" s="25" t="n"/>
      <c r="K778" s="25" t="n"/>
      <c r="L778" s="25" t="n"/>
      <c r="M778" s="25" t="n"/>
      <c r="N778" s="25" t="n"/>
      <c r="O778" s="25" t="n"/>
      <c r="P778" s="25" t="n"/>
      <c r="Q778" s="25" t="n"/>
    </row>
    <row r="779">
      <c r="E779" s="24">
        <f>'클럭 정리'!A780</f>
        <v/>
      </c>
      <c r="F779" s="23">
        <f>'클럭 정리'!O780</f>
        <v/>
      </c>
      <c r="G779" s="25" t="n"/>
      <c r="H779" s="25" t="n"/>
      <c r="I779" s="25" t="n"/>
      <c r="J779" s="25" t="n"/>
      <c r="K779" s="25" t="n"/>
      <c r="L779" s="25" t="n"/>
      <c r="M779" s="25" t="n"/>
      <c r="N779" s="25" t="n"/>
      <c r="O779" s="25" t="n"/>
      <c r="P779" s="25" t="n"/>
      <c r="Q779" s="25" t="n"/>
    </row>
    <row r="780">
      <c r="E780" s="24">
        <f>'클럭 정리'!A781</f>
        <v/>
      </c>
      <c r="F780" s="23">
        <f>'클럭 정리'!O781</f>
        <v/>
      </c>
      <c r="G780" s="25" t="n"/>
      <c r="H780" s="25" t="n"/>
      <c r="I780" s="25" t="n"/>
      <c r="J780" s="25" t="n"/>
      <c r="K780" s="25" t="n"/>
      <c r="L780" s="25" t="n"/>
      <c r="M780" s="25" t="n"/>
      <c r="N780" s="25" t="n"/>
      <c r="O780" s="25" t="n"/>
      <c r="P780" s="25" t="n"/>
      <c r="Q780" s="25" t="n"/>
    </row>
    <row r="781">
      <c r="E781" s="24">
        <f>'클럭 정리'!A782</f>
        <v/>
      </c>
      <c r="F781" s="23">
        <f>'클럭 정리'!O782</f>
        <v/>
      </c>
      <c r="G781" s="25" t="n"/>
      <c r="H781" s="25" t="n"/>
      <c r="I781" s="25" t="n"/>
      <c r="J781" s="25" t="n"/>
      <c r="K781" s="25" t="n"/>
      <c r="L781" s="25" t="n"/>
      <c r="M781" s="25" t="n"/>
      <c r="N781" s="25" t="n"/>
      <c r="O781" s="25" t="n"/>
      <c r="P781" s="25" t="n"/>
      <c r="Q781" s="25" t="n"/>
    </row>
    <row r="782">
      <c r="E782" s="24">
        <f>'클럭 정리'!A783</f>
        <v/>
      </c>
      <c r="F782" s="23">
        <f>'클럭 정리'!O783</f>
        <v/>
      </c>
      <c r="G782" s="25" t="n"/>
      <c r="H782" s="25" t="n"/>
      <c r="I782" s="25" t="n"/>
      <c r="J782" s="25" t="n"/>
      <c r="K782" s="25" t="n"/>
      <c r="L782" s="25" t="n"/>
      <c r="M782" s="25" t="n"/>
      <c r="N782" s="25" t="n"/>
      <c r="O782" s="25" t="n"/>
      <c r="P782" s="25" t="n"/>
      <c r="Q782" s="25" t="n"/>
    </row>
    <row r="783">
      <c r="E783" s="24">
        <f>'클럭 정리'!A784</f>
        <v/>
      </c>
      <c r="F783" s="23">
        <f>'클럭 정리'!O784</f>
        <v/>
      </c>
      <c r="G783" s="25" t="n"/>
      <c r="H783" s="25" t="n"/>
      <c r="I783" s="25" t="n"/>
      <c r="J783" s="25" t="n"/>
      <c r="K783" s="25" t="n"/>
      <c r="L783" s="25" t="n"/>
      <c r="M783" s="25" t="n"/>
      <c r="N783" s="25" t="n"/>
      <c r="O783" s="25" t="n"/>
      <c r="P783" s="25" t="n"/>
      <c r="Q783" s="25" t="n"/>
    </row>
    <row r="784">
      <c r="E784" s="24">
        <f>'클럭 정리'!A785</f>
        <v/>
      </c>
      <c r="F784" s="23">
        <f>'클럭 정리'!O785</f>
        <v/>
      </c>
      <c r="G784" s="25" t="n"/>
      <c r="H784" s="25" t="n"/>
      <c r="I784" s="25" t="n"/>
      <c r="J784" s="25" t="n"/>
      <c r="K784" s="25" t="n"/>
      <c r="L784" s="25" t="n"/>
      <c r="M784" s="25" t="n"/>
      <c r="N784" s="25" t="n"/>
      <c r="O784" s="25" t="n"/>
      <c r="P784" s="25" t="n"/>
      <c r="Q784" s="25" t="n"/>
    </row>
    <row r="785">
      <c r="E785" s="24">
        <f>'클럭 정리'!A786</f>
        <v/>
      </c>
      <c r="F785" s="23">
        <f>'클럭 정리'!O786</f>
        <v/>
      </c>
      <c r="G785" s="25" t="n"/>
      <c r="H785" s="25" t="n"/>
      <c r="I785" s="25" t="n"/>
      <c r="J785" s="25" t="n"/>
      <c r="K785" s="25" t="n"/>
      <c r="L785" s="25" t="n"/>
      <c r="M785" s="25" t="n"/>
      <c r="N785" s="25" t="n"/>
      <c r="O785" s="25" t="n"/>
      <c r="P785" s="25" t="n"/>
      <c r="Q785" s="25" t="n"/>
    </row>
    <row r="786">
      <c r="E786" s="24">
        <f>'클럭 정리'!A787</f>
        <v/>
      </c>
      <c r="F786" s="23">
        <f>'클럭 정리'!O787</f>
        <v/>
      </c>
      <c r="G786" s="25" t="n"/>
      <c r="H786" s="25" t="n"/>
      <c r="I786" s="25" t="n"/>
      <c r="J786" s="25" t="n"/>
      <c r="K786" s="25" t="n"/>
      <c r="L786" s="25" t="n"/>
      <c r="M786" s="25" t="n"/>
      <c r="N786" s="25" t="n"/>
      <c r="O786" s="25" t="n"/>
      <c r="P786" s="25" t="n"/>
      <c r="Q786" s="25" t="n"/>
    </row>
    <row r="787">
      <c r="E787" s="24">
        <f>'클럭 정리'!A788</f>
        <v/>
      </c>
      <c r="F787" s="23">
        <f>'클럭 정리'!O788</f>
        <v/>
      </c>
      <c r="G787" s="25" t="n"/>
      <c r="H787" s="25" t="n"/>
      <c r="I787" s="25" t="n"/>
      <c r="J787" s="25" t="n"/>
      <c r="K787" s="25" t="n"/>
      <c r="L787" s="25" t="n"/>
      <c r="M787" s="25" t="n"/>
      <c r="N787" s="25" t="n"/>
      <c r="O787" s="25" t="n"/>
      <c r="P787" s="25" t="n"/>
      <c r="Q787" s="25" t="n"/>
    </row>
    <row r="788">
      <c r="E788" s="24">
        <f>'클럭 정리'!A789</f>
        <v/>
      </c>
      <c r="F788" s="23">
        <f>'클럭 정리'!O789</f>
        <v/>
      </c>
      <c r="G788" s="25" t="n"/>
      <c r="H788" s="25" t="n"/>
      <c r="I788" s="25" t="n"/>
      <c r="J788" s="25" t="n"/>
      <c r="K788" s="25" t="n"/>
      <c r="L788" s="25" t="n"/>
      <c r="M788" s="25" t="n"/>
      <c r="N788" s="25" t="n"/>
      <c r="O788" s="25" t="n"/>
      <c r="P788" s="25" t="n"/>
      <c r="Q788" s="25" t="n"/>
    </row>
    <row r="789">
      <c r="E789" s="24">
        <f>'클럭 정리'!A790</f>
        <v/>
      </c>
      <c r="F789" s="23">
        <f>'클럭 정리'!O790</f>
        <v/>
      </c>
      <c r="G789" s="25" t="n"/>
      <c r="H789" s="25" t="n"/>
      <c r="I789" s="25" t="n"/>
      <c r="J789" s="25" t="n"/>
      <c r="K789" s="25" t="n"/>
      <c r="L789" s="25" t="n"/>
      <c r="M789" s="25" t="n"/>
      <c r="N789" s="25" t="n"/>
      <c r="O789" s="25" t="n"/>
      <c r="P789" s="25" t="n"/>
      <c r="Q789" s="25" t="n"/>
    </row>
    <row r="790">
      <c r="E790" s="24">
        <f>'클럭 정리'!A791</f>
        <v/>
      </c>
      <c r="F790" s="23">
        <f>'클럭 정리'!O791</f>
        <v/>
      </c>
      <c r="G790" s="25" t="n"/>
      <c r="H790" s="25" t="n"/>
      <c r="I790" s="25" t="n"/>
      <c r="J790" s="25" t="n"/>
      <c r="K790" s="25" t="n"/>
      <c r="L790" s="25" t="n"/>
      <c r="M790" s="25" t="n"/>
      <c r="N790" s="25" t="n"/>
      <c r="O790" s="25" t="n"/>
      <c r="P790" s="25" t="n"/>
      <c r="Q790" s="25" t="n"/>
    </row>
    <row r="791">
      <c r="E791" s="24">
        <f>'클럭 정리'!A792</f>
        <v/>
      </c>
      <c r="F791" s="23">
        <f>'클럭 정리'!O792</f>
        <v/>
      </c>
      <c r="G791" s="25" t="n"/>
      <c r="H791" s="25" t="n"/>
      <c r="I791" s="25" t="n"/>
      <c r="J791" s="25" t="n"/>
      <c r="K791" s="25" t="n"/>
      <c r="L791" s="25" t="n"/>
      <c r="M791" s="25" t="n"/>
      <c r="N791" s="25" t="n"/>
      <c r="O791" s="25" t="n"/>
      <c r="P791" s="25" t="n"/>
      <c r="Q791" s="25" t="n"/>
    </row>
    <row r="792">
      <c r="E792" s="24">
        <f>'클럭 정리'!A793</f>
        <v/>
      </c>
      <c r="F792" s="23">
        <f>'클럭 정리'!O793</f>
        <v/>
      </c>
      <c r="G792" s="25" t="n"/>
      <c r="H792" s="25" t="n"/>
      <c r="I792" s="25" t="n"/>
      <c r="J792" s="25" t="n"/>
      <c r="K792" s="25" t="n"/>
      <c r="L792" s="25" t="n"/>
      <c r="M792" s="25" t="n"/>
      <c r="N792" s="25" t="n"/>
      <c r="O792" s="25" t="n"/>
      <c r="P792" s="25" t="n"/>
      <c r="Q792" s="25" t="n"/>
    </row>
    <row r="793">
      <c r="E793" s="24">
        <f>'클럭 정리'!A794</f>
        <v/>
      </c>
      <c r="F793" s="23">
        <f>'클럭 정리'!O794</f>
        <v/>
      </c>
      <c r="G793" s="25" t="n"/>
      <c r="H793" s="25" t="n"/>
      <c r="I793" s="25" t="n"/>
      <c r="J793" s="25" t="n"/>
      <c r="K793" s="25" t="n"/>
      <c r="L793" s="25" t="n"/>
      <c r="M793" s="25" t="n"/>
      <c r="N793" s="25" t="n"/>
      <c r="O793" s="25" t="n"/>
      <c r="P793" s="25" t="n"/>
      <c r="Q793" s="25" t="n"/>
    </row>
    <row r="794">
      <c r="E794" s="24">
        <f>'클럭 정리'!A795</f>
        <v/>
      </c>
      <c r="F794" s="23">
        <f>'클럭 정리'!O795</f>
        <v/>
      </c>
      <c r="G794" s="25" t="n"/>
      <c r="H794" s="25" t="n"/>
      <c r="I794" s="25" t="n"/>
      <c r="J794" s="25" t="n"/>
      <c r="K794" s="25" t="n"/>
      <c r="L794" s="25" t="n"/>
      <c r="M794" s="25" t="n"/>
      <c r="N794" s="25" t="n"/>
      <c r="O794" s="25" t="n"/>
      <c r="P794" s="25" t="n"/>
      <c r="Q794" s="25" t="n"/>
    </row>
    <row r="795">
      <c r="E795" s="24">
        <f>'클럭 정리'!A796</f>
        <v/>
      </c>
      <c r="F795" s="23">
        <f>'클럭 정리'!O796</f>
        <v/>
      </c>
      <c r="G795" s="25" t="n"/>
      <c r="H795" s="25" t="n"/>
      <c r="I795" s="25" t="n"/>
      <c r="J795" s="25" t="n"/>
      <c r="K795" s="25" t="n"/>
      <c r="L795" s="25" t="n"/>
      <c r="M795" s="25" t="n"/>
      <c r="N795" s="25" t="n"/>
      <c r="O795" s="25" t="n"/>
      <c r="P795" s="25" t="n"/>
      <c r="Q795" s="25" t="n"/>
    </row>
    <row r="796">
      <c r="E796" s="24">
        <f>'클럭 정리'!A797</f>
        <v/>
      </c>
      <c r="F796" s="23">
        <f>'클럭 정리'!O797</f>
        <v/>
      </c>
      <c r="G796" s="25" t="n"/>
      <c r="H796" s="25" t="n"/>
      <c r="I796" s="25" t="n"/>
      <c r="J796" s="25" t="n"/>
      <c r="K796" s="25" t="n"/>
      <c r="L796" s="25" t="n"/>
      <c r="M796" s="25" t="n"/>
      <c r="N796" s="25" t="n"/>
      <c r="O796" s="25" t="n"/>
      <c r="P796" s="25" t="n"/>
      <c r="Q796" s="25" t="n"/>
    </row>
    <row r="797">
      <c r="E797" s="24">
        <f>'클럭 정리'!A798</f>
        <v/>
      </c>
      <c r="F797" s="23">
        <f>'클럭 정리'!O798</f>
        <v/>
      </c>
      <c r="G797" s="25" t="n"/>
      <c r="H797" s="25" t="n"/>
      <c r="I797" s="25" t="n"/>
      <c r="J797" s="25" t="n"/>
      <c r="K797" s="25" t="n"/>
      <c r="L797" s="25" t="n"/>
      <c r="M797" s="25" t="n"/>
      <c r="N797" s="25" t="n"/>
      <c r="O797" s="25" t="n"/>
      <c r="P797" s="25" t="n"/>
      <c r="Q797" s="25" t="n"/>
    </row>
    <row r="798">
      <c r="E798" s="24">
        <f>'클럭 정리'!A799</f>
        <v/>
      </c>
      <c r="F798" s="23">
        <f>'클럭 정리'!O799</f>
        <v/>
      </c>
      <c r="G798" s="25" t="n"/>
      <c r="H798" s="25" t="n"/>
      <c r="I798" s="25" t="n"/>
      <c r="J798" s="25" t="n"/>
      <c r="K798" s="25" t="n"/>
      <c r="L798" s="25" t="n"/>
      <c r="M798" s="25" t="n"/>
      <c r="N798" s="25" t="n"/>
      <c r="O798" s="25" t="n"/>
      <c r="P798" s="25" t="n"/>
      <c r="Q798" s="25" t="n"/>
    </row>
    <row r="799">
      <c r="E799" s="24">
        <f>'클럭 정리'!A800</f>
        <v/>
      </c>
      <c r="F799" s="23">
        <f>'클럭 정리'!O800</f>
        <v/>
      </c>
      <c r="G799" s="25" t="n"/>
      <c r="H799" s="25" t="n"/>
      <c r="I799" s="25" t="n"/>
      <c r="J799" s="25" t="n"/>
      <c r="K799" s="25" t="n"/>
      <c r="L799" s="25" t="n"/>
      <c r="M799" s="25" t="n"/>
      <c r="N799" s="25" t="n"/>
      <c r="O799" s="25" t="n"/>
      <c r="P799" s="25" t="n"/>
      <c r="Q799" s="25" t="n"/>
    </row>
    <row r="800">
      <c r="E800" s="24">
        <f>'클럭 정리'!A801</f>
        <v/>
      </c>
      <c r="F800" s="23">
        <f>'클럭 정리'!O801</f>
        <v/>
      </c>
      <c r="G800" s="25" t="n"/>
      <c r="H800" s="25" t="n"/>
      <c r="I800" s="25" t="n"/>
      <c r="J800" s="25" t="n"/>
      <c r="K800" s="25" t="n"/>
      <c r="L800" s="25" t="n"/>
      <c r="M800" s="25" t="n"/>
      <c r="N800" s="25" t="n"/>
      <c r="O800" s="25" t="n"/>
      <c r="P800" s="25" t="n"/>
      <c r="Q800" s="25" t="n"/>
    </row>
    <row r="801">
      <c r="E801" s="24">
        <f>'클럭 정리'!A802</f>
        <v/>
      </c>
      <c r="F801" s="23">
        <f>'클럭 정리'!O802</f>
        <v/>
      </c>
      <c r="G801" s="25" t="n"/>
      <c r="H801" s="25" t="n"/>
      <c r="I801" s="25" t="n"/>
      <c r="J801" s="25" t="n"/>
      <c r="K801" s="25" t="n"/>
      <c r="L801" s="25" t="n"/>
      <c r="M801" s="25" t="n"/>
      <c r="N801" s="25" t="n"/>
      <c r="O801" s="25" t="n"/>
      <c r="P801" s="25" t="n"/>
      <c r="Q801" s="25" t="n"/>
    </row>
    <row r="802">
      <c r="E802" s="24">
        <f>'클럭 정리'!A803</f>
        <v/>
      </c>
      <c r="F802" s="23">
        <f>'클럭 정리'!O803</f>
        <v/>
      </c>
      <c r="G802" s="25" t="n"/>
      <c r="H802" s="25" t="n"/>
      <c r="I802" s="25" t="n"/>
      <c r="J802" s="25" t="n"/>
      <c r="K802" s="25" t="n"/>
      <c r="L802" s="25" t="n"/>
      <c r="M802" s="25" t="n"/>
      <c r="N802" s="25" t="n"/>
      <c r="O802" s="25" t="n"/>
      <c r="P802" s="25" t="n"/>
      <c r="Q802" s="25" t="n"/>
    </row>
    <row r="803">
      <c r="E803" s="24">
        <f>'클럭 정리'!A804</f>
        <v/>
      </c>
      <c r="F803" s="23">
        <f>'클럭 정리'!O804</f>
        <v/>
      </c>
      <c r="G803" s="25" t="n"/>
      <c r="H803" s="25" t="n"/>
      <c r="I803" s="25" t="n"/>
      <c r="J803" s="25" t="n"/>
      <c r="K803" s="25" t="n"/>
      <c r="L803" s="25" t="n"/>
      <c r="M803" s="25" t="n"/>
      <c r="N803" s="25" t="n"/>
      <c r="O803" s="25" t="n"/>
      <c r="P803" s="25" t="n"/>
      <c r="Q803" s="25" t="n"/>
    </row>
    <row r="804">
      <c r="E804" s="24">
        <f>'클럭 정리'!A805</f>
        <v/>
      </c>
      <c r="F804" s="23">
        <f>'클럭 정리'!O805</f>
        <v/>
      </c>
      <c r="G804" s="25" t="n"/>
      <c r="H804" s="25" t="n"/>
      <c r="I804" s="25" t="n"/>
      <c r="J804" s="25" t="n"/>
      <c r="K804" s="25" t="n"/>
      <c r="L804" s="25" t="n"/>
      <c r="M804" s="25" t="n"/>
      <c r="N804" s="25" t="n"/>
      <c r="O804" s="25" t="n"/>
      <c r="P804" s="25" t="n"/>
      <c r="Q804" s="25" t="n"/>
    </row>
    <row r="805">
      <c r="E805" s="24">
        <f>'클럭 정리'!A806</f>
        <v/>
      </c>
      <c r="F805" s="23">
        <f>'클럭 정리'!O806</f>
        <v/>
      </c>
      <c r="G805" s="25" t="n"/>
      <c r="H805" s="25" t="n"/>
      <c r="I805" s="25" t="n"/>
      <c r="J805" s="25" t="n"/>
      <c r="K805" s="25" t="n"/>
      <c r="L805" s="25" t="n"/>
      <c r="M805" s="25" t="n"/>
      <c r="N805" s="25" t="n"/>
      <c r="O805" s="25" t="n"/>
      <c r="P805" s="25" t="n"/>
      <c r="Q805" s="25" t="n"/>
    </row>
    <row r="806">
      <c r="E806" s="24">
        <f>'클럭 정리'!A807</f>
        <v/>
      </c>
      <c r="F806" s="23">
        <f>'클럭 정리'!O807</f>
        <v/>
      </c>
      <c r="G806" s="25" t="n"/>
      <c r="H806" s="25" t="n"/>
      <c r="I806" s="25" t="n"/>
      <c r="J806" s="25" t="n"/>
      <c r="K806" s="25" t="n"/>
      <c r="L806" s="25" t="n"/>
      <c r="M806" s="25" t="n"/>
      <c r="N806" s="25" t="n"/>
      <c r="O806" s="25" t="n"/>
      <c r="P806" s="25" t="n"/>
      <c r="Q806" s="25" t="n"/>
    </row>
    <row r="807">
      <c r="E807" s="24">
        <f>'클럭 정리'!A808</f>
        <v/>
      </c>
      <c r="F807" s="23">
        <f>'클럭 정리'!O808</f>
        <v/>
      </c>
      <c r="G807" s="25" t="n"/>
      <c r="H807" s="25" t="n"/>
      <c r="I807" s="25" t="n"/>
      <c r="J807" s="25" t="n"/>
      <c r="K807" s="25" t="n"/>
      <c r="L807" s="25" t="n"/>
      <c r="M807" s="25" t="n"/>
      <c r="N807" s="25" t="n"/>
      <c r="O807" s="25" t="n"/>
      <c r="P807" s="25" t="n"/>
      <c r="Q807" s="25" t="n"/>
    </row>
    <row r="808">
      <c r="E808" s="24">
        <f>'클럭 정리'!A809</f>
        <v/>
      </c>
      <c r="F808" s="23">
        <f>'클럭 정리'!O809</f>
        <v/>
      </c>
      <c r="G808" s="25" t="n"/>
      <c r="H808" s="25" t="n"/>
      <c r="I808" s="25" t="n"/>
      <c r="J808" s="25" t="n"/>
      <c r="K808" s="25" t="n"/>
      <c r="L808" s="25" t="n"/>
      <c r="M808" s="25" t="n"/>
      <c r="N808" s="25" t="n"/>
      <c r="O808" s="25" t="n"/>
      <c r="P808" s="25" t="n"/>
      <c r="Q808" s="25" t="n"/>
    </row>
    <row r="809">
      <c r="E809" s="24">
        <f>'클럭 정리'!A810</f>
        <v/>
      </c>
      <c r="F809" s="23">
        <f>'클럭 정리'!O810</f>
        <v/>
      </c>
      <c r="G809" s="25" t="n"/>
      <c r="H809" s="25" t="n"/>
      <c r="I809" s="25" t="n"/>
      <c r="J809" s="25" t="n"/>
      <c r="K809" s="25" t="n"/>
      <c r="L809" s="25" t="n"/>
      <c r="M809" s="25" t="n"/>
      <c r="N809" s="25" t="n"/>
      <c r="O809" s="25" t="n"/>
      <c r="P809" s="25" t="n"/>
      <c r="Q809" s="25" t="n"/>
    </row>
    <row r="810">
      <c r="E810" s="24">
        <f>'클럭 정리'!A811</f>
        <v/>
      </c>
      <c r="F810" s="23">
        <f>'클럭 정리'!O811</f>
        <v/>
      </c>
      <c r="G810" s="25" t="n"/>
      <c r="H810" s="25" t="n"/>
      <c r="I810" s="25" t="n"/>
      <c r="J810" s="25" t="n"/>
      <c r="K810" s="25" t="n"/>
      <c r="L810" s="25" t="n"/>
      <c r="M810" s="25" t="n"/>
      <c r="N810" s="25" t="n"/>
      <c r="O810" s="25" t="n"/>
      <c r="P810" s="25" t="n"/>
      <c r="Q810" s="25" t="n"/>
    </row>
    <row r="811">
      <c r="E811" s="24">
        <f>'클럭 정리'!A812</f>
        <v/>
      </c>
      <c r="F811" s="23">
        <f>'클럭 정리'!O812</f>
        <v/>
      </c>
      <c r="G811" s="25" t="n"/>
      <c r="H811" s="25" t="n"/>
      <c r="I811" s="25" t="n"/>
      <c r="J811" s="25" t="n"/>
      <c r="K811" s="25" t="n"/>
      <c r="L811" s="25" t="n"/>
      <c r="M811" s="25" t="n"/>
      <c r="N811" s="25" t="n"/>
      <c r="O811" s="25" t="n"/>
      <c r="P811" s="25" t="n"/>
      <c r="Q811" s="25" t="n"/>
    </row>
    <row r="812">
      <c r="E812" s="24">
        <f>'클럭 정리'!A813</f>
        <v/>
      </c>
      <c r="F812" s="23">
        <f>'클럭 정리'!O813</f>
        <v/>
      </c>
      <c r="G812" s="25" t="n"/>
      <c r="H812" s="25" t="n"/>
      <c r="I812" s="25" t="n"/>
      <c r="J812" s="25" t="n"/>
      <c r="K812" s="25" t="n"/>
      <c r="L812" s="25" t="n"/>
      <c r="M812" s="25" t="n"/>
      <c r="N812" s="25" t="n"/>
      <c r="O812" s="25" t="n"/>
      <c r="P812" s="25" t="n"/>
      <c r="Q812" s="25" t="n"/>
    </row>
    <row r="813">
      <c r="E813" s="24">
        <f>'클럭 정리'!A814</f>
        <v/>
      </c>
      <c r="F813" s="23">
        <f>'클럭 정리'!O814</f>
        <v/>
      </c>
      <c r="G813" s="25" t="n"/>
      <c r="H813" s="25" t="n"/>
      <c r="I813" s="25" t="n"/>
      <c r="J813" s="25" t="n"/>
      <c r="K813" s="25" t="n"/>
      <c r="L813" s="25" t="n"/>
      <c r="M813" s="25" t="n"/>
      <c r="N813" s="25" t="n"/>
      <c r="O813" s="25" t="n"/>
      <c r="P813" s="25" t="n"/>
      <c r="Q813" s="25" t="n"/>
    </row>
    <row r="814">
      <c r="E814" s="24">
        <f>'클럭 정리'!A815</f>
        <v/>
      </c>
      <c r="F814" s="23">
        <f>'클럭 정리'!O815</f>
        <v/>
      </c>
      <c r="G814" s="25" t="n"/>
      <c r="H814" s="25" t="n"/>
      <c r="I814" s="25" t="n"/>
      <c r="J814" s="25" t="n"/>
      <c r="K814" s="25" t="n"/>
      <c r="L814" s="25" t="n"/>
      <c r="M814" s="25" t="n"/>
      <c r="N814" s="25" t="n"/>
      <c r="O814" s="25" t="n"/>
      <c r="P814" s="25" t="n"/>
      <c r="Q814" s="25" t="n"/>
    </row>
    <row r="815">
      <c r="E815" s="24">
        <f>'클럭 정리'!A816</f>
        <v/>
      </c>
      <c r="F815" s="23">
        <f>'클럭 정리'!O816</f>
        <v/>
      </c>
      <c r="G815" s="25" t="n"/>
      <c r="H815" s="25" t="n"/>
      <c r="I815" s="25" t="n"/>
      <c r="J815" s="25" t="n"/>
      <c r="K815" s="25" t="n"/>
      <c r="L815" s="25" t="n"/>
      <c r="M815" s="25" t="n"/>
      <c r="N815" s="25" t="n"/>
      <c r="O815" s="25" t="n"/>
      <c r="P815" s="25" t="n"/>
      <c r="Q815" s="25" t="n"/>
    </row>
    <row r="816">
      <c r="E816" s="24">
        <f>'클럭 정리'!A817</f>
        <v/>
      </c>
      <c r="F816" s="23">
        <f>'클럭 정리'!O817</f>
        <v/>
      </c>
      <c r="G816" s="25" t="n"/>
      <c r="H816" s="25" t="n"/>
      <c r="I816" s="25" t="n"/>
      <c r="J816" s="25" t="n"/>
      <c r="K816" s="25" t="n"/>
      <c r="L816" s="25" t="n"/>
      <c r="M816" s="25" t="n"/>
      <c r="N816" s="25" t="n"/>
      <c r="O816" s="25" t="n"/>
      <c r="P816" s="25" t="n"/>
      <c r="Q816" s="25" t="n"/>
    </row>
    <row r="817">
      <c r="E817" s="24">
        <f>'클럭 정리'!A818</f>
        <v/>
      </c>
      <c r="F817" s="23">
        <f>'클럭 정리'!O818</f>
        <v/>
      </c>
      <c r="G817" s="25" t="n"/>
      <c r="H817" s="25" t="n"/>
      <c r="I817" s="25" t="n"/>
      <c r="J817" s="25" t="n"/>
      <c r="K817" s="25" t="n"/>
      <c r="L817" s="25" t="n"/>
      <c r="M817" s="25" t="n"/>
      <c r="N817" s="25" t="n"/>
      <c r="O817" s="25" t="n"/>
      <c r="P817" s="25" t="n"/>
      <c r="Q817" s="25" t="n"/>
    </row>
    <row r="818">
      <c r="E818" s="24">
        <f>'클럭 정리'!A819</f>
        <v/>
      </c>
      <c r="F818" s="23">
        <f>'클럭 정리'!O819</f>
        <v/>
      </c>
      <c r="G818" s="25" t="n"/>
      <c r="H818" s="25" t="n"/>
      <c r="I818" s="25" t="n"/>
      <c r="J818" s="25" t="n"/>
      <c r="K818" s="25" t="n"/>
      <c r="L818" s="25" t="n"/>
      <c r="M818" s="25" t="n"/>
      <c r="N818" s="25" t="n"/>
      <c r="O818" s="25" t="n"/>
      <c r="P818" s="25" t="n"/>
      <c r="Q818" s="25" t="n"/>
    </row>
    <row r="819">
      <c r="E819" s="24">
        <f>'클럭 정리'!A820</f>
        <v/>
      </c>
      <c r="F819" s="23">
        <f>'클럭 정리'!O820</f>
        <v/>
      </c>
      <c r="G819" s="25" t="n"/>
      <c r="H819" s="25" t="n"/>
      <c r="I819" s="25" t="n"/>
      <c r="J819" s="25" t="n"/>
      <c r="K819" s="25" t="n"/>
      <c r="L819" s="25" t="n"/>
      <c r="M819" s="25" t="n"/>
      <c r="N819" s="25" t="n"/>
      <c r="O819" s="25" t="n"/>
      <c r="P819" s="25" t="n"/>
      <c r="Q819" s="25" t="n"/>
    </row>
    <row r="820">
      <c r="E820" s="24">
        <f>'클럭 정리'!A821</f>
        <v/>
      </c>
      <c r="F820" s="23">
        <f>'클럭 정리'!O821</f>
        <v/>
      </c>
      <c r="G820" s="25" t="n"/>
      <c r="H820" s="25" t="n"/>
      <c r="I820" s="25" t="n"/>
      <c r="J820" s="25" t="n"/>
      <c r="K820" s="25" t="n"/>
      <c r="L820" s="25" t="n"/>
      <c r="M820" s="25" t="n"/>
      <c r="N820" s="25" t="n"/>
      <c r="O820" s="25" t="n"/>
      <c r="P820" s="25" t="n"/>
      <c r="Q820" s="25" t="n"/>
    </row>
    <row r="821">
      <c r="E821" s="24">
        <f>'클럭 정리'!A822</f>
        <v/>
      </c>
      <c r="F821" s="23">
        <f>'클럭 정리'!O822</f>
        <v/>
      </c>
      <c r="G821" s="25" t="n"/>
      <c r="H821" s="25" t="n"/>
      <c r="I821" s="25" t="n"/>
      <c r="J821" s="25" t="n"/>
      <c r="K821" s="25" t="n"/>
      <c r="L821" s="25" t="n"/>
      <c r="M821" s="25" t="n"/>
      <c r="N821" s="25" t="n"/>
      <c r="O821" s="25" t="n"/>
      <c r="P821" s="25" t="n"/>
      <c r="Q821" s="25" t="n"/>
    </row>
    <row r="822">
      <c r="E822" s="24">
        <f>'클럭 정리'!A823</f>
        <v/>
      </c>
      <c r="F822" s="23">
        <f>'클럭 정리'!O823</f>
        <v/>
      </c>
      <c r="G822" s="25" t="n"/>
      <c r="H822" s="25" t="n"/>
      <c r="I822" s="25" t="n"/>
      <c r="J822" s="25" t="n"/>
      <c r="K822" s="25" t="n"/>
      <c r="L822" s="25" t="n"/>
      <c r="M822" s="25" t="n"/>
      <c r="N822" s="25" t="n"/>
      <c r="O822" s="25" t="n"/>
      <c r="P822" s="25" t="n"/>
      <c r="Q822" s="25" t="n"/>
    </row>
    <row r="823">
      <c r="E823" s="24">
        <f>'클럭 정리'!A824</f>
        <v/>
      </c>
      <c r="F823" s="23">
        <f>'클럭 정리'!O824</f>
        <v/>
      </c>
      <c r="G823" s="25" t="n"/>
      <c r="H823" s="25" t="n"/>
      <c r="I823" s="25" t="n"/>
      <c r="J823" s="25" t="n"/>
      <c r="K823" s="25" t="n"/>
      <c r="L823" s="25" t="n"/>
      <c r="M823" s="25" t="n"/>
      <c r="N823" s="25" t="n"/>
      <c r="O823" s="25" t="n"/>
      <c r="P823" s="25" t="n"/>
      <c r="Q823" s="25" t="n"/>
    </row>
    <row r="824">
      <c r="E824" s="24">
        <f>'클럭 정리'!A825</f>
        <v/>
      </c>
      <c r="F824" s="23">
        <f>'클럭 정리'!O825</f>
        <v/>
      </c>
      <c r="G824" s="25" t="n"/>
      <c r="H824" s="25" t="n"/>
      <c r="I824" s="25" t="n"/>
      <c r="J824" s="25" t="n"/>
      <c r="K824" s="25" t="n"/>
      <c r="L824" s="25" t="n"/>
      <c r="M824" s="25" t="n"/>
      <c r="N824" s="25" t="n"/>
      <c r="O824" s="25" t="n"/>
      <c r="P824" s="25" t="n"/>
      <c r="Q824" s="25" t="n"/>
    </row>
    <row r="825">
      <c r="E825" s="24">
        <f>'클럭 정리'!A826</f>
        <v/>
      </c>
      <c r="F825" s="23">
        <f>'클럭 정리'!O826</f>
        <v/>
      </c>
      <c r="G825" s="25" t="n"/>
      <c r="H825" s="25" t="n"/>
      <c r="I825" s="25" t="n"/>
      <c r="J825" s="25" t="n"/>
      <c r="K825" s="25" t="n"/>
      <c r="L825" s="25" t="n"/>
      <c r="M825" s="25" t="n"/>
      <c r="N825" s="25" t="n"/>
      <c r="O825" s="25" t="n"/>
      <c r="P825" s="25" t="n"/>
      <c r="Q825" s="25" t="n"/>
    </row>
    <row r="826">
      <c r="E826" s="24">
        <f>'클럭 정리'!A827</f>
        <v/>
      </c>
      <c r="F826" s="23">
        <f>'클럭 정리'!O827</f>
        <v/>
      </c>
      <c r="G826" s="25" t="n"/>
      <c r="H826" s="25" t="n"/>
      <c r="I826" s="25" t="n"/>
      <c r="J826" s="25" t="n"/>
      <c r="K826" s="25" t="n"/>
      <c r="L826" s="25" t="n"/>
      <c r="M826" s="25" t="n"/>
      <c r="N826" s="25" t="n"/>
      <c r="O826" s="25" t="n"/>
      <c r="P826" s="25" t="n"/>
      <c r="Q826" s="25" t="n"/>
    </row>
    <row r="827">
      <c r="E827" s="24">
        <f>'클럭 정리'!A828</f>
        <v/>
      </c>
      <c r="F827" s="23">
        <f>'클럭 정리'!O828</f>
        <v/>
      </c>
      <c r="G827" s="25" t="n"/>
      <c r="H827" s="25" t="n"/>
      <c r="I827" s="25" t="n"/>
      <c r="J827" s="25" t="n"/>
      <c r="K827" s="25" t="n"/>
      <c r="L827" s="25" t="n"/>
      <c r="M827" s="25" t="n"/>
      <c r="N827" s="25" t="n"/>
      <c r="O827" s="25" t="n"/>
      <c r="P827" s="25" t="n"/>
      <c r="Q827" s="25" t="n"/>
    </row>
    <row r="828">
      <c r="E828" s="24">
        <f>'클럭 정리'!A829</f>
        <v/>
      </c>
      <c r="F828" s="23">
        <f>'클럭 정리'!O829</f>
        <v/>
      </c>
      <c r="G828" s="25" t="n"/>
      <c r="H828" s="25" t="n"/>
      <c r="I828" s="25" t="n"/>
      <c r="J828" s="25" t="n"/>
      <c r="K828" s="25" t="n"/>
      <c r="L828" s="25" t="n"/>
      <c r="M828" s="25" t="n"/>
      <c r="N828" s="25" t="n"/>
      <c r="O828" s="25" t="n"/>
      <c r="P828" s="25" t="n"/>
      <c r="Q828" s="25" t="n"/>
    </row>
    <row r="829">
      <c r="E829" s="24">
        <f>'클럭 정리'!A830</f>
        <v/>
      </c>
      <c r="F829" s="23">
        <f>'클럭 정리'!O830</f>
        <v/>
      </c>
      <c r="G829" s="25" t="n"/>
      <c r="H829" s="25" t="n"/>
      <c r="I829" s="25" t="n"/>
      <c r="J829" s="25" t="n"/>
      <c r="K829" s="25" t="n"/>
      <c r="L829" s="25" t="n"/>
      <c r="M829" s="25" t="n"/>
      <c r="N829" s="25" t="n"/>
      <c r="O829" s="25" t="n"/>
      <c r="P829" s="25" t="n"/>
      <c r="Q829" s="25" t="n"/>
    </row>
    <row r="830">
      <c r="E830" s="24">
        <f>'클럭 정리'!A831</f>
        <v/>
      </c>
      <c r="F830" s="23">
        <f>'클럭 정리'!O831</f>
        <v/>
      </c>
      <c r="G830" s="25" t="n"/>
      <c r="H830" s="25" t="n"/>
      <c r="I830" s="25" t="n"/>
      <c r="J830" s="25" t="n"/>
      <c r="K830" s="25" t="n"/>
      <c r="L830" s="25" t="n"/>
      <c r="M830" s="25" t="n"/>
      <c r="N830" s="25" t="n"/>
      <c r="O830" s="25" t="n"/>
      <c r="P830" s="25" t="n"/>
      <c r="Q830" s="25" t="n"/>
    </row>
    <row r="831">
      <c r="E831" s="24">
        <f>'클럭 정리'!A832</f>
        <v/>
      </c>
      <c r="F831" s="23">
        <f>'클럭 정리'!O832</f>
        <v/>
      </c>
      <c r="G831" s="25" t="n"/>
      <c r="H831" s="25" t="n"/>
      <c r="I831" s="25" t="n"/>
      <c r="J831" s="25" t="n"/>
      <c r="K831" s="25" t="n"/>
      <c r="L831" s="25" t="n"/>
      <c r="M831" s="25" t="n"/>
      <c r="N831" s="25" t="n"/>
      <c r="O831" s="25" t="n"/>
      <c r="P831" s="25" t="n"/>
      <c r="Q831" s="25" t="n"/>
    </row>
    <row r="832">
      <c r="E832" s="24">
        <f>'클럭 정리'!A833</f>
        <v/>
      </c>
      <c r="F832" s="23">
        <f>'클럭 정리'!O833</f>
        <v/>
      </c>
      <c r="G832" s="25" t="n"/>
      <c r="H832" s="25" t="n"/>
      <c r="I832" s="25" t="n"/>
      <c r="J832" s="25" t="n"/>
      <c r="K832" s="25" t="n"/>
      <c r="L832" s="25" t="n"/>
      <c r="M832" s="25" t="n"/>
      <c r="N832" s="25" t="n"/>
      <c r="O832" s="25" t="n"/>
      <c r="P832" s="25" t="n"/>
      <c r="Q832" s="25" t="n"/>
    </row>
    <row r="833">
      <c r="E833" s="24">
        <f>'클럭 정리'!A834</f>
        <v/>
      </c>
      <c r="F833" s="23">
        <f>'클럭 정리'!O834</f>
        <v/>
      </c>
      <c r="G833" s="25" t="n"/>
      <c r="H833" s="25" t="n"/>
      <c r="I833" s="25" t="n"/>
      <c r="J833" s="25" t="n"/>
      <c r="K833" s="25" t="n"/>
      <c r="L833" s="25" t="n"/>
      <c r="M833" s="25" t="n"/>
      <c r="N833" s="25" t="n"/>
      <c r="O833" s="25" t="n"/>
      <c r="P833" s="25" t="n"/>
      <c r="Q833" s="25" t="n"/>
    </row>
    <row r="834">
      <c r="E834" s="24">
        <f>'클럭 정리'!A835</f>
        <v/>
      </c>
      <c r="F834" s="23">
        <f>'클럭 정리'!O835</f>
        <v/>
      </c>
      <c r="G834" s="25" t="n"/>
      <c r="H834" s="25" t="n"/>
      <c r="I834" s="25" t="n"/>
      <c r="J834" s="25" t="n"/>
      <c r="K834" s="25" t="n"/>
      <c r="L834" s="25" t="n"/>
      <c r="M834" s="25" t="n"/>
      <c r="N834" s="25" t="n"/>
      <c r="O834" s="25" t="n"/>
      <c r="P834" s="25" t="n"/>
      <c r="Q834" s="25" t="n"/>
    </row>
    <row r="835">
      <c r="E835" s="24">
        <f>'클럭 정리'!A836</f>
        <v/>
      </c>
      <c r="F835" s="23">
        <f>'클럭 정리'!O836</f>
        <v/>
      </c>
      <c r="G835" s="25" t="n"/>
      <c r="H835" s="25" t="n"/>
      <c r="I835" s="25" t="n"/>
      <c r="J835" s="25" t="n"/>
      <c r="K835" s="25" t="n"/>
      <c r="L835" s="25" t="n"/>
      <c r="M835" s="25" t="n"/>
      <c r="N835" s="25" t="n"/>
      <c r="O835" s="25" t="n"/>
      <c r="P835" s="25" t="n"/>
      <c r="Q835" s="25" t="n"/>
    </row>
    <row r="836">
      <c r="E836" s="24">
        <f>'클럭 정리'!A837</f>
        <v/>
      </c>
      <c r="F836" s="23">
        <f>'클럭 정리'!O837</f>
        <v/>
      </c>
      <c r="G836" s="25" t="n"/>
      <c r="H836" s="25" t="n"/>
      <c r="I836" s="25" t="n"/>
      <c r="J836" s="25" t="n"/>
      <c r="K836" s="25" t="n"/>
      <c r="L836" s="25" t="n"/>
      <c r="M836" s="25" t="n"/>
      <c r="N836" s="25" t="n"/>
      <c r="O836" s="25" t="n"/>
      <c r="P836" s="25" t="n"/>
      <c r="Q836" s="2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2026-08-04T02:22:30Z</dcterms:created>
  <dcterms:modified xmlns:dcterms="http://purl.org/dc/terms/" xmlns:xsi="http://www.w3.org/2001/XMLSchema-instance" xsi:type="dcterms:W3CDTF">2026-08-04T02:22:31Z</dcterms:modified>
</cp:coreProperties>
</file>