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0" fontId="0" fillId="0" borderId="1" pivotButton="0" quotePrefix="0" xfId="0"/>
    <xf numFmtId="167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데이터'!$P$5:$P$59</f>
            </numRef>
          </val>
        </ser>
        <ser>
          <idx val="1"/>
          <order val="1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데이터'!$Q$5:$Q$59</f>
            </numRef>
          </val>
        </ser>
        <ser>
          <idx val="2"/>
          <order val="2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데이터'!$R$5:$R$59</f>
            </numRef>
          </val>
        </ser>
        <ser>
          <idx val="3"/>
          <order val="3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데이터'!$S$5:$S$59</f>
            </numRef>
          </val>
        </ser>
        <ser>
          <idx val="4"/>
          <order val="4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데이터'!$T$5:$T$59</f>
            </numRef>
          </val>
        </ser>
        <ser>
          <idx val="5"/>
          <order val="5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데이터'!$U$5:$U$59</f>
            </numRef>
          </val>
        </ser>
        <ser>
          <idx val="6"/>
          <order val="6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데이터'!$V$5:$V$59</f>
            </numRef>
          </val>
        </ser>
        <ser>
          <idx val="7"/>
          <order val="7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데이터'!$W$5:$W$59</f>
            </numRef>
          </val>
        </ser>
        <ser>
          <idx val="8"/>
          <order val="8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데이터'!$X$5:$X$59</f>
            </numRef>
          </val>
        </ser>
        <ser>
          <idx val="9"/>
          <order val="9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데이터'!$Y$5:$Y$59</f>
            </numRef>
          </val>
        </ser>
        <ser>
          <idx val="10"/>
          <order val="10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데이터'!$Z$5:$Z$59</f>
            </numRef>
          </val>
        </ser>
        <ser>
          <idx val="11"/>
          <order val="11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데이터'!$AA$5:$AA$59</f>
            </numRef>
          </val>
        </ser>
        <ser>
          <idx val="12"/>
          <order val="12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데이터'!$AB$5:$AB$59</f>
            </numRef>
          </val>
        </ser>
        <ser>
          <idx val="13"/>
          <order val="13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데이터'!$AC$5:$AC$59</f>
            </numRef>
          </val>
        </ser>
        <ser>
          <idx val="14"/>
          <order val="14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데이터'!$AD$5:$AD$59</f>
            </numRef>
          </val>
        </ser>
        <ser>
          <idx val="15"/>
          <order val="15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데이터'!$AE$5:$AE$59</f>
            </numRef>
          </val>
        </ser>
        <ser>
          <idx val="16"/>
          <order val="16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데이터'!$AF$5:$AF$59</f>
            </numRef>
          </val>
        </ser>
        <ser>
          <idx val="17"/>
          <order val="17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데이터'!$AG$5:$AG$59</f>
            </numRef>
          </val>
        </ser>
        <ser>
          <idx val="18"/>
          <order val="18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데이터'!$AH$5:$AH$59</f>
            </numRef>
          </val>
        </ser>
        <ser>
          <idx val="19"/>
          <order val="19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데이터'!$AI$5:$AI$59</f>
            </numRef>
          </val>
        </ser>
        <ser>
          <idx val="20"/>
          <order val="20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데이터'!$AJ$5:$AJ$59</f>
            </numRef>
          </val>
        </ser>
        <ser>
          <idx val="21"/>
          <order val="21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데이터'!$AK$5:$AK$59</f>
            </numRef>
          </val>
        </ser>
        <ser>
          <idx val="22"/>
          <order val="22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데이터'!$AL$5:$AL$59</f>
            </numRef>
          </val>
        </ser>
        <ser>
          <idx val="23"/>
          <order val="23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데이터'!$AM$5:$AM$59</f>
            </numRef>
          </val>
        </ser>
        <ser>
          <idx val="24"/>
          <order val="24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데이터'!$AN$5:$AN$59</f>
            </numRef>
          </val>
        </ser>
        <ser>
          <idx val="25"/>
          <order val="25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데이터'!$AO$5:$AO$59</f>
            </numRef>
          </val>
        </ser>
        <ser>
          <idx val="26"/>
          <order val="26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데이터'!$AP$5:$AP$59</f>
            </numRef>
          </val>
        </ser>
        <ser>
          <idx val="27"/>
          <order val="27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데이터'!$AQ$5:$AQ$59</f>
            </numRef>
          </val>
        </ser>
        <ser>
          <idx val="28"/>
          <order val="28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데이터'!$AR$5:$AR$59</f>
            </numRef>
          </val>
        </ser>
        <ser>
          <idx val="29"/>
          <order val="29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데이터'!$AS$5:$AS$59</f>
            </numRef>
          </val>
        </ser>
        <ser>
          <idx val="30"/>
          <order val="30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데이터'!$AT$5:$AT$59</f>
            </numRef>
          </val>
        </ser>
        <ser>
          <idx val="31"/>
          <order val="31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데이터'!$AU$5:$AU$59</f>
            </numRef>
          </val>
        </ser>
        <ser>
          <idx val="32"/>
          <order val="32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데이터'!$AV$5:$AV$59</f>
            </numRef>
          </val>
        </ser>
        <ser>
          <idx val="33"/>
          <order val="33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데이터'!$AW$5:$AW$59</f>
            </numRef>
          </val>
        </ser>
        <ser>
          <idx val="34"/>
          <order val="34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데이터'!$AX$5:$AX$59</f>
            </numRef>
          </val>
        </ser>
        <ser>
          <idx val="35"/>
          <order val="35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데이터'!$AY$5:$AY$59</f>
            </numRef>
          </val>
        </ser>
        <ser>
          <idx val="36"/>
          <order val="36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데이터'!$AZ$5:$AZ$59</f>
            </numRef>
          </val>
        </ser>
        <ser>
          <idx val="37"/>
          <order val="37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데이터'!$BA$5:$BA$59</f>
            </numRef>
          </val>
        </ser>
        <ser>
          <idx val="38"/>
          <order val="38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데이터'!$BB$5:$BB$59</f>
            </numRef>
          </val>
        </ser>
        <ser>
          <idx val="39"/>
          <order val="39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데이터'!$BC$5:$BC$59</f>
            </numRef>
          </val>
        </ser>
        <ser>
          <idx val="40"/>
          <order val="40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데이터'!$BD$5:$BD$59</f>
            </numRef>
          </val>
        </ser>
        <ser>
          <idx val="41"/>
          <order val="41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데이터'!$BE$5:$BE$59</f>
            </numRef>
          </val>
        </ser>
        <ser>
          <idx val="42"/>
          <order val="42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데이터'!$BF$5:$BF$59</f>
            </numRef>
          </val>
        </ser>
        <ser>
          <idx val="43"/>
          <order val="43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데이터'!$BG$5:$BG$59</f>
            </numRef>
          </val>
        </ser>
        <ser>
          <idx val="44"/>
          <order val="44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데이터'!$BH$5:$BH$59</f>
            </numRef>
          </val>
        </ser>
        <ser>
          <idx val="45"/>
          <order val="45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데이터'!$BI$5:$BI$59</f>
            </numRef>
          </val>
        </ser>
        <ser>
          <idx val="46"/>
          <order val="46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데이터'!$BJ$5:$BJ$59</f>
            </numRef>
          </val>
        </ser>
        <ser>
          <idx val="47"/>
          <order val="47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데이터'!$BK$5:$BK$59</f>
            </numRef>
          </val>
        </ser>
        <ser>
          <idx val="48"/>
          <order val="48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데이터'!$BL$5:$BL$59</f>
            </numRef>
          </val>
        </ser>
        <ser>
          <idx val="49"/>
          <order val="49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데이터'!$BM$5:$BM$59</f>
            </numRef>
          </val>
        </ser>
        <ser>
          <idx val="50"/>
          <order val="50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데이터'!$BN$5:$BN$59</f>
            </numRef>
          </val>
        </ser>
        <ser>
          <idx val="51"/>
          <order val="51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데이터'!$BO$5:$BO$59</f>
            </numRef>
          </val>
        </ser>
        <ser>
          <idx val="52"/>
          <order val="52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데이터'!$BP$5:$BP$59</f>
            </numRef>
          </val>
        </ser>
        <ser>
          <idx val="53"/>
          <order val="53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데이터'!$BQ$5:$BQ$59</f>
            </numRef>
          </val>
        </ser>
        <ser>
          <idx val="54"/>
          <order val="54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데이터'!$BR$5:$BR$59</f>
            </numRef>
          </val>
        </ser>
        <ser>
          <idx val="55"/>
          <order val="55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데이터'!$BS$5:$BS$59</f>
            </numRef>
          </val>
        </ser>
        <ser>
          <idx val="56"/>
          <order val="56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데이터'!$BT$5:$BT$59</f>
            </numRef>
          </val>
        </ser>
        <ser>
          <idx val="57"/>
          <order val="57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데이터'!$BU$5:$BU$59</f>
            </numRef>
          </val>
        </ser>
        <ser>
          <idx val="58"/>
          <order val="58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데이터'!$BV$5:$BV$59</f>
            </numRef>
          </val>
        </ser>
        <ser>
          <idx val="59"/>
          <order val="59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데이터'!$BW$5:$BW$59</f>
            </numRef>
          </val>
        </ser>
        <ser>
          <idx val="60"/>
          <order val="60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데이터'!$BX$5:$BX$59</f>
            </numRef>
          </val>
        </ser>
        <ser>
          <idx val="61"/>
          <order val="61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데이터'!$BY$5:$BY$59</f>
            </numRef>
          </val>
        </ser>
        <ser>
          <idx val="62"/>
          <order val="62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데이터'!$BZ$5:$BZ$59</f>
            </numRef>
          </val>
        </ser>
        <ser>
          <idx val="63"/>
          <order val="63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데이터'!$CA$5:$CA$59</f>
            </numRef>
          </val>
        </ser>
        <ser>
          <idx val="64"/>
          <order val="64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데이터'!$CB$5:$CB$59</f>
            </numRef>
          </val>
        </ser>
        <ser>
          <idx val="65"/>
          <order val="65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데이터'!$CC$5:$CC$59</f>
            </numRef>
          </val>
        </ser>
        <ser>
          <idx val="66"/>
          <order val="66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데이터'!$CD$5:$CD$59</f>
            </numRef>
          </val>
        </ser>
        <ser>
          <idx val="67"/>
          <order val="67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데이터'!$CE$5:$CE$59</f>
            </numRef>
          </val>
        </ser>
        <ser>
          <idx val="68"/>
          <order val="68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데이터'!$CF$5:$CF$59</f>
            </numRef>
          </val>
        </ser>
        <ser>
          <idx val="69"/>
          <order val="69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데이터'!$CG$5:$CG$59</f>
            </numRef>
          </val>
        </ser>
        <ser>
          <idx val="70"/>
          <order val="70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데이터'!$CH$5:$CH$59</f>
            </numRef>
          </val>
        </ser>
        <ser>
          <idx val="71"/>
          <order val="71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데이터'!$CI$5:$CI$59</f>
            </numRef>
          </val>
        </ser>
        <ser>
          <idx val="72"/>
          <order val="72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데이터'!$CJ$5:$CJ$59</f>
            </numRef>
          </val>
        </ser>
        <ser>
          <idx val="73"/>
          <order val="73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데이터'!$CK$5:$CK$59</f>
            </numRef>
          </val>
        </ser>
        <ser>
          <idx val="74"/>
          <order val="74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데이터'!$CL$5:$CL$59</f>
            </numRef>
          </val>
        </ser>
        <ser>
          <idx val="75"/>
          <order val="75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데이터'!$CM$5:$CM$59</f>
            </numRef>
          </val>
        </ser>
        <ser>
          <idx val="76"/>
          <order val="76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데이터'!$CN$5:$CN$59</f>
            </numRef>
          </val>
        </ser>
        <ser>
          <idx val="77"/>
          <order val="77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데이터'!$CO$5:$CO$59</f>
            </numRef>
          </val>
        </ser>
        <ser>
          <idx val="78"/>
          <order val="78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데이터'!$CP$5:$CP$59</f>
            </numRef>
          </val>
        </ser>
        <ser>
          <idx val="79"/>
          <order val="79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데이터'!$O$5:$O$59</f>
            </numRef>
          </cat>
          <val>
            <numRef>
              <f>'차트 데이터'!$CQ$5:$CQ$59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5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데이터'!$B$5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데이터'!$C$5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데이터'!$D$5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데이터'!$E$5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데이터'!$F$5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데이터'!$G$5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</f>
            </numRef>
          </cat>
          <val>
            <numRef>
              <f>'차트 데이터'!$H$5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5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데이터'!$B$9</f>
            </numRef>
          </val>
        </ser>
        <ser>
          <idx val="1"/>
          <order val="1"/>
          <tx>
            <strRef>
              <f>'차트 데이터'!C8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데이터'!$C$9</f>
            </numRef>
          </val>
        </ser>
        <ser>
          <idx val="2"/>
          <order val="2"/>
          <tx>
            <strRef>
              <f>'차트 데이터'!D8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데이터'!$D$9</f>
            </numRef>
          </val>
        </ser>
        <ser>
          <idx val="3"/>
          <order val="3"/>
          <tx>
            <strRef>
              <f>'차트 데이터'!E8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데이터'!$E$9</f>
            </numRef>
          </val>
        </ser>
        <ser>
          <idx val="4"/>
          <order val="4"/>
          <tx>
            <strRef>
              <f>'차트 데이터'!F8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데이터'!$F$9</f>
            </numRef>
          </val>
        </ser>
        <ser>
          <idx val="5"/>
          <order val="5"/>
          <tx>
            <strRef>
              <f>'차트 데이터'!G8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데이터'!$A$9</f>
            </numRef>
          </cat>
          <val>
            <numRef>
              <f>'차트 데이터'!$G$9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5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데이터'!$B$13:$B$14</f>
            </numRef>
          </val>
        </ser>
        <ser>
          <idx val="1"/>
          <order val="1"/>
          <tx>
            <strRef>
              <f>'차트 데이터'!C12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데이터'!$C$13:$C$14</f>
            </numRef>
          </val>
        </ser>
        <ser>
          <idx val="2"/>
          <order val="2"/>
          <tx>
            <strRef>
              <f>'차트 데이터'!D12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데이터'!$D$13:$D$14</f>
            </numRef>
          </val>
        </ser>
        <ser>
          <idx val="3"/>
          <order val="3"/>
          <tx>
            <strRef>
              <f>'차트 데이터'!E12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데이터'!$E$13:$E$14</f>
            </numRef>
          </val>
        </ser>
        <ser>
          <idx val="4"/>
          <order val="4"/>
          <tx>
            <strRef>
              <f>'차트 데이터'!F12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데이터'!$F$13:$F$14</f>
            </numRef>
          </val>
        </ser>
        <ser>
          <idx val="5"/>
          <order val="5"/>
          <tx>
            <strRef>
              <f>'차트 데이터'!G12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데이터'!$A$13:$A$14</f>
            </numRef>
          </cat>
          <val>
            <numRef>
              <f>'차트 데이터'!$G$13:$G$14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5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데이터'!$B$18</f>
            </numRef>
          </val>
        </ser>
        <ser>
          <idx val="1"/>
          <order val="1"/>
          <tx>
            <strRef>
              <f>'차트 데이터'!C17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데이터'!$C$18</f>
            </numRef>
          </val>
        </ser>
        <ser>
          <idx val="2"/>
          <order val="2"/>
          <tx>
            <strRef>
              <f>'차트 데이터'!D17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데이터'!$D$18</f>
            </numRef>
          </val>
        </ser>
        <ser>
          <idx val="3"/>
          <order val="3"/>
          <tx>
            <strRef>
              <f>'차트 데이터'!E17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데이터'!$E$18</f>
            </numRef>
          </val>
        </ser>
        <ser>
          <idx val="4"/>
          <order val="4"/>
          <tx>
            <strRef>
              <f>'차트 데이터'!F17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데이터'!$F$18</f>
            </numRef>
          </val>
        </ser>
        <ser>
          <idx val="5"/>
          <order val="5"/>
          <tx>
            <strRef>
              <f>'차트 데이터'!G17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데이터'!$A$18</f>
            </numRef>
          </cat>
          <val>
            <numRef>
              <f>'차트 데이터'!$G$18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5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데이터'!$B$22</f>
            </numRef>
          </val>
        </ser>
        <ser>
          <idx val="1"/>
          <order val="1"/>
          <tx>
            <strRef>
              <f>'차트 데이터'!C21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데이터'!$C$22</f>
            </numRef>
          </val>
        </ser>
        <ser>
          <idx val="2"/>
          <order val="2"/>
          <tx>
            <strRef>
              <f>'차트 데이터'!D21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데이터'!$D$22</f>
            </numRef>
          </val>
        </ser>
        <ser>
          <idx val="3"/>
          <order val="3"/>
          <tx>
            <strRef>
              <f>'차트 데이터'!E21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데이터'!$E$22</f>
            </numRef>
          </val>
        </ser>
        <ser>
          <idx val="4"/>
          <order val="4"/>
          <tx>
            <strRef>
              <f>'차트 데이터'!F21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데이터'!$F$22</f>
            </numRef>
          </val>
        </ser>
        <ser>
          <idx val="5"/>
          <order val="5"/>
          <tx>
            <strRef>
              <f>'차트 데이터'!G21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데이터'!$G$22</f>
            </numRef>
          </val>
        </ser>
        <ser>
          <idx val="6"/>
          <order val="6"/>
          <tx>
            <strRef>
              <f>'차트 데이터'!H21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데이터'!$A$22</f>
            </numRef>
          </cat>
          <val>
            <numRef>
              <f>'차트 데이터'!$H$22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5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데이터'!$B$26:$B$27</f>
            </numRef>
          </val>
        </ser>
        <ser>
          <idx val="1"/>
          <order val="1"/>
          <tx>
            <strRef>
              <f>'차트 데이터'!C25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데이터'!$C$26:$C$27</f>
            </numRef>
          </val>
        </ser>
        <ser>
          <idx val="2"/>
          <order val="2"/>
          <tx>
            <strRef>
              <f>'차트 데이터'!D25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데이터'!$D$26:$D$27</f>
            </numRef>
          </val>
        </ser>
        <ser>
          <idx val="3"/>
          <order val="3"/>
          <tx>
            <strRef>
              <f>'차트 데이터'!E25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데이터'!$E$26:$E$27</f>
            </numRef>
          </val>
        </ser>
        <ser>
          <idx val="4"/>
          <order val="4"/>
          <tx>
            <strRef>
              <f>'차트 데이터'!F25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데이터'!$F$26:$F$27</f>
            </numRef>
          </val>
        </ser>
        <ser>
          <idx val="5"/>
          <order val="5"/>
          <tx>
            <strRef>
              <f>'차트 데이터'!G25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데이터'!$G$26:$G$27</f>
            </numRef>
          </val>
        </ser>
        <ser>
          <idx val="6"/>
          <order val="6"/>
          <tx>
            <strRef>
              <f>'차트 데이터'!H25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데이터'!$H$26:$H$27</f>
            </numRef>
          </val>
        </ser>
        <ser>
          <idx val="7"/>
          <order val="7"/>
          <tx>
            <strRef>
              <f>'차트 데이터'!I25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데이터'!$I$26:$I$27</f>
            </numRef>
          </val>
        </ser>
        <ser>
          <idx val="8"/>
          <order val="8"/>
          <tx>
            <strRef>
              <f>'차트 데이터'!J25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데이터'!$J$26:$J$27</f>
            </numRef>
          </val>
        </ser>
        <ser>
          <idx val="9"/>
          <order val="9"/>
          <tx>
            <strRef>
              <f>'차트 데이터'!K25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데이터'!$A$26:$A$27</f>
            </numRef>
          </cat>
          <val>
            <numRef>
              <f>'차트 데이터'!$K$26:$K$27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5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데이터'!$B$31</f>
            </numRef>
          </val>
        </ser>
        <ser>
          <idx val="1"/>
          <order val="1"/>
          <tx>
            <strRef>
              <f>'차트 데이터'!C30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데이터'!$C$31</f>
            </numRef>
          </val>
        </ser>
        <ser>
          <idx val="2"/>
          <order val="2"/>
          <tx>
            <strRef>
              <f>'차트 데이터'!D30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데이터'!$D$31</f>
            </numRef>
          </val>
        </ser>
        <ser>
          <idx val="3"/>
          <order val="3"/>
          <tx>
            <strRef>
              <f>'차트 데이터'!E30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데이터'!$E$31</f>
            </numRef>
          </val>
        </ser>
        <ser>
          <idx val="4"/>
          <order val="4"/>
          <tx>
            <strRef>
              <f>'차트 데이터'!F30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데이터'!$F$31</f>
            </numRef>
          </val>
        </ser>
        <ser>
          <idx val="5"/>
          <order val="5"/>
          <tx>
            <strRef>
              <f>'차트 데이터'!G30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데이터'!$G$31</f>
            </numRef>
          </val>
        </ser>
        <ser>
          <idx val="6"/>
          <order val="6"/>
          <tx>
            <strRef>
              <f>'차트 데이터'!H30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데이터'!$H$31</f>
            </numRef>
          </val>
        </ser>
        <ser>
          <idx val="7"/>
          <order val="7"/>
          <tx>
            <strRef>
              <f>'차트 데이터'!I30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데이터'!$I$31</f>
            </numRef>
          </val>
        </ser>
        <ser>
          <idx val="8"/>
          <order val="8"/>
          <tx>
            <strRef>
              <f>'차트 데이터'!J30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데이터'!$J$31</f>
            </numRef>
          </val>
        </ser>
        <ser>
          <idx val="9"/>
          <order val="9"/>
          <tx>
            <strRef>
              <f>'차트 데이터'!K30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데이터'!$A$31</f>
            </numRef>
          </cat>
          <val>
            <numRef>
              <f>'차트 데이터'!$K$31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5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데이터'!$B$35</f>
            </numRef>
          </val>
        </ser>
        <ser>
          <idx val="1"/>
          <order val="1"/>
          <tx>
            <strRef>
              <f>'차트 데이터'!C34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데이터'!$C$35</f>
            </numRef>
          </val>
        </ser>
        <ser>
          <idx val="2"/>
          <order val="2"/>
          <tx>
            <strRef>
              <f>'차트 데이터'!D34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데이터'!$D$35</f>
            </numRef>
          </val>
        </ser>
        <ser>
          <idx val="3"/>
          <order val="3"/>
          <tx>
            <strRef>
              <f>'차트 데이터'!E34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데이터'!$E$35</f>
            </numRef>
          </val>
        </ser>
        <ser>
          <idx val="4"/>
          <order val="4"/>
          <tx>
            <strRef>
              <f>'차트 데이터'!F34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데이터'!$F$35</f>
            </numRef>
          </val>
        </ser>
        <ser>
          <idx val="5"/>
          <order val="5"/>
          <tx>
            <strRef>
              <f>'차트 데이터'!G34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데이터'!$G$35</f>
            </numRef>
          </val>
        </ser>
        <ser>
          <idx val="6"/>
          <order val="6"/>
          <tx>
            <strRef>
              <f>'차트 데이터'!H34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데이터'!$H$35</f>
            </numRef>
          </val>
        </ser>
        <ser>
          <idx val="7"/>
          <order val="7"/>
          <tx>
            <strRef>
              <f>'차트 데이터'!I34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데이터'!$I$35</f>
            </numRef>
          </val>
        </ser>
        <ser>
          <idx val="8"/>
          <order val="8"/>
          <tx>
            <strRef>
              <f>'차트 데이터'!J34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데이터'!$J$35</f>
            </numRef>
          </val>
        </ser>
        <ser>
          <idx val="9"/>
          <order val="9"/>
          <tx>
            <strRef>
              <f>'차트 데이터'!K34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데이터'!$K$35</f>
            </numRef>
          </val>
        </ser>
        <ser>
          <idx val="10"/>
          <order val="10"/>
          <tx>
            <strRef>
              <f>'차트 데이터'!L34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데이터'!$L$35</f>
            </numRef>
          </val>
        </ser>
        <ser>
          <idx val="11"/>
          <order val="11"/>
          <tx>
            <strRef>
              <f>'차트 데이터'!M34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데이터'!$M$35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5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데이터'!$B$39:$B$40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데이터'!$C$39:$C$40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데이터'!$D$39:$D$40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데이터'!$E$39:$E$40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데이터'!$F$39:$F$40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데이터'!$G$39:$G$40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데이터'!$H$39:$H$40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데이터'!$I$39:$I$40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데이터'!$J$39:$J$40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데이터'!$K$39:$K$40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데이터'!$L$39:$L$40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데이터'!$M$39:$M$40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5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ser>
          <idx val="11"/>
          <order val="11"/>
          <tx>
            <strRef>
              <f>'차트 데이터'!M43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데이터'!$M$44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46238.48761063658</v>
      </c>
      <c r="B6" s="7" t="n">
        <v>143.9482319901281</v>
      </c>
      <c r="C6" s="7" t="n">
        <v>156.6965247961271</v>
      </c>
      <c r="D6" s="7" t="n">
        <v>146.4270142237368</v>
      </c>
      <c r="E6" s="7" t="n">
        <v>139.822515502611</v>
      </c>
      <c r="F6" s="7" t="n">
        <v>139.7231022344659</v>
      </c>
      <c r="G6" s="7" t="n">
        <v>145.3150549958778</v>
      </c>
      <c r="H6" s="7" t="n">
        <v>154.3960442641831</v>
      </c>
      <c r="I6" s="7" t="n">
        <v>141.2942776820531</v>
      </c>
      <c r="J6" s="7" t="n">
        <v>143.786666118849</v>
      </c>
      <c r="K6" s="7" t="n">
        <v>139.1329084926486</v>
      </c>
      <c r="L6" s="7" t="n">
        <v>140.2617796948513</v>
      </c>
      <c r="M6" s="7" t="n">
        <v>139.118624442772</v>
      </c>
      <c r="N6" s="7" t="n">
        <v>146.5969514959202</v>
      </c>
      <c r="O6" s="8">
        <f>N6*$B$2/100</f>
        <v/>
      </c>
    </row>
    <row r="7">
      <c r="A7" s="6" t="n">
        <v>46238.48762236111</v>
      </c>
      <c r="B7" s="7" t="n">
        <v>152.0421230266739</v>
      </c>
      <c r="C7" s="7" t="n">
        <v>153.3659676895691</v>
      </c>
      <c r="D7" s="7" t="n">
        <v>152.6259973481588</v>
      </c>
      <c r="E7" s="7" t="n">
        <v>151.7445235043294</v>
      </c>
      <c r="F7" s="7" t="n">
        <v>151.6256251274532</v>
      </c>
      <c r="G7" s="7" t="n">
        <v>151.6458938712346</v>
      </c>
      <c r="H7" s="7" t="n">
        <v>151.2812941375869</v>
      </c>
      <c r="I7" s="7" t="n">
        <v>151.4208964281817</v>
      </c>
      <c r="J7" s="7" t="n">
        <v>151.1776468422022</v>
      </c>
      <c r="K7" s="7" t="n">
        <v>151.505317473846</v>
      </c>
      <c r="L7" s="7" t="n">
        <v>150.4959646421137</v>
      </c>
      <c r="M7" s="7" t="n">
        <v>151.6875058727722</v>
      </c>
      <c r="N7" s="7" t="n">
        <v>151.7666523121514</v>
      </c>
      <c r="O7" s="8">
        <f>N7*$B$2/100</f>
        <v/>
      </c>
    </row>
    <row r="8">
      <c r="A8" s="6" t="n">
        <v>46238.48763407407</v>
      </c>
      <c r="B8" s="7" t="n">
        <v>151.8958954978753</v>
      </c>
      <c r="C8" s="7" t="n">
        <v>150.5870418334511</v>
      </c>
      <c r="D8" s="7" t="n">
        <v>150.769499592441</v>
      </c>
      <c r="E8" s="7" t="n">
        <v>150.7551178678412</v>
      </c>
      <c r="F8" s="7" t="n">
        <v>151.4951335514801</v>
      </c>
      <c r="G8" s="7" t="n">
        <v>142.6930211666947</v>
      </c>
      <c r="H8" s="7" t="n">
        <v>147.5925397088937</v>
      </c>
      <c r="I8" s="7" t="n">
        <v>147.1370620290767</v>
      </c>
      <c r="J8" s="7" t="n">
        <v>148.7352099256579</v>
      </c>
      <c r="K8" s="7" t="n">
        <v>150.9378504814542</v>
      </c>
      <c r="L8" s="7" t="n">
        <v>150.215422307751</v>
      </c>
      <c r="M8" s="7" t="n">
        <v>152.5618950629434</v>
      </c>
      <c r="N8" s="7" t="n">
        <v>150.0962249200391</v>
      </c>
      <c r="O8" s="8">
        <f>N8*$B$2/100</f>
        <v/>
      </c>
    </row>
    <row r="9">
      <c r="A9" s="6" t="n">
        <v>46238.48764585648</v>
      </c>
      <c r="B9" s="7" t="n">
        <v>154.7374595768427</v>
      </c>
      <c r="C9" s="7" t="n">
        <v>157.2796209764542</v>
      </c>
      <c r="D9" s="7" t="n">
        <v>154.2750369982259</v>
      </c>
      <c r="E9" s="7" t="n">
        <v>151.0918037378418</v>
      </c>
      <c r="F9" s="7" t="n">
        <v>153.9789718945682</v>
      </c>
      <c r="G9" s="7" t="n">
        <v>151.5041952151333</v>
      </c>
      <c r="H9" s="7" t="n">
        <v>147.796973988856</v>
      </c>
      <c r="I9" s="7" t="n">
        <v>160.4534965641879</v>
      </c>
      <c r="J9" s="7" t="n">
        <v>149.7636878383281</v>
      </c>
      <c r="K9" s="7" t="n">
        <v>150.8558639360872</v>
      </c>
      <c r="L9" s="7" t="n">
        <v>154.702601738309</v>
      </c>
      <c r="M9" s="7" t="n">
        <v>156.8226103992678</v>
      </c>
      <c r="N9" s="7" t="n">
        <v>154.0297690201674</v>
      </c>
      <c r="O9" s="8">
        <f>N9*$B$2/100</f>
        <v/>
      </c>
    </row>
    <row r="10">
      <c r="A10" s="6" t="n">
        <v>46238.48765747685</v>
      </c>
      <c r="B10" s="7" t="n">
        <v>159.5210360803396</v>
      </c>
      <c r="C10" s="7" t="n">
        <v>160.1631259538948</v>
      </c>
      <c r="D10" s="7" t="n">
        <v>147.8204267813139</v>
      </c>
      <c r="E10" s="7" t="n">
        <v>161.497954246562</v>
      </c>
      <c r="F10" s="7" t="n">
        <v>154.3324947521913</v>
      </c>
      <c r="G10" s="7" t="n">
        <v>139.3399924613645</v>
      </c>
      <c r="H10" s="7" t="n">
        <v>151.3845127137816</v>
      </c>
      <c r="I10" s="7" t="n">
        <v>153.4842749209171</v>
      </c>
      <c r="J10" s="7" t="n">
        <v>159.1492022719196</v>
      </c>
      <c r="K10" s="7" t="n">
        <v>141.6876784015224</v>
      </c>
      <c r="L10" s="7" t="n">
        <v>159.8929713018946</v>
      </c>
      <c r="M10" s="7" t="n">
        <v>160.7856387953255</v>
      </c>
      <c r="N10" s="7" t="n">
        <v>158.0913519864735</v>
      </c>
      <c r="O10" s="8">
        <f>N10*$B$2/100</f>
        <v/>
      </c>
    </row>
    <row r="11">
      <c r="A11" s="6" t="n">
        <v>46238.48766908565</v>
      </c>
      <c r="B11" s="7" t="n">
        <v>157.9714582586228</v>
      </c>
      <c r="C11" s="7" t="n">
        <v>159.5073537191832</v>
      </c>
      <c r="D11" s="7" t="n">
        <v>159.818955269108</v>
      </c>
      <c r="E11" s="7" t="n">
        <v>158.6854708372272</v>
      </c>
      <c r="F11" s="7" t="n">
        <v>155.049562001168</v>
      </c>
      <c r="G11" s="7" t="n">
        <v>149.2985964294104</v>
      </c>
      <c r="H11" s="7" t="n">
        <v>147.1877116955569</v>
      </c>
      <c r="I11" s="7" t="n">
        <v>151.6006013393467</v>
      </c>
      <c r="J11" s="7" t="n">
        <v>151.7536542676485</v>
      </c>
      <c r="K11" s="7" t="n">
        <v>128.8365278289716</v>
      </c>
      <c r="L11" s="7" t="n">
        <v>160.4840304061431</v>
      </c>
      <c r="M11" s="7" t="n">
        <v>156.484752589183</v>
      </c>
      <c r="N11" s="7" t="n">
        <v>157.7296351531811</v>
      </c>
      <c r="O11" s="8">
        <f>N11*$B$2/100</f>
        <v/>
      </c>
    </row>
    <row r="12">
      <c r="A12" s="6" t="n">
        <v>46238.48768085648</v>
      </c>
      <c r="B12" s="7" t="n">
        <v>159.7253011387022</v>
      </c>
      <c r="C12" s="7" t="n">
        <v>158.9614786994491</v>
      </c>
      <c r="D12" s="7" t="n">
        <v>157.1858904388922</v>
      </c>
      <c r="E12" s="7" t="n">
        <v>132.2194357366771</v>
      </c>
      <c r="F12" s="7" t="n">
        <v>147.2998872893079</v>
      </c>
      <c r="G12" s="7" t="n">
        <v>142.2603932954995</v>
      </c>
      <c r="H12" s="7" t="n">
        <v>154.3030561243307</v>
      </c>
      <c r="I12" s="7" t="n">
        <v>121.664519453749</v>
      </c>
      <c r="J12" s="7" t="n">
        <v>155.4039203844235</v>
      </c>
      <c r="K12" s="7" t="n">
        <v>145.2599084162324</v>
      </c>
      <c r="L12" s="7" t="n">
        <v>160.4070589068548</v>
      </c>
      <c r="M12" s="7" t="n">
        <v>159.5436023792984</v>
      </c>
      <c r="N12" s="7" t="n">
        <v>157.6925645282459</v>
      </c>
      <c r="O12" s="8">
        <f>N12*$B$2/100</f>
        <v/>
      </c>
    </row>
    <row r="13">
      <c r="A13" s="6" t="n">
        <v>46238.48769260417</v>
      </c>
      <c r="B13" s="7" t="n">
        <v>161.305040083571</v>
      </c>
      <c r="C13" s="7" t="n">
        <v>161.3684930446228</v>
      </c>
      <c r="D13" s="7" t="n">
        <v>155.8253866905039</v>
      </c>
      <c r="E13" s="7" t="n">
        <v>158.829239921566</v>
      </c>
      <c r="F13" s="7" t="n">
        <v>148.4172761074586</v>
      </c>
      <c r="G13" s="7" t="n">
        <v>139.8722401952438</v>
      </c>
      <c r="H13" s="7" t="n">
        <v>157.5465083440308</v>
      </c>
      <c r="I13" s="7" t="n">
        <v>111.4330630481549</v>
      </c>
      <c r="J13" s="7" t="n">
        <v>161.0624688541655</v>
      </c>
      <c r="K13" s="7" t="n">
        <v>149.7027311426795</v>
      </c>
      <c r="L13" s="7" t="n">
        <v>159.2707761486365</v>
      </c>
      <c r="M13" s="7" t="n">
        <v>161.2913271385595</v>
      </c>
      <c r="N13" s="7" t="n">
        <v>158.9169067338855</v>
      </c>
      <c r="O13" s="8">
        <f>N13*$B$2/100</f>
        <v/>
      </c>
    </row>
    <row r="14">
      <c r="A14" s="6" t="n">
        <v>46238.487704375</v>
      </c>
      <c r="B14" s="7" t="n">
        <v>161.9396836327547</v>
      </c>
      <c r="C14" s="7" t="n">
        <v>159.6955760892585</v>
      </c>
      <c r="D14" s="7" t="n">
        <v>158.0590407553783</v>
      </c>
      <c r="E14" s="7" t="n">
        <v>158.325499390058</v>
      </c>
      <c r="F14" s="7" t="n">
        <v>154.6597320539038</v>
      </c>
      <c r="G14" s="7" t="n">
        <v>157.8952200835799</v>
      </c>
      <c r="H14" s="7" t="n">
        <v>151.3120683685927</v>
      </c>
      <c r="I14" s="7" t="n">
        <v>128.5611859315958</v>
      </c>
      <c r="J14" s="7" t="n">
        <v>152.553892853339</v>
      </c>
      <c r="K14" s="7" t="n">
        <v>134.7876726448155</v>
      </c>
      <c r="L14" s="7" t="n">
        <v>159.454815783095</v>
      </c>
      <c r="M14" s="7" t="n">
        <v>160.6260927679334</v>
      </c>
      <c r="N14" s="7" t="n">
        <v>158.4199239802576</v>
      </c>
      <c r="O14" s="8">
        <f>N14*$B$2/100</f>
        <v/>
      </c>
    </row>
    <row r="15">
      <c r="A15" s="6" t="n">
        <v>46238.48771612268</v>
      </c>
      <c r="B15" s="7" t="n">
        <v>160.2380676737205</v>
      </c>
      <c r="C15" s="7" t="n">
        <v>159.9112960671841</v>
      </c>
      <c r="D15" s="7" t="n">
        <v>151.5312604907681</v>
      </c>
      <c r="E15" s="7" t="n">
        <v>156.2019816229381</v>
      </c>
      <c r="F15" s="7" t="n">
        <v>143.939313116551</v>
      </c>
      <c r="G15" s="7" t="n">
        <v>158.6093935844705</v>
      </c>
      <c r="H15" s="7" t="n">
        <v>153.7495924298271</v>
      </c>
      <c r="I15" s="7" t="n">
        <v>128.2363306817037</v>
      </c>
      <c r="J15" s="7" t="n">
        <v>152.0516503376772</v>
      </c>
      <c r="K15" s="7" t="n">
        <v>157.5518248403167</v>
      </c>
      <c r="L15" s="7" t="n">
        <v>160.823907832492</v>
      </c>
      <c r="M15" s="7" t="n">
        <v>161.6584545370328</v>
      </c>
      <c r="N15" s="7" t="n">
        <v>158.2944258463245</v>
      </c>
      <c r="O15" s="8">
        <f>N15*$B$2/100</f>
        <v/>
      </c>
    </row>
    <row r="16">
      <c r="A16" s="6" t="n">
        <v>46238.48772787037</v>
      </c>
      <c r="B16" s="7" t="n">
        <v>158.6032655640999</v>
      </c>
      <c r="C16" s="7" t="n">
        <v>153.1293725880742</v>
      </c>
      <c r="D16" s="7" t="n">
        <v>152.4965607078746</v>
      </c>
      <c r="E16" s="7" t="n">
        <v>123.8765765765766</v>
      </c>
      <c r="F16" s="7" t="n">
        <v>151.1427768860353</v>
      </c>
      <c r="G16" s="7" t="n">
        <v>149.1929601815333</v>
      </c>
      <c r="H16" s="7" t="n">
        <v>151.1065803667746</v>
      </c>
      <c r="I16" s="7" t="n">
        <v>112.9433234421365</v>
      </c>
      <c r="J16" s="7" t="n">
        <v>160.2461200893153</v>
      </c>
      <c r="K16" s="7" t="n">
        <v>156.1756803455723</v>
      </c>
      <c r="L16" s="7" t="n">
        <v>159.961329695263</v>
      </c>
      <c r="M16" s="7" t="n">
        <v>160.1315707847538</v>
      </c>
      <c r="N16" s="7" t="n">
        <v>157.6252029259535</v>
      </c>
      <c r="O16" s="8">
        <f>N16*$B$2/100</f>
        <v/>
      </c>
    </row>
    <row r="17">
      <c r="A17" s="6" t="n">
        <v>46238.48773950231</v>
      </c>
      <c r="B17" s="7" t="n">
        <v>160.2418877008668</v>
      </c>
      <c r="C17" s="7" t="n">
        <v>162.3613321466052</v>
      </c>
      <c r="D17" s="7" t="n">
        <v>159.5201952630627</v>
      </c>
      <c r="E17" s="7" t="n">
        <v>129.9535710191448</v>
      </c>
      <c r="F17" s="7" t="n">
        <v>140.7088087631219</v>
      </c>
      <c r="G17" s="7" t="n">
        <v>146.334078508639</v>
      </c>
      <c r="H17" s="7" t="n">
        <v>153.2589897949329</v>
      </c>
      <c r="I17" s="7" t="n">
        <v>115.7626089663761</v>
      </c>
      <c r="J17" s="7" t="n">
        <v>151.3994005733646</v>
      </c>
      <c r="K17" s="7" t="n">
        <v>129.6014114196682</v>
      </c>
      <c r="L17" s="7" t="n">
        <v>160.9950990998417</v>
      </c>
      <c r="M17" s="7" t="n">
        <v>159.595086417641</v>
      </c>
      <c r="N17" s="7" t="n">
        <v>158.2976611978258</v>
      </c>
      <c r="O17" s="8">
        <f>N17*$B$2/100</f>
        <v/>
      </c>
    </row>
    <row r="18">
      <c r="A18" s="6" t="n">
        <v>46238.48775111111</v>
      </c>
      <c r="B18" s="7" t="n">
        <v>160.4242424242424</v>
      </c>
      <c r="C18" s="7" t="n">
        <v>160.4317490107293</v>
      </c>
      <c r="D18" s="7" t="n">
        <v>156.6994608914743</v>
      </c>
      <c r="E18" s="7" t="n">
        <v>155.0841575894161</v>
      </c>
      <c r="F18" s="7" t="n">
        <v>151.7684988276351</v>
      </c>
      <c r="G18" s="7" t="n">
        <v>146.0352053352053</v>
      </c>
      <c r="H18" s="7" t="n">
        <v>153.1891315796073</v>
      </c>
      <c r="I18" s="7" t="n">
        <v>132.1214042392127</v>
      </c>
      <c r="J18" s="7" t="n">
        <v>154.1614565271241</v>
      </c>
      <c r="K18" s="7" t="n">
        <v>156.1932938424884</v>
      </c>
      <c r="L18" s="7" t="n">
        <v>159.4209716669564</v>
      </c>
      <c r="M18" s="7" t="n">
        <v>159.404993727414</v>
      </c>
      <c r="N18" s="7" t="n">
        <v>157.6454448707286</v>
      </c>
      <c r="O18" s="8">
        <f>N18*$B$2/100</f>
        <v/>
      </c>
    </row>
    <row r="19">
      <c r="A19" s="6" t="n">
        <v>46238.48776270833</v>
      </c>
      <c r="B19" s="7" t="n">
        <v>145.0409314662051</v>
      </c>
      <c r="C19" s="7" t="n">
        <v>160.651212553495</v>
      </c>
      <c r="D19" s="7" t="n">
        <v>159.2644148400428</v>
      </c>
      <c r="E19" s="7" t="n">
        <v>134.2589475926715</v>
      </c>
      <c r="F19" s="7" t="n">
        <v>144.118183801076</v>
      </c>
      <c r="G19" s="7" t="n">
        <v>140.70253741054</v>
      </c>
      <c r="H19" s="7" t="n">
        <v>149.6470949810252</v>
      </c>
      <c r="I19" s="7" t="n">
        <v>126.9635426429241</v>
      </c>
      <c r="J19" s="7" t="n">
        <v>159.6922448279803</v>
      </c>
      <c r="K19" s="7" t="n">
        <v>156.4067671232877</v>
      </c>
      <c r="L19" s="7" t="n">
        <v>161.5119118553524</v>
      </c>
      <c r="M19" s="7" t="n">
        <v>159.9414874180897</v>
      </c>
      <c r="N19" s="7" t="n">
        <v>157.5770435126192</v>
      </c>
      <c r="O19" s="8">
        <f>N19*$B$2/100</f>
        <v/>
      </c>
    </row>
    <row r="20">
      <c r="A20" s="6" t="n">
        <v>46238.48777432871</v>
      </c>
      <c r="B20" s="7" t="n">
        <v>151.9618550236918</v>
      </c>
      <c r="C20" s="7" t="n">
        <v>162.7641166007723</v>
      </c>
      <c r="D20" s="7" t="n">
        <v>161.527901984045</v>
      </c>
      <c r="E20" s="7" t="n">
        <v>161.0830598851518</v>
      </c>
      <c r="F20" s="7" t="n">
        <v>148.0801133436373</v>
      </c>
      <c r="G20" s="7" t="n">
        <v>140.1769776171278</v>
      </c>
      <c r="H20" s="7" t="n">
        <v>154.1556794943298</v>
      </c>
      <c r="I20" s="7" t="n">
        <v>141.3995027405775</v>
      </c>
      <c r="J20" s="7" t="n">
        <v>155.2713904918129</v>
      </c>
      <c r="K20" s="7" t="n">
        <v>127.0232</v>
      </c>
      <c r="L20" s="7" t="n">
        <v>161.9832328214953</v>
      </c>
      <c r="M20" s="7" t="n">
        <v>158.0340289008981</v>
      </c>
      <c r="N20" s="7" t="n">
        <v>158.6186913004069</v>
      </c>
      <c r="O20" s="8">
        <f>N20*$B$2/100</f>
        <v/>
      </c>
    </row>
    <row r="21">
      <c r="A21" s="6" t="n">
        <v>46238.48778594907</v>
      </c>
      <c r="B21" s="7" t="n">
        <v>159.9289004870604</v>
      </c>
      <c r="C21" s="7" t="n">
        <v>160.7288610373108</v>
      </c>
      <c r="D21" s="7" t="n">
        <v>160.9533984740395</v>
      </c>
      <c r="E21" s="7" t="n">
        <v>132.3295731032957</v>
      </c>
      <c r="F21" s="7" t="n">
        <v>141.3007111685793</v>
      </c>
      <c r="G21" s="7" t="n">
        <v>139.1518209049346</v>
      </c>
      <c r="H21" s="7" t="n">
        <v>159.7997316012668</v>
      </c>
      <c r="I21" s="7" t="n">
        <v>151.3126181772343</v>
      </c>
      <c r="J21" s="7" t="n">
        <v>146.8667162836853</v>
      </c>
      <c r="K21" s="7" t="n">
        <v>154.075636175662</v>
      </c>
      <c r="L21" s="7" t="n">
        <v>160.966583746145</v>
      </c>
      <c r="M21" s="7" t="n">
        <v>159.5250153979745</v>
      </c>
      <c r="N21" s="7" t="n">
        <v>158.8470467804291</v>
      </c>
      <c r="O21" s="8">
        <f>N21*$B$2/100</f>
        <v/>
      </c>
    </row>
    <row r="22">
      <c r="A22" s="6" t="n">
        <v>46238.48779770833</v>
      </c>
      <c r="B22" s="7" t="n">
        <v>154.775403271612</v>
      </c>
      <c r="C22" s="7" t="n">
        <v>162.6410297881247</v>
      </c>
      <c r="D22" s="7" t="n">
        <v>161.1329380621809</v>
      </c>
      <c r="E22" s="7" t="n">
        <v>161.4374177294023</v>
      </c>
      <c r="F22" s="7" t="n">
        <v>144.6485181185505</v>
      </c>
      <c r="G22" s="7" t="n">
        <v>145.859159676453</v>
      </c>
      <c r="H22" s="7" t="n">
        <v>153.3790774078917</v>
      </c>
      <c r="I22" s="7" t="n">
        <v>115.3154076644063</v>
      </c>
      <c r="J22" s="7" t="n">
        <v>145.9883050103468</v>
      </c>
      <c r="K22" s="7" t="n">
        <v>133.8558218076552</v>
      </c>
      <c r="L22" s="7" t="n">
        <v>162.0846987693188</v>
      </c>
      <c r="M22" s="7" t="n">
        <v>159.4182556836828</v>
      </c>
      <c r="N22" s="7" t="n">
        <v>158.0136920720031</v>
      </c>
      <c r="O22" s="8">
        <f>N22*$B$2/100</f>
        <v/>
      </c>
    </row>
    <row r="23">
      <c r="A23" s="6" t="n">
        <v>46238.48780944444</v>
      </c>
      <c r="B23" s="7" t="n">
        <v>155.9929959479914</v>
      </c>
      <c r="C23" s="7" t="n">
        <v>162.5793973207183</v>
      </c>
      <c r="D23" s="7" t="n">
        <v>158.7942243796687</v>
      </c>
      <c r="E23" s="7" t="n">
        <v>159.128162735701</v>
      </c>
      <c r="F23" s="7" t="n">
        <v>138.9207666469077</v>
      </c>
      <c r="G23" s="7" t="n">
        <v>136.5263970714408</v>
      </c>
      <c r="H23" s="7" t="n">
        <v>149.7118851206844</v>
      </c>
      <c r="I23" s="7" t="n">
        <v>115.6077904633983</v>
      </c>
      <c r="J23" s="7" t="n">
        <v>161.1484246356909</v>
      </c>
      <c r="K23" s="7" t="n">
        <v>158.7739925693055</v>
      </c>
      <c r="L23" s="7" t="n">
        <v>159.5512104043266</v>
      </c>
      <c r="M23" s="7" t="n">
        <v>162.045770693358</v>
      </c>
      <c r="N23" s="7" t="n">
        <v>158.8755418500269</v>
      </c>
      <c r="O23" s="8">
        <f>N23*$B$2/100</f>
        <v/>
      </c>
    </row>
    <row r="24">
      <c r="A24" s="6" t="n">
        <v>46238.48782115741</v>
      </c>
      <c r="B24" s="7" t="n">
        <v>158.1340523452598</v>
      </c>
      <c r="C24" s="7" t="n">
        <v>138.7323071911393</v>
      </c>
      <c r="D24" s="7" t="n">
        <v>154.4164039310377</v>
      </c>
      <c r="E24" s="7" t="n">
        <v>157.646781361262</v>
      </c>
      <c r="F24" s="7" t="n">
        <v>153.3753161911884</v>
      </c>
      <c r="G24" s="7" t="n">
        <v>160.468113531284</v>
      </c>
      <c r="H24" s="7" t="n">
        <v>151.9958899292276</v>
      </c>
      <c r="I24" s="7" t="n">
        <v>103.8305665824612</v>
      </c>
      <c r="J24" s="7" t="n">
        <v>143.5832585651148</v>
      </c>
      <c r="K24" s="7" t="n">
        <v>128.100822867042</v>
      </c>
      <c r="L24" s="7" t="n">
        <v>160.9747783776578</v>
      </c>
      <c r="M24" s="7" t="n">
        <v>160.7345879170065</v>
      </c>
      <c r="N24" s="7" t="n">
        <v>158.0676029027235</v>
      </c>
      <c r="O24" s="8">
        <f>N24*$B$2/100</f>
        <v/>
      </c>
    </row>
    <row r="25">
      <c r="A25" s="6" t="n">
        <v>46238.48783290509</v>
      </c>
      <c r="B25" s="7" t="n">
        <v>159.1859642945174</v>
      </c>
      <c r="C25" s="7" t="n">
        <v>159.2725926529725</v>
      </c>
      <c r="D25" s="7" t="n">
        <v>157.1511566443379</v>
      </c>
      <c r="E25" s="7" t="n">
        <v>160.2151488994389</v>
      </c>
      <c r="F25" s="7" t="n">
        <v>150.7444118686711</v>
      </c>
      <c r="G25" s="7" t="n">
        <v>154.6851068330865</v>
      </c>
      <c r="H25" s="7" t="n">
        <v>160.1254020033889</v>
      </c>
      <c r="I25" s="7" t="n">
        <v>122.9871409028728</v>
      </c>
      <c r="J25" s="7" t="n">
        <v>152.9002005905024</v>
      </c>
      <c r="K25" s="7" t="n">
        <v>148.4720168665462</v>
      </c>
      <c r="L25" s="7" t="n">
        <v>159.8830678084563</v>
      </c>
      <c r="M25" s="7" t="n">
        <v>160.3046071236012</v>
      </c>
      <c r="N25" s="7" t="n">
        <v>158.1828511696784</v>
      </c>
      <c r="O25" s="8">
        <f>N25*$B$2/100</f>
        <v/>
      </c>
    </row>
    <row r="26">
      <c r="A26" s="6" t="n">
        <v>46238.48784465278</v>
      </c>
      <c r="B26" s="7" t="n">
        <v>161.8025132338213</v>
      </c>
      <c r="C26" s="7" t="n">
        <v>162.6707226437596</v>
      </c>
      <c r="D26" s="7" t="n">
        <v>155.9828927487731</v>
      </c>
      <c r="E26" s="7" t="n">
        <v>139.1202292562199</v>
      </c>
      <c r="F26" s="7" t="n">
        <v>151.3441302872653</v>
      </c>
      <c r="G26" s="7" t="n">
        <v>146.3245190626093</v>
      </c>
      <c r="H26" s="7" t="n">
        <v>154.5707720867951</v>
      </c>
      <c r="I26" s="7" t="n">
        <v>122.4061885407106</v>
      </c>
      <c r="J26" s="7" t="n">
        <v>162.1383157866526</v>
      </c>
      <c r="K26" s="7" t="n">
        <v>156.0755807522124</v>
      </c>
      <c r="L26" s="7" t="n">
        <v>159.1841017054747</v>
      </c>
      <c r="M26" s="7" t="n">
        <v>161.1971549421445</v>
      </c>
      <c r="N26" s="7" t="n">
        <v>159.2124664496602</v>
      </c>
      <c r="O26" s="8">
        <f>N26*$B$2/100</f>
        <v/>
      </c>
    </row>
    <row r="27">
      <c r="A27" s="6" t="n">
        <v>46238.48785638889</v>
      </c>
      <c r="B27" s="7" t="n">
        <v>161.0498243738546</v>
      </c>
      <c r="C27" s="7" t="n">
        <v>153.7536891679749</v>
      </c>
      <c r="D27" s="7" t="n">
        <v>156.222234991266</v>
      </c>
      <c r="E27" s="7" t="n">
        <v>159.8475255517594</v>
      </c>
      <c r="F27" s="7" t="n">
        <v>143.2377136236362</v>
      </c>
      <c r="G27" s="7" t="n">
        <v>144.85602084356</v>
      </c>
      <c r="H27" s="7" t="n">
        <v>152.6747701860833</v>
      </c>
      <c r="I27" s="7" t="n">
        <v>119.7793122122935</v>
      </c>
      <c r="J27" s="7" t="n">
        <v>147.2644657784744</v>
      </c>
      <c r="K27" s="7" t="n">
        <v>157.4886830495884</v>
      </c>
      <c r="L27" s="7" t="n">
        <v>160.3707620196956</v>
      </c>
      <c r="M27" s="7" t="n">
        <v>160.4700477434465</v>
      </c>
      <c r="N27" s="7" t="n">
        <v>158.2904755960554</v>
      </c>
      <c r="O27" s="8">
        <f>N27*$B$2/100</f>
        <v/>
      </c>
    </row>
    <row r="28">
      <c r="A28" s="6" t="n">
        <v>46238.48786799768</v>
      </c>
      <c r="B28" s="7" t="n">
        <v>161.2033370580513</v>
      </c>
      <c r="C28" s="7" t="n">
        <v>158.0762228838792</v>
      </c>
      <c r="D28" s="7" t="n">
        <v>160.0010243874047</v>
      </c>
      <c r="E28" s="7" t="n">
        <v>155.5851759497214</v>
      </c>
      <c r="F28" s="7" t="n">
        <v>149.9514997127944</v>
      </c>
      <c r="G28" s="7" t="n">
        <v>154.8867943111531</v>
      </c>
      <c r="H28" s="7" t="n">
        <v>156.2923031186738</v>
      </c>
      <c r="I28" s="7" t="n">
        <v>155.6910309199253</v>
      </c>
      <c r="J28" s="7" t="n">
        <v>154.4556719101803</v>
      </c>
      <c r="K28" s="7" t="n">
        <v>146.3622822764543</v>
      </c>
      <c r="L28" s="7" t="n">
        <v>159.5721624292711</v>
      </c>
      <c r="M28" s="7" t="n">
        <v>160.757125982955</v>
      </c>
      <c r="N28" s="7" t="n">
        <v>158.5627086266826</v>
      </c>
      <c r="O28" s="8">
        <f>N28*$B$2/100</f>
        <v/>
      </c>
    </row>
    <row r="29">
      <c r="A29" s="6" t="n">
        <v>46238.48787960648</v>
      </c>
      <c r="B29" s="7" t="n">
        <v>153.7935759209344</v>
      </c>
      <c r="C29" s="7" t="n">
        <v>164.440700990099</v>
      </c>
      <c r="D29" s="7" t="n">
        <v>150.6914772078145</v>
      </c>
      <c r="E29" s="7" t="n">
        <v>160.2514492281639</v>
      </c>
      <c r="F29" s="7" t="n">
        <v>150.1825351876324</v>
      </c>
      <c r="G29" s="7" t="n">
        <v>151.3770843891021</v>
      </c>
      <c r="H29" s="7" t="n">
        <v>145.5268316292577</v>
      </c>
      <c r="I29" s="7" t="n">
        <v>104.6211944767926</v>
      </c>
      <c r="J29" s="7" t="n">
        <v>159.1461713073193</v>
      </c>
      <c r="K29" s="7" t="n">
        <v>149.2057412565769</v>
      </c>
      <c r="L29" s="7" t="n">
        <v>161.2171891584817</v>
      </c>
      <c r="M29" s="7" t="n">
        <v>158.0685977694006</v>
      </c>
      <c r="N29" s="7" t="n">
        <v>158.4462175862741</v>
      </c>
      <c r="O29" s="8">
        <f>N29*$B$2/100</f>
        <v/>
      </c>
    </row>
    <row r="30">
      <c r="A30" s="6" t="n">
        <v>46238.48789134259</v>
      </c>
      <c r="B30" s="7" t="n">
        <v>158.6328895741667</v>
      </c>
      <c r="C30" s="7" t="n">
        <v>164.4301684639143</v>
      </c>
      <c r="D30" s="7" t="n">
        <v>161.7363727998759</v>
      </c>
      <c r="E30" s="7" t="n">
        <v>162.8656278730622</v>
      </c>
      <c r="F30" s="7" t="n">
        <v>156.1349741399274</v>
      </c>
      <c r="G30" s="7" t="n">
        <v>138.1631758679567</v>
      </c>
      <c r="H30" s="7" t="n">
        <v>152.6070604565662</v>
      </c>
      <c r="I30" s="7" t="n">
        <v>106.8906474820144</v>
      </c>
      <c r="J30" s="7" t="n">
        <v>146.8649097961948</v>
      </c>
      <c r="K30" s="7" t="n">
        <v>132.6473792232397</v>
      </c>
      <c r="L30" s="7" t="n">
        <v>162.3461523417637</v>
      </c>
      <c r="M30" s="7" t="n">
        <v>154.301970971932</v>
      </c>
      <c r="N30" s="7" t="n">
        <v>159.9038771976167</v>
      </c>
      <c r="O30" s="8">
        <f>N30*$B$2/100</f>
        <v/>
      </c>
    </row>
    <row r="31">
      <c r="A31" s="6" t="n">
        <v>46238.48790295139</v>
      </c>
      <c r="B31" s="7" t="n">
        <v>160.9839495653864</v>
      </c>
      <c r="C31" s="7" t="n">
        <v>159.1039803255063</v>
      </c>
      <c r="D31" s="7" t="n">
        <v>149.2038611322188</v>
      </c>
      <c r="E31" s="7" t="n">
        <v>159.6440095624618</v>
      </c>
      <c r="F31" s="7" t="n">
        <v>144.2578704072687</v>
      </c>
      <c r="G31" s="7" t="n">
        <v>161.7136288289204</v>
      </c>
      <c r="H31" s="7" t="n">
        <v>153.1082153080507</v>
      </c>
      <c r="I31" s="7" t="n">
        <v>115.6063765488063</v>
      </c>
      <c r="J31" s="7" t="n">
        <v>151.8971806212538</v>
      </c>
      <c r="K31" s="7" t="n">
        <v>133.6662610282933</v>
      </c>
      <c r="L31" s="7" t="n">
        <v>158.8408842684357</v>
      </c>
      <c r="M31" s="7" t="n">
        <v>160.0580458185262</v>
      </c>
      <c r="N31" s="7" t="n">
        <v>158.2148883325777</v>
      </c>
      <c r="O31" s="8">
        <f>N31*$B$2/100</f>
        <v/>
      </c>
    </row>
    <row r="32">
      <c r="A32" s="6" t="n">
        <v>46238.48791471065</v>
      </c>
      <c r="B32" s="7" t="n">
        <v>153.951536854985</v>
      </c>
      <c r="C32" s="7" t="n">
        <v>153.0517951089224</v>
      </c>
      <c r="D32" s="7" t="n">
        <v>153.4946017640636</v>
      </c>
      <c r="E32" s="7" t="n">
        <v>151.0011941182276</v>
      </c>
      <c r="F32" s="7" t="n">
        <v>151.5177746138708</v>
      </c>
      <c r="G32" s="7" t="n">
        <v>150.9537069139869</v>
      </c>
      <c r="H32" s="7" t="n">
        <v>153.2742171041249</v>
      </c>
      <c r="I32" s="7" t="n">
        <v>151.9836412501207</v>
      </c>
      <c r="J32" s="7" t="n">
        <v>151.8353977864447</v>
      </c>
      <c r="K32" s="7" t="n">
        <v>151.2981466559226</v>
      </c>
      <c r="L32" s="7" t="n">
        <v>153.1400798174018</v>
      </c>
      <c r="M32" s="7" t="n">
        <v>158.1368877899942</v>
      </c>
      <c r="N32" s="7" t="n">
        <v>152.9354586143804</v>
      </c>
      <c r="O32" s="8">
        <f>N32*$B$2/100</f>
        <v/>
      </c>
    </row>
    <row r="33">
      <c r="A33" s="6" t="n">
        <v>46238.48792643518</v>
      </c>
      <c r="B33" s="7" t="n">
        <v>151.6754193491959</v>
      </c>
      <c r="C33" s="7" t="n">
        <v>151.8543174552482</v>
      </c>
      <c r="D33" s="7" t="n">
        <v>151.6356573509276</v>
      </c>
      <c r="E33" s="7" t="n">
        <v>151.7265159164079</v>
      </c>
      <c r="F33" s="7" t="n">
        <v>151.5957802426213</v>
      </c>
      <c r="G33" s="7" t="n">
        <v>151.7717546287284</v>
      </c>
      <c r="H33" s="7" t="n">
        <v>151.8503968794153</v>
      </c>
      <c r="I33" s="7" t="n">
        <v>151.9317743898316</v>
      </c>
      <c r="J33" s="7" t="n">
        <v>151.8749617278787</v>
      </c>
      <c r="K33" s="7" t="n">
        <v>151.9289177372869</v>
      </c>
      <c r="L33" s="7" t="n">
        <v>151.2481861577978</v>
      </c>
      <c r="M33" s="7" t="n">
        <v>151.8486728562251</v>
      </c>
      <c r="N33" s="7" t="n">
        <v>151.7267532051603</v>
      </c>
      <c r="O33" s="8">
        <f>N33*$B$2/100</f>
        <v/>
      </c>
    </row>
    <row r="34">
      <c r="A34" s="6" t="n">
        <v>46238.48793804398</v>
      </c>
      <c r="B34" s="7" t="n">
        <v>151.9789878459109</v>
      </c>
      <c r="C34" s="7" t="n">
        <v>150.9418974450599</v>
      </c>
      <c r="D34" s="7" t="n">
        <v>152.5251106016308</v>
      </c>
      <c r="E34" s="7" t="n">
        <v>152.0533389652522</v>
      </c>
      <c r="F34" s="7" t="n">
        <v>151.9634318471951</v>
      </c>
      <c r="G34" s="7" t="n">
        <v>152.4380474486219</v>
      </c>
      <c r="H34" s="7" t="n">
        <v>152.4860590414683</v>
      </c>
      <c r="I34" s="7" t="n">
        <v>152.535091010233</v>
      </c>
      <c r="J34" s="7" t="n">
        <v>152.0920870531363</v>
      </c>
      <c r="K34" s="7" t="n">
        <v>152.3073611320187</v>
      </c>
      <c r="L34" s="7" t="n">
        <v>152.2239609255713</v>
      </c>
      <c r="M34" s="7" t="n">
        <v>152.5333323756441</v>
      </c>
      <c r="N34" s="7" t="n">
        <v>152.2722593191987</v>
      </c>
      <c r="O34" s="8">
        <f>N34*$B$2/100</f>
        <v/>
      </c>
    </row>
    <row r="35">
      <c r="A35" s="6" t="n">
        <v>46238.48794981481</v>
      </c>
      <c r="B35" s="7" t="n">
        <v>151.8678189535639</v>
      </c>
      <c r="C35" s="7" t="n">
        <v>151.9292858664962</v>
      </c>
      <c r="D35" s="7" t="n">
        <v>152.0994522717255</v>
      </c>
      <c r="E35" s="7" t="n">
        <v>151.3018771961077</v>
      </c>
      <c r="F35" s="7" t="n">
        <v>151.843750616229</v>
      </c>
      <c r="G35" s="7" t="n">
        <v>152.2078935634584</v>
      </c>
      <c r="H35" s="7" t="n">
        <v>152.181797901459</v>
      </c>
      <c r="I35" s="7" t="n">
        <v>152.603347834666</v>
      </c>
      <c r="J35" s="7" t="n">
        <v>151.8608013087398</v>
      </c>
      <c r="K35" s="7" t="n">
        <v>152.1434479557172</v>
      </c>
      <c r="L35" s="7" t="n">
        <v>151.9536321613261</v>
      </c>
      <c r="M35" s="7" t="n">
        <v>152.2294672186138</v>
      </c>
      <c r="N35" s="7" t="n">
        <v>151.9839413734626</v>
      </c>
      <c r="O35" s="8">
        <f>N35*$B$2/100</f>
        <v/>
      </c>
    </row>
    <row r="36">
      <c r="A36" s="6" t="n">
        <v>46238.48796157407</v>
      </c>
      <c r="B36" s="7" t="n">
        <v>151.6415573904902</v>
      </c>
      <c r="C36" s="7" t="n">
        <v>150.9947653217268</v>
      </c>
      <c r="D36" s="7" t="n">
        <v>152.3506021864993</v>
      </c>
      <c r="E36" s="7" t="n">
        <v>152.0428015828766</v>
      </c>
      <c r="F36" s="7" t="n">
        <v>151.8478901303496</v>
      </c>
      <c r="G36" s="7" t="n">
        <v>152.482870965526</v>
      </c>
      <c r="H36" s="7" t="n">
        <v>152.2785379095845</v>
      </c>
      <c r="I36" s="7" t="n">
        <v>152.0938969462434</v>
      </c>
      <c r="J36" s="7" t="n">
        <v>151.9389869862261</v>
      </c>
      <c r="K36" s="7" t="n">
        <v>151.8964892207883</v>
      </c>
      <c r="L36" s="7" t="n">
        <v>152.2106461572115</v>
      </c>
      <c r="M36" s="7" t="n">
        <v>152.2619938152329</v>
      </c>
      <c r="N36" s="7" t="n">
        <v>152.0436279674053</v>
      </c>
      <c r="O36" s="8">
        <f>N36*$B$2/100</f>
        <v/>
      </c>
    </row>
    <row r="37">
      <c r="A37" s="6" t="n">
        <v>46238.48797331018</v>
      </c>
      <c r="B37" s="7" t="n">
        <v>152.2934948245019</v>
      </c>
      <c r="C37" s="7" t="n">
        <v>151.9484623173012</v>
      </c>
      <c r="D37" s="7" t="n">
        <v>152.5519212642764</v>
      </c>
      <c r="E37" s="7" t="n">
        <v>152.3886951210462</v>
      </c>
      <c r="F37" s="7" t="n">
        <v>152.3445146458524</v>
      </c>
      <c r="G37" s="7" t="n">
        <v>152.0351634994903</v>
      </c>
      <c r="H37" s="7" t="n">
        <v>152.0305500975196</v>
      </c>
      <c r="I37" s="7" t="n">
        <v>150.8949496196398</v>
      </c>
      <c r="J37" s="7" t="n">
        <v>152.1737896340787</v>
      </c>
      <c r="K37" s="7" t="n">
        <v>152.5597873179745</v>
      </c>
      <c r="L37" s="7" t="n">
        <v>152.3976733217072</v>
      </c>
      <c r="M37" s="7" t="n">
        <v>152.5028994081063</v>
      </c>
      <c r="N37" s="7" t="n">
        <v>152.2337070766033</v>
      </c>
      <c r="O37" s="8">
        <f>N37*$B$2/100</f>
        <v/>
      </c>
    </row>
    <row r="38">
      <c r="A38" s="6" t="n">
        <v>46238.4879850463</v>
      </c>
      <c r="B38" s="7" t="n">
        <v>151.6160117404463</v>
      </c>
      <c r="C38" s="7" t="n">
        <v>152.2099924448051</v>
      </c>
      <c r="D38" s="7" t="n">
        <v>152.3248709486333</v>
      </c>
      <c r="E38" s="7" t="n">
        <v>152.7177878873277</v>
      </c>
      <c r="F38" s="7" t="n">
        <v>152.4102617874244</v>
      </c>
      <c r="G38" s="7" t="n">
        <v>151.5609119365345</v>
      </c>
      <c r="H38" s="7" t="n">
        <v>152.7094452652844</v>
      </c>
      <c r="I38" s="7" t="n">
        <v>151.0664923747277</v>
      </c>
      <c r="J38" s="7" t="n">
        <v>152.8198174187881</v>
      </c>
      <c r="K38" s="7" t="n">
        <v>152.6862949394459</v>
      </c>
      <c r="L38" s="7" t="n">
        <v>152.8974755311295</v>
      </c>
      <c r="M38" s="7" t="n">
        <v>152.8026849147888</v>
      </c>
      <c r="N38" s="7" t="n">
        <v>152.4917360255263</v>
      </c>
      <c r="O38" s="8">
        <f>N38*$B$2/100</f>
        <v/>
      </c>
    </row>
    <row r="39">
      <c r="A39" s="6" t="n">
        <v>46238.48799664352</v>
      </c>
      <c r="B39" s="7" t="n">
        <v>152.1430086514426</v>
      </c>
      <c r="C39" s="7" t="n">
        <v>152.0380469045517</v>
      </c>
      <c r="D39" s="7" t="n">
        <v>152.1756434005569</v>
      </c>
      <c r="E39" s="7" t="n">
        <v>152.4206924638912</v>
      </c>
      <c r="F39" s="7" t="n">
        <v>151.7367432402992</v>
      </c>
      <c r="G39" s="7" t="n">
        <v>150.9774856501946</v>
      </c>
      <c r="H39" s="7" t="n">
        <v>152.3420370453424</v>
      </c>
      <c r="I39" s="7" t="n">
        <v>152.0155615131654</v>
      </c>
      <c r="J39" s="7" t="n">
        <v>152.1667064816441</v>
      </c>
      <c r="K39" s="7" t="n">
        <v>152.6259749327339</v>
      </c>
      <c r="L39" s="7" t="n">
        <v>152.1490715167965</v>
      </c>
      <c r="M39" s="7" t="n">
        <v>152.6055783398593</v>
      </c>
      <c r="N39" s="7" t="n">
        <v>152.1709743847654</v>
      </c>
      <c r="O39" s="8">
        <f>N39*$B$2/100</f>
        <v/>
      </c>
    </row>
    <row r="40">
      <c r="A40" s="6" t="n">
        <v>46238.48800825232</v>
      </c>
      <c r="B40" s="7" t="n">
        <v>151.9330708193903</v>
      </c>
      <c r="C40" s="7" t="n">
        <v>151.5638615126814</v>
      </c>
      <c r="D40" s="7" t="n">
        <v>152.5906697753579</v>
      </c>
      <c r="E40" s="7" t="n">
        <v>152.299062375773</v>
      </c>
      <c r="F40" s="7" t="n">
        <v>152.2039114551046</v>
      </c>
      <c r="G40" s="7" t="n">
        <v>151.7930794928639</v>
      </c>
      <c r="H40" s="7" t="n">
        <v>152.1429861756505</v>
      </c>
      <c r="I40" s="7" t="n">
        <v>152.2808169773357</v>
      </c>
      <c r="J40" s="7" t="n">
        <v>151.9599172035859</v>
      </c>
      <c r="K40" s="7" t="n">
        <v>152.377497323623</v>
      </c>
      <c r="L40" s="7" t="n">
        <v>152.2517640454572</v>
      </c>
      <c r="M40" s="7" t="n">
        <v>151.890567373421</v>
      </c>
      <c r="N40" s="7" t="n">
        <v>152.1307160947866</v>
      </c>
      <c r="O40" s="8">
        <f>N40*$B$2/100</f>
        <v/>
      </c>
    </row>
    <row r="41">
      <c r="A41" s="6" t="n">
        <v>46238.48801984954</v>
      </c>
      <c r="B41" s="7" t="n">
        <v>151.5764203674298</v>
      </c>
      <c r="C41" s="7" t="n">
        <v>151.1522183143354</v>
      </c>
      <c r="D41" s="7" t="n">
        <v>152.4175749777127</v>
      </c>
      <c r="E41" s="7" t="n">
        <v>152.5033605276499</v>
      </c>
      <c r="F41" s="7" t="n">
        <v>152.2786212024999</v>
      </c>
      <c r="G41" s="7" t="n">
        <v>152.5630048428467</v>
      </c>
      <c r="H41" s="7" t="n">
        <v>152.524997509657</v>
      </c>
      <c r="I41" s="7" t="n">
        <v>152.3550353738711</v>
      </c>
      <c r="J41" s="7" t="n">
        <v>152.3957090934754</v>
      </c>
      <c r="K41" s="7" t="n">
        <v>152.6509468927094</v>
      </c>
      <c r="L41" s="7" t="n">
        <v>152.2012033911408</v>
      </c>
      <c r="M41" s="7" t="n">
        <v>152.3755608073705</v>
      </c>
      <c r="N41" s="7" t="n">
        <v>152.3222675125735</v>
      </c>
      <c r="O41" s="8">
        <f>N41*$B$2/100</f>
        <v/>
      </c>
    </row>
    <row r="42">
      <c r="A42" s="6" t="n">
        <v>46238.48803158565</v>
      </c>
      <c r="B42" s="7" t="n">
        <v>151.8775198103241</v>
      </c>
      <c r="C42" s="7" t="n">
        <v>152.0802252427185</v>
      </c>
      <c r="D42" s="7" t="n">
        <v>151.9392315731827</v>
      </c>
      <c r="E42" s="7" t="n">
        <v>152.4515111840528</v>
      </c>
      <c r="F42" s="7" t="n">
        <v>151.8051742121288</v>
      </c>
      <c r="G42" s="7" t="n">
        <v>152.0209350820392</v>
      </c>
      <c r="H42" s="7" t="n">
        <v>151.9053825253364</v>
      </c>
      <c r="I42" s="7" t="n">
        <v>152.2108111162916</v>
      </c>
      <c r="J42" s="7" t="n">
        <v>151.6030011835156</v>
      </c>
      <c r="K42" s="7" t="n">
        <v>151.0769212071124</v>
      </c>
      <c r="L42" s="7" t="n">
        <v>152.1729655044295</v>
      </c>
      <c r="M42" s="7" t="n">
        <v>152.0478141989024</v>
      </c>
      <c r="N42" s="7" t="n">
        <v>151.882249942402</v>
      </c>
      <c r="O42" s="8">
        <f>N42*$B$2/100</f>
        <v/>
      </c>
    </row>
    <row r="43">
      <c r="A43" s="6" t="n">
        <v>46238.48804333333</v>
      </c>
      <c r="B43" s="7" t="n">
        <v>152.1511228693755</v>
      </c>
      <c r="C43" s="7" t="n">
        <v>152.2482205033984</v>
      </c>
      <c r="D43" s="7" t="n">
        <v>151.838262783123</v>
      </c>
      <c r="E43" s="7" t="n">
        <v>151.6067367007512</v>
      </c>
      <c r="F43" s="7" t="n">
        <v>151.965680126467</v>
      </c>
      <c r="G43" s="7" t="n">
        <v>152.0323751805918</v>
      </c>
      <c r="H43" s="7" t="n">
        <v>151.9794641287245</v>
      </c>
      <c r="I43" s="7" t="n">
        <v>152.0815400728265</v>
      </c>
      <c r="J43" s="7" t="n">
        <v>151.5826109068513</v>
      </c>
      <c r="K43" s="7" t="n">
        <v>151.9125725433722</v>
      </c>
      <c r="L43" s="7" t="n">
        <v>151.259659203781</v>
      </c>
      <c r="M43" s="7" t="n">
        <v>152.3071709189618</v>
      </c>
      <c r="N43" s="7" t="n">
        <v>151.8942529430128</v>
      </c>
      <c r="O43" s="8">
        <f>N43*$B$2/100</f>
        <v/>
      </c>
    </row>
    <row r="44">
      <c r="A44" s="6" t="n">
        <v>46238.48805506944</v>
      </c>
      <c r="B44" s="7" t="n">
        <v>152.2496424998825</v>
      </c>
      <c r="C44" s="7" t="n">
        <v>151.7468324622741</v>
      </c>
      <c r="D44" s="7" t="n">
        <v>151.9317395582684</v>
      </c>
      <c r="E44" s="7" t="n">
        <v>152.1777502933435</v>
      </c>
      <c r="F44" s="7" t="n">
        <v>151.7937986719558</v>
      </c>
      <c r="G44" s="7" t="n">
        <v>152.0447906922059</v>
      </c>
      <c r="H44" s="7" t="n">
        <v>152.2796744195854</v>
      </c>
      <c r="I44" s="7" t="n">
        <v>152.4208381133589</v>
      </c>
      <c r="J44" s="7" t="n">
        <v>152.1976943419681</v>
      </c>
      <c r="K44" s="7" t="n">
        <v>152.112019321987</v>
      </c>
      <c r="L44" s="7" t="n">
        <v>152.0632491762851</v>
      </c>
      <c r="M44" s="7" t="n">
        <v>152.3585605676635</v>
      </c>
      <c r="N44" s="7" t="n">
        <v>152.092420843182</v>
      </c>
      <c r="O44" s="8">
        <f>N44*$B$2/100</f>
        <v/>
      </c>
    </row>
    <row r="45">
      <c r="A45" s="6" t="n">
        <v>46238.48806681713</v>
      </c>
      <c r="B45" s="7" t="n">
        <v>152.2352664338149</v>
      </c>
      <c r="C45" s="7" t="n">
        <v>152.1167592725539</v>
      </c>
      <c r="D45" s="7" t="n">
        <v>152.421893140381</v>
      </c>
      <c r="E45" s="7" t="n">
        <v>152.4523290890039</v>
      </c>
      <c r="F45" s="7" t="n">
        <v>150.845424640332</v>
      </c>
      <c r="G45" s="7" t="n">
        <v>152.2257237703509</v>
      </c>
      <c r="H45" s="7" t="n">
        <v>151.7042468016512</v>
      </c>
      <c r="I45" s="7" t="n">
        <v>151.9160720428795</v>
      </c>
      <c r="J45" s="7" t="n">
        <v>152.2017669577473</v>
      </c>
      <c r="K45" s="7" t="n">
        <v>152.4898747867272</v>
      </c>
      <c r="L45" s="7" t="n">
        <v>152.3321840334094</v>
      </c>
      <c r="M45" s="7" t="n">
        <v>152.6341554559043</v>
      </c>
      <c r="N45" s="7" t="n">
        <v>152.1639988475557</v>
      </c>
      <c r="O45" s="8">
        <f>N45*$B$2/100</f>
        <v/>
      </c>
    </row>
    <row r="46">
      <c r="A46" s="6" t="n">
        <v>46238.4880784375</v>
      </c>
      <c r="B46" s="7" t="n">
        <v>152.0137844672001</v>
      </c>
      <c r="C46" s="7" t="n">
        <v>151.759140219089</v>
      </c>
      <c r="D46" s="7" t="n">
        <v>152.3911894527782</v>
      </c>
      <c r="E46" s="7" t="n">
        <v>152.3272691978418</v>
      </c>
      <c r="F46" s="7" t="n">
        <v>151.0443512593853</v>
      </c>
      <c r="G46" s="7" t="n">
        <v>151.882626194571</v>
      </c>
      <c r="H46" s="7" t="n">
        <v>152.2160437196848</v>
      </c>
      <c r="I46" s="7" t="n">
        <v>152.8161910450286</v>
      </c>
      <c r="J46" s="7" t="n">
        <v>152.3890068341173</v>
      </c>
      <c r="K46" s="7" t="n">
        <v>152.8989481974543</v>
      </c>
      <c r="L46" s="7" t="n">
        <v>152.2459661375661</v>
      </c>
      <c r="M46" s="7" t="n">
        <v>151.495088843577</v>
      </c>
      <c r="N46" s="7" t="n">
        <v>152.1119168070046</v>
      </c>
      <c r="O46" s="8">
        <f>N46*$B$2/100</f>
        <v/>
      </c>
    </row>
    <row r="47">
      <c r="A47" s="6" t="n">
        <v>46238.48809020833</v>
      </c>
      <c r="B47" s="7" t="n">
        <v>152.3612471463049</v>
      </c>
      <c r="C47" s="7" t="n">
        <v>152.2565734543913</v>
      </c>
      <c r="D47" s="7" t="n">
        <v>152.3918646189481</v>
      </c>
      <c r="E47" s="7" t="n">
        <v>152.4133663736955</v>
      </c>
      <c r="F47" s="7" t="n">
        <v>151.3529797586907</v>
      </c>
      <c r="G47" s="7" t="n">
        <v>151.0472867678442</v>
      </c>
      <c r="H47" s="7" t="n">
        <v>152.4835026304597</v>
      </c>
      <c r="I47" s="7" t="n">
        <v>152.9696945593382</v>
      </c>
      <c r="J47" s="7" t="n">
        <v>151.991135463196</v>
      </c>
      <c r="K47" s="7" t="n">
        <v>152.7895236048294</v>
      </c>
      <c r="L47" s="7" t="n">
        <v>152.5547963486895</v>
      </c>
      <c r="M47" s="7" t="n">
        <v>152.6371723360308</v>
      </c>
      <c r="N47" s="7" t="n">
        <v>152.2884898915436</v>
      </c>
      <c r="O47" s="8">
        <f>N47*$B$2/100</f>
        <v/>
      </c>
    </row>
    <row r="48">
      <c r="A48" s="6" t="n">
        <v>46238.48810195602</v>
      </c>
      <c r="B48" s="7" t="n">
        <v>152.4895480830368</v>
      </c>
      <c r="C48" s="7" t="n">
        <v>152.5646166938761</v>
      </c>
      <c r="D48" s="7" t="n">
        <v>152.622241687947</v>
      </c>
      <c r="E48" s="7" t="n">
        <v>153.1420135370141</v>
      </c>
      <c r="F48" s="7" t="n">
        <v>151.5280207123473</v>
      </c>
      <c r="G48" s="7" t="n">
        <v>151.3184196476241</v>
      </c>
      <c r="H48" s="7" t="n">
        <v>152.8691778207192</v>
      </c>
      <c r="I48" s="7" t="n">
        <v>153.2404490972538</v>
      </c>
      <c r="J48" s="7" t="n">
        <v>152.572469832357</v>
      </c>
      <c r="K48" s="7" t="n">
        <v>153.2007421338891</v>
      </c>
      <c r="L48" s="7" t="n">
        <v>152.3373905881697</v>
      </c>
      <c r="M48" s="7" t="n">
        <v>153.3909265851588</v>
      </c>
      <c r="N48" s="7" t="n">
        <v>152.5751549131537</v>
      </c>
      <c r="O48" s="8">
        <f>N48*$B$2/100</f>
        <v/>
      </c>
    </row>
    <row r="49">
      <c r="A49" s="6" t="n">
        <v>46238.48811369213</v>
      </c>
      <c r="B49" s="7" t="n">
        <v>151.639340172828</v>
      </c>
      <c r="C49" s="7" t="n">
        <v>151.7518033732917</v>
      </c>
      <c r="D49" s="7" t="n">
        <v>151.6744264181438</v>
      </c>
      <c r="E49" s="7" t="n">
        <v>151.3481734221272</v>
      </c>
      <c r="F49" s="7" t="n">
        <v>151.5990749653699</v>
      </c>
      <c r="G49" s="7" t="n">
        <v>151.7186373549569</v>
      </c>
      <c r="H49" s="7" t="n">
        <v>151.9243035563898</v>
      </c>
      <c r="I49" s="7" t="n">
        <v>152.1035248191664</v>
      </c>
      <c r="J49" s="7" t="n">
        <v>151.7361710612743</v>
      </c>
      <c r="K49" s="7" t="n">
        <v>151.6658829986057</v>
      </c>
      <c r="L49" s="7" t="n">
        <v>151.8608586264796</v>
      </c>
      <c r="M49" s="7" t="n">
        <v>152.1375868956679</v>
      </c>
      <c r="N49" s="7" t="n">
        <v>151.771452222955</v>
      </c>
      <c r="O49" s="8">
        <f>N49*$B$2/100</f>
        <v/>
      </c>
    </row>
    <row r="50">
      <c r="A50" s="6" t="n">
        <v>46238.48812545139</v>
      </c>
      <c r="B50" s="7" t="n">
        <v>152.0666829097103</v>
      </c>
      <c r="C50" s="7" t="n">
        <v>151.9572087198011</v>
      </c>
      <c r="D50" s="7" t="n">
        <v>151.2444470290317</v>
      </c>
      <c r="E50" s="7" t="n">
        <v>150.7359517568361</v>
      </c>
      <c r="F50" s="7" t="n">
        <v>151.8962010544522</v>
      </c>
      <c r="G50" s="7" t="n">
        <v>152.3329088868092</v>
      </c>
      <c r="H50" s="7" t="n">
        <v>152.2342628933416</v>
      </c>
      <c r="I50" s="7" t="n">
        <v>151.9336525006336</v>
      </c>
      <c r="J50" s="7" t="n">
        <v>151.7394391353883</v>
      </c>
      <c r="K50" s="7" t="n">
        <v>152.0595365879248</v>
      </c>
      <c r="L50" s="7" t="n">
        <v>152.1760546883715</v>
      </c>
      <c r="M50" s="7" t="n">
        <v>151.9887522844326</v>
      </c>
      <c r="N50" s="7" t="n">
        <v>151.956457679938</v>
      </c>
      <c r="O50" s="8">
        <f>N50*$B$2/100</f>
        <v/>
      </c>
    </row>
    <row r="51">
      <c r="A51" s="6" t="n">
        <v>46238.48813716435</v>
      </c>
      <c r="B51" s="7" t="n">
        <v>152.0910950488064</v>
      </c>
      <c r="C51" s="7" t="n">
        <v>152.070577033241</v>
      </c>
      <c r="D51" s="7" t="n">
        <v>151.8626454852638</v>
      </c>
      <c r="E51" s="7" t="n">
        <v>151.6668164745915</v>
      </c>
      <c r="F51" s="7" t="n">
        <v>151.7693541352122</v>
      </c>
      <c r="G51" s="7" t="n">
        <v>152.0584096385542</v>
      </c>
      <c r="H51" s="7" t="n">
        <v>152.4051425850066</v>
      </c>
      <c r="I51" s="7" t="n">
        <v>153.3759083664262</v>
      </c>
      <c r="J51" s="7" t="n">
        <v>151.786445116412</v>
      </c>
      <c r="K51" s="7" t="n">
        <v>153.0397692549862</v>
      </c>
      <c r="L51" s="7" t="n">
        <v>152.3126318231671</v>
      </c>
      <c r="M51" s="7" t="n">
        <v>152.3693687388775</v>
      </c>
      <c r="N51" s="7" t="n">
        <v>152.1551809202246</v>
      </c>
      <c r="O51" s="8">
        <f>N51*$B$2/100</f>
        <v/>
      </c>
    </row>
    <row r="52">
      <c r="A52" s="6" t="n">
        <v>46238.48814891204</v>
      </c>
      <c r="B52" s="7" t="n">
        <v>151.9217622049631</v>
      </c>
      <c r="C52" s="7" t="n">
        <v>151.8232151954006</v>
      </c>
      <c r="D52" s="7" t="n">
        <v>151.6216319928499</v>
      </c>
      <c r="E52" s="7" t="n">
        <v>151.5037119840585</v>
      </c>
      <c r="F52" s="7" t="n">
        <v>151.915109372402</v>
      </c>
      <c r="G52" s="7" t="n">
        <v>152.4015072765073</v>
      </c>
      <c r="H52" s="7" t="n">
        <v>152.0657571812096</v>
      </c>
      <c r="I52" s="7" t="n">
        <v>152.1528859219915</v>
      </c>
      <c r="J52" s="7" t="n">
        <v>151.7502240486131</v>
      </c>
      <c r="K52" s="7" t="n">
        <v>151.8341122542757</v>
      </c>
      <c r="L52" s="7" t="n">
        <v>151.4531169241043</v>
      </c>
      <c r="M52" s="7" t="n">
        <v>151.8910338340665</v>
      </c>
      <c r="N52" s="7" t="n">
        <v>151.8370696097028</v>
      </c>
      <c r="O52" s="8">
        <f>N52*$B$2/100</f>
        <v/>
      </c>
    </row>
    <row r="53">
      <c r="A53" s="6" t="n">
        <v>46238.48816064815</v>
      </c>
      <c r="B53" s="7" t="n">
        <v>148.7818444140808</v>
      </c>
      <c r="C53" s="7" t="n">
        <v>150.4462011664585</v>
      </c>
      <c r="D53" s="7" t="n">
        <v>151.0773425849657</v>
      </c>
      <c r="E53" s="7" t="n">
        <v>150.5102770397349</v>
      </c>
      <c r="F53" s="7" t="n">
        <v>150.635928430725</v>
      </c>
      <c r="G53" s="7" t="n">
        <v>148.0004942797417</v>
      </c>
      <c r="H53" s="7" t="n">
        <v>151.8049095576212</v>
      </c>
      <c r="I53" s="7" t="n">
        <v>151.4675636420564</v>
      </c>
      <c r="J53" s="7" t="n">
        <v>151.2233516783337</v>
      </c>
      <c r="K53" s="7" t="n">
        <v>146.1211613389752</v>
      </c>
      <c r="L53" s="7" t="n">
        <v>150.9945443936092</v>
      </c>
      <c r="M53" s="7" t="n">
        <v>150.6489014127902</v>
      </c>
      <c r="N53" s="7" t="n">
        <v>150.6487358042769</v>
      </c>
      <c r="O53" s="8">
        <f>N53*$B$2/100</f>
        <v/>
      </c>
    </row>
    <row r="54">
      <c r="A54" s="6" t="n">
        <v>46238.48817239583</v>
      </c>
      <c r="B54" s="7" t="n">
        <v>153.2635144479891</v>
      </c>
      <c r="C54" s="7" t="n">
        <v>151.078822591346</v>
      </c>
      <c r="D54" s="7" t="n">
        <v>149.983939348596</v>
      </c>
      <c r="E54" s="7" t="n">
        <v>150.4601231737409</v>
      </c>
      <c r="F54" s="7" t="n">
        <v>150.7886399507256</v>
      </c>
      <c r="G54" s="7" t="n">
        <v>151.0815493366311</v>
      </c>
      <c r="H54" s="7" t="n">
        <v>150.842363376682</v>
      </c>
      <c r="I54" s="7" t="n">
        <v>150.3720803439343</v>
      </c>
      <c r="J54" s="7" t="n">
        <v>150.164300312786</v>
      </c>
      <c r="K54" s="7" t="n">
        <v>150.7367541326865</v>
      </c>
      <c r="L54" s="7" t="n">
        <v>150.5360804561137</v>
      </c>
      <c r="M54" s="7" t="n">
        <v>150.6477360172752</v>
      </c>
      <c r="N54" s="7" t="n">
        <v>150.870582618426</v>
      </c>
      <c r="O54" s="8">
        <f>N54*$B$2/100</f>
        <v/>
      </c>
    </row>
    <row r="55">
      <c r="A55" s="6" t="n">
        <v>46238.4881840625</v>
      </c>
      <c r="B55" s="7" t="n">
        <v>132.8495121391652</v>
      </c>
      <c r="C55" s="7" t="n">
        <v>149.8062488174366</v>
      </c>
      <c r="D55" s="7" t="n">
        <v>138.8697788879912</v>
      </c>
      <c r="E55" s="7" t="n">
        <v>145.2794991082775</v>
      </c>
      <c r="F55" s="7" t="n">
        <v>146.3139931740614</v>
      </c>
      <c r="G55" s="7" t="n">
        <v>143.2011700999697</v>
      </c>
      <c r="H55" s="7" t="n">
        <v>141.8117149428245</v>
      </c>
      <c r="I55" s="7" t="n">
        <v>144.9774753364788</v>
      </c>
      <c r="J55" s="7" t="n">
        <v>141.2703397495914</v>
      </c>
      <c r="K55" s="7" t="n">
        <v>138.090691315058</v>
      </c>
      <c r="L55" s="7" t="n">
        <v>134.7339909817018</v>
      </c>
      <c r="M55" s="7" t="n">
        <v>142.8938819925842</v>
      </c>
      <c r="N55" s="7" t="n">
        <v>141.972995108295</v>
      </c>
      <c r="O55" s="8">
        <f>N55*$B$2/100</f>
        <v/>
      </c>
    </row>
    <row r="56">
      <c r="A56" s="6" t="n">
        <v>46238.4881958449</v>
      </c>
      <c r="B56" s="7" t="n">
        <v>102.0687286227965</v>
      </c>
      <c r="C56" s="7" t="n">
        <v>117.5464588015877</v>
      </c>
      <c r="D56" s="7" t="n">
        <v>124.1062001833956</v>
      </c>
      <c r="E56" s="7" t="n">
        <v>105.9004316006755</v>
      </c>
      <c r="F56" s="7" t="n">
        <v>131.3164788412587</v>
      </c>
      <c r="G56" s="7" t="n">
        <v>121.6332280701754</v>
      </c>
      <c r="H56" s="7" t="n">
        <v>120.2124436936937</v>
      </c>
      <c r="I56" s="7" t="n">
        <v>100.0441382724198</v>
      </c>
      <c r="J56" s="7" t="n">
        <v>134.0189170076274</v>
      </c>
      <c r="K56" s="7" t="n">
        <v>120.9493143202139</v>
      </c>
      <c r="L56" s="7" t="n">
        <v>111.7872426562519</v>
      </c>
      <c r="M56" s="7" t="n">
        <v>111.8195726721182</v>
      </c>
      <c r="N56" s="7" t="n">
        <v>119.6713104048759</v>
      </c>
      <c r="O56" s="8">
        <f>N56*$B$2/100</f>
        <v/>
      </c>
    </row>
    <row r="57">
      <c r="A57" s="6" t="n">
        <v>46238.48820751157</v>
      </c>
      <c r="B57" s="7" t="n">
        <v>152.0141629857762</v>
      </c>
      <c r="C57" s="7" t="n">
        <v>131.0143379749823</v>
      </c>
      <c r="D57" s="7" t="n">
        <v>120.9703419843446</v>
      </c>
      <c r="E57" s="7" t="n">
        <v>131.6699806840132</v>
      </c>
      <c r="F57" s="7" t="n">
        <v>119.2112934548326</v>
      </c>
      <c r="G57" s="7" t="n">
        <v>118.2638430633179</v>
      </c>
      <c r="H57" s="7" t="n">
        <v>133.2548016090348</v>
      </c>
      <c r="I57" s="7" t="n">
        <v>104.1663606316563</v>
      </c>
      <c r="J57" s="7" t="n">
        <v>151.8210653793195</v>
      </c>
      <c r="K57" s="7" t="n">
        <v>123.1554607824958</v>
      </c>
      <c r="L57" s="7" t="n">
        <v>113.3347325870647</v>
      </c>
      <c r="M57" s="7" t="n">
        <v>121.618902628472</v>
      </c>
      <c r="N57" s="7" t="n">
        <v>137.7702857142857</v>
      </c>
      <c r="O57" s="8">
        <f>N57*$B$2/100</f>
        <v/>
      </c>
    </row>
    <row r="58">
      <c r="A58" s="6" t="n">
        <v>46238.48821923611</v>
      </c>
      <c r="B58" s="7" t="n">
        <v>100.6040150606987</v>
      </c>
      <c r="C58" s="7" t="n">
        <v>101.4594417793284</v>
      </c>
      <c r="D58" s="7" t="n">
        <v>104.4451876181945</v>
      </c>
      <c r="E58" s="7" t="n">
        <v>115.0291095250551</v>
      </c>
      <c r="F58" s="7" t="n">
        <v>113.9431587756284</v>
      </c>
      <c r="G58" s="7" t="n">
        <v>109.1633025481251</v>
      </c>
      <c r="H58" s="7" t="n">
        <v>123.5714794247473</v>
      </c>
      <c r="I58" s="7" t="n">
        <v>127.3419422927577</v>
      </c>
      <c r="J58" s="7" t="n">
        <v>122.0513870367936</v>
      </c>
      <c r="K58" s="7" t="n">
        <v>107.1881228599172</v>
      </c>
      <c r="L58" s="7" t="n">
        <v>110.6299175684651</v>
      </c>
      <c r="M58" s="7" t="n">
        <v>97.0370724915151</v>
      </c>
      <c r="N58" s="7" t="n">
        <v>112.6013739324174</v>
      </c>
      <c r="O58" s="8">
        <f>N58*$B$2/100</f>
        <v/>
      </c>
    </row>
    <row r="59">
      <c r="A59" s="6" t="n">
        <v>46238.48823091435</v>
      </c>
      <c r="B59" s="7" t="n">
        <v>139.2953600897025</v>
      </c>
      <c r="C59" s="7" t="n">
        <v>161.326601865529</v>
      </c>
      <c r="D59" s="7" t="n">
        <v>131.9497799317541</v>
      </c>
      <c r="E59" s="7" t="n">
        <v>133.4116685831871</v>
      </c>
      <c r="F59" s="7" t="n">
        <v>143.5029273313199</v>
      </c>
      <c r="G59" s="7" t="n">
        <v>135.049782909787</v>
      </c>
      <c r="H59" s="7" t="n">
        <v>148.1592506391809</v>
      </c>
      <c r="I59" s="7" t="n">
        <v>141.0667629194464</v>
      </c>
      <c r="J59" s="7" t="n">
        <v>156.3447630953621</v>
      </c>
      <c r="K59" s="7" t="n">
        <v>141.2049225264737</v>
      </c>
      <c r="L59" s="7" t="n">
        <v>137.5918934827173</v>
      </c>
      <c r="M59" s="7" t="n">
        <v>140.1615531508593</v>
      </c>
      <c r="N59" s="7" t="n">
        <v>148.4132300213518</v>
      </c>
      <c r="O59" s="8">
        <f>N59*$B$2/100</f>
        <v/>
      </c>
    </row>
    <row r="60">
      <c r="A60" s="6" t="n">
        <v>46238.48824252315</v>
      </c>
      <c r="B60" s="7" t="n">
        <v>123.2442759413411</v>
      </c>
      <c r="C60" s="7" t="n">
        <v>158.4619449849637</v>
      </c>
      <c r="D60" s="7" t="n">
        <v>158.2796888571858</v>
      </c>
      <c r="E60" s="7" t="n">
        <v>127.6315294749564</v>
      </c>
      <c r="F60" s="7" t="n">
        <v>130.4389267596703</v>
      </c>
      <c r="G60" s="7" t="n">
        <v>123.5044934910461</v>
      </c>
      <c r="H60" s="7" t="n">
        <v>150.1605585945522</v>
      </c>
      <c r="I60" s="7" t="n">
        <v>155.5554692629185</v>
      </c>
      <c r="J60" s="7" t="n">
        <v>147.1176452956868</v>
      </c>
      <c r="K60" s="7" t="n">
        <v>125.5109089029056</v>
      </c>
      <c r="L60" s="7" t="n">
        <v>130.9440236048458</v>
      </c>
      <c r="M60" s="7" t="n">
        <v>127.4397603176854</v>
      </c>
      <c r="N60" s="7" t="n">
        <v>148.7905919078567</v>
      </c>
      <c r="O60" s="8">
        <f>N60*$B$2/100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46238.48763429299</v>
      </c>
      <c r="C6" s="10" t="n">
        <v>46238.48790736034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정리'!$A$6:$A$60,"&gt;="&amp;B6,'클럭 정리'!$A$6:$A$60,"&lt;="&amp;C6)</f>
        <v/>
      </c>
      <c r="G6" s="14">
        <f>AVERAGEIFS('클럭 정리'!$N$6:$N$60,'클럭 정리'!$A$6:$A$60,"&gt;="&amp;B6,'클럭 정리'!$A$6:$A$60,"&lt;="&amp;C6)</f>
        <v/>
      </c>
      <c r="H6" s="15">
        <f>G6*'클럭 정리'!$B$2/100</f>
        <v/>
      </c>
    </row>
    <row r="7">
      <c r="A7" s="9" t="inlineStr">
        <is>
          <t>병렬도 6 분할 5 전체</t>
        </is>
      </c>
      <c r="B7" s="10" t="n">
        <v>46238.48790736034</v>
      </c>
      <c r="C7" s="10" t="n">
        <v>46238.48803282482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정리'!$A$6:$A$60,"&gt;="&amp;B7,'클럭 정리'!$A$6:$A$60,"&lt;="&amp;C7)</f>
        <v/>
      </c>
      <c r="G7" s="14">
        <f>AVERAGEIFS('클럭 정리'!$N$6:$N$60,'클럭 정리'!$A$6:$A$60,"&gt;="&amp;B7,'클럭 정리'!$A$6:$A$60,"&lt;="&amp;C7)</f>
        <v/>
      </c>
      <c r="H7" s="15">
        <f>G7*'클럭 정리'!$B$2/100</f>
        <v/>
      </c>
    </row>
    <row r="8">
      <c r="A8" s="13" t="inlineStr">
        <is>
          <t>병렬도 6 분할 5 워밍업</t>
        </is>
      </c>
      <c r="B8" s="10" t="n">
        <v>46238.48790736034</v>
      </c>
      <c r="C8" s="10" t="n">
        <v>46238.48793893518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정리'!$A$6:$A$60,"&gt;="&amp;B8,'클럭 정리'!$A$6:$A$60,"&lt;="&amp;C8)</f>
        <v/>
      </c>
      <c r="G8" s="14">
        <f>AVERAGEIFS('클럭 정리'!$N$6:$N$60,'클럭 정리'!$A$6:$A$60,"&gt;="&amp;B8,'클럭 정리'!$A$6:$A$60,"&lt;="&amp;C8)</f>
        <v/>
      </c>
      <c r="H8" s="15">
        <f>G8*'클럭 정리'!$B$2/100</f>
        <v/>
      </c>
    </row>
    <row r="9">
      <c r="A9" s="13" t="inlineStr">
        <is>
          <t>병렬도 6 분할 5 측정 1회차</t>
        </is>
      </c>
      <c r="B9" s="10" t="n">
        <v>46238.48793893518</v>
      </c>
      <c r="C9" s="10" t="n">
        <v>46238.48795499658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정리'!$A$6:$A$60,"&gt;="&amp;B9,'클럭 정리'!$A$6:$A$60,"&lt;="&amp;C9)</f>
        <v/>
      </c>
      <c r="G9" s="14">
        <f>AVERAGEIFS('클럭 정리'!$N$6:$N$60,'클럭 정리'!$A$6:$A$60,"&gt;="&amp;B9,'클럭 정리'!$A$6:$A$60,"&lt;="&amp;C9)</f>
        <v/>
      </c>
      <c r="H9" s="15">
        <f>G9*'클럭 정리'!$B$2/100</f>
        <v/>
      </c>
    </row>
    <row r="10">
      <c r="A10" s="13" t="inlineStr">
        <is>
          <t>병렬도 6 분할 5 측정 2회차</t>
        </is>
      </c>
      <c r="B10" s="10" t="n">
        <v>46238.487955</v>
      </c>
      <c r="C10" s="10" t="n">
        <v>46238.48797057868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 + main(스캔 사이 순차 구간)</t>
        </is>
      </c>
      <c r="F10" s="13">
        <f>COUNTIFS('클럭 정리'!$A$6:$A$60,"&gt;="&amp;B10,'클럭 정리'!$A$6:$A$60,"&lt;="&amp;C10)</f>
        <v/>
      </c>
      <c r="G10" s="14">
        <f>AVERAGEIFS('클럭 정리'!$N$6:$N$60,'클럭 정리'!$A$6:$A$60,"&gt;="&amp;B10,'클럭 정리'!$A$6:$A$60,"&lt;="&amp;C10)</f>
        <v/>
      </c>
      <c r="H10" s="15">
        <f>G10*'클럭 정리'!$B$2/100</f>
        <v/>
      </c>
    </row>
    <row r="11">
      <c r="A11" s="13" t="inlineStr">
        <is>
          <t>병렬도 6 분할 5 측정 3회차</t>
        </is>
      </c>
      <c r="B11" s="10" t="n">
        <v>46238.4879705787</v>
      </c>
      <c r="C11" s="10" t="n">
        <v>46238.48798608615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 + main(스캔 사이 순차 구간)</t>
        </is>
      </c>
      <c r="F11" s="13">
        <f>COUNTIFS('클럭 정리'!$A$6:$A$60,"&gt;="&amp;B11,'클럭 정리'!$A$6:$A$60,"&lt;="&amp;C11)</f>
        <v/>
      </c>
      <c r="G11" s="14">
        <f>AVERAGEIFS('클럭 정리'!$N$6:$N$60,'클럭 정리'!$A$6:$A$60,"&gt;="&amp;B11,'클럭 정리'!$A$6:$A$60,"&lt;="&amp;C11)</f>
        <v/>
      </c>
      <c r="H11" s="15">
        <f>G11*'클럭 정리'!$B$2/100</f>
        <v/>
      </c>
    </row>
    <row r="12">
      <c r="A12" s="13" t="inlineStr">
        <is>
          <t>병렬도 6 분할 5 측정 4회차</t>
        </is>
      </c>
      <c r="B12" s="10" t="n">
        <v>46238.48798608797</v>
      </c>
      <c r="C12" s="10" t="n">
        <v>46238.48800141244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 + main(스캔 사이 순차 구간)</t>
        </is>
      </c>
      <c r="F12" s="13">
        <f>COUNTIFS('클럭 정리'!$A$6:$A$60,"&gt;="&amp;B12,'클럭 정리'!$A$6:$A$60,"&lt;="&amp;C12)</f>
        <v/>
      </c>
      <c r="G12" s="14">
        <f>AVERAGEIFS('클럭 정리'!$N$6:$N$60,'클럭 정리'!$A$6:$A$60,"&gt;="&amp;B12,'클럭 정리'!$A$6:$A$60,"&lt;="&amp;C12)</f>
        <v/>
      </c>
      <c r="H12" s="15">
        <f>G12*'클럭 정리'!$B$2/100</f>
        <v/>
      </c>
    </row>
    <row r="13">
      <c r="A13" s="13" t="inlineStr">
        <is>
          <t>병렬도 6 분할 5 측정 5회차</t>
        </is>
      </c>
      <c r="B13" s="10" t="n">
        <v>46238.48800142361</v>
      </c>
      <c r="C13" s="10" t="n">
        <v>46238.48801703467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정리'!$A$6:$A$60,"&gt;="&amp;B13,'클럭 정리'!$A$6:$A$60,"&lt;="&amp;C13)</f>
        <v/>
      </c>
      <c r="G13" s="14">
        <f>AVERAGEIFS('클럭 정리'!$N$6:$N$60,'클럭 정리'!$A$6:$A$60,"&gt;="&amp;B13,'클럭 정리'!$A$6:$A$60,"&lt;="&amp;C13)</f>
        <v/>
      </c>
      <c r="H13" s="15">
        <f>G13*'클럭 정리'!$B$2/100</f>
        <v/>
      </c>
    </row>
    <row r="14">
      <c r="A14" s="13" t="inlineStr">
        <is>
          <t>병렬도 6 분할 5 워커별 CPU 읽기 실행</t>
        </is>
      </c>
      <c r="B14" s="10" t="n">
        <v>46238.48801703467</v>
      </c>
      <c r="C14" s="10" t="n">
        <v>46238.48803282482</v>
      </c>
      <c r="D14" s="11">
        <f>(C14-B14)*86400</f>
        <v/>
      </c>
      <c r="E14" s="12" t="inlineStr">
        <is>
          <t>ForkJoinPool-8-worker-4, ForkJoinPool-8-worker-2, ForkJoinPool-8-worker-1, ForkJoinPool-8-worker-3, ForkJoinPool-8-worker-6, ForkJoinPool-8-worker-5 + main</t>
        </is>
      </c>
      <c r="F14" s="13">
        <f>COUNTIFS('클럭 정리'!$A$6:$A$60,"&gt;="&amp;B14,'클럭 정리'!$A$6:$A$60,"&lt;="&amp;C14)</f>
        <v/>
      </c>
      <c r="G14" s="14">
        <f>AVERAGEIFS('클럭 정리'!$N$6:$N$60,'클럭 정리'!$A$6:$A$60,"&gt;="&amp;B14,'클럭 정리'!$A$6:$A$60,"&lt;="&amp;C14)</f>
        <v/>
      </c>
      <c r="H14" s="15">
        <f>G14*'클럭 정리'!$B$2/100</f>
        <v/>
      </c>
    </row>
    <row r="15">
      <c r="A15" s="9" t="inlineStr">
        <is>
          <t>병렬도 12 분할 5 전체</t>
        </is>
      </c>
      <c r="B15" s="10" t="n">
        <v>46238.48803283638</v>
      </c>
      <c r="C15" s="10" t="n">
        <v>46238.48815727662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정리'!$A$6:$A$60,"&gt;="&amp;B15,'클럭 정리'!$A$6:$A$60,"&lt;="&amp;C15)</f>
        <v/>
      </c>
      <c r="G15" s="14">
        <f>AVERAGEIFS('클럭 정리'!$N$6:$N$60,'클럭 정리'!$A$6:$A$60,"&gt;="&amp;B15,'클럭 정리'!$A$6:$A$60,"&lt;="&amp;C15)</f>
        <v/>
      </c>
      <c r="H15" s="15">
        <f>G15*'클럭 정리'!$B$2/100</f>
        <v/>
      </c>
    </row>
    <row r="16">
      <c r="A16" s="13" t="inlineStr">
        <is>
          <t>병렬도 12 분할 5 워밍업</t>
        </is>
      </c>
      <c r="B16" s="10" t="n">
        <v>46238.48803283638</v>
      </c>
      <c r="C16" s="10" t="n">
        <v>46238.48806362269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정리'!$A$6:$A$60,"&gt;="&amp;B16,'클럭 정리'!$A$6:$A$60,"&lt;="&amp;C16)</f>
        <v/>
      </c>
      <c r="G16" s="14">
        <f>AVERAGEIFS('클럭 정리'!$N$6:$N$60,'클럭 정리'!$A$6:$A$60,"&gt;="&amp;B16,'클럭 정리'!$A$6:$A$60,"&lt;="&amp;C16)</f>
        <v/>
      </c>
      <c r="H16" s="15">
        <f>G16*'클럭 정리'!$B$2/100</f>
        <v/>
      </c>
    </row>
    <row r="17">
      <c r="A17" s="13" t="inlineStr">
        <is>
          <t>병렬도 12 분할 5 측정 1회차</t>
        </is>
      </c>
      <c r="B17" s="10" t="n">
        <v>46238.48806362269</v>
      </c>
      <c r="C17" s="10" t="n">
        <v>46238.48807913905</v>
      </c>
      <c r="D17" s="11">
        <f>(C17-B17)*86400</f>
        <v/>
      </c>
      <c r="E17" s="12" t="inlineStr">
        <is>
          <t>ForkJoinPool-11-worker-1, ForkJoinPool-11-worker-11, ForkJoinPool-11-worker-12, ForkJoinPool-11-worker-2, ForkJoinPool-11-worker-3, ForkJoinPool-11-worker-4, ForkJoinPool-11-worker-5, ForkJoinPool-11-worker-7, ForkJoinPool-11-worker-9 + main(스캔 사이 순차 구간)</t>
        </is>
      </c>
      <c r="F17" s="13">
        <f>COUNTIFS('클럭 정리'!$A$6:$A$60,"&gt;="&amp;B17,'클럭 정리'!$A$6:$A$60,"&lt;="&amp;C17)</f>
        <v/>
      </c>
      <c r="G17" s="14">
        <f>AVERAGEIFS('클럭 정리'!$N$6:$N$60,'클럭 정리'!$A$6:$A$60,"&gt;="&amp;B17,'클럭 정리'!$A$6:$A$60,"&lt;="&amp;C17)</f>
        <v/>
      </c>
      <c r="H17" s="15">
        <f>G17*'클럭 정리'!$B$2/100</f>
        <v/>
      </c>
    </row>
    <row r="18">
      <c r="A18" s="13" t="inlineStr">
        <is>
          <t>병렬도 12 분할 5 측정 2회차</t>
        </is>
      </c>
      <c r="B18" s="10" t="n">
        <v>46238.48807915509</v>
      </c>
      <c r="C18" s="10" t="n">
        <v>46238.4880945129</v>
      </c>
      <c r="D18" s="11">
        <f>(C18-B18)*86400</f>
        <v/>
      </c>
      <c r="E18" s="12" t="inlineStr">
        <is>
          <t>ForkJoinPool-12-worker-1, ForkJoinPool-12-worker-12, ForkJoinPool-12-worker-2, ForkJoinPool-12-worker-3, ForkJoinPool-12-worker-4, ForkJoinPool-12-worker-5, ForkJoinPool-12-worker-7, ForkJoinPool-12-worker-8, ForkJoinPool-12-worker-9 + main(스캔 사이 순차 구간)</t>
        </is>
      </c>
      <c r="F18" s="13">
        <f>COUNTIFS('클럭 정리'!$A$6:$A$60,"&gt;="&amp;B18,'클럭 정리'!$A$6:$A$60,"&lt;="&amp;C18)</f>
        <v/>
      </c>
      <c r="G18" s="14">
        <f>AVERAGEIFS('클럭 정리'!$N$6:$N$60,'클럭 정리'!$A$6:$A$60,"&gt;="&amp;B18,'클럭 정리'!$A$6:$A$60,"&lt;="&amp;C18)</f>
        <v/>
      </c>
      <c r="H18" s="15">
        <f>G18*'클럭 정리'!$B$2/100</f>
        <v/>
      </c>
    </row>
    <row r="19">
      <c r="A19" s="13" t="inlineStr">
        <is>
          <t>병렬도 12 분할 5 측정 3회차</t>
        </is>
      </c>
      <c r="B19" s="10" t="n">
        <v>46238.48809452546</v>
      </c>
      <c r="C19" s="10" t="n">
        <v>46238.48811018227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ForkJoinPool-13-worker-7, ForkJoinPool-13-worker-8, ForkJoinPool-13-worker-9 + main(스캔 사이 순차 구간)</t>
        </is>
      </c>
      <c r="F19" s="13">
        <f>COUNTIFS('클럭 정리'!$A$6:$A$60,"&gt;="&amp;B19,'클럭 정리'!$A$6:$A$60,"&lt;="&amp;C19)</f>
        <v/>
      </c>
      <c r="G19" s="14">
        <f>AVERAGEIFS('클럭 정리'!$N$6:$N$60,'클럭 정리'!$A$6:$A$60,"&gt;="&amp;B19,'클럭 정리'!$A$6:$A$60,"&lt;="&amp;C19)</f>
        <v/>
      </c>
      <c r="H19" s="15">
        <f>G19*'클럭 정리'!$B$2/100</f>
        <v/>
      </c>
    </row>
    <row r="20">
      <c r="A20" s="13" t="inlineStr">
        <is>
          <t>병렬도 12 분할 5 측정 4회차</t>
        </is>
      </c>
      <c r="B20" s="10" t="n">
        <v>46238.48811019676</v>
      </c>
      <c r="C20" s="10" t="n">
        <v>46238.48812584962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ForkJoinPool-14-worker-9 + main(스캔 사이 순차 구간)</t>
        </is>
      </c>
      <c r="F20" s="13">
        <f>COUNTIFS('클럭 정리'!$A$6:$A$60,"&gt;="&amp;B20,'클럭 정리'!$A$6:$A$60,"&lt;="&amp;C20)</f>
        <v/>
      </c>
      <c r="G20" s="14">
        <f>AVERAGEIFS('클럭 정리'!$N$6:$N$60,'클럭 정리'!$A$6:$A$60,"&gt;="&amp;B20,'클럭 정리'!$A$6:$A$60,"&lt;="&amp;C20)</f>
        <v/>
      </c>
      <c r="H20" s="15">
        <f>G20*'클럭 정리'!$B$2/100</f>
        <v/>
      </c>
    </row>
    <row r="21">
      <c r="A21" s="13" t="inlineStr">
        <is>
          <t>병렬도 12 분할 5 측정 5회차</t>
        </is>
      </c>
      <c r="B21" s="10" t="n">
        <v>46238.48812586805</v>
      </c>
      <c r="C21" s="10" t="n">
        <v>46238.48814138256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ForkJoinPool-15-worker-7, ForkJoinPool-15-worker-8, ForkJoinPool-15-worker-9 + main(스캔 사이 순차 구간)</t>
        </is>
      </c>
      <c r="F21" s="13">
        <f>COUNTIFS('클럭 정리'!$A$6:$A$60,"&gt;="&amp;B21,'클럭 정리'!$A$6:$A$60,"&lt;="&amp;C21)</f>
        <v/>
      </c>
      <c r="G21" s="14">
        <f>AVERAGEIFS('클럭 정리'!$N$6:$N$60,'클럭 정리'!$A$6:$A$60,"&gt;="&amp;B21,'클럭 정리'!$A$6:$A$60,"&lt;="&amp;C21)</f>
        <v/>
      </c>
      <c r="H21" s="15">
        <f>G21*'클럭 정리'!$B$2/100</f>
        <v/>
      </c>
    </row>
    <row r="22">
      <c r="A22" s="13" t="inlineStr">
        <is>
          <t>병렬도 12 분할 5 워커별 CPU 읽기 실행</t>
        </is>
      </c>
      <c r="B22" s="10" t="n">
        <v>46238.48814138256</v>
      </c>
      <c r="C22" s="10" t="n">
        <v>46238.48815727662</v>
      </c>
      <c r="D22" s="11">
        <f>(C22-B22)*86400</f>
        <v/>
      </c>
      <c r="E22" s="12" t="inlineStr">
        <is>
          <t>ForkJoinPool-16-worker-3, ForkJoinPool-16-worker-1, ForkJoinPool-16-worker-11, ForkJoinPool-16-worker-12, ForkJoinPool-16-worker-2, ForkJoinPool-16-worker-10, ForkJoinPool-16-worker-8, ForkJoinPool-16-worker-4, ForkJoinPool-16-worker-5, ForkJoinPool-16-worker-9, ForkJoinPool-16-worker-6, ForkJoinPool-16-worker-7 + main</t>
        </is>
      </c>
      <c r="F22" s="13">
        <f>COUNTIFS('클럭 정리'!$A$6:$A$60,"&gt;="&amp;B22,'클럭 정리'!$A$6:$A$60,"&lt;="&amp;C22)</f>
        <v/>
      </c>
      <c r="G22" s="14">
        <f>AVERAGEIFS('클럭 정리'!$N$6:$N$60,'클럭 정리'!$A$6:$A$60,"&gt;="&amp;B22,'클럭 정리'!$A$6:$A$60,"&lt;="&amp;C22)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5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46238.48793894676</v>
      </c>
      <c r="F6" s="10" t="n">
        <v>46238.48795497728</v>
      </c>
      <c r="G6" s="13" t="n">
        <v>45</v>
      </c>
      <c r="H6" s="14" t="n">
        <v>1269.8613</v>
      </c>
      <c r="I6" s="13">
        <f>COUNTIFS('클럭 정리'!$A$6:$A$60,"&gt;="&amp;E6,'클럭 정리'!$A$6:$A$60,"&lt;="&amp;F6)</f>
        <v/>
      </c>
      <c r="J6" s="14">
        <f>AVERAGEIFS('클럭 정리'!$N$6:$N$60,'클럭 정리'!$A$6:$A$60,"&gt;="&amp;E6,'클럭 정리'!$A$6:$A$60,"&lt;="&amp;F6)</f>
        <v/>
      </c>
      <c r="K6" s="15">
        <f>J6*'클럭 정리'!$B$2/100</f>
        <v/>
      </c>
    </row>
    <row r="7">
      <c r="A7" s="13" t="inlineStr">
        <is>
          <t>병렬도 6 분할 5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46238.48793894676</v>
      </c>
      <c r="F7" s="10" t="n">
        <v>46238.48795499012</v>
      </c>
      <c r="G7" s="13" t="n">
        <v>45</v>
      </c>
      <c r="H7" s="14" t="n">
        <v>1289.2893</v>
      </c>
      <c r="I7" s="13">
        <f>COUNTIFS('클럭 정리'!$A$6:$A$60,"&gt;="&amp;E7,'클럭 정리'!$A$6:$A$60,"&lt;="&amp;F7)</f>
        <v/>
      </c>
      <c r="J7" s="14">
        <f>AVERAGEIFS('클럭 정리'!$N$6:$N$60,'클럭 정리'!$A$6:$A$60,"&gt;="&amp;E7,'클럭 정리'!$A$6:$A$60,"&lt;="&amp;F7)</f>
        <v/>
      </c>
      <c r="K7" s="15">
        <f>J7*'클럭 정리'!$B$2/100</f>
        <v/>
      </c>
    </row>
    <row r="8">
      <c r="A8" s="13" t="inlineStr">
        <is>
          <t>병렬도 6 분할 5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46238.48793894676</v>
      </c>
      <c r="F8" s="10" t="n">
        <v>46238.48795496279</v>
      </c>
      <c r="G8" s="13" t="n">
        <v>45</v>
      </c>
      <c r="H8" s="14" t="n">
        <v>1272.9217</v>
      </c>
      <c r="I8" s="13">
        <f>COUNTIFS('클럭 정리'!$A$6:$A$60,"&gt;="&amp;E8,'클럭 정리'!$A$6:$A$60,"&lt;="&amp;F8)</f>
        <v/>
      </c>
      <c r="J8" s="14">
        <f>AVERAGEIFS('클럭 정리'!$N$6:$N$60,'클럭 정리'!$A$6:$A$60,"&gt;="&amp;E8,'클럭 정리'!$A$6:$A$60,"&lt;="&amp;F8)</f>
        <v/>
      </c>
      <c r="K8" s="15">
        <f>J8*'클럭 정리'!$B$2/100</f>
        <v/>
      </c>
    </row>
    <row r="9">
      <c r="A9" s="13" t="inlineStr">
        <is>
          <t>병렬도 6 분할 5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46238.48793894676</v>
      </c>
      <c r="F9" s="10" t="n">
        <v>46238.48793924436</v>
      </c>
      <c r="G9" s="13" t="n">
        <v>1</v>
      </c>
      <c r="H9" s="14" t="n">
        <v>25.713</v>
      </c>
      <c r="I9" s="13">
        <f>COUNTIFS('클럭 정리'!$A$6:$A$60,"&gt;="&amp;E9,'클럭 정리'!$A$6:$A$60,"&lt;="&amp;F9)</f>
        <v/>
      </c>
      <c r="J9" s="14">
        <f>AVERAGEIFS('클럭 정리'!$N$6:$N$60,'클럭 정리'!$A$6:$A$60,"&gt;="&amp;E9,'클럭 정리'!$A$6:$A$60,"&lt;="&amp;F9)</f>
        <v/>
      </c>
      <c r="K9" s="15">
        <f>J9*'클럭 정리'!$B$2/100</f>
        <v/>
      </c>
    </row>
    <row r="10">
      <c r="A10" s="13" t="inlineStr">
        <is>
          <t>병렬도 6 분할 5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46238.48793895834</v>
      </c>
      <c r="F10" s="10" t="n">
        <v>46238.4879549821</v>
      </c>
      <c r="G10" s="13" t="n">
        <v>45</v>
      </c>
      <c r="H10" s="14" t="n">
        <v>1262.2022</v>
      </c>
      <c r="I10" s="13">
        <f>COUNTIFS('클럭 정리'!$A$6:$A$60,"&gt;="&amp;E10,'클럭 정리'!$A$6:$A$60,"&lt;="&amp;F10)</f>
        <v/>
      </c>
      <c r="J10" s="14">
        <f>AVERAGEIFS('클럭 정리'!$N$6:$N$60,'클럭 정리'!$A$6:$A$60,"&gt;="&amp;E10,'클럭 정리'!$A$6:$A$60,"&lt;="&amp;F10)</f>
        <v/>
      </c>
      <c r="K10" s="15">
        <f>J10*'클럭 정리'!$B$2/100</f>
        <v/>
      </c>
    </row>
    <row r="11">
      <c r="A11" s="13" t="inlineStr">
        <is>
          <t>병렬도 6 분할 5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46238.48793940972</v>
      </c>
      <c r="F11" s="10" t="n">
        <v>46238.48795499567</v>
      </c>
      <c r="G11" s="13" t="n">
        <v>44</v>
      </c>
      <c r="H11" s="14" t="n">
        <v>1217.3112</v>
      </c>
      <c r="I11" s="13">
        <f>COUNTIFS('클럭 정리'!$A$6:$A$60,"&gt;="&amp;E11,'클럭 정리'!$A$6:$A$60,"&lt;="&amp;F11)</f>
        <v/>
      </c>
      <c r="J11" s="14">
        <f>AVERAGEIFS('클럭 정리'!$N$6:$N$60,'클럭 정리'!$A$6:$A$60,"&gt;="&amp;E11,'클럭 정리'!$A$6:$A$60,"&lt;="&amp;F11)</f>
        <v/>
      </c>
      <c r="K11" s="15">
        <f>J11*'클럭 정리'!$B$2/100</f>
        <v/>
      </c>
    </row>
    <row r="12">
      <c r="A12" s="13" t="inlineStr">
        <is>
          <t>병렬도 6 분할 5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46238.48793893518</v>
      </c>
      <c r="F12" s="10" t="n">
        <v>46238.48795499658</v>
      </c>
      <c r="G12" s="13" t="n">
        <v>45</v>
      </c>
      <c r="H12" s="14" t="n">
        <v>0</v>
      </c>
      <c r="I12" s="13">
        <f>COUNTIFS('클럭 정리'!$A$6:$A$60,"&gt;="&amp;E12,'클럭 정리'!$A$6:$A$60,"&lt;="&amp;F12)</f>
        <v/>
      </c>
      <c r="J12" s="14">
        <f>AVERAGEIFS('클럭 정리'!$N$6:$N$60,'클럭 정리'!$A$6:$A$60,"&gt;="&amp;E12,'클럭 정리'!$A$6:$A$60,"&lt;="&amp;F12)</f>
        <v/>
      </c>
      <c r="K12" s="15">
        <f>J12*'클럭 정리'!$B$2/100</f>
        <v/>
      </c>
    </row>
    <row r="13">
      <c r="A13" s="13" t="inlineStr">
        <is>
          <t>병렬도 6 분할 5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46238.48795501157</v>
      </c>
      <c r="F13" s="10" t="n">
        <v>46238.48797055966</v>
      </c>
      <c r="G13" s="13" t="n">
        <v>45</v>
      </c>
      <c r="H13" s="14" t="n">
        <v>1232.2868</v>
      </c>
      <c r="I13" s="13">
        <f>COUNTIFS('클럭 정리'!$A$6:$A$60,"&gt;="&amp;E13,'클럭 정리'!$A$6:$A$60,"&lt;="&amp;F13)</f>
        <v/>
      </c>
      <c r="J13" s="14">
        <f>AVERAGEIFS('클럭 정리'!$N$6:$N$60,'클럭 정리'!$A$6:$A$60,"&gt;="&amp;E13,'클럭 정리'!$A$6:$A$60,"&lt;="&amp;F13)</f>
        <v/>
      </c>
      <c r="K13" s="15">
        <f>J13*'클럭 정리'!$B$2/100</f>
        <v/>
      </c>
    </row>
    <row r="14">
      <c r="A14" s="13" t="inlineStr">
        <is>
          <t>병렬도 6 분할 5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46238.48795501157</v>
      </c>
      <c r="F14" s="10" t="n">
        <v>46238.48797055094</v>
      </c>
      <c r="G14" s="13" t="n">
        <v>45</v>
      </c>
      <c r="H14" s="14" t="n">
        <v>1243.2456</v>
      </c>
      <c r="I14" s="13">
        <f>COUNTIFS('클럭 정리'!$A$6:$A$60,"&gt;="&amp;E14,'클럭 정리'!$A$6:$A$60,"&lt;="&amp;F14)</f>
        <v/>
      </c>
      <c r="J14" s="14">
        <f>AVERAGEIFS('클럭 정리'!$N$6:$N$60,'클럭 정리'!$A$6:$A$60,"&gt;="&amp;E14,'클럭 정리'!$A$6:$A$60,"&lt;="&amp;F14)</f>
        <v/>
      </c>
      <c r="K14" s="15">
        <f>J14*'클럭 정리'!$B$2/100</f>
        <v/>
      </c>
    </row>
    <row r="15">
      <c r="A15" s="13" t="inlineStr">
        <is>
          <t>병렬도 6 분할 5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46238.48795501157</v>
      </c>
      <c r="F15" s="10" t="n">
        <v>46238.48797056377</v>
      </c>
      <c r="G15" s="13" t="n">
        <v>45</v>
      </c>
      <c r="H15" s="14" t="n">
        <v>1250.0566</v>
      </c>
      <c r="I15" s="13">
        <f>COUNTIFS('클럭 정리'!$A$6:$A$60,"&gt;="&amp;E15,'클럭 정리'!$A$6:$A$60,"&lt;="&amp;F15)</f>
        <v/>
      </c>
      <c r="J15" s="14">
        <f>AVERAGEIFS('클럭 정리'!$N$6:$N$60,'클럭 정리'!$A$6:$A$60,"&gt;="&amp;E15,'클럭 정리'!$A$6:$A$60,"&lt;="&amp;F15)</f>
        <v/>
      </c>
      <c r="K15" s="15">
        <f>J15*'클럭 정리'!$B$2/100</f>
        <v/>
      </c>
    </row>
    <row r="16">
      <c r="A16" s="13" t="inlineStr">
        <is>
          <t>병렬도 6 분할 5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46238.48795501157</v>
      </c>
      <c r="F16" s="10" t="n">
        <v>46238.48797057739</v>
      </c>
      <c r="G16" s="13" t="n">
        <v>45</v>
      </c>
      <c r="H16" s="14" t="n">
        <v>1251.2265</v>
      </c>
      <c r="I16" s="13">
        <f>COUNTIFS('클럭 정리'!$A$6:$A$60,"&gt;="&amp;E16,'클럭 정리'!$A$6:$A$60,"&lt;="&amp;F16)</f>
        <v/>
      </c>
      <c r="J16" s="14">
        <f>AVERAGEIFS('클럭 정리'!$N$6:$N$60,'클럭 정리'!$A$6:$A$60,"&gt;="&amp;E16,'클럭 정리'!$A$6:$A$60,"&lt;="&amp;F16)</f>
        <v/>
      </c>
      <c r="K16" s="15">
        <f>J16*'클럭 정리'!$B$2/100</f>
        <v/>
      </c>
    </row>
    <row r="17">
      <c r="A17" s="13" t="inlineStr">
        <is>
          <t>병렬도 6 분할 5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46238.48795502315</v>
      </c>
      <c r="F17" s="10" t="n">
        <v>46238.48797055386</v>
      </c>
      <c r="G17" s="13" t="n">
        <v>45</v>
      </c>
      <c r="H17" s="14" t="n">
        <v>1239.0812</v>
      </c>
      <c r="I17" s="13">
        <f>COUNTIFS('클럭 정리'!$A$6:$A$60,"&gt;="&amp;E17,'클럭 정리'!$A$6:$A$60,"&lt;="&amp;F17)</f>
        <v/>
      </c>
      <c r="J17" s="14">
        <f>AVERAGEIFS('클럭 정리'!$N$6:$N$60,'클럭 정리'!$A$6:$A$60,"&gt;="&amp;E17,'클럭 정리'!$A$6:$A$60,"&lt;="&amp;F17)</f>
        <v/>
      </c>
      <c r="K17" s="15">
        <f>J17*'클럭 정리'!$B$2/100</f>
        <v/>
      </c>
    </row>
    <row r="18">
      <c r="A18" s="13" t="inlineStr">
        <is>
          <t>병렬도 6 분할 5</t>
        </is>
      </c>
      <c r="B18" s="13" t="n">
        <v>2</v>
      </c>
      <c r="C18" s="13" t="inlineStr">
        <is>
          <t>main</t>
        </is>
      </c>
      <c r="D18" s="12" t="inlineStr">
        <is>
          <t>main (활동 시간 합 = 그 회차 mainCPU, 창은 워커와 겹침)</t>
        </is>
      </c>
      <c r="E18" s="10" t="n">
        <v>46238.487955</v>
      </c>
      <c r="F18" s="10" t="n">
        <v>46238.48797057868</v>
      </c>
      <c r="G18" s="13" t="n">
        <v>45</v>
      </c>
      <c r="H18" s="14" t="n">
        <v>31.25</v>
      </c>
      <c r="I18" s="13">
        <f>COUNTIFS('클럭 정리'!$A$6:$A$60,"&gt;="&amp;E18,'클럭 정리'!$A$6:$A$60,"&lt;="&amp;F18)</f>
        <v/>
      </c>
      <c r="J18" s="14">
        <f>AVERAGEIFS('클럭 정리'!$N$6:$N$60,'클럭 정리'!$A$6:$A$60,"&gt;="&amp;E18,'클럭 정리'!$A$6:$A$60,"&lt;="&amp;F18)</f>
        <v/>
      </c>
      <c r="K18" s="15">
        <f>J18*'클럭 정리'!$B$2/100</f>
        <v/>
      </c>
    </row>
    <row r="19">
      <c r="A19" s="13" t="inlineStr">
        <is>
          <t>병렬도 6 분할 5</t>
        </is>
      </c>
      <c r="B19" s="13" t="n">
        <v>3</v>
      </c>
      <c r="C19" s="13" t="inlineStr">
        <is>
          <t>ForkJoinPool-5-worker-1</t>
        </is>
      </c>
      <c r="D19" s="12" t="inlineStr">
        <is>
          <t>워커</t>
        </is>
      </c>
      <c r="E19" s="10" t="n">
        <v>46238.48797059028</v>
      </c>
      <c r="F19" s="10" t="n">
        <v>46238.48798606449</v>
      </c>
      <c r="G19" s="13" t="n">
        <v>45</v>
      </c>
      <c r="H19" s="14" t="n">
        <v>1197.8793</v>
      </c>
      <c r="I19" s="13">
        <f>COUNTIFS('클럭 정리'!$A$6:$A$60,"&gt;="&amp;E19,'클럭 정리'!$A$6:$A$60,"&lt;="&amp;F19)</f>
        <v/>
      </c>
      <c r="J19" s="14">
        <f>AVERAGEIFS('클럭 정리'!$N$6:$N$60,'클럭 정리'!$A$6:$A$60,"&gt;="&amp;E19,'클럭 정리'!$A$6:$A$60,"&lt;="&amp;F19)</f>
        <v/>
      </c>
      <c r="K19" s="15">
        <f>J19*'클럭 정리'!$B$2/100</f>
        <v/>
      </c>
    </row>
    <row r="20">
      <c r="A20" s="13" t="inlineStr">
        <is>
          <t>병렬도 6 분할 5</t>
        </is>
      </c>
      <c r="B20" s="13" t="n">
        <v>3</v>
      </c>
      <c r="C20" s="13" t="inlineStr">
        <is>
          <t>ForkJoinPool-5-worker-2</t>
        </is>
      </c>
      <c r="D20" s="12" t="inlineStr">
        <is>
          <t>워커</t>
        </is>
      </c>
      <c r="E20" s="10" t="n">
        <v>46238.48797059028</v>
      </c>
      <c r="F20" s="10" t="n">
        <v>46238.48798608419</v>
      </c>
      <c r="G20" s="13" t="n">
        <v>45</v>
      </c>
      <c r="H20" s="14" t="n">
        <v>1277.913</v>
      </c>
      <c r="I20" s="13">
        <f>COUNTIFS('클럭 정리'!$A$6:$A$60,"&gt;="&amp;E20,'클럭 정리'!$A$6:$A$60,"&lt;="&amp;F20)</f>
        <v/>
      </c>
      <c r="J20" s="14">
        <f>AVERAGEIFS('클럭 정리'!$N$6:$N$60,'클럭 정리'!$A$6:$A$60,"&gt;="&amp;E20,'클럭 정리'!$A$6:$A$60,"&lt;="&amp;F20)</f>
        <v/>
      </c>
      <c r="K20" s="15">
        <f>J20*'클럭 정리'!$B$2/100</f>
        <v/>
      </c>
    </row>
    <row r="21">
      <c r="A21" s="13" t="inlineStr">
        <is>
          <t>병렬도 6 분할 5</t>
        </is>
      </c>
      <c r="B21" s="13" t="n">
        <v>3</v>
      </c>
      <c r="C21" s="13" t="inlineStr">
        <is>
          <t>ForkJoinPool-5-worker-3</t>
        </is>
      </c>
      <c r="D21" s="12" t="inlineStr">
        <is>
          <t>워커</t>
        </is>
      </c>
      <c r="E21" s="10" t="n">
        <v>46238.48797059028</v>
      </c>
      <c r="F21" s="10" t="n">
        <v>46238.48798608217</v>
      </c>
      <c r="G21" s="13" t="n">
        <v>45</v>
      </c>
      <c r="H21" s="14" t="n">
        <v>1249.837</v>
      </c>
      <c r="I21" s="13">
        <f>COUNTIFS('클럭 정리'!$A$6:$A$60,"&gt;="&amp;E21,'클럭 정리'!$A$6:$A$60,"&lt;="&amp;F21)</f>
        <v/>
      </c>
      <c r="J21" s="14">
        <f>AVERAGEIFS('클럭 정리'!$N$6:$N$60,'클럭 정리'!$A$6:$A$60,"&gt;="&amp;E21,'클럭 정리'!$A$6:$A$60,"&lt;="&amp;F21)</f>
        <v/>
      </c>
      <c r="K21" s="15">
        <f>J21*'클럭 정리'!$B$2/100</f>
        <v/>
      </c>
    </row>
    <row r="22">
      <c r="A22" s="13" t="inlineStr">
        <is>
          <t>병렬도 6 분할 5</t>
        </is>
      </c>
      <c r="B22" s="13" t="n">
        <v>3</v>
      </c>
      <c r="C22" s="13" t="inlineStr">
        <is>
          <t>ForkJoinPool-5-worker-4</t>
        </is>
      </c>
      <c r="D22" s="12" t="inlineStr">
        <is>
          <t>워커</t>
        </is>
      </c>
      <c r="E22" s="10" t="n">
        <v>46238.48797059028</v>
      </c>
      <c r="F22" s="10" t="n">
        <v>46238.48798608239</v>
      </c>
      <c r="G22" s="13" t="n">
        <v>45</v>
      </c>
      <c r="H22" s="14" t="n">
        <v>1244.5766</v>
      </c>
      <c r="I22" s="13">
        <f>COUNTIFS('클럭 정리'!$A$6:$A$60,"&gt;="&amp;E22,'클럭 정리'!$A$6:$A$60,"&lt;="&amp;F22)</f>
        <v/>
      </c>
      <c r="J22" s="14">
        <f>AVERAGEIFS('클럭 정리'!$N$6:$N$60,'클럭 정리'!$A$6:$A$60,"&gt;="&amp;E22,'클럭 정리'!$A$6:$A$60,"&lt;="&amp;F22)</f>
        <v/>
      </c>
      <c r="K22" s="15">
        <f>J22*'클럭 정리'!$B$2/100</f>
        <v/>
      </c>
    </row>
    <row r="23">
      <c r="A23" s="13" t="inlineStr">
        <is>
          <t>병렬도 6 분할 5</t>
        </is>
      </c>
      <c r="B23" s="13" t="n">
        <v>3</v>
      </c>
      <c r="C23" s="13" t="inlineStr">
        <is>
          <t>ForkJoinPool-5-worker-5</t>
        </is>
      </c>
      <c r="D23" s="12" t="inlineStr">
        <is>
          <t>워커</t>
        </is>
      </c>
      <c r="E23" s="10" t="n">
        <v>46238.48797060185</v>
      </c>
      <c r="F23" s="10" t="n">
        <v>46238.48798606465</v>
      </c>
      <c r="G23" s="13" t="n">
        <v>45</v>
      </c>
      <c r="H23" s="14" t="n">
        <v>1220.4049</v>
      </c>
      <c r="I23" s="13">
        <f>COUNTIFS('클럭 정리'!$A$6:$A$60,"&gt;="&amp;E23,'클럭 정리'!$A$6:$A$60,"&lt;="&amp;F23)</f>
        <v/>
      </c>
      <c r="J23" s="14">
        <f>AVERAGEIFS('클럭 정리'!$N$6:$N$60,'클럭 정리'!$A$6:$A$60,"&gt;="&amp;E23,'클럭 정리'!$A$6:$A$60,"&lt;="&amp;F23)</f>
        <v/>
      </c>
      <c r="K23" s="15">
        <f>J23*'클럭 정리'!$B$2/100</f>
        <v/>
      </c>
    </row>
    <row r="24">
      <c r="A24" s="13" t="inlineStr">
        <is>
          <t>병렬도 6 분할 5</t>
        </is>
      </c>
      <c r="B24" s="13" t="n">
        <v>3</v>
      </c>
      <c r="C24" s="13" t="inlineStr">
        <is>
          <t>main</t>
        </is>
      </c>
      <c r="D24" s="12" t="inlineStr">
        <is>
          <t>main (활동 시간 합 = 그 회차 mainCPU, 창은 워커와 겹침)</t>
        </is>
      </c>
      <c r="E24" s="10" t="n">
        <v>46238.4879705787</v>
      </c>
      <c r="F24" s="10" t="n">
        <v>46238.48798608615</v>
      </c>
      <c r="G24" s="13" t="n">
        <v>45</v>
      </c>
      <c r="H24" s="14" t="n">
        <v>0</v>
      </c>
      <c r="I24" s="13">
        <f>COUNTIFS('클럭 정리'!$A$6:$A$60,"&gt;="&amp;E24,'클럭 정리'!$A$6:$A$60,"&lt;="&amp;F24)</f>
        <v/>
      </c>
      <c r="J24" s="14">
        <f>AVERAGEIFS('클럭 정리'!$N$6:$N$60,'클럭 정리'!$A$6:$A$60,"&gt;="&amp;E24,'클럭 정리'!$A$6:$A$60,"&lt;="&amp;F24)</f>
        <v/>
      </c>
      <c r="K24" s="15">
        <f>J24*'클럭 정리'!$B$2/100</f>
        <v/>
      </c>
    </row>
    <row r="25">
      <c r="A25" s="13" t="inlineStr">
        <is>
          <t>병렬도 6 분할 5</t>
        </is>
      </c>
      <c r="B25" s="13" t="n">
        <v>4</v>
      </c>
      <c r="C25" s="13" t="inlineStr">
        <is>
          <t>ForkJoinPool-6-worker-1</t>
        </is>
      </c>
      <c r="D25" s="12" t="inlineStr">
        <is>
          <t>워커</t>
        </is>
      </c>
      <c r="E25" s="10" t="n">
        <v>46238.48798609954</v>
      </c>
      <c r="F25" s="10" t="n">
        <v>46238.48800133375</v>
      </c>
      <c r="G25" s="13" t="n">
        <v>45</v>
      </c>
      <c r="H25" s="14" t="n">
        <v>1222.6328</v>
      </c>
      <c r="I25" s="13">
        <f>COUNTIFS('클럭 정리'!$A$6:$A$60,"&gt;="&amp;E25,'클럭 정리'!$A$6:$A$60,"&lt;="&amp;F25)</f>
        <v/>
      </c>
      <c r="J25" s="14">
        <f>AVERAGEIFS('클럭 정리'!$N$6:$N$60,'클럭 정리'!$A$6:$A$60,"&gt;="&amp;E25,'클럭 정리'!$A$6:$A$60,"&lt;="&amp;F25)</f>
        <v/>
      </c>
      <c r="K25" s="15">
        <f>J25*'클럭 정리'!$B$2/100</f>
        <v/>
      </c>
    </row>
    <row r="26">
      <c r="A26" s="13" t="inlineStr">
        <is>
          <t>병렬도 6 분할 5</t>
        </is>
      </c>
      <c r="B26" s="13" t="n">
        <v>4</v>
      </c>
      <c r="C26" s="13" t="inlineStr">
        <is>
          <t>ForkJoinPool-6-worker-2</t>
        </is>
      </c>
      <c r="D26" s="12" t="inlineStr">
        <is>
          <t>워커</t>
        </is>
      </c>
      <c r="E26" s="10" t="n">
        <v>46238.48798609954</v>
      </c>
      <c r="F26" s="10" t="n">
        <v>46238.48800141129</v>
      </c>
      <c r="G26" s="13" t="n">
        <v>45</v>
      </c>
      <c r="H26" s="14" t="n">
        <v>1250.0466</v>
      </c>
      <c r="I26" s="13">
        <f>COUNTIFS('클럭 정리'!$A$6:$A$60,"&gt;="&amp;E26,'클럭 정리'!$A$6:$A$60,"&lt;="&amp;F26)</f>
        <v/>
      </c>
      <c r="J26" s="14">
        <f>AVERAGEIFS('클럭 정리'!$N$6:$N$60,'클럭 정리'!$A$6:$A$60,"&gt;="&amp;E26,'클럭 정리'!$A$6:$A$60,"&lt;="&amp;F26)</f>
        <v/>
      </c>
      <c r="K26" s="15">
        <f>J26*'클럭 정리'!$B$2/100</f>
        <v/>
      </c>
    </row>
    <row r="27">
      <c r="A27" s="13" t="inlineStr">
        <is>
          <t>병렬도 6 분할 5</t>
        </is>
      </c>
      <c r="B27" s="13" t="n">
        <v>4</v>
      </c>
      <c r="C27" s="13" t="inlineStr">
        <is>
          <t>ForkJoinPool-6-worker-3</t>
        </is>
      </c>
      <c r="D27" s="12" t="inlineStr">
        <is>
          <t>워커</t>
        </is>
      </c>
      <c r="E27" s="10" t="n">
        <v>46238.48798609954</v>
      </c>
      <c r="F27" s="10" t="n">
        <v>46238.48800140641</v>
      </c>
      <c r="G27" s="13" t="n">
        <v>45</v>
      </c>
      <c r="H27" s="14" t="n">
        <v>1254.4169</v>
      </c>
      <c r="I27" s="13">
        <f>COUNTIFS('클럭 정리'!$A$6:$A$60,"&gt;="&amp;E27,'클럭 정리'!$A$6:$A$60,"&lt;="&amp;F27)</f>
        <v/>
      </c>
      <c r="J27" s="14">
        <f>AVERAGEIFS('클럭 정리'!$N$6:$N$60,'클럭 정리'!$A$6:$A$60,"&gt;="&amp;E27,'클럭 정리'!$A$6:$A$60,"&lt;="&amp;F27)</f>
        <v/>
      </c>
      <c r="K27" s="15">
        <f>J27*'클럭 정리'!$B$2/100</f>
        <v/>
      </c>
    </row>
    <row r="28">
      <c r="A28" s="13" t="inlineStr">
        <is>
          <t>병렬도 6 분할 5</t>
        </is>
      </c>
      <c r="B28" s="13" t="n">
        <v>4</v>
      </c>
      <c r="C28" s="13" t="inlineStr">
        <is>
          <t>ForkJoinPool-6-worker-4</t>
        </is>
      </c>
      <c r="D28" s="12" t="inlineStr">
        <is>
          <t>워커</t>
        </is>
      </c>
      <c r="E28" s="10" t="n">
        <v>46238.48798609954</v>
      </c>
      <c r="F28" s="10" t="n">
        <v>46238.48800139042</v>
      </c>
      <c r="G28" s="13" t="n">
        <v>45</v>
      </c>
      <c r="H28" s="14" t="n">
        <v>1229.0438</v>
      </c>
      <c r="I28" s="13">
        <f>COUNTIFS('클럭 정리'!$A$6:$A$60,"&gt;="&amp;E28,'클럭 정리'!$A$6:$A$60,"&lt;="&amp;F28)</f>
        <v/>
      </c>
      <c r="J28" s="14">
        <f>AVERAGEIFS('클럭 정리'!$N$6:$N$60,'클럭 정리'!$A$6:$A$60,"&gt;="&amp;E28,'클럭 정리'!$A$6:$A$60,"&lt;="&amp;F28)</f>
        <v/>
      </c>
      <c r="K28" s="15">
        <f>J28*'클럭 정리'!$B$2/100</f>
        <v/>
      </c>
    </row>
    <row r="29">
      <c r="A29" s="13" t="inlineStr">
        <is>
          <t>병렬도 6 분할 5</t>
        </is>
      </c>
      <c r="B29" s="13" t="n">
        <v>4</v>
      </c>
      <c r="C29" s="13" t="inlineStr">
        <is>
          <t>ForkJoinPool-6-worker-5</t>
        </is>
      </c>
      <c r="D29" s="12" t="inlineStr">
        <is>
          <t>워커</t>
        </is>
      </c>
      <c r="E29" s="10" t="n">
        <v>46238.48798609954</v>
      </c>
      <c r="F29" s="10" t="n">
        <v>46238.48800140552</v>
      </c>
      <c r="G29" s="13" t="n">
        <v>45</v>
      </c>
      <c r="H29" s="14" t="n">
        <v>1224.8085</v>
      </c>
      <c r="I29" s="13">
        <f>COUNTIFS('클럭 정리'!$A$6:$A$60,"&gt;="&amp;E29,'클럭 정리'!$A$6:$A$60,"&lt;="&amp;F29)</f>
        <v/>
      </c>
      <c r="J29" s="14">
        <f>AVERAGEIFS('클럭 정리'!$N$6:$N$60,'클럭 정리'!$A$6:$A$60,"&gt;="&amp;E29,'클럭 정리'!$A$6:$A$60,"&lt;="&amp;F29)</f>
        <v/>
      </c>
      <c r="K29" s="15">
        <f>J29*'클럭 정리'!$B$2/100</f>
        <v/>
      </c>
    </row>
    <row r="30">
      <c r="A30" s="13" t="inlineStr">
        <is>
          <t>병렬도 6 분할 5</t>
        </is>
      </c>
      <c r="B30" s="13" t="n">
        <v>4</v>
      </c>
      <c r="C30" s="13" t="inlineStr">
        <is>
          <t>main</t>
        </is>
      </c>
      <c r="D30" s="12" t="inlineStr">
        <is>
          <t>main (활동 시간 합 = 그 회차 mainCPU, 창은 워커와 겹침)</t>
        </is>
      </c>
      <c r="E30" s="10" t="n">
        <v>46238.48798608797</v>
      </c>
      <c r="F30" s="10" t="n">
        <v>46238.48800141244</v>
      </c>
      <c r="G30" s="13" t="n">
        <v>45</v>
      </c>
      <c r="H30" s="14" t="n">
        <v>0</v>
      </c>
      <c r="I30" s="13">
        <f>COUNTIFS('클럭 정리'!$A$6:$A$60,"&gt;="&amp;E30,'클럭 정리'!$A$6:$A$60,"&lt;="&amp;F30)</f>
        <v/>
      </c>
      <c r="J30" s="14">
        <f>AVERAGEIFS('클럭 정리'!$N$6:$N$60,'클럭 정리'!$A$6:$A$60,"&gt;="&amp;E30,'클럭 정리'!$A$6:$A$60,"&lt;="&amp;F30)</f>
        <v/>
      </c>
      <c r="K30" s="15">
        <f>J30*'클럭 정리'!$B$2/100</f>
        <v/>
      </c>
    </row>
    <row r="31">
      <c r="A31" s="13" t="inlineStr">
        <is>
          <t>병렬도 6 분할 5</t>
        </is>
      </c>
      <c r="B31" s="13" t="n">
        <v>5</v>
      </c>
      <c r="C31" s="13" t="inlineStr">
        <is>
          <t>ForkJoinPool-7-worker-1</t>
        </is>
      </c>
      <c r="D31" s="12" t="inlineStr">
        <is>
          <t>워커</t>
        </is>
      </c>
      <c r="E31" s="10" t="n">
        <v>46238.48800143519</v>
      </c>
      <c r="F31" s="10" t="n">
        <v>46238.48801699596</v>
      </c>
      <c r="G31" s="13" t="n">
        <v>45</v>
      </c>
      <c r="H31" s="14" t="n">
        <v>1225.3753</v>
      </c>
      <c r="I31" s="13">
        <f>COUNTIFS('클럭 정리'!$A$6:$A$60,"&gt;="&amp;E31,'클럭 정리'!$A$6:$A$60,"&lt;="&amp;F31)</f>
        <v/>
      </c>
      <c r="J31" s="14">
        <f>AVERAGEIFS('클럭 정리'!$N$6:$N$60,'클럭 정리'!$A$6:$A$60,"&gt;="&amp;E31,'클럭 정리'!$A$6:$A$60,"&lt;="&amp;F31)</f>
        <v/>
      </c>
      <c r="K31" s="15">
        <f>J31*'클럭 정리'!$B$2/100</f>
        <v/>
      </c>
    </row>
    <row r="32">
      <c r="A32" s="13" t="inlineStr">
        <is>
          <t>병렬도 6 분할 5</t>
        </is>
      </c>
      <c r="B32" s="13" t="n">
        <v>5</v>
      </c>
      <c r="C32" s="13" t="inlineStr">
        <is>
          <t>ForkJoinPool-7-worker-2</t>
        </is>
      </c>
      <c r="D32" s="12" t="inlineStr">
        <is>
          <t>워커</t>
        </is>
      </c>
      <c r="E32" s="10" t="n">
        <v>46238.48800143519</v>
      </c>
      <c r="F32" s="10" t="n">
        <v>46238.48801699094</v>
      </c>
      <c r="G32" s="13" t="n">
        <v>45</v>
      </c>
      <c r="H32" s="14" t="n">
        <v>1263.8414</v>
      </c>
      <c r="I32" s="13">
        <f>COUNTIFS('클럭 정리'!$A$6:$A$60,"&gt;="&amp;E32,'클럭 정리'!$A$6:$A$60,"&lt;="&amp;F32)</f>
        <v/>
      </c>
      <c r="J32" s="14">
        <f>AVERAGEIFS('클럭 정리'!$N$6:$N$60,'클럭 정리'!$A$6:$A$60,"&gt;="&amp;E32,'클럭 정리'!$A$6:$A$60,"&lt;="&amp;F32)</f>
        <v/>
      </c>
      <c r="K32" s="15">
        <f>J32*'클럭 정리'!$B$2/100</f>
        <v/>
      </c>
    </row>
    <row r="33">
      <c r="A33" s="13" t="inlineStr">
        <is>
          <t>병렬도 6 분할 5</t>
        </is>
      </c>
      <c r="B33" s="13" t="n">
        <v>5</v>
      </c>
      <c r="C33" s="13" t="inlineStr">
        <is>
          <t>ForkJoinPool-7-worker-3</t>
        </is>
      </c>
      <c r="D33" s="12" t="inlineStr">
        <is>
          <t>워커</t>
        </is>
      </c>
      <c r="E33" s="10" t="n">
        <v>46238.48800143519</v>
      </c>
      <c r="F33" s="10" t="n">
        <v>46238.4880170332</v>
      </c>
      <c r="G33" s="13" t="n">
        <v>45</v>
      </c>
      <c r="H33" s="14" t="n">
        <v>1264.0283</v>
      </c>
      <c r="I33" s="13">
        <f>COUNTIFS('클럭 정리'!$A$6:$A$60,"&gt;="&amp;E33,'클럭 정리'!$A$6:$A$60,"&lt;="&amp;F33)</f>
        <v/>
      </c>
      <c r="J33" s="14">
        <f>AVERAGEIFS('클럭 정리'!$N$6:$N$60,'클럭 정리'!$A$6:$A$60,"&gt;="&amp;E33,'클럭 정리'!$A$6:$A$60,"&lt;="&amp;F33)</f>
        <v/>
      </c>
      <c r="K33" s="15">
        <f>J33*'클럭 정리'!$B$2/100</f>
        <v/>
      </c>
    </row>
    <row r="34">
      <c r="A34" s="13" t="inlineStr">
        <is>
          <t>병렬도 6 분할 5</t>
        </is>
      </c>
      <c r="B34" s="13" t="n">
        <v>5</v>
      </c>
      <c r="C34" s="13" t="inlineStr">
        <is>
          <t>ForkJoinPool-7-worker-4</t>
        </is>
      </c>
      <c r="D34" s="12" t="inlineStr">
        <is>
          <t>워커</t>
        </is>
      </c>
      <c r="E34" s="10" t="n">
        <v>46238.48800143519</v>
      </c>
      <c r="F34" s="10" t="n">
        <v>46238.48800174002</v>
      </c>
      <c r="G34" s="13" t="n">
        <v>1</v>
      </c>
      <c r="H34" s="14" t="n">
        <v>26.3378</v>
      </c>
      <c r="I34" s="13">
        <f>COUNTIFS('클럭 정리'!$A$6:$A$60,"&gt;="&amp;E34,'클럭 정리'!$A$6:$A$60,"&lt;="&amp;F34)</f>
        <v/>
      </c>
      <c r="J34" s="14">
        <f>AVERAGEIFS('클럭 정리'!$N$6:$N$60,'클럭 정리'!$A$6:$A$60,"&gt;="&amp;E34,'클럭 정리'!$A$6:$A$60,"&lt;="&amp;F34)</f>
        <v/>
      </c>
      <c r="K34" s="15">
        <f>J34*'클럭 정리'!$B$2/100</f>
        <v/>
      </c>
    </row>
    <row r="35">
      <c r="A35" s="13" t="inlineStr">
        <is>
          <t>병렬도 6 분할 5</t>
        </is>
      </c>
      <c r="B35" s="13" t="n">
        <v>5</v>
      </c>
      <c r="C35" s="13" t="inlineStr">
        <is>
          <t>ForkJoinPool-7-worker-5</t>
        </is>
      </c>
      <c r="D35" s="12" t="inlineStr">
        <is>
          <t>워커</t>
        </is>
      </c>
      <c r="E35" s="10" t="n">
        <v>46238.48800144676</v>
      </c>
      <c r="F35" s="10" t="n">
        <v>46238.4880170004</v>
      </c>
      <c r="G35" s="13" t="n">
        <v>45</v>
      </c>
      <c r="H35" s="14" t="n">
        <v>1249.394</v>
      </c>
      <c r="I35" s="13">
        <f>COUNTIFS('클럭 정리'!$A$6:$A$60,"&gt;="&amp;E35,'클럭 정리'!$A$6:$A$60,"&lt;="&amp;F35)</f>
        <v/>
      </c>
      <c r="J35" s="14">
        <f>AVERAGEIFS('클럭 정리'!$N$6:$N$60,'클럭 정리'!$A$6:$A$60,"&gt;="&amp;E35,'클럭 정리'!$A$6:$A$60,"&lt;="&amp;F35)</f>
        <v/>
      </c>
      <c r="K35" s="15">
        <f>J35*'클럭 정리'!$B$2/100</f>
        <v/>
      </c>
    </row>
    <row r="36">
      <c r="A36" s="13" t="inlineStr">
        <is>
          <t>병렬도 6 분할 5</t>
        </is>
      </c>
      <c r="B36" s="13" t="n">
        <v>5</v>
      </c>
      <c r="C36" s="13" t="inlineStr">
        <is>
          <t>ForkJoinPool-7-worker-6</t>
        </is>
      </c>
      <c r="D36" s="12" t="inlineStr">
        <is>
          <t>워커</t>
        </is>
      </c>
      <c r="E36" s="10" t="n">
        <v>46238.48800180556</v>
      </c>
      <c r="F36" s="10" t="n">
        <v>46238.48801700953</v>
      </c>
      <c r="G36" s="13" t="n">
        <v>44</v>
      </c>
      <c r="H36" s="14" t="n">
        <v>1212.0454</v>
      </c>
      <c r="I36" s="13">
        <f>COUNTIFS('클럭 정리'!$A$6:$A$60,"&gt;="&amp;E36,'클럭 정리'!$A$6:$A$60,"&lt;="&amp;F36)</f>
        <v/>
      </c>
      <c r="J36" s="14">
        <f>AVERAGEIFS('클럭 정리'!$N$6:$N$60,'클럭 정리'!$A$6:$A$60,"&gt;="&amp;E36,'클럭 정리'!$A$6:$A$60,"&lt;="&amp;F36)</f>
        <v/>
      </c>
      <c r="K36" s="15">
        <f>J36*'클럭 정리'!$B$2/100</f>
        <v/>
      </c>
    </row>
    <row r="37">
      <c r="A37" s="13" t="inlineStr">
        <is>
          <t>병렬도 6 분할 5</t>
        </is>
      </c>
      <c r="B37" s="13" t="n">
        <v>5</v>
      </c>
      <c r="C37" s="13" t="inlineStr">
        <is>
          <t>main</t>
        </is>
      </c>
      <c r="D37" s="12" t="inlineStr">
        <is>
          <t>main (활동 시간 합 = 그 회차 mainCPU, 창은 워커와 겹침)</t>
        </is>
      </c>
      <c r="E37" s="10" t="n">
        <v>46238.48800142361</v>
      </c>
      <c r="F37" s="10" t="n">
        <v>46238.48801703467</v>
      </c>
      <c r="G37" s="13" t="n">
        <v>45</v>
      </c>
      <c r="H37" s="14" t="n">
        <v>0</v>
      </c>
      <c r="I37" s="13">
        <f>COUNTIFS('클럭 정리'!$A$6:$A$60,"&gt;="&amp;E37,'클럭 정리'!$A$6:$A$60,"&lt;="&amp;F37)</f>
        <v/>
      </c>
      <c r="J37" s="14">
        <f>AVERAGEIFS('클럭 정리'!$N$6:$N$60,'클럭 정리'!$A$6:$A$60,"&gt;="&amp;E37,'클럭 정리'!$A$6:$A$60,"&lt;="&amp;F37)</f>
        <v/>
      </c>
      <c r="K37" s="15">
        <f>J37*'클럭 정리'!$B$2/100</f>
        <v/>
      </c>
    </row>
    <row r="38">
      <c r="A38" s="13" t="inlineStr">
        <is>
          <t>병렬도 12 분할 5</t>
        </is>
      </c>
      <c r="B38" s="13" t="n">
        <v>1</v>
      </c>
      <c r="C38" s="13" t="inlineStr">
        <is>
          <t>ForkJoinPool-11-worker-1</t>
        </is>
      </c>
      <c r="D38" s="12" t="inlineStr">
        <is>
          <t>워커</t>
        </is>
      </c>
      <c r="E38" s="10" t="n">
        <v>46238.48806362269</v>
      </c>
      <c r="F38" s="10" t="n">
        <v>46238.4880791322</v>
      </c>
      <c r="G38" s="13" t="n">
        <v>45</v>
      </c>
      <c r="H38" s="14" t="n">
        <v>1230.7462</v>
      </c>
      <c r="I38" s="13">
        <f>COUNTIFS('클럭 정리'!$A$6:$A$60,"&gt;="&amp;E38,'클럭 정리'!$A$6:$A$60,"&lt;="&amp;F38)</f>
        <v/>
      </c>
      <c r="J38" s="14">
        <f>AVERAGEIFS('클럭 정리'!$N$6:$N$60,'클럭 정리'!$A$6:$A$60,"&gt;="&amp;E38,'클럭 정리'!$A$6:$A$60,"&lt;="&amp;F38)</f>
        <v/>
      </c>
      <c r="K38" s="15">
        <f>J38*'클럭 정리'!$B$2/100</f>
        <v/>
      </c>
    </row>
    <row r="39">
      <c r="A39" s="13" t="inlineStr">
        <is>
          <t>병렬도 12 분할 5</t>
        </is>
      </c>
      <c r="B39" s="13" t="n">
        <v>1</v>
      </c>
      <c r="C39" s="13" t="inlineStr">
        <is>
          <t>ForkJoinPool-11-worker-11</t>
        </is>
      </c>
      <c r="D39" s="12" t="inlineStr">
        <is>
          <t>워커</t>
        </is>
      </c>
      <c r="E39" s="10" t="n">
        <v>46238.48806513889</v>
      </c>
      <c r="F39" s="10" t="n">
        <v>46238.48807911843</v>
      </c>
      <c r="G39" s="13" t="n">
        <v>41</v>
      </c>
      <c r="H39" s="14" t="n">
        <v>1130.1305</v>
      </c>
      <c r="I39" s="13">
        <f>COUNTIFS('클럭 정리'!$A$6:$A$60,"&gt;="&amp;E39,'클럭 정리'!$A$6:$A$60,"&lt;="&amp;F39)</f>
        <v/>
      </c>
      <c r="J39" s="14">
        <f>AVERAGEIFS('클럭 정리'!$N$6:$N$60,'클럭 정리'!$A$6:$A$60,"&gt;="&amp;E39,'클럭 정리'!$A$6:$A$60,"&lt;="&amp;F39)</f>
        <v/>
      </c>
      <c r="K39" s="15">
        <f>J39*'클럭 정리'!$B$2/100</f>
        <v/>
      </c>
    </row>
    <row r="40">
      <c r="A40" s="13" t="inlineStr">
        <is>
          <t>병렬도 12 분할 5</t>
        </is>
      </c>
      <c r="B40" s="13" t="n">
        <v>1</v>
      </c>
      <c r="C40" s="13" t="inlineStr">
        <is>
          <t>ForkJoinPool-11-worker-12</t>
        </is>
      </c>
      <c r="D40" s="12" t="inlineStr">
        <is>
          <t>워커</t>
        </is>
      </c>
      <c r="E40" s="10" t="n">
        <v>46238.48806549769</v>
      </c>
      <c r="F40" s="10" t="n">
        <v>46238.48807912301</v>
      </c>
      <c r="G40" s="13" t="n">
        <v>40</v>
      </c>
      <c r="H40" s="14" t="n">
        <v>1085.2995</v>
      </c>
      <c r="I40" s="13">
        <f>COUNTIFS('클럭 정리'!$A$6:$A$60,"&gt;="&amp;E40,'클럭 정리'!$A$6:$A$60,"&lt;="&amp;F40)</f>
        <v/>
      </c>
      <c r="J40" s="14">
        <f>AVERAGEIFS('클럭 정리'!$N$6:$N$60,'클럭 정리'!$A$6:$A$60,"&gt;="&amp;E40,'클럭 정리'!$A$6:$A$60,"&lt;="&amp;F40)</f>
        <v/>
      </c>
      <c r="K40" s="15">
        <f>J40*'클럭 정리'!$B$2/100</f>
        <v/>
      </c>
    </row>
    <row r="41">
      <c r="A41" s="13" t="inlineStr">
        <is>
          <t>병렬도 12 분할 5</t>
        </is>
      </c>
      <c r="B41" s="13" t="n">
        <v>1</v>
      </c>
      <c r="C41" s="13" t="inlineStr">
        <is>
          <t>ForkJoinPool-11-worker-2</t>
        </is>
      </c>
      <c r="D41" s="12" t="inlineStr">
        <is>
          <t>워커</t>
        </is>
      </c>
      <c r="E41" s="10" t="n">
        <v>46238.48806363426</v>
      </c>
      <c r="F41" s="10" t="n">
        <v>46238.48806503509</v>
      </c>
      <c r="G41" s="13" t="n">
        <v>4</v>
      </c>
      <c r="H41" s="14" t="n">
        <v>113.322</v>
      </c>
      <c r="I41" s="13">
        <f>COUNTIFS('클럭 정리'!$A$6:$A$60,"&gt;="&amp;E41,'클럭 정리'!$A$6:$A$60,"&lt;="&amp;F41)</f>
        <v/>
      </c>
      <c r="J41" s="14">
        <f>AVERAGEIFS('클럭 정리'!$N$6:$N$60,'클럭 정리'!$A$6:$A$60,"&gt;="&amp;E41,'클럭 정리'!$A$6:$A$60,"&lt;="&amp;F41)</f>
        <v/>
      </c>
      <c r="K41" s="15">
        <f>J41*'클럭 정리'!$B$2/100</f>
        <v/>
      </c>
    </row>
    <row r="42">
      <c r="A42" s="13" t="inlineStr">
        <is>
          <t>병렬도 12 분할 5</t>
        </is>
      </c>
      <c r="B42" s="13" t="n">
        <v>1</v>
      </c>
      <c r="C42" s="13" t="inlineStr">
        <is>
          <t>ForkJoinPool-11-worker-3</t>
        </is>
      </c>
      <c r="D42" s="12" t="inlineStr">
        <is>
          <t>워커</t>
        </is>
      </c>
      <c r="E42" s="10" t="n">
        <v>46238.48806363426</v>
      </c>
      <c r="F42" s="10" t="n">
        <v>46238.48806544007</v>
      </c>
      <c r="G42" s="13" t="n">
        <v>5</v>
      </c>
      <c r="H42" s="14" t="n">
        <v>139.5988</v>
      </c>
      <c r="I42" s="13">
        <f>COUNTIFS('클럭 정리'!$A$6:$A$60,"&gt;="&amp;E42,'클럭 정리'!$A$6:$A$60,"&lt;="&amp;F42)</f>
        <v/>
      </c>
      <c r="J42" s="14">
        <f>AVERAGEIFS('클럭 정리'!$N$6:$N$60,'클럭 정리'!$A$6:$A$60,"&gt;="&amp;E42,'클럭 정리'!$A$6:$A$60,"&lt;="&amp;F42)</f>
        <v/>
      </c>
      <c r="K42" s="15">
        <f>J42*'클럭 정리'!$B$2/100</f>
        <v/>
      </c>
    </row>
    <row r="43">
      <c r="A43" s="13" t="inlineStr">
        <is>
          <t>병렬도 12 분할 5</t>
        </is>
      </c>
      <c r="B43" s="13" t="n">
        <v>1</v>
      </c>
      <c r="C43" s="13" t="inlineStr">
        <is>
          <t>ForkJoinPool-11-worker-4</t>
        </is>
      </c>
      <c r="D43" s="12" t="inlineStr">
        <is>
          <t>워커</t>
        </is>
      </c>
      <c r="E43" s="10" t="n">
        <v>46238.48806363426</v>
      </c>
      <c r="F43" s="10" t="n">
        <v>46238.48807911604</v>
      </c>
      <c r="G43" s="13" t="n">
        <v>45</v>
      </c>
      <c r="H43" s="14" t="n">
        <v>1240.4172</v>
      </c>
      <c r="I43" s="13">
        <f>COUNTIFS('클럭 정리'!$A$6:$A$60,"&gt;="&amp;E43,'클럭 정리'!$A$6:$A$60,"&lt;="&amp;F43)</f>
        <v/>
      </c>
      <c r="J43" s="14">
        <f>AVERAGEIFS('클럭 정리'!$N$6:$N$60,'클럭 정리'!$A$6:$A$60,"&gt;="&amp;E43,'클럭 정리'!$A$6:$A$60,"&lt;="&amp;F43)</f>
        <v/>
      </c>
      <c r="K43" s="15">
        <f>J43*'클럭 정리'!$B$2/100</f>
        <v/>
      </c>
    </row>
    <row r="44">
      <c r="A44" s="13" t="inlineStr">
        <is>
          <t>병렬도 12 분할 5</t>
        </is>
      </c>
      <c r="B44" s="13" t="n">
        <v>1</v>
      </c>
      <c r="C44" s="13" t="inlineStr">
        <is>
          <t>ForkJoinPool-11-worker-5</t>
        </is>
      </c>
      <c r="D44" s="12" t="inlineStr">
        <is>
          <t>워커</t>
        </is>
      </c>
      <c r="E44" s="10" t="n">
        <v>46238.48806363426</v>
      </c>
      <c r="F44" s="10" t="n">
        <v>46238.48806430118</v>
      </c>
      <c r="G44" s="13" t="n">
        <v>2</v>
      </c>
      <c r="H44" s="14" t="n">
        <v>56.3361</v>
      </c>
      <c r="I44" s="13">
        <f>COUNTIFS('클럭 정리'!$A$6:$A$60,"&gt;="&amp;E44,'클럭 정리'!$A$6:$A$60,"&lt;="&amp;F44)</f>
        <v/>
      </c>
      <c r="J44" s="14">
        <f>AVERAGEIFS('클럭 정리'!$N$6:$N$60,'클럭 정리'!$A$6:$A$60,"&gt;="&amp;E44,'클럭 정리'!$A$6:$A$60,"&lt;="&amp;F44)</f>
        <v/>
      </c>
      <c r="K44" s="15">
        <f>J44*'클럭 정리'!$B$2/100</f>
        <v/>
      </c>
    </row>
    <row r="45">
      <c r="A45" s="13" t="inlineStr">
        <is>
          <t>병렬도 12 분할 5</t>
        </is>
      </c>
      <c r="B45" s="13" t="n">
        <v>1</v>
      </c>
      <c r="C45" s="13" t="inlineStr">
        <is>
          <t>ForkJoinPool-11-worker-7</t>
        </is>
      </c>
      <c r="D45" s="12" t="inlineStr">
        <is>
          <t>워커</t>
        </is>
      </c>
      <c r="E45" s="10" t="n">
        <v>46238.488064375</v>
      </c>
      <c r="F45" s="10" t="n">
        <v>46238.48806470165</v>
      </c>
      <c r="G45" s="13" t="n">
        <v>1</v>
      </c>
      <c r="H45" s="14" t="n">
        <v>28.222</v>
      </c>
      <c r="I45" s="13">
        <f>COUNTIFS('클럭 정리'!$A$6:$A$60,"&gt;="&amp;E45,'클럭 정리'!$A$6:$A$60,"&lt;="&amp;F45)</f>
        <v/>
      </c>
      <c r="J45" s="14">
        <f>AVERAGEIFS('클럭 정리'!$N$6:$N$60,'클럭 정리'!$A$6:$A$60,"&gt;="&amp;E45,'클럭 정리'!$A$6:$A$60,"&lt;="&amp;F45)</f>
        <v/>
      </c>
      <c r="K45" s="15">
        <f>J45*'클럭 정리'!$B$2/100</f>
        <v/>
      </c>
    </row>
    <row r="46">
      <c r="A46" s="13" t="inlineStr">
        <is>
          <t>병렬도 12 분할 5</t>
        </is>
      </c>
      <c r="B46" s="13" t="n">
        <v>1</v>
      </c>
      <c r="C46" s="13" t="inlineStr">
        <is>
          <t>ForkJoinPool-11-worker-9</t>
        </is>
      </c>
      <c r="D46" s="12" t="inlineStr">
        <is>
          <t>워커</t>
        </is>
      </c>
      <c r="E46" s="10" t="n">
        <v>46238.48806475694</v>
      </c>
      <c r="F46" s="10" t="n">
        <v>46238.48807914907</v>
      </c>
      <c r="G46" s="13" t="n">
        <v>42</v>
      </c>
      <c r="H46" s="14" t="n">
        <v>1184.8336</v>
      </c>
      <c r="I46" s="13">
        <f>COUNTIFS('클럭 정리'!$A$6:$A$60,"&gt;="&amp;E46,'클럭 정리'!$A$6:$A$60,"&lt;="&amp;F46)</f>
        <v/>
      </c>
      <c r="J46" s="14">
        <f>AVERAGEIFS('클럭 정리'!$N$6:$N$60,'클럭 정리'!$A$6:$A$60,"&gt;="&amp;E46,'클럭 정리'!$A$6:$A$60,"&lt;="&amp;F46)</f>
        <v/>
      </c>
      <c r="K46" s="15">
        <f>J46*'클럭 정리'!$B$2/100</f>
        <v/>
      </c>
    </row>
    <row r="47">
      <c r="A47" s="13" t="inlineStr">
        <is>
          <t>병렬도 12 분할 5</t>
        </is>
      </c>
      <c r="B47" s="13" t="n">
        <v>1</v>
      </c>
      <c r="C47" s="13" t="inlineStr">
        <is>
          <t>main</t>
        </is>
      </c>
      <c r="D47" s="12" t="inlineStr">
        <is>
          <t>main (활동 시간 합 = 그 회차 mainCPU, 창은 워커와 겹침)</t>
        </is>
      </c>
      <c r="E47" s="10" t="n">
        <v>46238.48806362269</v>
      </c>
      <c r="F47" s="10" t="n">
        <v>46238.48807913905</v>
      </c>
      <c r="G47" s="13" t="n">
        <v>45</v>
      </c>
      <c r="H47" s="14" t="n">
        <v>15.625</v>
      </c>
      <c r="I47" s="13">
        <f>COUNTIFS('클럭 정리'!$A$6:$A$60,"&gt;="&amp;E47,'클럭 정리'!$A$6:$A$60,"&lt;="&amp;F47)</f>
        <v/>
      </c>
      <c r="J47" s="14">
        <f>AVERAGEIFS('클럭 정리'!$N$6:$N$60,'클럭 정리'!$A$6:$A$60,"&gt;="&amp;E47,'클럭 정리'!$A$6:$A$60,"&lt;="&amp;F47)</f>
        <v/>
      </c>
      <c r="K47" s="15">
        <f>J47*'클럭 정리'!$B$2/100</f>
        <v/>
      </c>
    </row>
    <row r="48">
      <c r="A48" s="13" t="inlineStr">
        <is>
          <t>병렬도 12 분할 5</t>
        </is>
      </c>
      <c r="B48" s="13" t="n">
        <v>2</v>
      </c>
      <c r="C48" s="13" t="inlineStr">
        <is>
          <t>ForkJoinPool-12-worker-1</t>
        </is>
      </c>
      <c r="D48" s="12" t="inlineStr">
        <is>
          <t>워커</t>
        </is>
      </c>
      <c r="E48" s="10" t="n">
        <v>46238.48807916667</v>
      </c>
      <c r="F48" s="10" t="n">
        <v>46238.48809450644</v>
      </c>
      <c r="G48" s="13" t="n">
        <v>45</v>
      </c>
      <c r="H48" s="14" t="n">
        <v>1238.6534</v>
      </c>
      <c r="I48" s="13">
        <f>COUNTIFS('클럭 정리'!$A$6:$A$60,"&gt;="&amp;E48,'클럭 정리'!$A$6:$A$60,"&lt;="&amp;F48)</f>
        <v/>
      </c>
      <c r="J48" s="14">
        <f>AVERAGEIFS('클럭 정리'!$N$6:$N$60,'클럭 정리'!$A$6:$A$60,"&gt;="&amp;E48,'클럭 정리'!$A$6:$A$60,"&lt;="&amp;F48)</f>
        <v/>
      </c>
      <c r="K48" s="15">
        <f>J48*'클럭 정리'!$B$2/100</f>
        <v/>
      </c>
    </row>
    <row r="49">
      <c r="A49" s="13" t="inlineStr">
        <is>
          <t>병렬도 12 분할 5</t>
        </is>
      </c>
      <c r="B49" s="13" t="n">
        <v>2</v>
      </c>
      <c r="C49" s="13" t="inlineStr">
        <is>
          <t>ForkJoinPool-12-worker-12</t>
        </is>
      </c>
      <c r="D49" s="12" t="inlineStr">
        <is>
          <t>워커</t>
        </is>
      </c>
      <c r="E49" s="10" t="n">
        <v>46238.48808060186</v>
      </c>
      <c r="F49" s="10" t="n">
        <v>46238.48809449776</v>
      </c>
      <c r="G49" s="13" t="n">
        <v>41</v>
      </c>
      <c r="H49" s="14" t="n">
        <v>1103.2665</v>
      </c>
      <c r="I49" s="13">
        <f>COUNTIFS('클럭 정리'!$A$6:$A$60,"&gt;="&amp;E49,'클럭 정리'!$A$6:$A$60,"&lt;="&amp;F49)</f>
        <v/>
      </c>
      <c r="J49" s="14">
        <f>AVERAGEIFS('클럭 정리'!$N$6:$N$60,'클럭 정리'!$A$6:$A$60,"&gt;="&amp;E49,'클럭 정리'!$A$6:$A$60,"&lt;="&amp;F49)</f>
        <v/>
      </c>
      <c r="K49" s="15">
        <f>J49*'클럭 정리'!$B$2/100</f>
        <v/>
      </c>
    </row>
    <row r="50">
      <c r="A50" s="13" t="inlineStr">
        <is>
          <t>병렬도 12 분할 5</t>
        </is>
      </c>
      <c r="B50" s="13" t="n">
        <v>2</v>
      </c>
      <c r="C50" s="13" t="inlineStr">
        <is>
          <t>ForkJoinPool-12-worker-2</t>
        </is>
      </c>
      <c r="D50" s="12" t="inlineStr">
        <is>
          <t>워커</t>
        </is>
      </c>
      <c r="E50" s="10" t="n">
        <v>46238.48807916667</v>
      </c>
      <c r="F50" s="10" t="n">
        <v>46238.4880798665</v>
      </c>
      <c r="G50" s="13" t="n">
        <v>2</v>
      </c>
      <c r="H50" s="14" t="n">
        <v>55.8379</v>
      </c>
      <c r="I50" s="13">
        <f>COUNTIFS('클럭 정리'!$A$6:$A$60,"&gt;="&amp;E50,'클럭 정리'!$A$6:$A$60,"&lt;="&amp;F50)</f>
        <v/>
      </c>
      <c r="J50" s="14">
        <f>AVERAGEIFS('클럭 정리'!$N$6:$N$60,'클럭 정리'!$A$6:$A$60,"&gt;="&amp;E50,'클럭 정리'!$A$6:$A$60,"&lt;="&amp;F50)</f>
        <v/>
      </c>
      <c r="K50" s="15">
        <f>J50*'클럭 정리'!$B$2/100</f>
        <v/>
      </c>
    </row>
    <row r="51">
      <c r="A51" s="13" t="inlineStr">
        <is>
          <t>병렬도 12 분할 5</t>
        </is>
      </c>
      <c r="B51" s="13" t="n">
        <v>2</v>
      </c>
      <c r="C51" s="13" t="inlineStr">
        <is>
          <t>ForkJoinPool-12-worker-3</t>
        </is>
      </c>
      <c r="D51" s="12" t="inlineStr">
        <is>
          <t>워커</t>
        </is>
      </c>
      <c r="E51" s="10" t="n">
        <v>46238.48807916667</v>
      </c>
      <c r="F51" s="10" t="n">
        <v>46238.48807948356</v>
      </c>
      <c r="G51" s="13" t="n">
        <v>1</v>
      </c>
      <c r="H51" s="14" t="n">
        <v>27.3791</v>
      </c>
      <c r="I51" s="13">
        <f>COUNTIFS('클럭 정리'!$A$6:$A$60,"&gt;="&amp;E51,'클럭 정리'!$A$6:$A$60,"&lt;="&amp;F51)</f>
        <v/>
      </c>
      <c r="J51" s="14">
        <f>AVERAGEIFS('클럭 정리'!$N$6:$N$60,'클럭 정리'!$A$6:$A$60,"&gt;="&amp;E51,'클럭 정리'!$A$6:$A$60,"&lt;="&amp;F51)</f>
        <v/>
      </c>
      <c r="K51" s="15">
        <f>J51*'클럭 정리'!$B$2/100</f>
        <v/>
      </c>
    </row>
    <row r="52">
      <c r="A52" s="13" t="inlineStr">
        <is>
          <t>병렬도 12 분할 5</t>
        </is>
      </c>
      <c r="B52" s="13" t="n">
        <v>2</v>
      </c>
      <c r="C52" s="13" t="inlineStr">
        <is>
          <t>ForkJoinPool-12-worker-4</t>
        </is>
      </c>
      <c r="D52" s="12" t="inlineStr">
        <is>
          <t>워커</t>
        </is>
      </c>
      <c r="E52" s="10" t="n">
        <v>46238.48807916667</v>
      </c>
      <c r="F52" s="10" t="n">
        <v>46238.48807952765</v>
      </c>
      <c r="G52" s="13" t="n">
        <v>1</v>
      </c>
      <c r="H52" s="14" t="n">
        <v>31.1892</v>
      </c>
      <c r="I52" s="13">
        <f>COUNTIFS('클럭 정리'!$A$6:$A$60,"&gt;="&amp;E52,'클럭 정리'!$A$6:$A$60,"&lt;="&amp;F52)</f>
        <v/>
      </c>
      <c r="J52" s="14">
        <f>AVERAGEIFS('클럭 정리'!$N$6:$N$60,'클럭 정리'!$A$6:$A$60,"&gt;="&amp;E52,'클럭 정리'!$A$6:$A$60,"&lt;="&amp;F52)</f>
        <v/>
      </c>
      <c r="K52" s="15">
        <f>J52*'클럭 정리'!$B$2/100</f>
        <v/>
      </c>
    </row>
    <row r="53">
      <c r="A53" s="13" t="inlineStr">
        <is>
          <t>병렬도 12 분할 5</t>
        </is>
      </c>
      <c r="B53" s="13" t="n">
        <v>2</v>
      </c>
      <c r="C53" s="13" t="inlineStr">
        <is>
          <t>ForkJoinPool-12-worker-5</t>
        </is>
      </c>
      <c r="D53" s="12" t="inlineStr">
        <is>
          <t>워커</t>
        </is>
      </c>
      <c r="E53" s="10" t="n">
        <v>46238.48807917824</v>
      </c>
      <c r="F53" s="10" t="n">
        <v>46238.48808054739</v>
      </c>
      <c r="G53" s="13" t="n">
        <v>4</v>
      </c>
      <c r="H53" s="14" t="n">
        <v>115.9208</v>
      </c>
      <c r="I53" s="13">
        <f>COUNTIFS('클럭 정리'!$A$6:$A$60,"&gt;="&amp;E53,'클럭 정리'!$A$6:$A$60,"&lt;="&amp;F53)</f>
        <v/>
      </c>
      <c r="J53" s="14">
        <f>AVERAGEIFS('클럭 정리'!$N$6:$N$60,'클럭 정리'!$A$6:$A$60,"&gt;="&amp;E53,'클럭 정리'!$A$6:$A$60,"&lt;="&amp;F53)</f>
        <v/>
      </c>
      <c r="K53" s="15">
        <f>J53*'클럭 정리'!$B$2/100</f>
        <v/>
      </c>
    </row>
    <row r="54">
      <c r="A54" s="13" t="inlineStr">
        <is>
          <t>병렬도 12 분할 5</t>
        </is>
      </c>
      <c r="B54" s="13" t="n">
        <v>2</v>
      </c>
      <c r="C54" s="13" t="inlineStr">
        <is>
          <t>ForkJoinPool-12-worker-7</t>
        </is>
      </c>
      <c r="D54" s="12" t="inlineStr">
        <is>
          <t>워커</t>
        </is>
      </c>
      <c r="E54" s="10" t="n">
        <v>46238.48807953703</v>
      </c>
      <c r="F54" s="10" t="n">
        <v>46238.48809450753</v>
      </c>
      <c r="G54" s="13" t="n">
        <v>44</v>
      </c>
      <c r="H54" s="14" t="n">
        <v>1210.4925</v>
      </c>
      <c r="I54" s="13">
        <f>COUNTIFS('클럭 정리'!$A$6:$A$60,"&gt;="&amp;E54,'클럭 정리'!$A$6:$A$60,"&lt;="&amp;F54)</f>
        <v/>
      </c>
      <c r="J54" s="14">
        <f>AVERAGEIFS('클럭 정리'!$N$6:$N$60,'클럭 정리'!$A$6:$A$60,"&gt;="&amp;E54,'클럭 정리'!$A$6:$A$60,"&lt;="&amp;F54)</f>
        <v/>
      </c>
      <c r="K54" s="15">
        <f>J54*'클럭 정리'!$B$2/100</f>
        <v/>
      </c>
    </row>
    <row r="55">
      <c r="A55" s="13" t="inlineStr">
        <is>
          <t>병렬도 12 분할 5</t>
        </is>
      </c>
      <c r="B55" s="13" t="n">
        <v>2</v>
      </c>
      <c r="C55" s="13" t="inlineStr">
        <is>
          <t>ForkJoinPool-12-worker-8</t>
        </is>
      </c>
      <c r="D55" s="12" t="inlineStr">
        <is>
          <t>워커</t>
        </is>
      </c>
      <c r="E55" s="10" t="n">
        <v>46238.48807953703</v>
      </c>
      <c r="F55" s="10" t="n">
        <v>46238.48809450654</v>
      </c>
      <c r="G55" s="13" t="n">
        <v>44</v>
      </c>
      <c r="H55" s="14" t="n">
        <v>1196.3635</v>
      </c>
      <c r="I55" s="13">
        <f>COUNTIFS('클럭 정리'!$A$6:$A$60,"&gt;="&amp;E55,'클럭 정리'!$A$6:$A$60,"&lt;="&amp;F55)</f>
        <v/>
      </c>
      <c r="J55" s="14">
        <f>AVERAGEIFS('클럭 정리'!$N$6:$N$60,'클럭 정리'!$A$6:$A$60,"&gt;="&amp;E55,'클럭 정리'!$A$6:$A$60,"&lt;="&amp;F55)</f>
        <v/>
      </c>
      <c r="K55" s="15">
        <f>J55*'클럭 정리'!$B$2/100</f>
        <v/>
      </c>
    </row>
    <row r="56">
      <c r="A56" s="13" t="inlineStr">
        <is>
          <t>병렬도 12 분할 5</t>
        </is>
      </c>
      <c r="B56" s="13" t="n">
        <v>2</v>
      </c>
      <c r="C56" s="13" t="inlineStr">
        <is>
          <t>ForkJoinPool-12-worker-9</t>
        </is>
      </c>
      <c r="D56" s="12" t="inlineStr">
        <is>
          <t>워커</t>
        </is>
      </c>
      <c r="E56" s="10" t="n">
        <v>46238.48807988426</v>
      </c>
      <c r="F56" s="10" t="n">
        <v>46238.48809451154</v>
      </c>
      <c r="G56" s="13" t="n">
        <v>43</v>
      </c>
      <c r="H56" s="14" t="n">
        <v>1188.7118</v>
      </c>
      <c r="I56" s="13">
        <f>COUNTIFS('클럭 정리'!$A$6:$A$60,"&gt;="&amp;E56,'클럭 정리'!$A$6:$A$60,"&lt;="&amp;F56)</f>
        <v/>
      </c>
      <c r="J56" s="14">
        <f>AVERAGEIFS('클럭 정리'!$N$6:$N$60,'클럭 정리'!$A$6:$A$60,"&gt;="&amp;E56,'클럭 정리'!$A$6:$A$60,"&lt;="&amp;F56)</f>
        <v/>
      </c>
      <c r="K56" s="15">
        <f>J56*'클럭 정리'!$B$2/100</f>
        <v/>
      </c>
    </row>
    <row r="57">
      <c r="A57" s="13" t="inlineStr">
        <is>
          <t>병렬도 12 분할 5</t>
        </is>
      </c>
      <c r="B57" s="13" t="n">
        <v>2</v>
      </c>
      <c r="C57" s="13" t="inlineStr">
        <is>
          <t>main</t>
        </is>
      </c>
      <c r="D57" s="12" t="inlineStr">
        <is>
          <t>main (활동 시간 합 = 그 회차 mainCPU, 창은 워커와 겹침)</t>
        </is>
      </c>
      <c r="E57" s="10" t="n">
        <v>46238.48807915509</v>
      </c>
      <c r="F57" s="10" t="n">
        <v>46238.4880945129</v>
      </c>
      <c r="G57" s="13" t="n">
        <v>45</v>
      </c>
      <c r="H57" s="14" t="n">
        <v>0</v>
      </c>
      <c r="I57" s="13">
        <f>COUNTIFS('클럭 정리'!$A$6:$A$60,"&gt;="&amp;E57,'클럭 정리'!$A$6:$A$60,"&lt;="&amp;F57)</f>
        <v/>
      </c>
      <c r="J57" s="14">
        <f>AVERAGEIFS('클럭 정리'!$N$6:$N$60,'클럭 정리'!$A$6:$A$60,"&gt;="&amp;E57,'클럭 정리'!$A$6:$A$60,"&lt;="&amp;F57)</f>
        <v/>
      </c>
      <c r="K57" s="15">
        <f>J57*'클럭 정리'!$B$2/100</f>
        <v/>
      </c>
    </row>
    <row r="58">
      <c r="A58" s="13" t="inlineStr">
        <is>
          <t>병렬도 12 분할 5</t>
        </is>
      </c>
      <c r="B58" s="13" t="n">
        <v>3</v>
      </c>
      <c r="C58" s="13" t="inlineStr">
        <is>
          <t>ForkJoinPool-13-worker-1</t>
        </is>
      </c>
      <c r="D58" s="12" t="inlineStr">
        <is>
          <t>워커</t>
        </is>
      </c>
      <c r="E58" s="10" t="n">
        <v>46238.48809452546</v>
      </c>
      <c r="F58" s="10" t="n">
        <v>46238.48811016591</v>
      </c>
      <c r="G58" s="13" t="n">
        <v>45</v>
      </c>
      <c r="H58" s="14" t="n">
        <v>1248.7965</v>
      </c>
      <c r="I58" s="13">
        <f>COUNTIFS('클럭 정리'!$A$6:$A$60,"&gt;="&amp;E58,'클럭 정리'!$A$6:$A$60,"&lt;="&amp;F58)</f>
        <v/>
      </c>
      <c r="J58" s="14">
        <f>AVERAGEIFS('클럭 정리'!$N$6:$N$60,'클럭 정리'!$A$6:$A$60,"&gt;="&amp;E58,'클럭 정리'!$A$6:$A$60,"&lt;="&amp;F58)</f>
        <v/>
      </c>
      <c r="K58" s="15">
        <f>J58*'클럭 정리'!$B$2/100</f>
        <v/>
      </c>
    </row>
    <row r="59">
      <c r="A59" s="13" t="inlineStr">
        <is>
          <t>병렬도 12 분할 5</t>
        </is>
      </c>
      <c r="B59" s="13" t="n">
        <v>3</v>
      </c>
      <c r="C59" s="13" t="inlineStr">
        <is>
          <t>ForkJoinPool-13-worker-10</t>
        </is>
      </c>
      <c r="D59" s="12" t="inlineStr">
        <is>
          <t>워커</t>
        </is>
      </c>
      <c r="E59" s="10" t="n">
        <v>46238.48809600694</v>
      </c>
      <c r="F59" s="10" t="n">
        <v>46238.48811016167</v>
      </c>
      <c r="G59" s="13" t="n">
        <v>41</v>
      </c>
      <c r="H59" s="14" t="n">
        <v>1129.1908</v>
      </c>
      <c r="I59" s="13">
        <f>COUNTIFS('클럭 정리'!$A$6:$A$60,"&gt;="&amp;E59,'클럭 정리'!$A$6:$A$60,"&lt;="&amp;F59)</f>
        <v/>
      </c>
      <c r="J59" s="14">
        <f>AVERAGEIFS('클럭 정리'!$N$6:$N$60,'클럭 정리'!$A$6:$A$60,"&gt;="&amp;E59,'클럭 정리'!$A$6:$A$60,"&lt;="&amp;F59)</f>
        <v/>
      </c>
      <c r="K59" s="15">
        <f>J59*'클럭 정리'!$B$2/100</f>
        <v/>
      </c>
    </row>
    <row r="60">
      <c r="A60" s="13" t="inlineStr">
        <is>
          <t>병렬도 12 분할 5</t>
        </is>
      </c>
      <c r="B60" s="13" t="n">
        <v>3</v>
      </c>
      <c r="C60" s="13" t="inlineStr">
        <is>
          <t>ForkJoinPool-13-worker-11</t>
        </is>
      </c>
      <c r="D60" s="12" t="inlineStr">
        <is>
          <t>워커</t>
        </is>
      </c>
      <c r="E60" s="10" t="n">
        <v>46238.48809600694</v>
      </c>
      <c r="F60" s="10" t="n">
        <v>46238.48811015364</v>
      </c>
      <c r="G60" s="13" t="n">
        <v>41</v>
      </c>
      <c r="H60" s="14" t="n">
        <v>1139.3129</v>
      </c>
      <c r="I60" s="13">
        <f>COUNTIFS('클럭 정리'!$A$6:$A$60,"&gt;="&amp;E60,'클럭 정리'!$A$6:$A$60,"&lt;="&amp;F60)</f>
        <v/>
      </c>
      <c r="J60" s="14">
        <f>AVERAGEIFS('클럭 정리'!$N$6:$N$60,'클럭 정리'!$A$6:$A$60,"&gt;="&amp;E60,'클럭 정리'!$A$6:$A$60,"&lt;="&amp;F60)</f>
        <v/>
      </c>
      <c r="K60" s="15">
        <f>J60*'클럭 정리'!$B$2/100</f>
        <v/>
      </c>
    </row>
    <row r="61">
      <c r="A61" s="13" t="inlineStr">
        <is>
          <t>병렬도 12 분할 5</t>
        </is>
      </c>
      <c r="B61" s="13" t="n">
        <v>3</v>
      </c>
      <c r="C61" s="13" t="inlineStr">
        <is>
          <t>ForkJoinPool-13-worker-12</t>
        </is>
      </c>
      <c r="D61" s="12" t="inlineStr">
        <is>
          <t>워커</t>
        </is>
      </c>
      <c r="E61" s="10" t="n">
        <v>46238.48809600694</v>
      </c>
      <c r="F61" s="10" t="n">
        <v>46238.48811016323</v>
      </c>
      <c r="G61" s="13" t="n">
        <v>41</v>
      </c>
      <c r="H61" s="14" t="n">
        <v>1126.1784</v>
      </c>
      <c r="I61" s="13">
        <f>COUNTIFS('클럭 정리'!$A$6:$A$60,"&gt;="&amp;E61,'클럭 정리'!$A$6:$A$60,"&lt;="&amp;F61)</f>
        <v/>
      </c>
      <c r="J61" s="14">
        <f>AVERAGEIFS('클럭 정리'!$N$6:$N$60,'클럭 정리'!$A$6:$A$60,"&gt;="&amp;E61,'클럭 정리'!$A$6:$A$60,"&lt;="&amp;F61)</f>
        <v/>
      </c>
      <c r="K61" s="15">
        <f>J61*'클럭 정리'!$B$2/100</f>
        <v/>
      </c>
    </row>
    <row r="62">
      <c r="A62" s="13" t="inlineStr">
        <is>
          <t>병렬도 12 분할 5</t>
        </is>
      </c>
      <c r="B62" s="13" t="n">
        <v>3</v>
      </c>
      <c r="C62" s="13" t="inlineStr">
        <is>
          <t>ForkJoinPool-13-worker-2</t>
        </is>
      </c>
      <c r="D62" s="12" t="inlineStr">
        <is>
          <t>워커</t>
        </is>
      </c>
      <c r="E62" s="10" t="n">
        <v>46238.48809453704</v>
      </c>
      <c r="F62" s="10" t="n">
        <v>46238.48811018076</v>
      </c>
      <c r="G62" s="13" t="n">
        <v>45</v>
      </c>
      <c r="H62" s="14" t="n">
        <v>1262.1053</v>
      </c>
      <c r="I62" s="13">
        <f>COUNTIFS('클럭 정리'!$A$6:$A$60,"&gt;="&amp;E62,'클럭 정리'!$A$6:$A$60,"&lt;="&amp;F62)</f>
        <v/>
      </c>
      <c r="J62" s="14">
        <f>AVERAGEIFS('클럭 정리'!$N$6:$N$60,'클럭 정리'!$A$6:$A$60,"&gt;="&amp;E62,'클럭 정리'!$A$6:$A$60,"&lt;="&amp;F62)</f>
        <v/>
      </c>
      <c r="K62" s="15">
        <f>J62*'클럭 정리'!$B$2/100</f>
        <v/>
      </c>
    </row>
    <row r="63">
      <c r="A63" s="13" t="inlineStr">
        <is>
          <t>병렬도 12 분할 5</t>
        </is>
      </c>
      <c r="B63" s="13" t="n">
        <v>3</v>
      </c>
      <c r="C63" s="13" t="inlineStr">
        <is>
          <t>ForkJoinPool-13-worker-3</t>
        </is>
      </c>
      <c r="D63" s="12" t="inlineStr">
        <is>
          <t>워커</t>
        </is>
      </c>
      <c r="E63" s="10" t="n">
        <v>46238.48809453704</v>
      </c>
      <c r="F63" s="10" t="n">
        <v>46238.4880959432</v>
      </c>
      <c r="G63" s="13" t="n">
        <v>4</v>
      </c>
      <c r="H63" s="14" t="n">
        <v>114.239</v>
      </c>
      <c r="I63" s="13">
        <f>COUNTIFS('클럭 정리'!$A$6:$A$60,"&gt;="&amp;E63,'클럭 정리'!$A$6:$A$60,"&lt;="&amp;F63)</f>
        <v/>
      </c>
      <c r="J63" s="14">
        <f>AVERAGEIFS('클럭 정리'!$N$6:$N$60,'클럭 정리'!$A$6:$A$60,"&gt;="&amp;E63,'클럭 정리'!$A$6:$A$60,"&lt;="&amp;F63)</f>
        <v/>
      </c>
      <c r="K63" s="15">
        <f>J63*'클럭 정리'!$B$2/100</f>
        <v/>
      </c>
    </row>
    <row r="64">
      <c r="A64" s="13" t="inlineStr">
        <is>
          <t>병렬도 12 분할 5</t>
        </is>
      </c>
      <c r="B64" s="13" t="n">
        <v>3</v>
      </c>
      <c r="C64" s="13" t="inlineStr">
        <is>
          <t>ForkJoinPool-13-worker-4</t>
        </is>
      </c>
      <c r="D64" s="12" t="inlineStr">
        <is>
          <t>워커</t>
        </is>
      </c>
      <c r="E64" s="10" t="n">
        <v>46238.48809453704</v>
      </c>
      <c r="F64" s="10" t="n">
        <v>46238.48809484957</v>
      </c>
      <c r="G64" s="13" t="n">
        <v>1</v>
      </c>
      <c r="H64" s="14" t="n">
        <v>27.0031</v>
      </c>
      <c r="I64" s="13">
        <f>COUNTIFS('클럭 정리'!$A$6:$A$60,"&gt;="&amp;E64,'클럭 정리'!$A$6:$A$60,"&lt;="&amp;F64)</f>
        <v/>
      </c>
      <c r="J64" s="14">
        <f>AVERAGEIFS('클럭 정리'!$N$6:$N$60,'클럭 정리'!$A$6:$A$60,"&gt;="&amp;E64,'클럭 정리'!$A$6:$A$60,"&lt;="&amp;F64)</f>
        <v/>
      </c>
      <c r="K64" s="15">
        <f>J64*'클럭 정리'!$B$2/100</f>
        <v/>
      </c>
    </row>
    <row r="65">
      <c r="A65" s="13" t="inlineStr">
        <is>
          <t>병렬도 12 분할 5</t>
        </is>
      </c>
      <c r="B65" s="13" t="n">
        <v>3</v>
      </c>
      <c r="C65" s="13" t="inlineStr">
        <is>
          <t>ForkJoinPool-13-worker-5</t>
        </is>
      </c>
      <c r="D65" s="12" t="inlineStr">
        <is>
          <t>워커</t>
        </is>
      </c>
      <c r="E65" s="10" t="n">
        <v>46238.48809453704</v>
      </c>
      <c r="F65" s="10" t="n">
        <v>46238.4880952107</v>
      </c>
      <c r="G65" s="13" t="n">
        <v>2</v>
      </c>
      <c r="H65" s="14" t="n">
        <v>57.7589</v>
      </c>
      <c r="I65" s="13">
        <f>COUNTIFS('클럭 정리'!$A$6:$A$60,"&gt;="&amp;E65,'클럭 정리'!$A$6:$A$60,"&lt;="&amp;F65)</f>
        <v/>
      </c>
      <c r="J65" s="14">
        <f>AVERAGEIFS('클럭 정리'!$N$6:$N$60,'클럭 정리'!$A$6:$A$60,"&gt;="&amp;E65,'클럭 정리'!$A$6:$A$60,"&lt;="&amp;F65)</f>
        <v/>
      </c>
      <c r="K65" s="15">
        <f>J65*'클럭 정리'!$B$2/100</f>
        <v/>
      </c>
    </row>
    <row r="66">
      <c r="A66" s="13" t="inlineStr">
        <is>
          <t>병렬도 12 분할 5</t>
        </is>
      </c>
      <c r="B66" s="13" t="n">
        <v>3</v>
      </c>
      <c r="C66" s="13" t="inlineStr">
        <is>
          <t>ForkJoinPool-13-worker-7</t>
        </is>
      </c>
      <c r="D66" s="12" t="inlineStr">
        <is>
          <t>워커</t>
        </is>
      </c>
      <c r="E66" s="10" t="n">
        <v>46238.48809490741</v>
      </c>
      <c r="F66" s="10" t="n">
        <v>46238.48809595613</v>
      </c>
      <c r="G66" s="13" t="n">
        <v>3</v>
      </c>
      <c r="H66" s="14" t="n">
        <v>81.247</v>
      </c>
      <c r="I66" s="13">
        <f>COUNTIFS('클럭 정리'!$A$6:$A$60,"&gt;="&amp;E66,'클럭 정리'!$A$6:$A$60,"&lt;="&amp;F66)</f>
        <v/>
      </c>
      <c r="J66" s="14">
        <f>AVERAGEIFS('클럭 정리'!$N$6:$N$60,'클럭 정리'!$A$6:$A$60,"&gt;="&amp;E66,'클럭 정리'!$A$6:$A$60,"&lt;="&amp;F66)</f>
        <v/>
      </c>
      <c r="K66" s="15">
        <f>J66*'클럭 정리'!$B$2/100</f>
        <v/>
      </c>
    </row>
    <row r="67">
      <c r="A67" s="13" t="inlineStr">
        <is>
          <t>병렬도 12 분할 5</t>
        </is>
      </c>
      <c r="B67" s="13" t="n">
        <v>3</v>
      </c>
      <c r="C67" s="13" t="inlineStr">
        <is>
          <t>ForkJoinPool-13-worker-8</t>
        </is>
      </c>
      <c r="D67" s="12" t="inlineStr">
        <is>
          <t>워커</t>
        </is>
      </c>
      <c r="E67" s="10" t="n">
        <v>46238.48809528935</v>
      </c>
      <c r="F67" s="10" t="n">
        <v>46238.48809561297</v>
      </c>
      <c r="G67" s="13" t="n">
        <v>1</v>
      </c>
      <c r="H67" s="14" t="n">
        <v>27.9613</v>
      </c>
      <c r="I67" s="13">
        <f>COUNTIFS('클럭 정리'!$A$6:$A$60,"&gt;="&amp;E67,'클럭 정리'!$A$6:$A$60,"&lt;="&amp;F67)</f>
        <v/>
      </c>
      <c r="J67" s="14">
        <f>AVERAGEIFS('클럭 정리'!$N$6:$N$60,'클럭 정리'!$A$6:$A$60,"&gt;="&amp;E67,'클럭 정리'!$A$6:$A$60,"&lt;="&amp;F67)</f>
        <v/>
      </c>
      <c r="K67" s="15">
        <f>J67*'클럭 정리'!$B$2/100</f>
        <v/>
      </c>
    </row>
    <row r="68">
      <c r="A68" s="13" t="inlineStr">
        <is>
          <t>병렬도 12 분할 5</t>
        </is>
      </c>
      <c r="B68" s="13" t="n">
        <v>3</v>
      </c>
      <c r="C68" s="13" t="inlineStr">
        <is>
          <t>ForkJoinPool-13-worker-9</t>
        </is>
      </c>
      <c r="D68" s="12" t="inlineStr">
        <is>
          <t>워커</t>
        </is>
      </c>
      <c r="E68" s="10" t="n">
        <v>46238.48809565972</v>
      </c>
      <c r="F68" s="10" t="n">
        <v>46238.48809600456</v>
      </c>
      <c r="G68" s="13" t="n">
        <v>1</v>
      </c>
      <c r="H68" s="14" t="n">
        <v>29.7937</v>
      </c>
      <c r="I68" s="13">
        <f>COUNTIFS('클럭 정리'!$A$6:$A$60,"&gt;="&amp;E68,'클럭 정리'!$A$6:$A$60,"&lt;="&amp;F68)</f>
        <v/>
      </c>
      <c r="J68" s="14">
        <f>AVERAGEIFS('클럭 정리'!$N$6:$N$60,'클럭 정리'!$A$6:$A$60,"&gt;="&amp;E68,'클럭 정리'!$A$6:$A$60,"&lt;="&amp;F68)</f>
        <v/>
      </c>
      <c r="K68" s="15">
        <f>J68*'클럭 정리'!$B$2/100</f>
        <v/>
      </c>
    </row>
    <row r="69">
      <c r="A69" s="13" t="inlineStr">
        <is>
          <t>병렬도 12 분할 5</t>
        </is>
      </c>
      <c r="B69" s="13" t="n">
        <v>3</v>
      </c>
      <c r="C69" s="13" t="inlineStr">
        <is>
          <t>main</t>
        </is>
      </c>
      <c r="D69" s="12" t="inlineStr">
        <is>
          <t>main (활동 시간 합 = 그 회차 mainCPU, 창은 워커와 겹침)</t>
        </is>
      </c>
      <c r="E69" s="10" t="n">
        <v>46238.48809452546</v>
      </c>
      <c r="F69" s="10" t="n">
        <v>46238.48811018227</v>
      </c>
      <c r="G69" s="13" t="n">
        <v>45</v>
      </c>
      <c r="H69" s="14" t="n">
        <v>0</v>
      </c>
      <c r="I69" s="13">
        <f>COUNTIFS('클럭 정리'!$A$6:$A$60,"&gt;="&amp;E69,'클럭 정리'!$A$6:$A$60,"&lt;="&amp;F69)</f>
        <v/>
      </c>
      <c r="J69" s="14">
        <f>AVERAGEIFS('클럭 정리'!$N$6:$N$60,'클럭 정리'!$A$6:$A$60,"&gt;="&amp;E69,'클럭 정리'!$A$6:$A$60,"&lt;="&amp;F69)</f>
        <v/>
      </c>
      <c r="K69" s="15">
        <f>J69*'클럭 정리'!$B$2/100</f>
        <v/>
      </c>
    </row>
    <row r="70">
      <c r="A70" s="13" t="inlineStr">
        <is>
          <t>병렬도 12 분할 5</t>
        </is>
      </c>
      <c r="B70" s="13" t="n">
        <v>4</v>
      </c>
      <c r="C70" s="13" t="inlineStr">
        <is>
          <t>ForkJoinPool-14-worker-1</t>
        </is>
      </c>
      <c r="D70" s="12" t="inlineStr">
        <is>
          <t>워커</t>
        </is>
      </c>
      <c r="E70" s="10" t="n">
        <v>46238.48811020833</v>
      </c>
      <c r="F70" s="10" t="n">
        <v>46238.48812585886</v>
      </c>
      <c r="G70" s="13" t="n">
        <v>45</v>
      </c>
      <c r="H70" s="14" t="n">
        <v>1256.4115</v>
      </c>
      <c r="I70" s="13">
        <f>COUNTIFS('클럭 정리'!$A$6:$A$60,"&gt;="&amp;E70,'클럭 정리'!$A$6:$A$60,"&lt;="&amp;F70)</f>
        <v/>
      </c>
      <c r="J70" s="14">
        <f>AVERAGEIFS('클럭 정리'!$N$6:$N$60,'클럭 정리'!$A$6:$A$60,"&gt;="&amp;E70,'클럭 정리'!$A$6:$A$60,"&lt;="&amp;F70)</f>
        <v/>
      </c>
      <c r="K70" s="15">
        <f>J70*'클럭 정리'!$B$2/100</f>
        <v/>
      </c>
    </row>
    <row r="71">
      <c r="A71" s="13" t="inlineStr">
        <is>
          <t>병렬도 12 분할 5</t>
        </is>
      </c>
      <c r="B71" s="13" t="n">
        <v>4</v>
      </c>
      <c r="C71" s="13" t="inlineStr">
        <is>
          <t>ForkJoinPool-14-worker-10</t>
        </is>
      </c>
      <c r="D71" s="12" t="inlineStr">
        <is>
          <t>워커</t>
        </is>
      </c>
      <c r="E71" s="10" t="n">
        <v>46238.48811136574</v>
      </c>
      <c r="F71" s="10" t="n">
        <v>46238.48811164382</v>
      </c>
      <c r="G71" s="13" t="n">
        <v>1</v>
      </c>
      <c r="H71" s="14" t="n">
        <v>24.0262</v>
      </c>
      <c r="I71" s="13">
        <f>COUNTIFS('클럭 정리'!$A$6:$A$60,"&gt;="&amp;E71,'클럭 정리'!$A$6:$A$60,"&lt;="&amp;F71)</f>
        <v/>
      </c>
      <c r="J71" s="14">
        <f>AVERAGEIFS('클럭 정리'!$N$6:$N$60,'클럭 정리'!$A$6:$A$60,"&gt;="&amp;E71,'클럭 정리'!$A$6:$A$60,"&lt;="&amp;F71)</f>
        <v/>
      </c>
      <c r="K71" s="15">
        <f>J71*'클럭 정리'!$B$2/100</f>
        <v/>
      </c>
    </row>
    <row r="72">
      <c r="A72" s="13" t="inlineStr">
        <is>
          <t>병렬도 12 분할 5</t>
        </is>
      </c>
      <c r="B72" s="13" t="n">
        <v>4</v>
      </c>
      <c r="C72" s="13" t="inlineStr">
        <is>
          <t>ForkJoinPool-14-worker-11</t>
        </is>
      </c>
      <c r="D72" s="12" t="inlineStr">
        <is>
          <t>워커</t>
        </is>
      </c>
      <c r="E72" s="10" t="n">
        <v>46238.48811136574</v>
      </c>
      <c r="F72" s="10" t="n">
        <v>46238.48812580395</v>
      </c>
      <c r="G72" s="13" t="n">
        <v>42</v>
      </c>
      <c r="H72" s="14" t="n">
        <v>1152.9148</v>
      </c>
      <c r="I72" s="13">
        <f>COUNTIFS('클럭 정리'!$A$6:$A$60,"&gt;="&amp;E72,'클럭 정리'!$A$6:$A$60,"&lt;="&amp;F72)</f>
        <v/>
      </c>
      <c r="J72" s="14">
        <f>AVERAGEIFS('클럭 정리'!$N$6:$N$60,'클럭 정리'!$A$6:$A$60,"&gt;="&amp;E72,'클럭 정리'!$A$6:$A$60,"&lt;="&amp;F72)</f>
        <v/>
      </c>
      <c r="K72" s="15">
        <f>J72*'클럭 정리'!$B$2/100</f>
        <v/>
      </c>
    </row>
    <row r="73">
      <c r="A73" s="13" t="inlineStr">
        <is>
          <t>병렬도 12 분할 5</t>
        </is>
      </c>
      <c r="B73" s="13" t="n">
        <v>4</v>
      </c>
      <c r="C73" s="13" t="inlineStr">
        <is>
          <t>ForkJoinPool-14-worker-12</t>
        </is>
      </c>
      <c r="D73" s="12" t="inlineStr">
        <is>
          <t>워커</t>
        </is>
      </c>
      <c r="E73" s="10" t="n">
        <v>46238.48811173611</v>
      </c>
      <c r="F73" s="10" t="n">
        <v>46238.48812582019</v>
      </c>
      <c r="G73" s="13" t="n">
        <v>41</v>
      </c>
      <c r="H73" s="14" t="n">
        <v>1134.1855</v>
      </c>
      <c r="I73" s="13">
        <f>COUNTIFS('클럭 정리'!$A$6:$A$60,"&gt;="&amp;E73,'클럭 정리'!$A$6:$A$60,"&lt;="&amp;F73)</f>
        <v/>
      </c>
      <c r="J73" s="14">
        <f>AVERAGEIFS('클럭 정리'!$N$6:$N$60,'클럭 정리'!$A$6:$A$60,"&gt;="&amp;E73,'클럭 정리'!$A$6:$A$60,"&lt;="&amp;F73)</f>
        <v/>
      </c>
      <c r="K73" s="15">
        <f>J73*'클럭 정리'!$B$2/100</f>
        <v/>
      </c>
    </row>
    <row r="74">
      <c r="A74" s="13" t="inlineStr">
        <is>
          <t>병렬도 12 분할 5</t>
        </is>
      </c>
      <c r="B74" s="13" t="n">
        <v>4</v>
      </c>
      <c r="C74" s="13" t="inlineStr">
        <is>
          <t>ForkJoinPool-14-worker-2</t>
        </is>
      </c>
      <c r="D74" s="12" t="inlineStr">
        <is>
          <t>워커</t>
        </is>
      </c>
      <c r="E74" s="10" t="n">
        <v>46238.48811020833</v>
      </c>
      <c r="F74" s="10" t="n">
        <v>46238.48811128</v>
      </c>
      <c r="G74" s="13" t="n">
        <v>3</v>
      </c>
      <c r="H74" s="14" t="n">
        <v>87.1605</v>
      </c>
      <c r="I74" s="13">
        <f>COUNTIFS('클럭 정리'!$A$6:$A$60,"&gt;="&amp;E74,'클럭 정리'!$A$6:$A$60,"&lt;="&amp;F74)</f>
        <v/>
      </c>
      <c r="J74" s="14">
        <f>AVERAGEIFS('클럭 정리'!$N$6:$N$60,'클럭 정리'!$A$6:$A$60,"&gt;="&amp;E74,'클럭 정리'!$A$6:$A$60,"&lt;="&amp;F74)</f>
        <v/>
      </c>
      <c r="K74" s="15">
        <f>J74*'클럭 정리'!$B$2/100</f>
        <v/>
      </c>
    </row>
    <row r="75">
      <c r="A75" s="13" t="inlineStr">
        <is>
          <t>병렬도 12 분할 5</t>
        </is>
      </c>
      <c r="B75" s="13" t="n">
        <v>4</v>
      </c>
      <c r="C75" s="13" t="inlineStr">
        <is>
          <t>ForkJoinPool-14-worker-3</t>
        </is>
      </c>
      <c r="D75" s="12" t="inlineStr">
        <is>
          <t>워커</t>
        </is>
      </c>
      <c r="E75" s="10" t="n">
        <v>46238.48811020833</v>
      </c>
      <c r="F75" s="10" t="n">
        <v>46238.48811136329</v>
      </c>
      <c r="G75" s="13" t="n">
        <v>3</v>
      </c>
      <c r="H75" s="14" t="n">
        <v>94.3516</v>
      </c>
      <c r="I75" s="13">
        <f>COUNTIFS('클럭 정리'!$A$6:$A$60,"&gt;="&amp;E75,'클럭 정리'!$A$6:$A$60,"&lt;="&amp;F75)</f>
        <v/>
      </c>
      <c r="J75" s="14">
        <f>AVERAGEIFS('클럭 정리'!$N$6:$N$60,'클럭 정리'!$A$6:$A$60,"&gt;="&amp;E75,'클럭 정리'!$A$6:$A$60,"&lt;="&amp;F75)</f>
        <v/>
      </c>
      <c r="K75" s="15">
        <f>J75*'클럭 정리'!$B$2/100</f>
        <v/>
      </c>
    </row>
    <row r="76">
      <c r="A76" s="13" t="inlineStr">
        <is>
          <t>병렬도 12 분할 5</t>
        </is>
      </c>
      <c r="B76" s="13" t="n">
        <v>4</v>
      </c>
      <c r="C76" s="13" t="inlineStr">
        <is>
          <t>ForkJoinPool-14-worker-4</t>
        </is>
      </c>
      <c r="D76" s="12" t="inlineStr">
        <is>
          <t>워커</t>
        </is>
      </c>
      <c r="E76" s="10" t="n">
        <v>46238.48811020833</v>
      </c>
      <c r="F76" s="10" t="n">
        <v>46238.48811053656</v>
      </c>
      <c r="G76" s="13" t="n">
        <v>1</v>
      </c>
      <c r="H76" s="14" t="n">
        <v>28.3588</v>
      </c>
      <c r="I76" s="13">
        <f>COUNTIFS('클럭 정리'!$A$6:$A$60,"&gt;="&amp;E76,'클럭 정리'!$A$6:$A$60,"&lt;="&amp;F76)</f>
        <v/>
      </c>
      <c r="J76" s="14">
        <f>AVERAGEIFS('클럭 정리'!$N$6:$N$60,'클럭 정리'!$A$6:$A$60,"&gt;="&amp;E76,'클럭 정리'!$A$6:$A$60,"&lt;="&amp;F76)</f>
        <v/>
      </c>
      <c r="K76" s="15">
        <f>J76*'클럭 정리'!$B$2/100</f>
        <v/>
      </c>
    </row>
    <row r="77">
      <c r="A77" s="13" t="inlineStr">
        <is>
          <t>병렬도 12 분할 5</t>
        </is>
      </c>
      <c r="B77" s="13" t="n">
        <v>4</v>
      </c>
      <c r="C77" s="13" t="inlineStr">
        <is>
          <t>ForkJoinPool-14-worker-5</t>
        </is>
      </c>
      <c r="D77" s="12" t="inlineStr">
        <is>
          <t>워커</t>
        </is>
      </c>
      <c r="E77" s="10" t="n">
        <v>46238.48811020833</v>
      </c>
      <c r="F77" s="10" t="n">
        <v>46238.48812581292</v>
      </c>
      <c r="G77" s="13" t="n">
        <v>45</v>
      </c>
      <c r="H77" s="14" t="n">
        <v>1261.2433</v>
      </c>
      <c r="I77" s="13">
        <f>COUNTIFS('클럭 정리'!$A$6:$A$60,"&gt;="&amp;E77,'클럭 정리'!$A$6:$A$60,"&lt;="&amp;F77)</f>
        <v/>
      </c>
      <c r="J77" s="14">
        <f>AVERAGEIFS('클럭 정리'!$N$6:$N$60,'클럭 정리'!$A$6:$A$60,"&gt;="&amp;E77,'클럭 정리'!$A$6:$A$60,"&lt;="&amp;F77)</f>
        <v/>
      </c>
      <c r="K77" s="15">
        <f>J77*'클럭 정리'!$B$2/100</f>
        <v/>
      </c>
    </row>
    <row r="78">
      <c r="A78" s="13" t="inlineStr">
        <is>
          <t>병렬도 12 분할 5</t>
        </is>
      </c>
      <c r="B78" s="13" t="n">
        <v>4</v>
      </c>
      <c r="C78" s="13" t="inlineStr">
        <is>
          <t>ForkJoinPool-14-worker-6</t>
        </is>
      </c>
      <c r="D78" s="12" t="inlineStr">
        <is>
          <t>워커</t>
        </is>
      </c>
      <c r="E78" s="10" t="n">
        <v>46238.48811057871</v>
      </c>
      <c r="F78" s="10" t="n">
        <v>46238.48811090853</v>
      </c>
      <c r="G78" s="13" t="n">
        <v>1</v>
      </c>
      <c r="H78" s="14" t="n">
        <v>28.4969</v>
      </c>
      <c r="I78" s="13">
        <f>COUNTIFS('클럭 정리'!$A$6:$A$60,"&gt;="&amp;E78,'클럭 정리'!$A$6:$A$60,"&lt;="&amp;F78)</f>
        <v/>
      </c>
      <c r="J78" s="14">
        <f>AVERAGEIFS('클럭 정리'!$N$6:$N$60,'클럭 정리'!$A$6:$A$60,"&gt;="&amp;E78,'클럭 정리'!$A$6:$A$60,"&lt;="&amp;F78)</f>
        <v/>
      </c>
      <c r="K78" s="15">
        <f>J78*'클럭 정리'!$B$2/100</f>
        <v/>
      </c>
    </row>
    <row r="79">
      <c r="A79" s="13" t="inlineStr">
        <is>
          <t>병렬도 12 분할 5</t>
        </is>
      </c>
      <c r="B79" s="13" t="n">
        <v>4</v>
      </c>
      <c r="C79" s="13" t="inlineStr">
        <is>
          <t>ForkJoinPool-14-worker-7</t>
        </is>
      </c>
      <c r="D79" s="12" t="inlineStr">
        <is>
          <t>워커</t>
        </is>
      </c>
      <c r="E79" s="10" t="n">
        <v>46238.48811097222</v>
      </c>
      <c r="F79" s="10" t="n">
        <v>46238.48811129665</v>
      </c>
      <c r="G79" s="13" t="n">
        <v>1</v>
      </c>
      <c r="H79" s="14" t="n">
        <v>28.0313</v>
      </c>
      <c r="I79" s="13">
        <f>COUNTIFS('클럭 정리'!$A$6:$A$60,"&gt;="&amp;E79,'클럭 정리'!$A$6:$A$60,"&lt;="&amp;F79)</f>
        <v/>
      </c>
      <c r="J79" s="14">
        <f>AVERAGEIFS('클럭 정리'!$N$6:$N$60,'클럭 정리'!$A$6:$A$60,"&gt;="&amp;E79,'클럭 정리'!$A$6:$A$60,"&lt;="&amp;F79)</f>
        <v/>
      </c>
      <c r="K79" s="15">
        <f>J79*'클럭 정리'!$B$2/100</f>
        <v/>
      </c>
    </row>
    <row r="80">
      <c r="A80" s="13" t="inlineStr">
        <is>
          <t>병렬도 12 분할 5</t>
        </is>
      </c>
      <c r="B80" s="13" t="n">
        <v>4</v>
      </c>
      <c r="C80" s="13" t="inlineStr">
        <is>
          <t>ForkJoinPool-14-worker-9</t>
        </is>
      </c>
      <c r="D80" s="12" t="inlineStr">
        <is>
          <t>워커</t>
        </is>
      </c>
      <c r="E80" s="10" t="n">
        <v>46238.48811136574</v>
      </c>
      <c r="F80" s="10" t="n">
        <v>46238.4881258592</v>
      </c>
      <c r="G80" s="13" t="n">
        <v>42</v>
      </c>
      <c r="H80" s="14" t="n">
        <v>1185.0753</v>
      </c>
      <c r="I80" s="13">
        <f>COUNTIFS('클럭 정리'!$A$6:$A$60,"&gt;="&amp;E80,'클럭 정리'!$A$6:$A$60,"&lt;="&amp;F80)</f>
        <v/>
      </c>
      <c r="J80" s="14">
        <f>AVERAGEIFS('클럭 정리'!$N$6:$N$60,'클럭 정리'!$A$6:$A$60,"&gt;="&amp;E80,'클럭 정리'!$A$6:$A$60,"&lt;="&amp;F80)</f>
        <v/>
      </c>
      <c r="K80" s="15">
        <f>J80*'클럭 정리'!$B$2/100</f>
        <v/>
      </c>
    </row>
    <row r="81">
      <c r="A81" s="13" t="inlineStr">
        <is>
          <t>병렬도 12 분할 5</t>
        </is>
      </c>
      <c r="B81" s="13" t="n">
        <v>4</v>
      </c>
      <c r="C81" s="13" t="inlineStr">
        <is>
          <t>main</t>
        </is>
      </c>
      <c r="D81" s="12" t="inlineStr">
        <is>
          <t>main (활동 시간 합 = 그 회차 mainCPU, 창은 워커와 겹침)</t>
        </is>
      </c>
      <c r="E81" s="10" t="n">
        <v>46238.48811019676</v>
      </c>
      <c r="F81" s="10" t="n">
        <v>46238.48812584962</v>
      </c>
      <c r="G81" s="13" t="n">
        <v>45</v>
      </c>
      <c r="H81" s="14" t="n">
        <v>15.625</v>
      </c>
      <c r="I81" s="13">
        <f>COUNTIFS('클럭 정리'!$A$6:$A$60,"&gt;="&amp;E81,'클럭 정리'!$A$6:$A$60,"&lt;="&amp;F81)</f>
        <v/>
      </c>
      <c r="J81" s="14">
        <f>AVERAGEIFS('클럭 정리'!$N$6:$N$60,'클럭 정리'!$A$6:$A$60,"&gt;="&amp;E81,'클럭 정리'!$A$6:$A$60,"&lt;="&amp;F81)</f>
        <v/>
      </c>
      <c r="K81" s="15">
        <f>J81*'클럭 정리'!$B$2/100</f>
        <v/>
      </c>
    </row>
    <row r="82">
      <c r="A82" s="13" t="inlineStr">
        <is>
          <t>병렬도 12 분할 5</t>
        </is>
      </c>
      <c r="B82" s="13" t="n">
        <v>5</v>
      </c>
      <c r="C82" s="13" t="inlineStr">
        <is>
          <t>ForkJoinPool-15-worker-1</t>
        </is>
      </c>
      <c r="D82" s="12" t="inlineStr">
        <is>
          <t>워커</t>
        </is>
      </c>
      <c r="E82" s="10" t="n">
        <v>46238.48812586805</v>
      </c>
      <c r="F82" s="10" t="n">
        <v>46238.48812728237</v>
      </c>
      <c r="G82" s="13" t="n">
        <v>4</v>
      </c>
      <c r="H82" s="14" t="n">
        <v>115.3489</v>
      </c>
      <c r="I82" s="13">
        <f>COUNTIFS('클럭 정리'!$A$6:$A$60,"&gt;="&amp;E82,'클럭 정리'!$A$6:$A$60,"&lt;="&amp;F82)</f>
        <v/>
      </c>
      <c r="J82" s="14">
        <f>AVERAGEIFS('클럭 정리'!$N$6:$N$60,'클럭 정리'!$A$6:$A$60,"&gt;="&amp;E82,'클럭 정리'!$A$6:$A$60,"&lt;="&amp;F82)</f>
        <v/>
      </c>
      <c r="K82" s="15">
        <f>J82*'클럭 정리'!$B$2/100</f>
        <v/>
      </c>
    </row>
    <row r="83">
      <c r="A83" s="13" t="inlineStr">
        <is>
          <t>병렬도 12 분할 5</t>
        </is>
      </c>
      <c r="B83" s="13" t="n">
        <v>5</v>
      </c>
      <c r="C83" s="13" t="inlineStr">
        <is>
          <t>ForkJoinPool-15-worker-10</t>
        </is>
      </c>
      <c r="D83" s="12" t="inlineStr">
        <is>
          <t>워커</t>
        </is>
      </c>
      <c r="E83" s="10" t="n">
        <v>46238.48812730324</v>
      </c>
      <c r="F83" s="10" t="n">
        <v>46238.48812762553</v>
      </c>
      <c r="G83" s="13" t="n">
        <v>1</v>
      </c>
      <c r="H83" s="14" t="n">
        <v>27.846</v>
      </c>
      <c r="I83" s="13">
        <f>COUNTIFS('클럭 정리'!$A$6:$A$60,"&gt;="&amp;E83,'클럭 정리'!$A$6:$A$60,"&lt;="&amp;F83)</f>
        <v/>
      </c>
      <c r="J83" s="14">
        <f>AVERAGEIFS('클럭 정리'!$N$6:$N$60,'클럭 정리'!$A$6:$A$60,"&gt;="&amp;E83,'클럭 정리'!$A$6:$A$60,"&lt;="&amp;F83)</f>
        <v/>
      </c>
      <c r="K83" s="15">
        <f>J83*'클럭 정리'!$B$2/100</f>
        <v/>
      </c>
    </row>
    <row r="84">
      <c r="A84" s="13" t="inlineStr">
        <is>
          <t>병렬도 12 분할 5</t>
        </is>
      </c>
      <c r="B84" s="13" t="n">
        <v>5</v>
      </c>
      <c r="C84" s="13" t="inlineStr">
        <is>
          <t>ForkJoinPool-15-worker-11</t>
        </is>
      </c>
      <c r="D84" s="12" t="inlineStr">
        <is>
          <t>워커</t>
        </is>
      </c>
      <c r="E84" s="10" t="n">
        <v>46238.48812730324</v>
      </c>
      <c r="F84" s="10" t="n">
        <v>46238.48814136581</v>
      </c>
      <c r="G84" s="13" t="n">
        <v>41</v>
      </c>
      <c r="H84" s="14" t="n">
        <v>1140.58</v>
      </c>
      <c r="I84" s="13">
        <f>COUNTIFS('클럭 정리'!$A$6:$A$60,"&gt;="&amp;E84,'클럭 정리'!$A$6:$A$60,"&lt;="&amp;F84)</f>
        <v/>
      </c>
      <c r="J84" s="14">
        <f>AVERAGEIFS('클럭 정리'!$N$6:$N$60,'클럭 정리'!$A$6:$A$60,"&gt;="&amp;E84,'클럭 정리'!$A$6:$A$60,"&lt;="&amp;F84)</f>
        <v/>
      </c>
      <c r="K84" s="15">
        <f>J84*'클럭 정리'!$B$2/100</f>
        <v/>
      </c>
    </row>
    <row r="85">
      <c r="A85" s="13" t="inlineStr">
        <is>
          <t>병렬도 12 분할 5</t>
        </is>
      </c>
      <c r="B85" s="13" t="n">
        <v>5</v>
      </c>
      <c r="C85" s="13" t="inlineStr">
        <is>
          <t>ForkJoinPool-15-worker-12</t>
        </is>
      </c>
      <c r="D85" s="12" t="inlineStr">
        <is>
          <t>워커</t>
        </is>
      </c>
      <c r="E85" s="10" t="n">
        <v>46238.48812767361</v>
      </c>
      <c r="F85" s="10" t="n">
        <v>46238.48814137147</v>
      </c>
      <c r="G85" s="13" t="n">
        <v>40</v>
      </c>
      <c r="H85" s="14" t="n">
        <v>1098.1476</v>
      </c>
      <c r="I85" s="13">
        <f>COUNTIFS('클럭 정리'!$A$6:$A$60,"&gt;="&amp;E85,'클럭 정리'!$A$6:$A$60,"&lt;="&amp;F85)</f>
        <v/>
      </c>
      <c r="J85" s="14">
        <f>AVERAGEIFS('클럭 정리'!$N$6:$N$60,'클럭 정리'!$A$6:$A$60,"&gt;="&amp;E85,'클럭 정리'!$A$6:$A$60,"&lt;="&amp;F85)</f>
        <v/>
      </c>
      <c r="K85" s="15">
        <f>J85*'클럭 정리'!$B$2/100</f>
        <v/>
      </c>
    </row>
    <row r="86">
      <c r="A86" s="13" t="inlineStr">
        <is>
          <t>병렬도 12 분할 5</t>
        </is>
      </c>
      <c r="B86" s="13" t="n">
        <v>5</v>
      </c>
      <c r="C86" s="13" t="inlineStr">
        <is>
          <t>ForkJoinPool-15-worker-2</t>
        </is>
      </c>
      <c r="D86" s="12" t="inlineStr">
        <is>
          <t>워커</t>
        </is>
      </c>
      <c r="E86" s="10" t="n">
        <v>46238.48812587963</v>
      </c>
      <c r="F86" s="10" t="n">
        <v>46238.48814135947</v>
      </c>
      <c r="G86" s="13" t="n">
        <v>45</v>
      </c>
      <c r="H86" s="14" t="n">
        <v>1249.1326</v>
      </c>
      <c r="I86" s="13">
        <f>COUNTIFS('클럭 정리'!$A$6:$A$60,"&gt;="&amp;E86,'클럭 정리'!$A$6:$A$60,"&lt;="&amp;F86)</f>
        <v/>
      </c>
      <c r="J86" s="14">
        <f>AVERAGEIFS('클럭 정리'!$N$6:$N$60,'클럭 정리'!$A$6:$A$60,"&gt;="&amp;E86,'클럭 정리'!$A$6:$A$60,"&lt;="&amp;F86)</f>
        <v/>
      </c>
      <c r="K86" s="15">
        <f>J86*'클럭 정리'!$B$2/100</f>
        <v/>
      </c>
    </row>
    <row r="87">
      <c r="A87" s="13" t="inlineStr">
        <is>
          <t>병렬도 12 분할 5</t>
        </is>
      </c>
      <c r="B87" s="13" t="n">
        <v>5</v>
      </c>
      <c r="C87" s="13" t="inlineStr">
        <is>
          <t>ForkJoinPool-15-worker-3</t>
        </is>
      </c>
      <c r="D87" s="12" t="inlineStr">
        <is>
          <t>워커</t>
        </is>
      </c>
      <c r="E87" s="10" t="n">
        <v>46238.48812587963</v>
      </c>
      <c r="F87" s="10" t="n">
        <v>46238.4881269036</v>
      </c>
      <c r="G87" s="13" t="n">
        <v>3</v>
      </c>
      <c r="H87" s="14" t="n">
        <v>78.32859999999999</v>
      </c>
      <c r="I87" s="13">
        <f>COUNTIFS('클럭 정리'!$A$6:$A$60,"&gt;="&amp;E87,'클럭 정리'!$A$6:$A$60,"&lt;="&amp;F87)</f>
        <v/>
      </c>
      <c r="J87" s="14">
        <f>AVERAGEIFS('클럭 정리'!$N$6:$N$60,'클럭 정리'!$A$6:$A$60,"&gt;="&amp;E87,'클럭 정리'!$A$6:$A$60,"&lt;="&amp;F87)</f>
        <v/>
      </c>
      <c r="K87" s="15">
        <f>J87*'클럭 정리'!$B$2/100</f>
        <v/>
      </c>
    </row>
    <row r="88">
      <c r="A88" s="13" t="inlineStr">
        <is>
          <t>병렬도 12 분할 5</t>
        </is>
      </c>
      <c r="B88" s="13" t="n">
        <v>5</v>
      </c>
      <c r="C88" s="13" t="inlineStr">
        <is>
          <t>ForkJoinPool-15-worker-4</t>
        </is>
      </c>
      <c r="D88" s="12" t="inlineStr">
        <is>
          <t>워커</t>
        </is>
      </c>
      <c r="E88" s="10" t="n">
        <v>46238.48812587963</v>
      </c>
      <c r="F88" s="10" t="n">
        <v>46238.48812653139</v>
      </c>
      <c r="G88" s="13" t="n">
        <v>2</v>
      </c>
      <c r="H88" s="14" t="n">
        <v>54.6896</v>
      </c>
      <c r="I88" s="13">
        <f>COUNTIFS('클럭 정리'!$A$6:$A$60,"&gt;="&amp;E88,'클럭 정리'!$A$6:$A$60,"&lt;="&amp;F88)</f>
        <v/>
      </c>
      <c r="J88" s="14">
        <f>AVERAGEIFS('클럭 정리'!$N$6:$N$60,'클럭 정리'!$A$6:$A$60,"&gt;="&amp;E88,'클럭 정리'!$A$6:$A$60,"&lt;="&amp;F88)</f>
        <v/>
      </c>
      <c r="K88" s="15">
        <f>J88*'클럭 정리'!$B$2/100</f>
        <v/>
      </c>
    </row>
    <row r="89">
      <c r="A89" s="13" t="inlineStr">
        <is>
          <t>병렬도 12 분할 5</t>
        </is>
      </c>
      <c r="B89" s="13" t="n">
        <v>5</v>
      </c>
      <c r="C89" s="13" t="inlineStr">
        <is>
          <t>ForkJoinPool-15-worker-5</t>
        </is>
      </c>
      <c r="D89" s="12" t="inlineStr">
        <is>
          <t>워커</t>
        </is>
      </c>
      <c r="E89" s="10" t="n">
        <v>46238.48812587963</v>
      </c>
      <c r="F89" s="10" t="n">
        <v>46238.48814136173</v>
      </c>
      <c r="G89" s="13" t="n">
        <v>45</v>
      </c>
      <c r="H89" s="14" t="n">
        <v>1249.4153</v>
      </c>
      <c r="I89" s="13">
        <f>COUNTIFS('클럭 정리'!$A$6:$A$60,"&gt;="&amp;E89,'클럭 정리'!$A$6:$A$60,"&lt;="&amp;F89)</f>
        <v/>
      </c>
      <c r="J89" s="14">
        <f>AVERAGEIFS('클럭 정리'!$N$6:$N$60,'클럭 정리'!$A$6:$A$60,"&gt;="&amp;E89,'클럭 정리'!$A$6:$A$60,"&lt;="&amp;F89)</f>
        <v/>
      </c>
      <c r="K89" s="15">
        <f>J89*'클럭 정리'!$B$2/100</f>
        <v/>
      </c>
    </row>
    <row r="90">
      <c r="A90" s="13" t="inlineStr">
        <is>
          <t>병렬도 12 분할 5</t>
        </is>
      </c>
      <c r="B90" s="13" t="n">
        <v>5</v>
      </c>
      <c r="C90" s="13" t="inlineStr">
        <is>
          <t>ForkJoinPool-15-worker-7</t>
        </is>
      </c>
      <c r="D90" s="12" t="inlineStr">
        <is>
          <t>워커</t>
        </is>
      </c>
      <c r="E90" s="10" t="n">
        <v>46238.4881266088</v>
      </c>
      <c r="F90" s="10" t="n">
        <v>46238.48812689854</v>
      </c>
      <c r="G90" s="13" t="n">
        <v>1</v>
      </c>
      <c r="H90" s="14" t="n">
        <v>25.0345</v>
      </c>
      <c r="I90" s="13">
        <f>COUNTIFS('클럭 정리'!$A$6:$A$60,"&gt;="&amp;E90,'클럭 정리'!$A$6:$A$60,"&lt;="&amp;F90)</f>
        <v/>
      </c>
      <c r="J90" s="14">
        <f>AVERAGEIFS('클럭 정리'!$N$6:$N$60,'클럭 정리'!$A$6:$A$60,"&gt;="&amp;E90,'클럭 정리'!$A$6:$A$60,"&lt;="&amp;F90)</f>
        <v/>
      </c>
      <c r="K90" s="15">
        <f>J90*'클럭 정리'!$B$2/100</f>
        <v/>
      </c>
    </row>
    <row r="91">
      <c r="A91" s="13" t="inlineStr">
        <is>
          <t>병렬도 12 분할 5</t>
        </is>
      </c>
      <c r="B91" s="13" t="n">
        <v>5</v>
      </c>
      <c r="C91" s="13" t="inlineStr">
        <is>
          <t>ForkJoinPool-15-worker-8</t>
        </is>
      </c>
      <c r="D91" s="12" t="inlineStr">
        <is>
          <t>워커</t>
        </is>
      </c>
      <c r="E91" s="10" t="n">
        <v>46238.48812696759</v>
      </c>
      <c r="F91" s="10" t="n">
        <v>46238.48812727566</v>
      </c>
      <c r="G91" s="13" t="n">
        <v>1</v>
      </c>
      <c r="H91" s="14" t="n">
        <v>26.6174</v>
      </c>
      <c r="I91" s="13">
        <f>COUNTIFS('클럭 정리'!$A$6:$A$60,"&gt;="&amp;E91,'클럭 정리'!$A$6:$A$60,"&lt;="&amp;F91)</f>
        <v/>
      </c>
      <c r="J91" s="14">
        <f>AVERAGEIFS('클럭 정리'!$N$6:$N$60,'클럭 정리'!$A$6:$A$60,"&gt;="&amp;E91,'클럭 정리'!$A$6:$A$60,"&lt;="&amp;F91)</f>
        <v/>
      </c>
      <c r="K91" s="15">
        <f>J91*'클럭 정리'!$B$2/100</f>
        <v/>
      </c>
    </row>
    <row r="92">
      <c r="A92" s="13" t="inlineStr">
        <is>
          <t>병렬도 12 분할 5</t>
        </is>
      </c>
      <c r="B92" s="13" t="n">
        <v>5</v>
      </c>
      <c r="C92" s="13" t="inlineStr">
        <is>
          <t>ForkJoinPool-15-worker-9</t>
        </is>
      </c>
      <c r="D92" s="12" t="inlineStr">
        <is>
          <t>워커</t>
        </is>
      </c>
      <c r="E92" s="10" t="n">
        <v>46238.48812695602</v>
      </c>
      <c r="F92" s="10" t="n">
        <v>46238.48814138184</v>
      </c>
      <c r="G92" s="13" t="n">
        <v>42</v>
      </c>
      <c r="H92" s="14" t="n">
        <v>1194.6656</v>
      </c>
      <c r="I92" s="13">
        <f>COUNTIFS('클럭 정리'!$A$6:$A$60,"&gt;="&amp;E92,'클럭 정리'!$A$6:$A$60,"&lt;="&amp;F92)</f>
        <v/>
      </c>
      <c r="J92" s="14">
        <f>AVERAGEIFS('클럭 정리'!$N$6:$N$60,'클럭 정리'!$A$6:$A$60,"&gt;="&amp;E92,'클럭 정리'!$A$6:$A$60,"&lt;="&amp;F92)</f>
        <v/>
      </c>
      <c r="K92" s="15">
        <f>J92*'클럭 정리'!$B$2/100</f>
        <v/>
      </c>
    </row>
    <row r="93">
      <c r="A93" s="13" t="inlineStr">
        <is>
          <t>병렬도 12 분할 5</t>
        </is>
      </c>
      <c r="B93" s="13" t="n">
        <v>5</v>
      </c>
      <c r="C93" s="13" t="inlineStr">
        <is>
          <t>main</t>
        </is>
      </c>
      <c r="D93" s="12" t="inlineStr">
        <is>
          <t>main (활동 시간 합 = 그 회차 mainCPU, 창은 워커와 겹침)</t>
        </is>
      </c>
      <c r="E93" s="10" t="n">
        <v>46238.48812586805</v>
      </c>
      <c r="F93" s="10" t="n">
        <v>46238.48814138256</v>
      </c>
      <c r="G93" s="13" t="n">
        <v>45</v>
      </c>
      <c r="H93" s="14" t="n">
        <v>15.625</v>
      </c>
      <c r="I93" s="13">
        <f>COUNTIFS('클럭 정리'!$A$6:$A$60,"&gt;="&amp;E93,'클럭 정리'!$A$6:$A$60,"&lt;="&amp;F93)</f>
        <v/>
      </c>
      <c r="J93" s="14">
        <f>AVERAGEIFS('클럭 정리'!$N$6:$N$60,'클럭 정리'!$A$6:$A$60,"&gt;="&amp;E93,'클럭 정리'!$A$6:$A$60,"&lt;="&amp;F93)</f>
        <v/>
      </c>
      <c r="K93" s="15">
        <f>J93*'클럭 정리'!$B$2/100</f>
        <v/>
      </c>
    </row>
    <row r="96">
      <c r="A96" s="1" t="inlineStr">
        <is>
          <t>풀·main별 클럭 표본 매핑</t>
        </is>
      </c>
    </row>
    <row r="97">
      <c r="A97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98">
      <c r="A98" s="5" t="inlineStr">
        <is>
          <t>구간</t>
        </is>
      </c>
      <c r="B98" s="5" t="inlineStr">
        <is>
          <t>회차</t>
        </is>
      </c>
      <c r="C98" s="5" t="inlineStr">
        <is>
          <t>풀/스레드</t>
        </is>
      </c>
      <c r="D98" s="5" t="inlineStr">
        <is>
          <t>활동 시작</t>
        </is>
      </c>
      <c r="E98" s="5" t="inlineStr">
        <is>
          <t>활동 끝</t>
        </is>
      </c>
      <c r="F98" s="5" t="inlineStr">
        <is>
          <t>표본 시각</t>
        </is>
      </c>
      <c r="G98" s="5" t="inlineStr">
        <is>
          <t>표본 클럭(%)</t>
        </is>
      </c>
      <c r="H98" s="5" t="inlineStr">
        <is>
          <t>표본 클럭(GHz)</t>
        </is>
      </c>
    </row>
    <row r="99">
      <c r="A99" s="13" t="inlineStr">
        <is>
          <t>병렬도 6 분할 5</t>
        </is>
      </c>
      <c r="B99" s="13" t="n">
        <v>1</v>
      </c>
      <c r="C99" s="13" t="inlineStr">
        <is>
          <t>ForkJoinPool-3</t>
        </is>
      </c>
      <c r="D99" s="10" t="n">
        <v>46238.48793894676</v>
      </c>
      <c r="E99" s="10" t="n">
        <v>46238.48795499567</v>
      </c>
      <c r="F99" s="16">
        <f>'클럭 정리'!A35</f>
        <v/>
      </c>
      <c r="G99" s="17">
        <f>'클럭 정리'!N35</f>
        <v/>
      </c>
      <c r="H99" s="15">
        <f>'클럭 정리'!O35</f>
        <v/>
      </c>
    </row>
    <row r="100">
      <c r="A100" s="13" t="inlineStr">
        <is>
          <t>병렬도 6 분할 5</t>
        </is>
      </c>
      <c r="B100" s="13" t="n">
        <v>1</v>
      </c>
      <c r="C100" s="13" t="inlineStr">
        <is>
          <t>main</t>
        </is>
      </c>
      <c r="D100" s="10" t="n">
        <v>46238.48793893518</v>
      </c>
      <c r="E100" s="10" t="n">
        <v>46238.48795499658</v>
      </c>
      <c r="F100" s="16">
        <f>'클럭 정리'!A35</f>
        <v/>
      </c>
      <c r="G100" s="17">
        <f>'클럭 정리'!N35</f>
        <v/>
      </c>
      <c r="H100" s="15">
        <f>'클럭 정리'!O35</f>
        <v/>
      </c>
    </row>
    <row r="101">
      <c r="A101" s="13" t="inlineStr">
        <is>
          <t>병렬도 6 분할 5</t>
        </is>
      </c>
      <c r="B101" s="13" t="n">
        <v>2</v>
      </c>
      <c r="C101" s="13" t="inlineStr">
        <is>
          <t>ForkJoinPool-4</t>
        </is>
      </c>
      <c r="D101" s="10" t="n">
        <v>46238.48795501157</v>
      </c>
      <c r="E101" s="10" t="n">
        <v>46238.48797057739</v>
      </c>
      <c r="F101" s="16">
        <f>'클럭 정리'!A36</f>
        <v/>
      </c>
      <c r="G101" s="17">
        <f>'클럭 정리'!N36</f>
        <v/>
      </c>
      <c r="H101" s="15">
        <f>'클럭 정리'!O36</f>
        <v/>
      </c>
    </row>
    <row r="102">
      <c r="A102" s="13" t="inlineStr">
        <is>
          <t>병렬도 6 분할 5</t>
        </is>
      </c>
      <c r="B102" s="13" t="n">
        <v>2</v>
      </c>
      <c r="C102" s="13" t="inlineStr">
        <is>
          <t>main</t>
        </is>
      </c>
      <c r="D102" s="10" t="n">
        <v>46238.487955</v>
      </c>
      <c r="E102" s="10" t="n">
        <v>46238.48797057868</v>
      </c>
      <c r="F102" s="16">
        <f>'클럭 정리'!A36</f>
        <v/>
      </c>
      <c r="G102" s="17">
        <f>'클럭 정리'!N36</f>
        <v/>
      </c>
      <c r="H102" s="15">
        <f>'클럭 정리'!O36</f>
        <v/>
      </c>
    </row>
    <row r="103">
      <c r="A103" s="13" t="inlineStr">
        <is>
          <t>병렬도 6 분할 5</t>
        </is>
      </c>
      <c r="B103" s="13" t="n">
        <v>3</v>
      </c>
      <c r="C103" s="13" t="inlineStr">
        <is>
          <t>ForkJoinPool-5</t>
        </is>
      </c>
      <c r="D103" s="10" t="n">
        <v>46238.48797059028</v>
      </c>
      <c r="E103" s="10" t="n">
        <v>46238.48798608419</v>
      </c>
      <c r="F103" s="16">
        <f>'클럭 정리'!A37</f>
        <v/>
      </c>
      <c r="G103" s="17">
        <f>'클럭 정리'!N37</f>
        <v/>
      </c>
      <c r="H103" s="15">
        <f>'클럭 정리'!O37</f>
        <v/>
      </c>
    </row>
    <row r="104">
      <c r="A104" s="13" t="inlineStr">
        <is>
          <t>병렬도 6 분할 5</t>
        </is>
      </c>
      <c r="B104" s="13" t="n">
        <v>3</v>
      </c>
      <c r="C104" s="13" t="inlineStr">
        <is>
          <t>ForkJoinPool-5</t>
        </is>
      </c>
      <c r="D104" s="10" t="n">
        <v>46238.48797059028</v>
      </c>
      <c r="E104" s="10" t="n">
        <v>46238.48798608419</v>
      </c>
      <c r="F104" s="16">
        <f>'클럭 정리'!A38</f>
        <v/>
      </c>
      <c r="G104" s="17">
        <f>'클럭 정리'!N38</f>
        <v/>
      </c>
      <c r="H104" s="15">
        <f>'클럭 정리'!O38</f>
        <v/>
      </c>
    </row>
    <row r="105">
      <c r="A105" s="13" t="inlineStr">
        <is>
          <t>병렬도 6 분할 5</t>
        </is>
      </c>
      <c r="B105" s="13" t="n">
        <v>3</v>
      </c>
      <c r="C105" s="13" t="inlineStr">
        <is>
          <t>main</t>
        </is>
      </c>
      <c r="D105" s="10" t="n">
        <v>46238.4879705787</v>
      </c>
      <c r="E105" s="10" t="n">
        <v>46238.48798608615</v>
      </c>
      <c r="F105" s="16">
        <f>'클럭 정리'!A37</f>
        <v/>
      </c>
      <c r="G105" s="17">
        <f>'클럭 정리'!N37</f>
        <v/>
      </c>
      <c r="H105" s="15">
        <f>'클럭 정리'!O37</f>
        <v/>
      </c>
    </row>
    <row r="106">
      <c r="A106" s="13" t="inlineStr">
        <is>
          <t>병렬도 6 분할 5</t>
        </is>
      </c>
      <c r="B106" s="13" t="n">
        <v>3</v>
      </c>
      <c r="C106" s="13" t="inlineStr">
        <is>
          <t>main</t>
        </is>
      </c>
      <c r="D106" s="10" t="n">
        <v>46238.4879705787</v>
      </c>
      <c r="E106" s="10" t="n">
        <v>46238.48798608615</v>
      </c>
      <c r="F106" s="16">
        <f>'클럭 정리'!A38</f>
        <v/>
      </c>
      <c r="G106" s="17">
        <f>'클럭 정리'!N38</f>
        <v/>
      </c>
      <c r="H106" s="15">
        <f>'클럭 정리'!O38</f>
        <v/>
      </c>
    </row>
    <row r="107">
      <c r="A107" s="13" t="inlineStr">
        <is>
          <t>병렬도 6 분할 5</t>
        </is>
      </c>
      <c r="B107" s="13" t="n">
        <v>4</v>
      </c>
      <c r="C107" s="13" t="inlineStr">
        <is>
          <t>ForkJoinPool-6</t>
        </is>
      </c>
      <c r="D107" s="10" t="n">
        <v>46238.48798609954</v>
      </c>
      <c r="E107" s="10" t="n">
        <v>46238.48800141129</v>
      </c>
      <c r="F107" s="16">
        <f>'클럭 정리'!A39</f>
        <v/>
      </c>
      <c r="G107" s="17">
        <f>'클럭 정리'!N39</f>
        <v/>
      </c>
      <c r="H107" s="15">
        <f>'클럭 정리'!O39</f>
        <v/>
      </c>
    </row>
    <row r="108">
      <c r="A108" s="13" t="inlineStr">
        <is>
          <t>병렬도 6 분할 5</t>
        </is>
      </c>
      <c r="B108" s="13" t="n">
        <v>4</v>
      </c>
      <c r="C108" s="13" t="inlineStr">
        <is>
          <t>main</t>
        </is>
      </c>
      <c r="D108" s="10" t="n">
        <v>46238.48798608797</v>
      </c>
      <c r="E108" s="10" t="n">
        <v>46238.48800141244</v>
      </c>
      <c r="F108" s="16">
        <f>'클럭 정리'!A39</f>
        <v/>
      </c>
      <c r="G108" s="17">
        <f>'클럭 정리'!N39</f>
        <v/>
      </c>
      <c r="H108" s="15">
        <f>'클럭 정리'!O39</f>
        <v/>
      </c>
    </row>
    <row r="109">
      <c r="A109" s="13" t="inlineStr">
        <is>
          <t>병렬도 6 분할 5</t>
        </is>
      </c>
      <c r="B109" s="13" t="n">
        <v>5</v>
      </c>
      <c r="C109" s="13" t="inlineStr">
        <is>
          <t>ForkJoinPool-7</t>
        </is>
      </c>
      <c r="D109" s="10" t="n">
        <v>46238.48800143519</v>
      </c>
      <c r="E109" s="10" t="n">
        <v>46238.4880170332</v>
      </c>
      <c r="F109" s="16">
        <f>'클럭 정리'!A40</f>
        <v/>
      </c>
      <c r="G109" s="17">
        <f>'클럭 정리'!N40</f>
        <v/>
      </c>
      <c r="H109" s="15">
        <f>'클럭 정리'!O40</f>
        <v/>
      </c>
    </row>
    <row r="110">
      <c r="A110" s="13" t="inlineStr">
        <is>
          <t>병렬도 6 분할 5</t>
        </is>
      </c>
      <c r="B110" s="13" t="n">
        <v>5</v>
      </c>
      <c r="C110" s="13" t="inlineStr">
        <is>
          <t>main</t>
        </is>
      </c>
      <c r="D110" s="10" t="n">
        <v>46238.48800142361</v>
      </c>
      <c r="E110" s="10" t="n">
        <v>46238.48801703467</v>
      </c>
      <c r="F110" s="16">
        <f>'클럭 정리'!A40</f>
        <v/>
      </c>
      <c r="G110" s="17">
        <f>'클럭 정리'!N40</f>
        <v/>
      </c>
      <c r="H110" s="15">
        <f>'클럭 정리'!O40</f>
        <v/>
      </c>
    </row>
    <row r="111">
      <c r="A111" s="13" t="inlineStr">
        <is>
          <t>병렬도 12 분할 5</t>
        </is>
      </c>
      <c r="B111" s="13" t="n">
        <v>1</v>
      </c>
      <c r="C111" s="13" t="inlineStr">
        <is>
          <t>ForkJoinPool-11</t>
        </is>
      </c>
      <c r="D111" s="10" t="n">
        <v>46238.48806362269</v>
      </c>
      <c r="E111" s="10" t="n">
        <v>46238.48807914907</v>
      </c>
      <c r="F111" s="16">
        <f>'클럭 정리'!A45</f>
        <v/>
      </c>
      <c r="G111" s="17">
        <f>'클럭 정리'!N45</f>
        <v/>
      </c>
      <c r="H111" s="15">
        <f>'클럭 정리'!O45</f>
        <v/>
      </c>
    </row>
    <row r="112">
      <c r="A112" s="13" t="inlineStr">
        <is>
          <t>병렬도 12 분할 5</t>
        </is>
      </c>
      <c r="B112" s="13" t="n">
        <v>1</v>
      </c>
      <c r="C112" s="13" t="inlineStr">
        <is>
          <t>ForkJoinPool-11</t>
        </is>
      </c>
      <c r="D112" s="10" t="n">
        <v>46238.48806362269</v>
      </c>
      <c r="E112" s="10" t="n">
        <v>46238.48807914907</v>
      </c>
      <c r="F112" s="16">
        <f>'클럭 정리'!A46</f>
        <v/>
      </c>
      <c r="G112" s="17">
        <f>'클럭 정리'!N46</f>
        <v/>
      </c>
      <c r="H112" s="15">
        <f>'클럭 정리'!O46</f>
        <v/>
      </c>
    </row>
    <row r="113">
      <c r="A113" s="13" t="inlineStr">
        <is>
          <t>병렬도 12 분할 5</t>
        </is>
      </c>
      <c r="B113" s="13" t="n">
        <v>1</v>
      </c>
      <c r="C113" s="13" t="inlineStr">
        <is>
          <t>main</t>
        </is>
      </c>
      <c r="D113" s="10" t="n">
        <v>46238.48806362269</v>
      </c>
      <c r="E113" s="10" t="n">
        <v>46238.48807913905</v>
      </c>
      <c r="F113" s="16">
        <f>'클럭 정리'!A45</f>
        <v/>
      </c>
      <c r="G113" s="17">
        <f>'클럭 정리'!N45</f>
        <v/>
      </c>
      <c r="H113" s="15">
        <f>'클럭 정리'!O45</f>
        <v/>
      </c>
    </row>
    <row r="114">
      <c r="A114" s="13" t="inlineStr">
        <is>
          <t>병렬도 12 분할 5</t>
        </is>
      </c>
      <c r="B114" s="13" t="n">
        <v>1</v>
      </c>
      <c r="C114" s="13" t="inlineStr">
        <is>
          <t>main</t>
        </is>
      </c>
      <c r="D114" s="10" t="n">
        <v>46238.48806362269</v>
      </c>
      <c r="E114" s="10" t="n">
        <v>46238.48807913905</v>
      </c>
      <c r="F114" s="16">
        <f>'클럭 정리'!A46</f>
        <v/>
      </c>
      <c r="G114" s="17">
        <f>'클럭 정리'!N46</f>
        <v/>
      </c>
      <c r="H114" s="15">
        <f>'클럭 정리'!O46</f>
        <v/>
      </c>
    </row>
    <row r="115">
      <c r="A115" s="13" t="inlineStr">
        <is>
          <t>병렬도 12 분할 5</t>
        </is>
      </c>
      <c r="B115" s="13" t="n">
        <v>2</v>
      </c>
      <c r="C115" s="13" t="inlineStr">
        <is>
          <t>ForkJoinPool-12</t>
        </is>
      </c>
      <c r="D115" s="10" t="n">
        <v>46238.48807916667</v>
      </c>
      <c r="E115" s="10" t="n">
        <v>46238.48809451154</v>
      </c>
      <c r="F115" s="16">
        <f>'클럭 정리'!A47</f>
        <v/>
      </c>
      <c r="G115" s="17">
        <f>'클럭 정리'!N47</f>
        <v/>
      </c>
      <c r="H115" s="15">
        <f>'클럭 정리'!O47</f>
        <v/>
      </c>
    </row>
    <row r="116">
      <c r="A116" s="13" t="inlineStr">
        <is>
          <t>병렬도 12 분할 5</t>
        </is>
      </c>
      <c r="B116" s="13" t="n">
        <v>2</v>
      </c>
      <c r="C116" s="13" t="inlineStr">
        <is>
          <t>main</t>
        </is>
      </c>
      <c r="D116" s="10" t="n">
        <v>46238.48807915509</v>
      </c>
      <c r="E116" s="10" t="n">
        <v>46238.4880945129</v>
      </c>
      <c r="F116" s="16">
        <f>'클럭 정리'!A47</f>
        <v/>
      </c>
      <c r="G116" s="17">
        <f>'클럭 정리'!N47</f>
        <v/>
      </c>
      <c r="H116" s="15">
        <f>'클럭 정리'!O47</f>
        <v/>
      </c>
    </row>
    <row r="117">
      <c r="A117" s="13" t="inlineStr">
        <is>
          <t>병렬도 12 분할 5</t>
        </is>
      </c>
      <c r="B117" s="13" t="n">
        <v>3</v>
      </c>
      <c r="C117" s="13" t="inlineStr">
        <is>
          <t>ForkJoinPool-13</t>
        </is>
      </c>
      <c r="D117" s="10" t="n">
        <v>46238.48809452546</v>
      </c>
      <c r="E117" s="10" t="n">
        <v>46238.48811018076</v>
      </c>
      <c r="F117" s="16">
        <f>'클럭 정리'!A48</f>
        <v/>
      </c>
      <c r="G117" s="17">
        <f>'클럭 정리'!N48</f>
        <v/>
      </c>
      <c r="H117" s="15">
        <f>'클럭 정리'!O48</f>
        <v/>
      </c>
    </row>
    <row r="118">
      <c r="A118" s="13" t="inlineStr">
        <is>
          <t>병렬도 12 분할 5</t>
        </is>
      </c>
      <c r="B118" s="13" t="n">
        <v>3</v>
      </c>
      <c r="C118" s="13" t="inlineStr">
        <is>
          <t>main</t>
        </is>
      </c>
      <c r="D118" s="10" t="n">
        <v>46238.48809452546</v>
      </c>
      <c r="E118" s="10" t="n">
        <v>46238.48811018227</v>
      </c>
      <c r="F118" s="16">
        <f>'클럭 정리'!A48</f>
        <v/>
      </c>
      <c r="G118" s="17">
        <f>'클럭 정리'!N48</f>
        <v/>
      </c>
      <c r="H118" s="15">
        <f>'클럭 정리'!O48</f>
        <v/>
      </c>
    </row>
    <row r="119">
      <c r="A119" s="13" t="inlineStr">
        <is>
          <t>병렬도 12 분할 5</t>
        </is>
      </c>
      <c r="B119" s="13" t="n">
        <v>4</v>
      </c>
      <c r="C119" s="13" t="inlineStr">
        <is>
          <t>ForkJoinPool-14</t>
        </is>
      </c>
      <c r="D119" s="10" t="n">
        <v>46238.48811020833</v>
      </c>
      <c r="E119" s="10" t="n">
        <v>46238.4881258592</v>
      </c>
      <c r="F119" s="16">
        <f>'클럭 정리'!A49</f>
        <v/>
      </c>
      <c r="G119" s="17">
        <f>'클럭 정리'!N49</f>
        <v/>
      </c>
      <c r="H119" s="15">
        <f>'클럭 정리'!O49</f>
        <v/>
      </c>
    </row>
    <row r="120">
      <c r="A120" s="13" t="inlineStr">
        <is>
          <t>병렬도 12 분할 5</t>
        </is>
      </c>
      <c r="B120" s="13" t="n">
        <v>4</v>
      </c>
      <c r="C120" s="13" t="inlineStr">
        <is>
          <t>ForkJoinPool-14</t>
        </is>
      </c>
      <c r="D120" s="10" t="n">
        <v>46238.48811020833</v>
      </c>
      <c r="E120" s="10" t="n">
        <v>46238.4881258592</v>
      </c>
      <c r="F120" s="16">
        <f>'클럭 정리'!A50</f>
        <v/>
      </c>
      <c r="G120" s="17">
        <f>'클럭 정리'!N50</f>
        <v/>
      </c>
      <c r="H120" s="15">
        <f>'클럭 정리'!O50</f>
        <v/>
      </c>
    </row>
    <row r="121">
      <c r="A121" s="13" t="inlineStr">
        <is>
          <t>병렬도 12 분할 5</t>
        </is>
      </c>
      <c r="B121" s="13" t="n">
        <v>4</v>
      </c>
      <c r="C121" s="13" t="inlineStr">
        <is>
          <t>main</t>
        </is>
      </c>
      <c r="D121" s="10" t="n">
        <v>46238.48811019676</v>
      </c>
      <c r="E121" s="10" t="n">
        <v>46238.48812584962</v>
      </c>
      <c r="F121" s="16">
        <f>'클럭 정리'!A49</f>
        <v/>
      </c>
      <c r="G121" s="17">
        <f>'클럭 정리'!N49</f>
        <v/>
      </c>
      <c r="H121" s="15">
        <f>'클럭 정리'!O49</f>
        <v/>
      </c>
    </row>
    <row r="122">
      <c r="A122" s="13" t="inlineStr">
        <is>
          <t>병렬도 12 분할 5</t>
        </is>
      </c>
      <c r="B122" s="13" t="n">
        <v>4</v>
      </c>
      <c r="C122" s="13" t="inlineStr">
        <is>
          <t>main</t>
        </is>
      </c>
      <c r="D122" s="10" t="n">
        <v>46238.48811019676</v>
      </c>
      <c r="E122" s="10" t="n">
        <v>46238.48812584962</v>
      </c>
      <c r="F122" s="16">
        <f>'클럭 정리'!A50</f>
        <v/>
      </c>
      <c r="G122" s="17">
        <f>'클럭 정리'!N50</f>
        <v/>
      </c>
      <c r="H122" s="15">
        <f>'클럭 정리'!O50</f>
        <v/>
      </c>
    </row>
    <row r="123">
      <c r="A123" s="13" t="inlineStr">
        <is>
          <t>병렬도 12 분할 5</t>
        </is>
      </c>
      <c r="B123" s="13" t="n">
        <v>5</v>
      </c>
      <c r="C123" s="13" t="inlineStr">
        <is>
          <t>ForkJoinPool-15</t>
        </is>
      </c>
      <c r="D123" s="10" t="n">
        <v>46238.48812586805</v>
      </c>
      <c r="E123" s="10" t="n">
        <v>46238.48814138184</v>
      </c>
      <c r="F123" s="16">
        <f>'클럭 정리'!A51</f>
        <v/>
      </c>
      <c r="G123" s="17">
        <f>'클럭 정리'!N51</f>
        <v/>
      </c>
      <c r="H123" s="15">
        <f>'클럭 정리'!O51</f>
        <v/>
      </c>
    </row>
    <row r="124">
      <c r="A124" s="13" t="inlineStr">
        <is>
          <t>병렬도 12 분할 5</t>
        </is>
      </c>
      <c r="B124" s="13" t="n">
        <v>5</v>
      </c>
      <c r="C124" s="13" t="inlineStr">
        <is>
          <t>main</t>
        </is>
      </c>
      <c r="D124" s="10" t="n">
        <v>46238.48812586805</v>
      </c>
      <c r="E124" s="10" t="n">
        <v>46238.48814138256</v>
      </c>
      <c r="F124" s="16">
        <f>'클럭 정리'!A51</f>
        <v/>
      </c>
      <c r="G124" s="17">
        <f>'클럭 정리'!N51</f>
        <v/>
      </c>
      <c r="H124" s="15">
        <f>'클럭 정리'!O51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3254.5945</v>
      </c>
      <c r="F5" s="14" t="n">
        <v>3234.375</v>
      </c>
      <c r="G5" s="11">
        <f>F5/E5</f>
        <v/>
      </c>
      <c r="H5" s="14" t="n">
        <v>3234.375</v>
      </c>
      <c r="I5" s="14" t="n">
        <v>0</v>
      </c>
      <c r="J5" s="14" t="n">
        <v>0</v>
      </c>
      <c r="K5" s="14" t="n">
        <v>-15.625</v>
      </c>
      <c r="L5" s="13" t="n">
        <v>19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3448.1961</v>
      </c>
      <c r="F6" s="14" t="n">
        <v>3609.375</v>
      </c>
      <c r="G6" s="11">
        <f>F6/E6</f>
        <v/>
      </c>
      <c r="H6" s="14" t="n">
        <v>3375</v>
      </c>
      <c r="I6" s="14" t="n">
        <v>0</v>
      </c>
      <c r="J6" s="14" t="n">
        <v>0</v>
      </c>
      <c r="K6" s="14" t="n">
        <v>234.375</v>
      </c>
      <c r="L6" s="13" t="n">
        <v>18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3429.542</v>
      </c>
      <c r="F7" s="14" t="n">
        <v>3468.75</v>
      </c>
      <c r="G7" s="11">
        <f>F7/E7</f>
        <v/>
      </c>
      <c r="H7" s="14" t="n">
        <v>3390.625</v>
      </c>
      <c r="I7" s="14" t="n">
        <v>0</v>
      </c>
      <c r="J7" s="14" t="n">
        <v>0</v>
      </c>
      <c r="K7" s="14" t="n">
        <v>78.125</v>
      </c>
      <c r="L7" s="13" t="n">
        <v>16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3424.1924</v>
      </c>
      <c r="F8" s="14" t="n">
        <v>3406.25</v>
      </c>
      <c r="G8" s="11">
        <f>F8/E8</f>
        <v/>
      </c>
      <c r="H8" s="14" t="n">
        <v>3390.625</v>
      </c>
      <c r="I8" s="14" t="n">
        <v>0</v>
      </c>
      <c r="J8" s="14" t="n">
        <v>0</v>
      </c>
      <c r="K8" s="14" t="n">
        <v>15.625</v>
      </c>
      <c r="L8" s="13" t="n">
        <v>19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3413.5702</v>
      </c>
      <c r="F9" s="14" t="n">
        <v>3406.25</v>
      </c>
      <c r="G9" s="11">
        <f>F9/E9</f>
        <v/>
      </c>
      <c r="H9" s="14" t="n">
        <v>3390.625</v>
      </c>
      <c r="I9" s="14" t="n">
        <v>0</v>
      </c>
      <c r="J9" s="14" t="n">
        <v>0</v>
      </c>
      <c r="K9" s="14" t="n">
        <v>15.625</v>
      </c>
      <c r="L9" s="13" t="n">
        <v>17</v>
      </c>
      <c r="M9" s="13" t="n"/>
    </row>
    <row r="10">
      <c r="A10" s="13" t="inlineStr">
        <is>
          <t>병렬</t>
        </is>
      </c>
      <c r="B10" s="13" t="n">
        <v>6</v>
      </c>
      <c r="C10" s="13" t="n">
        <v>5</v>
      </c>
      <c r="D10" s="13" t="n">
        <v>1</v>
      </c>
      <c r="E10" s="14" t="n">
        <v>1386.9551</v>
      </c>
      <c r="F10" s="14" t="n">
        <v>6984.375</v>
      </c>
      <c r="G10" s="11">
        <f>F10/E10</f>
        <v/>
      </c>
      <c r="H10" s="14" t="n">
        <v>0</v>
      </c>
      <c r="I10" s="14" t="n">
        <v>6187.5</v>
      </c>
      <c r="J10" s="14" t="n">
        <v>0</v>
      </c>
      <c r="K10" s="14" t="n">
        <v>796.875</v>
      </c>
      <c r="L10" s="13" t="n">
        <v>14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5</v>
      </c>
      <c r="D11" s="13" t="n">
        <v>2</v>
      </c>
      <c r="E11" s="14" t="n">
        <v>1345.0022</v>
      </c>
      <c r="F11" s="14" t="n">
        <v>5968.75</v>
      </c>
      <c r="G11" s="11">
        <f>F11/E11</f>
        <v/>
      </c>
      <c r="H11" s="14" t="n">
        <v>31.25</v>
      </c>
      <c r="I11" s="14" t="n">
        <v>5906.25</v>
      </c>
      <c r="J11" s="14" t="n">
        <v>0</v>
      </c>
      <c r="K11" s="14" t="n">
        <v>31.25</v>
      </c>
      <c r="L11" s="13" t="n">
        <v>15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5</v>
      </c>
      <c r="D12" s="13" t="n">
        <v>3</v>
      </c>
      <c r="E12" s="14" t="n">
        <v>1339.1753</v>
      </c>
      <c r="F12" s="14" t="n">
        <v>6203.125</v>
      </c>
      <c r="G12" s="11">
        <f>F12/E12</f>
        <v/>
      </c>
      <c r="H12" s="14" t="n">
        <v>0</v>
      </c>
      <c r="I12" s="14" t="n">
        <v>6187.5</v>
      </c>
      <c r="J12" s="14" t="n">
        <v>0</v>
      </c>
      <c r="K12" s="14" t="n">
        <v>15.625</v>
      </c>
      <c r="L12" s="13" t="n">
        <v>15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5</v>
      </c>
      <c r="D13" s="13" t="n">
        <v>4</v>
      </c>
      <c r="E13" s="14" t="n">
        <v>1324.4941</v>
      </c>
      <c r="F13" s="14" t="n">
        <v>5953.125</v>
      </c>
      <c r="G13" s="11">
        <f>F13/E13</f>
        <v/>
      </c>
      <c r="H13" s="14" t="n">
        <v>0</v>
      </c>
      <c r="I13" s="14" t="n">
        <v>5906.25</v>
      </c>
      <c r="J13" s="14" t="n">
        <v>0</v>
      </c>
      <c r="K13" s="14" t="n">
        <v>46.875</v>
      </c>
      <c r="L13" s="13" t="n">
        <v>14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5</v>
      </c>
      <c r="D14" s="13" t="n">
        <v>5</v>
      </c>
      <c r="E14" s="14" t="n">
        <v>1347.5862</v>
      </c>
      <c r="F14" s="14" t="n">
        <v>6343.75</v>
      </c>
      <c r="G14" s="11">
        <f>F14/E14</f>
        <v/>
      </c>
      <c r="H14" s="14" t="n">
        <v>0</v>
      </c>
      <c r="I14" s="14" t="n">
        <v>6328.125</v>
      </c>
      <c r="J14" s="14" t="n">
        <v>0</v>
      </c>
      <c r="K14" s="14" t="n">
        <v>15.625</v>
      </c>
      <c r="L14" s="13" t="n">
        <v>16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5</v>
      </c>
      <c r="D15" s="13" t="n">
        <v>1</v>
      </c>
      <c r="E15" s="14" t="n">
        <v>1341.817</v>
      </c>
      <c r="F15" s="14" t="n">
        <v>6156.25</v>
      </c>
      <c r="G15" s="11">
        <f>F15/E15</f>
        <v/>
      </c>
      <c r="H15" s="14" t="n">
        <v>15.625</v>
      </c>
      <c r="I15" s="14" t="n">
        <v>5968.75</v>
      </c>
      <c r="J15" s="14" t="n">
        <v>0</v>
      </c>
      <c r="K15" s="14" t="n">
        <v>171.875</v>
      </c>
      <c r="L15" s="13" t="n">
        <v>12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5</v>
      </c>
      <c r="D16" s="13" t="n">
        <v>2</v>
      </c>
      <c r="E16" s="14" t="n">
        <v>1326.9953</v>
      </c>
      <c r="F16" s="14" t="n">
        <v>6109.375</v>
      </c>
      <c r="G16" s="11">
        <f>F16/E16</f>
        <v/>
      </c>
      <c r="H16" s="14" t="n">
        <v>0</v>
      </c>
      <c r="I16" s="14" t="n">
        <v>5937.5</v>
      </c>
      <c r="J16" s="14" t="n">
        <v>0</v>
      </c>
      <c r="K16" s="14" t="n">
        <v>171.875</v>
      </c>
      <c r="L16" s="13" t="n">
        <v>13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5</v>
      </c>
      <c r="D17" s="13" t="n">
        <v>3</v>
      </c>
      <c r="E17" s="14" t="n">
        <v>1352.3776</v>
      </c>
      <c r="F17" s="14" t="n">
        <v>6062.5</v>
      </c>
      <c r="G17" s="11">
        <f>F17/E17</f>
        <v/>
      </c>
      <c r="H17" s="14" t="n">
        <v>0</v>
      </c>
      <c r="I17" s="14" t="n">
        <v>6015.625</v>
      </c>
      <c r="J17" s="14" t="n">
        <v>0</v>
      </c>
      <c r="K17" s="14" t="n">
        <v>46.875</v>
      </c>
      <c r="L17" s="13" t="n">
        <v>14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5</v>
      </c>
      <c r="D18" s="13" t="n">
        <v>4</v>
      </c>
      <c r="E18" s="14" t="n">
        <v>1352.6991</v>
      </c>
      <c r="F18" s="14" t="n">
        <v>6390.625</v>
      </c>
      <c r="G18" s="11">
        <f>F18/E18</f>
        <v/>
      </c>
      <c r="H18" s="14" t="n">
        <v>15.625</v>
      </c>
      <c r="I18" s="14" t="n">
        <v>6359.375</v>
      </c>
      <c r="J18" s="14" t="n">
        <v>0</v>
      </c>
      <c r="K18" s="14" t="n">
        <v>15.625</v>
      </c>
      <c r="L18" s="13" t="n">
        <v>12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5</v>
      </c>
      <c r="D19" s="13" t="n">
        <v>5</v>
      </c>
      <c r="E19" s="14" t="n">
        <v>1340.4208</v>
      </c>
      <c r="F19" s="14" t="n">
        <v>6218.75</v>
      </c>
      <c r="G19" s="11">
        <f>F19/E19</f>
        <v/>
      </c>
      <c r="H19" s="14" t="n">
        <v>15.625</v>
      </c>
      <c r="I19" s="14" t="n">
        <v>6203.125</v>
      </c>
      <c r="J19" s="14" t="n">
        <v>0</v>
      </c>
      <c r="K19" s="14" t="n">
        <v>0</v>
      </c>
      <c r="L19" s="13" t="n">
        <v>14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5</t>
        </is>
      </c>
      <c r="D3" s="19" t="inlineStr">
        <is>
          <t>병렬도 12 분할 5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5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5 측정 1회차 (스레드별 클럭, GHz)</t>
        </is>
      </c>
      <c r="O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O4" s="21" t="inlineStr">
        <is>
          <t>시각</t>
        </is>
      </c>
      <c r="P4" s="21" t="inlineStr">
        <is>
          <t>전체 평균</t>
        </is>
      </c>
      <c r="Q4" s="21" t="inlineStr">
        <is>
          <t>ForkJoinPool-3-worker-1</t>
        </is>
      </c>
      <c r="R4" s="21" t="inlineStr">
        <is>
          <t>ForkJoinPool-3-worker-2</t>
        </is>
      </c>
      <c r="S4" s="21" t="inlineStr">
        <is>
          <t>ForkJoinPool-3-worker-3</t>
        </is>
      </c>
      <c r="T4" s="21" t="inlineStr">
        <is>
          <t>ForkJoinPool-3-worker-4</t>
        </is>
      </c>
      <c r="U4" s="21" t="inlineStr">
        <is>
          <t>ForkJoinPool-3-worker-5</t>
        </is>
      </c>
      <c r="V4" s="21" t="inlineStr">
        <is>
          <t>ForkJoinPool-3-worker-6</t>
        </is>
      </c>
      <c r="W4" s="21" t="inlineStr">
        <is>
          <t>main</t>
        </is>
      </c>
      <c r="X4" s="21" t="inlineStr">
        <is>
          <t>ForkJoinPool-4-worker-1</t>
        </is>
      </c>
      <c r="Y4" s="21" t="inlineStr">
        <is>
          <t>ForkJoinPool-4-worker-2</t>
        </is>
      </c>
      <c r="Z4" s="21" t="inlineStr">
        <is>
          <t>ForkJoinPool-4-worker-3</t>
        </is>
      </c>
      <c r="AA4" s="21" t="inlineStr">
        <is>
          <t>ForkJoinPool-4-worker-4</t>
        </is>
      </c>
      <c r="AB4" s="21" t="inlineStr">
        <is>
          <t>ForkJoinPool-4-worker-5</t>
        </is>
      </c>
      <c r="AC4" s="21" t="inlineStr">
        <is>
          <t>ForkJoinPool-5-worker-1</t>
        </is>
      </c>
      <c r="AD4" s="21" t="inlineStr">
        <is>
          <t>ForkJoinPool-5-worker-2</t>
        </is>
      </c>
      <c r="AE4" s="21" t="inlineStr">
        <is>
          <t>ForkJoinPool-5-worker-3</t>
        </is>
      </c>
      <c r="AF4" s="21" t="inlineStr">
        <is>
          <t>ForkJoinPool-5-worker-4</t>
        </is>
      </c>
      <c r="AG4" s="21" t="inlineStr">
        <is>
          <t>ForkJoinPool-5-worker-5</t>
        </is>
      </c>
      <c r="AH4" s="21" t="inlineStr">
        <is>
          <t>ForkJoinPool-6-worker-1</t>
        </is>
      </c>
      <c r="AI4" s="21" t="inlineStr">
        <is>
          <t>ForkJoinPool-6-worker-2</t>
        </is>
      </c>
      <c r="AJ4" s="21" t="inlineStr">
        <is>
          <t>ForkJoinPool-6-worker-3</t>
        </is>
      </c>
      <c r="AK4" s="21" t="inlineStr">
        <is>
          <t>ForkJoinPool-6-worker-4</t>
        </is>
      </c>
      <c r="AL4" s="21" t="inlineStr">
        <is>
          <t>ForkJoinPool-6-worker-5</t>
        </is>
      </c>
      <c r="AM4" s="21" t="inlineStr">
        <is>
          <t>ForkJoinPool-7-worker-1</t>
        </is>
      </c>
      <c r="AN4" s="21" t="inlineStr">
        <is>
          <t>ForkJoinPool-7-worker-2</t>
        </is>
      </c>
      <c r="AO4" s="21" t="inlineStr">
        <is>
          <t>ForkJoinPool-7-worker-3</t>
        </is>
      </c>
      <c r="AP4" s="21" t="inlineStr">
        <is>
          <t>ForkJoinPool-7-worker-4</t>
        </is>
      </c>
      <c r="AQ4" s="21" t="inlineStr">
        <is>
          <t>ForkJoinPool-7-worker-5</t>
        </is>
      </c>
      <c r="AR4" s="21" t="inlineStr">
        <is>
          <t>ForkJoinPool-7-worker-6</t>
        </is>
      </c>
      <c r="AS4" s="21" t="inlineStr">
        <is>
          <t>ForkJoinPool-11-worker-1</t>
        </is>
      </c>
      <c r="AT4" s="21" t="inlineStr">
        <is>
          <t>ForkJoinPool-11-worker-11</t>
        </is>
      </c>
      <c r="AU4" s="21" t="inlineStr">
        <is>
          <t>ForkJoinPool-11-worker-12</t>
        </is>
      </c>
      <c r="AV4" s="21" t="inlineStr">
        <is>
          <t>ForkJoinPool-11-worker-2</t>
        </is>
      </c>
      <c r="AW4" s="21" t="inlineStr">
        <is>
          <t>ForkJoinPool-11-worker-3</t>
        </is>
      </c>
      <c r="AX4" s="21" t="inlineStr">
        <is>
          <t>ForkJoinPool-11-worker-4</t>
        </is>
      </c>
      <c r="AY4" s="21" t="inlineStr">
        <is>
          <t>ForkJoinPool-11-worker-5</t>
        </is>
      </c>
      <c r="AZ4" s="21" t="inlineStr">
        <is>
          <t>ForkJoinPool-11-worker-7</t>
        </is>
      </c>
      <c r="BA4" s="21" t="inlineStr">
        <is>
          <t>ForkJoinPool-11-worker-9</t>
        </is>
      </c>
      <c r="BB4" s="21" t="inlineStr">
        <is>
          <t>ForkJoinPool-12-worker-1</t>
        </is>
      </c>
      <c r="BC4" s="21" t="inlineStr">
        <is>
          <t>ForkJoinPool-12-worker-12</t>
        </is>
      </c>
      <c r="BD4" s="21" t="inlineStr">
        <is>
          <t>ForkJoinPool-12-worker-2</t>
        </is>
      </c>
      <c r="BE4" s="21" t="inlineStr">
        <is>
          <t>ForkJoinPool-12-worker-3</t>
        </is>
      </c>
      <c r="BF4" s="21" t="inlineStr">
        <is>
          <t>ForkJoinPool-12-worker-4</t>
        </is>
      </c>
      <c r="BG4" s="21" t="inlineStr">
        <is>
          <t>ForkJoinPool-12-worker-5</t>
        </is>
      </c>
      <c r="BH4" s="21" t="inlineStr">
        <is>
          <t>ForkJoinPool-12-worker-7</t>
        </is>
      </c>
      <c r="BI4" s="21" t="inlineStr">
        <is>
          <t>ForkJoinPool-12-worker-8</t>
        </is>
      </c>
      <c r="BJ4" s="21" t="inlineStr">
        <is>
          <t>ForkJoinPool-12-worker-9</t>
        </is>
      </c>
      <c r="BK4" s="21" t="inlineStr">
        <is>
          <t>ForkJoinPool-13-worker-1</t>
        </is>
      </c>
      <c r="BL4" s="21" t="inlineStr">
        <is>
          <t>ForkJoinPool-13-worker-10</t>
        </is>
      </c>
      <c r="BM4" s="21" t="inlineStr">
        <is>
          <t>ForkJoinPool-13-worker-11</t>
        </is>
      </c>
      <c r="BN4" s="21" t="inlineStr">
        <is>
          <t>ForkJoinPool-13-worker-12</t>
        </is>
      </c>
      <c r="BO4" s="21" t="inlineStr">
        <is>
          <t>ForkJoinPool-13-worker-2</t>
        </is>
      </c>
      <c r="BP4" s="21" t="inlineStr">
        <is>
          <t>ForkJoinPool-13-worker-3</t>
        </is>
      </c>
      <c r="BQ4" s="21" t="inlineStr">
        <is>
          <t>ForkJoinPool-13-worker-4</t>
        </is>
      </c>
      <c r="BR4" s="21" t="inlineStr">
        <is>
          <t>ForkJoinPool-13-worker-5</t>
        </is>
      </c>
      <c r="BS4" s="21" t="inlineStr">
        <is>
          <t>ForkJoinPool-13-worker-7</t>
        </is>
      </c>
      <c r="BT4" s="21" t="inlineStr">
        <is>
          <t>ForkJoinPool-13-worker-8</t>
        </is>
      </c>
      <c r="BU4" s="21" t="inlineStr">
        <is>
          <t>ForkJoinPool-13-worker-9</t>
        </is>
      </c>
      <c r="BV4" s="21" t="inlineStr">
        <is>
          <t>ForkJoinPool-14-worker-1</t>
        </is>
      </c>
      <c r="BW4" s="21" t="inlineStr">
        <is>
          <t>ForkJoinPool-14-worker-10</t>
        </is>
      </c>
      <c r="BX4" s="21" t="inlineStr">
        <is>
          <t>ForkJoinPool-14-worker-11</t>
        </is>
      </c>
      <c r="BY4" s="21" t="inlineStr">
        <is>
          <t>ForkJoinPool-14-worker-12</t>
        </is>
      </c>
      <c r="BZ4" s="21" t="inlineStr">
        <is>
          <t>ForkJoinPool-14-worker-2</t>
        </is>
      </c>
      <c r="CA4" s="21" t="inlineStr">
        <is>
          <t>ForkJoinPool-14-worker-3</t>
        </is>
      </c>
      <c r="CB4" s="21" t="inlineStr">
        <is>
          <t>ForkJoinPool-14-worker-4</t>
        </is>
      </c>
      <c r="CC4" s="21" t="inlineStr">
        <is>
          <t>ForkJoinPool-14-worker-5</t>
        </is>
      </c>
      <c r="CD4" s="21" t="inlineStr">
        <is>
          <t>ForkJoinPool-14-worker-6</t>
        </is>
      </c>
      <c r="CE4" s="21" t="inlineStr">
        <is>
          <t>ForkJoinPool-14-worker-7</t>
        </is>
      </c>
      <c r="CF4" s="21" t="inlineStr">
        <is>
          <t>ForkJoinPool-14-worker-9</t>
        </is>
      </c>
      <c r="CG4" s="21" t="inlineStr">
        <is>
          <t>ForkJoinPool-15-worker-1</t>
        </is>
      </c>
      <c r="CH4" s="21" t="inlineStr">
        <is>
          <t>ForkJoinPool-15-worker-10</t>
        </is>
      </c>
      <c r="CI4" s="21" t="inlineStr">
        <is>
          <t>ForkJoinPool-15-worker-11</t>
        </is>
      </c>
      <c r="CJ4" s="21" t="inlineStr">
        <is>
          <t>ForkJoinPool-15-worker-12</t>
        </is>
      </c>
      <c r="CK4" s="21" t="inlineStr">
        <is>
          <t>ForkJoinPool-15-worker-2</t>
        </is>
      </c>
      <c r="CL4" s="21" t="inlineStr">
        <is>
          <t>ForkJoinPool-15-worker-3</t>
        </is>
      </c>
      <c r="CM4" s="21" t="inlineStr">
        <is>
          <t>ForkJoinPool-15-worker-4</t>
        </is>
      </c>
      <c r="CN4" s="21" t="inlineStr">
        <is>
          <t>ForkJoinPool-15-worker-5</t>
        </is>
      </c>
      <c r="CO4" s="21" t="inlineStr">
        <is>
          <t>ForkJoinPool-15-worker-7</t>
        </is>
      </c>
      <c r="CP4" s="21" t="inlineStr">
        <is>
          <t>ForkJoinPool-15-worker-8</t>
        </is>
      </c>
      <c r="CQ4" s="21" t="inlineStr">
        <is>
          <t>ForkJoinPool-15-worker-9</t>
        </is>
      </c>
    </row>
    <row r="5">
      <c r="A5" s="22">
        <f>'클럭 정리'!A35</f>
        <v/>
      </c>
      <c r="B5" s="23">
        <f>'클럭 정리'!O35</f>
        <v/>
      </c>
      <c r="C5" s="23">
        <f>'클럭 정리'!O35</f>
        <v/>
      </c>
      <c r="D5" s="23">
        <f>'클럭 정리'!O35</f>
        <v/>
      </c>
      <c r="E5" s="24" t="n"/>
      <c r="F5" s="23">
        <f>'클럭 정리'!O35</f>
        <v/>
      </c>
      <c r="G5" s="23">
        <f>'클럭 정리'!O35</f>
        <v/>
      </c>
      <c r="H5" s="23">
        <f>'클럭 정리'!O35</f>
        <v/>
      </c>
      <c r="O5" s="25">
        <f>'클럭 정리'!A6</f>
        <v/>
      </c>
      <c r="P5" s="23">
        <f>'클럭 정리'!O6</f>
        <v/>
      </c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>
      <c r="O6" s="25">
        <f>'클럭 정리'!A7</f>
        <v/>
      </c>
      <c r="P6" s="23">
        <f>'클럭 정리'!O7</f>
        <v/>
      </c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>
      <c r="A7" s="2" t="inlineStr">
        <is>
          <t>병렬도 6 분할 5 측정 2회차 (스레드별 클럭, GHz)</t>
        </is>
      </c>
      <c r="O7" s="25">
        <f>'클럭 정리'!A8</f>
        <v/>
      </c>
      <c r="P7" s="23">
        <f>'클럭 정리'!O8</f>
        <v/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>
      <c r="A8" s="21" t="inlineStr">
        <is>
          <t>시각</t>
        </is>
      </c>
      <c r="B8" s="21" t="inlineStr">
        <is>
          <t>ForkJoinPool-4-worker-1</t>
        </is>
      </c>
      <c r="C8" s="21" t="inlineStr">
        <is>
          <t>ForkJoinPool-4-worker-2</t>
        </is>
      </c>
      <c r="D8" s="21" t="inlineStr">
        <is>
          <t>ForkJoinPool-4-worker-3</t>
        </is>
      </c>
      <c r="E8" s="21" t="inlineStr">
        <is>
          <t>ForkJoinPool-4-worker-4</t>
        </is>
      </c>
      <c r="F8" s="21" t="inlineStr">
        <is>
          <t>ForkJoinPool-4-worker-5</t>
        </is>
      </c>
      <c r="G8" s="21" t="inlineStr">
        <is>
          <t>main</t>
        </is>
      </c>
      <c r="O8" s="25">
        <f>'클럭 정리'!A9</f>
        <v/>
      </c>
      <c r="P8" s="23">
        <f>'클럭 정리'!O9</f>
        <v/>
      </c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24" t="n"/>
      <c r="BL8" s="24" t="n"/>
      <c r="BM8" s="24" t="n"/>
      <c r="BN8" s="24" t="n"/>
      <c r="BO8" s="24" t="n"/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>
      <c r="A9" s="22">
        <f>'클럭 정리'!A36</f>
        <v/>
      </c>
      <c r="B9" s="23">
        <f>'클럭 정리'!O36</f>
        <v/>
      </c>
      <c r="C9" s="23">
        <f>'클럭 정리'!O36</f>
        <v/>
      </c>
      <c r="D9" s="23">
        <f>'클럭 정리'!O36</f>
        <v/>
      </c>
      <c r="E9" s="23">
        <f>'클럭 정리'!O36</f>
        <v/>
      </c>
      <c r="F9" s="23">
        <f>'클럭 정리'!O36</f>
        <v/>
      </c>
      <c r="G9" s="23">
        <f>'클럭 정리'!O36</f>
        <v/>
      </c>
      <c r="O9" s="25">
        <f>'클럭 정리'!A10</f>
        <v/>
      </c>
      <c r="P9" s="23">
        <f>'클럭 정리'!O10</f>
        <v/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4" t="n"/>
      <c r="BK9" s="24" t="n"/>
      <c r="BL9" s="24" t="n"/>
      <c r="BM9" s="24" t="n"/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>
      <c r="O10" s="25">
        <f>'클럭 정리'!A11</f>
        <v/>
      </c>
      <c r="P10" s="23">
        <f>'클럭 정리'!O11</f>
        <v/>
      </c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>
      <c r="A11" s="2" t="inlineStr">
        <is>
          <t>병렬도 6 분할 5 측정 3회차 (스레드별 클럭, GHz)</t>
        </is>
      </c>
      <c r="O11" s="25">
        <f>'클럭 정리'!A12</f>
        <v/>
      </c>
      <c r="P11" s="23">
        <f>'클럭 정리'!O12</f>
        <v/>
      </c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>
      <c r="A12" s="21" t="inlineStr">
        <is>
          <t>시각</t>
        </is>
      </c>
      <c r="B12" s="21" t="inlineStr">
        <is>
          <t>ForkJoinPool-5-worker-1</t>
        </is>
      </c>
      <c r="C12" s="21" t="inlineStr">
        <is>
          <t>ForkJoinPool-5-worker-2</t>
        </is>
      </c>
      <c r="D12" s="21" t="inlineStr">
        <is>
          <t>ForkJoinPool-5-worker-3</t>
        </is>
      </c>
      <c r="E12" s="21" t="inlineStr">
        <is>
          <t>ForkJoinPool-5-worker-4</t>
        </is>
      </c>
      <c r="F12" s="21" t="inlineStr">
        <is>
          <t>ForkJoinPool-5-worker-5</t>
        </is>
      </c>
      <c r="G12" s="21" t="inlineStr">
        <is>
          <t>main</t>
        </is>
      </c>
      <c r="O12" s="25">
        <f>'클럭 정리'!A13</f>
        <v/>
      </c>
      <c r="P12" s="23">
        <f>'클럭 정리'!O13</f>
        <v/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24" t="n"/>
      <c r="BL12" s="24" t="n"/>
      <c r="BM12" s="24" t="n"/>
      <c r="BN12" s="24" t="n"/>
      <c r="BO12" s="24" t="n"/>
      <c r="BP12" s="24" t="n"/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>
      <c r="A13" s="22">
        <f>'클럭 정리'!A37</f>
        <v/>
      </c>
      <c r="B13" s="23">
        <f>'클럭 정리'!O37</f>
        <v/>
      </c>
      <c r="C13" s="23">
        <f>'클럭 정리'!O37</f>
        <v/>
      </c>
      <c r="D13" s="23">
        <f>'클럭 정리'!O37</f>
        <v/>
      </c>
      <c r="E13" s="23">
        <f>'클럭 정리'!O37</f>
        <v/>
      </c>
      <c r="F13" s="23">
        <f>'클럭 정리'!O37</f>
        <v/>
      </c>
      <c r="G13" s="23">
        <f>'클럭 정리'!O37</f>
        <v/>
      </c>
      <c r="O13" s="25">
        <f>'클럭 정리'!A14</f>
        <v/>
      </c>
      <c r="P13" s="23">
        <f>'클럭 정리'!O14</f>
        <v/>
      </c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4" t="n"/>
      <c r="BK13" s="24" t="n"/>
      <c r="BL13" s="24" t="n"/>
      <c r="BM13" s="24" t="n"/>
      <c r="BN13" s="24" t="n"/>
      <c r="BO13" s="24" t="n"/>
      <c r="BP13" s="24" t="n"/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>
      <c r="A14" s="22">
        <f>'클럭 정리'!A38</f>
        <v/>
      </c>
      <c r="B14" s="23">
        <f>'클럭 정리'!O38</f>
        <v/>
      </c>
      <c r="C14" s="23">
        <f>'클럭 정리'!O38</f>
        <v/>
      </c>
      <c r="D14" s="23">
        <f>'클럭 정리'!O38</f>
        <v/>
      </c>
      <c r="E14" s="23">
        <f>'클럭 정리'!O38</f>
        <v/>
      </c>
      <c r="F14" s="23">
        <f>'클럭 정리'!O38</f>
        <v/>
      </c>
      <c r="G14" s="23">
        <f>'클럭 정리'!O38</f>
        <v/>
      </c>
      <c r="O14" s="25">
        <f>'클럭 정리'!A15</f>
        <v/>
      </c>
      <c r="P14" s="23">
        <f>'클럭 정리'!O15</f>
        <v/>
      </c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>
      <c r="O15" s="25">
        <f>'클럭 정리'!A16</f>
        <v/>
      </c>
      <c r="P15" s="23">
        <f>'클럭 정리'!O16</f>
        <v/>
      </c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4" t="n"/>
      <c r="BK15" s="24" t="n"/>
      <c r="BL15" s="24" t="n"/>
      <c r="BM15" s="24" t="n"/>
      <c r="BN15" s="24" t="n"/>
      <c r="BO15" s="24" t="n"/>
      <c r="BP15" s="24" t="n"/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>
      <c r="A16" s="2" t="inlineStr">
        <is>
          <t>병렬도 6 분할 5 측정 4회차 (스레드별 클럭, GHz)</t>
        </is>
      </c>
      <c r="O16" s="25">
        <f>'클럭 정리'!A17</f>
        <v/>
      </c>
      <c r="P16" s="23">
        <f>'클럭 정리'!O17</f>
        <v/>
      </c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>
      <c r="A17" s="21" t="inlineStr">
        <is>
          <t>시각</t>
        </is>
      </c>
      <c r="B17" s="21" t="inlineStr">
        <is>
          <t>ForkJoinPool-6-worker-1</t>
        </is>
      </c>
      <c r="C17" s="21" t="inlineStr">
        <is>
          <t>ForkJoinPool-6-worker-2</t>
        </is>
      </c>
      <c r="D17" s="21" t="inlineStr">
        <is>
          <t>ForkJoinPool-6-worker-3</t>
        </is>
      </c>
      <c r="E17" s="21" t="inlineStr">
        <is>
          <t>ForkJoinPool-6-worker-4</t>
        </is>
      </c>
      <c r="F17" s="21" t="inlineStr">
        <is>
          <t>ForkJoinPool-6-worker-5</t>
        </is>
      </c>
      <c r="G17" s="21" t="inlineStr">
        <is>
          <t>main</t>
        </is>
      </c>
      <c r="O17" s="25">
        <f>'클럭 정리'!A18</f>
        <v/>
      </c>
      <c r="P17" s="23">
        <f>'클럭 정리'!O18</f>
        <v/>
      </c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>
      <c r="A18" s="22">
        <f>'클럭 정리'!A39</f>
        <v/>
      </c>
      <c r="B18" s="23">
        <f>'클럭 정리'!O39</f>
        <v/>
      </c>
      <c r="C18" s="23">
        <f>'클럭 정리'!O39</f>
        <v/>
      </c>
      <c r="D18" s="23">
        <f>'클럭 정리'!O39</f>
        <v/>
      </c>
      <c r="E18" s="23">
        <f>'클럭 정리'!O39</f>
        <v/>
      </c>
      <c r="F18" s="23">
        <f>'클럭 정리'!O39</f>
        <v/>
      </c>
      <c r="G18" s="23">
        <f>'클럭 정리'!O39</f>
        <v/>
      </c>
      <c r="O18" s="25">
        <f>'클럭 정리'!A19</f>
        <v/>
      </c>
      <c r="P18" s="23">
        <f>'클럭 정리'!O19</f>
        <v/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>
      <c r="O19" s="25">
        <f>'클럭 정리'!A20</f>
        <v/>
      </c>
      <c r="P19" s="23">
        <f>'클럭 정리'!O20</f>
        <v/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</row>
    <row r="20">
      <c r="A20" s="2" t="inlineStr">
        <is>
          <t>병렬도 6 분할 5 측정 5회차 (스레드별 클럭, GHz)</t>
        </is>
      </c>
      <c r="O20" s="25">
        <f>'클럭 정리'!A21</f>
        <v/>
      </c>
      <c r="P20" s="23">
        <f>'클럭 정리'!O21</f>
        <v/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>
      <c r="A21" s="21" t="inlineStr">
        <is>
          <t>시각</t>
        </is>
      </c>
      <c r="B21" s="21" t="inlineStr">
        <is>
          <t>ForkJoinPool-7-worker-1</t>
        </is>
      </c>
      <c r="C21" s="21" t="inlineStr">
        <is>
          <t>ForkJoinPool-7-worker-2</t>
        </is>
      </c>
      <c r="D21" s="21" t="inlineStr">
        <is>
          <t>ForkJoinPool-7-worker-3</t>
        </is>
      </c>
      <c r="E21" s="21" t="inlineStr">
        <is>
          <t>ForkJoinPool-7-worker-4</t>
        </is>
      </c>
      <c r="F21" s="21" t="inlineStr">
        <is>
          <t>ForkJoinPool-7-worker-5</t>
        </is>
      </c>
      <c r="G21" s="21" t="inlineStr">
        <is>
          <t>ForkJoinPool-7-worker-6</t>
        </is>
      </c>
      <c r="H21" s="21" t="inlineStr">
        <is>
          <t>main</t>
        </is>
      </c>
      <c r="O21" s="25">
        <f>'클럭 정리'!A22</f>
        <v/>
      </c>
      <c r="P21" s="23">
        <f>'클럭 정리'!O22</f>
        <v/>
      </c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4" t="n"/>
      <c r="BK21" s="24" t="n"/>
      <c r="BL21" s="24" t="n"/>
      <c r="BM21" s="24" t="n"/>
      <c r="BN21" s="24" t="n"/>
      <c r="BO21" s="24" t="n"/>
      <c r="BP21" s="24" t="n"/>
      <c r="BQ21" s="24" t="n"/>
      <c r="BR21" s="24" t="n"/>
      <c r="BS21" s="24" t="n"/>
      <c r="BT21" s="24" t="n"/>
      <c r="BU21" s="24" t="n"/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</row>
    <row r="22">
      <c r="A22" s="22">
        <f>'클럭 정리'!A40</f>
        <v/>
      </c>
      <c r="B22" s="23">
        <f>'클럭 정리'!O40</f>
        <v/>
      </c>
      <c r="C22" s="23">
        <f>'클럭 정리'!O40</f>
        <v/>
      </c>
      <c r="D22" s="23">
        <f>'클럭 정리'!O40</f>
        <v/>
      </c>
      <c r="E22" s="24" t="n"/>
      <c r="F22" s="23">
        <f>'클럭 정리'!O40</f>
        <v/>
      </c>
      <c r="G22" s="23">
        <f>'클럭 정리'!O40</f>
        <v/>
      </c>
      <c r="H22" s="23">
        <f>'클럭 정리'!O40</f>
        <v/>
      </c>
      <c r="O22" s="25">
        <f>'클럭 정리'!A23</f>
        <v/>
      </c>
      <c r="P22" s="23">
        <f>'클럭 정리'!O23</f>
        <v/>
      </c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>
      <c r="O23" s="25">
        <f>'클럭 정리'!A24</f>
        <v/>
      </c>
      <c r="P23" s="23">
        <f>'클럭 정리'!O24</f>
        <v/>
      </c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</row>
    <row r="24">
      <c r="A24" s="2" t="inlineStr">
        <is>
          <t>병렬도 12 분할 5 측정 1회차 (스레드별 클럭, GHz)</t>
        </is>
      </c>
      <c r="O24" s="25">
        <f>'클럭 정리'!A25</f>
        <v/>
      </c>
      <c r="P24" s="23">
        <f>'클럭 정리'!O25</f>
        <v/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>
      <c r="A25" s="21" t="inlineStr">
        <is>
          <t>시각</t>
        </is>
      </c>
      <c r="B25" s="21" t="inlineStr">
        <is>
          <t>ForkJoinPool-11-worker-1</t>
        </is>
      </c>
      <c r="C25" s="21" t="inlineStr">
        <is>
          <t>ForkJoinPool-11-worker-11</t>
        </is>
      </c>
      <c r="D25" s="21" t="inlineStr">
        <is>
          <t>ForkJoinPool-11-worker-12</t>
        </is>
      </c>
      <c r="E25" s="21" t="inlineStr">
        <is>
          <t>ForkJoinPool-11-worker-2</t>
        </is>
      </c>
      <c r="F25" s="21" t="inlineStr">
        <is>
          <t>ForkJoinPool-11-worker-3</t>
        </is>
      </c>
      <c r="G25" s="21" t="inlineStr">
        <is>
          <t>ForkJoinPool-11-worker-4</t>
        </is>
      </c>
      <c r="H25" s="21" t="inlineStr">
        <is>
          <t>ForkJoinPool-11-worker-5</t>
        </is>
      </c>
      <c r="I25" s="21" t="inlineStr">
        <is>
          <t>ForkJoinPool-11-worker-7</t>
        </is>
      </c>
      <c r="J25" s="21" t="inlineStr">
        <is>
          <t>ForkJoinPool-11-worker-9</t>
        </is>
      </c>
      <c r="K25" s="21" t="inlineStr">
        <is>
          <t>main</t>
        </is>
      </c>
      <c r="O25" s="25">
        <f>'클럭 정리'!A26</f>
        <v/>
      </c>
      <c r="P25" s="23">
        <f>'클럭 정리'!O26</f>
        <v/>
      </c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</row>
    <row r="26">
      <c r="A26" s="22">
        <f>'클럭 정리'!A45</f>
        <v/>
      </c>
      <c r="B26" s="23">
        <f>'클럭 정리'!O45</f>
        <v/>
      </c>
      <c r="C26" s="23">
        <f>'클럭 정리'!O45</f>
        <v/>
      </c>
      <c r="D26" s="23">
        <f>'클럭 정리'!O45</f>
        <v/>
      </c>
      <c r="E26" s="24" t="n"/>
      <c r="F26" s="24" t="n"/>
      <c r="G26" s="23">
        <f>'클럭 정리'!O45</f>
        <v/>
      </c>
      <c r="H26" s="24" t="n"/>
      <c r="I26" s="24" t="n"/>
      <c r="J26" s="23">
        <f>'클럭 정리'!O45</f>
        <v/>
      </c>
      <c r="K26" s="23">
        <f>'클럭 정리'!O45</f>
        <v/>
      </c>
      <c r="O26" s="25">
        <f>'클럭 정리'!A27</f>
        <v/>
      </c>
      <c r="P26" s="23">
        <f>'클럭 정리'!O27</f>
        <v/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>
      <c r="A27" s="22">
        <f>'클럭 정리'!A46</f>
        <v/>
      </c>
      <c r="B27" s="23">
        <f>'클럭 정리'!O46</f>
        <v/>
      </c>
      <c r="C27" s="23">
        <f>'클럭 정리'!O46</f>
        <v/>
      </c>
      <c r="D27" s="23">
        <f>'클럭 정리'!O46</f>
        <v/>
      </c>
      <c r="E27" s="24" t="n"/>
      <c r="F27" s="24" t="n"/>
      <c r="G27" s="23">
        <f>'클럭 정리'!O46</f>
        <v/>
      </c>
      <c r="H27" s="24" t="n"/>
      <c r="I27" s="24" t="n"/>
      <c r="J27" s="23">
        <f>'클럭 정리'!O46</f>
        <v/>
      </c>
      <c r="K27" s="23">
        <f>'클럭 정리'!O46</f>
        <v/>
      </c>
      <c r="O27" s="25">
        <f>'클럭 정리'!A28</f>
        <v/>
      </c>
      <c r="P27" s="23">
        <f>'클럭 정리'!O28</f>
        <v/>
      </c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</row>
    <row r="28">
      <c r="O28" s="25">
        <f>'클럭 정리'!A29</f>
        <v/>
      </c>
      <c r="P28" s="23">
        <f>'클럭 정리'!O29</f>
        <v/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>
      <c r="A29" s="2" t="inlineStr">
        <is>
          <t>병렬도 12 분할 5 측정 2회차 (스레드별 클럭, GHz)</t>
        </is>
      </c>
      <c r="O29" s="25">
        <f>'클럭 정리'!A30</f>
        <v/>
      </c>
      <c r="P29" s="23">
        <f>'클럭 정리'!O30</f>
        <v/>
      </c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</row>
    <row r="30">
      <c r="A30" s="21" t="inlineStr">
        <is>
          <t>시각</t>
        </is>
      </c>
      <c r="B30" s="21" t="inlineStr">
        <is>
          <t>ForkJoinPool-12-worker-1</t>
        </is>
      </c>
      <c r="C30" s="21" t="inlineStr">
        <is>
          <t>ForkJoinPool-12-worker-12</t>
        </is>
      </c>
      <c r="D30" s="21" t="inlineStr">
        <is>
          <t>ForkJoinPool-12-worker-2</t>
        </is>
      </c>
      <c r="E30" s="21" t="inlineStr">
        <is>
          <t>ForkJoinPool-12-worker-3</t>
        </is>
      </c>
      <c r="F30" s="21" t="inlineStr">
        <is>
          <t>ForkJoinPool-12-worker-4</t>
        </is>
      </c>
      <c r="G30" s="21" t="inlineStr">
        <is>
          <t>ForkJoinPool-12-worker-5</t>
        </is>
      </c>
      <c r="H30" s="21" t="inlineStr">
        <is>
          <t>ForkJoinPool-12-worker-7</t>
        </is>
      </c>
      <c r="I30" s="21" t="inlineStr">
        <is>
          <t>ForkJoinPool-12-worker-8</t>
        </is>
      </c>
      <c r="J30" s="21" t="inlineStr">
        <is>
          <t>ForkJoinPool-12-worker-9</t>
        </is>
      </c>
      <c r="K30" s="21" t="inlineStr">
        <is>
          <t>main</t>
        </is>
      </c>
      <c r="O30" s="25">
        <f>'클럭 정리'!A31</f>
        <v/>
      </c>
      <c r="P30" s="23">
        <f>'클럭 정리'!O31</f>
        <v/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>
      <c r="A31" s="22">
        <f>'클럭 정리'!A47</f>
        <v/>
      </c>
      <c r="B31" s="23">
        <f>'클럭 정리'!O47</f>
        <v/>
      </c>
      <c r="C31" s="23">
        <f>'클럭 정리'!O47</f>
        <v/>
      </c>
      <c r="D31" s="24" t="n"/>
      <c r="E31" s="24" t="n"/>
      <c r="F31" s="24" t="n"/>
      <c r="G31" s="24" t="n"/>
      <c r="H31" s="23">
        <f>'클럭 정리'!O47</f>
        <v/>
      </c>
      <c r="I31" s="23">
        <f>'클럭 정리'!O47</f>
        <v/>
      </c>
      <c r="J31" s="23">
        <f>'클럭 정리'!O47</f>
        <v/>
      </c>
      <c r="K31" s="23">
        <f>'클럭 정리'!O47</f>
        <v/>
      </c>
      <c r="O31" s="25">
        <f>'클럭 정리'!A32</f>
        <v/>
      </c>
      <c r="P31" s="23">
        <f>'클럭 정리'!O32</f>
        <v/>
      </c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</row>
    <row r="32">
      <c r="O32" s="25">
        <f>'클럭 정리'!A33</f>
        <v/>
      </c>
      <c r="P32" s="23">
        <f>'클럭 정리'!O33</f>
        <v/>
      </c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>
      <c r="A33" s="2" t="inlineStr">
        <is>
          <t>병렬도 12 분할 5 측정 3회차 (스레드별 클럭, GHz)</t>
        </is>
      </c>
      <c r="O33" s="25">
        <f>'클럭 정리'!A34</f>
        <v/>
      </c>
      <c r="P33" s="23">
        <f>'클럭 정리'!O34</f>
        <v/>
      </c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</row>
    <row r="34">
      <c r="A34" s="21" t="inlineStr">
        <is>
          <t>시각</t>
        </is>
      </c>
      <c r="B34" s="21" t="inlineStr">
        <is>
          <t>ForkJoinPool-13-worker-1</t>
        </is>
      </c>
      <c r="C34" s="21" t="inlineStr">
        <is>
          <t>ForkJoinPool-13-worker-10</t>
        </is>
      </c>
      <c r="D34" s="21" t="inlineStr">
        <is>
          <t>ForkJoinPool-13-worker-11</t>
        </is>
      </c>
      <c r="E34" s="21" t="inlineStr">
        <is>
          <t>ForkJoinPool-13-worker-12</t>
        </is>
      </c>
      <c r="F34" s="21" t="inlineStr">
        <is>
          <t>ForkJoinPool-13-worker-2</t>
        </is>
      </c>
      <c r="G34" s="21" t="inlineStr">
        <is>
          <t>ForkJoinPool-13-worker-3</t>
        </is>
      </c>
      <c r="H34" s="21" t="inlineStr">
        <is>
          <t>ForkJoinPool-13-worker-4</t>
        </is>
      </c>
      <c r="I34" s="21" t="inlineStr">
        <is>
          <t>ForkJoinPool-13-worker-5</t>
        </is>
      </c>
      <c r="J34" s="21" t="inlineStr">
        <is>
          <t>ForkJoinPool-13-worker-7</t>
        </is>
      </c>
      <c r="K34" s="21" t="inlineStr">
        <is>
          <t>ForkJoinPool-13-worker-8</t>
        </is>
      </c>
      <c r="L34" s="21" t="inlineStr">
        <is>
          <t>ForkJoinPool-13-worker-9</t>
        </is>
      </c>
      <c r="M34" s="21" t="inlineStr">
        <is>
          <t>main</t>
        </is>
      </c>
      <c r="O34" s="25">
        <f>'클럭 정리'!A35</f>
        <v/>
      </c>
      <c r="P34" s="23">
        <f>'클럭 정리'!O35</f>
        <v/>
      </c>
      <c r="Q34" s="23">
        <f>'클럭 정리'!O35</f>
        <v/>
      </c>
      <c r="R34" s="23">
        <f>'클럭 정리'!O35</f>
        <v/>
      </c>
      <c r="S34" s="23">
        <f>'클럭 정리'!O35</f>
        <v/>
      </c>
      <c r="T34" s="24" t="n"/>
      <c r="U34" s="23">
        <f>'클럭 정리'!O35</f>
        <v/>
      </c>
      <c r="V34" s="23">
        <f>'클럭 정리'!O35</f>
        <v/>
      </c>
      <c r="W34" s="23">
        <f>'클럭 정리'!O35</f>
        <v/>
      </c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>
      <c r="A35" s="22">
        <f>'클럭 정리'!A48</f>
        <v/>
      </c>
      <c r="B35" s="23">
        <f>'클럭 정리'!O48</f>
        <v/>
      </c>
      <c r="C35" s="23">
        <f>'클럭 정리'!O48</f>
        <v/>
      </c>
      <c r="D35" s="23">
        <f>'클럭 정리'!O48</f>
        <v/>
      </c>
      <c r="E35" s="23">
        <f>'클럭 정리'!O48</f>
        <v/>
      </c>
      <c r="F35" s="23">
        <f>'클럭 정리'!O48</f>
        <v/>
      </c>
      <c r="G35" s="24" t="n"/>
      <c r="H35" s="24" t="n"/>
      <c r="I35" s="24" t="n"/>
      <c r="J35" s="24" t="n"/>
      <c r="K35" s="24" t="n"/>
      <c r="L35" s="24" t="n"/>
      <c r="M35" s="23">
        <f>'클럭 정리'!O48</f>
        <v/>
      </c>
      <c r="O35" s="25">
        <f>'클럭 정리'!A36</f>
        <v/>
      </c>
      <c r="P35" s="23">
        <f>'클럭 정리'!O36</f>
        <v/>
      </c>
      <c r="Q35" s="24" t="n"/>
      <c r="R35" s="24" t="n"/>
      <c r="S35" s="24" t="n"/>
      <c r="T35" s="24" t="n"/>
      <c r="U35" s="24" t="n"/>
      <c r="V35" s="24" t="n"/>
      <c r="W35" s="23">
        <f>'클럭 정리'!O36</f>
        <v/>
      </c>
      <c r="X35" s="23">
        <f>'클럭 정리'!O36</f>
        <v/>
      </c>
      <c r="Y35" s="23">
        <f>'클럭 정리'!O36</f>
        <v/>
      </c>
      <c r="Z35" s="23">
        <f>'클럭 정리'!O36</f>
        <v/>
      </c>
      <c r="AA35" s="23">
        <f>'클럭 정리'!O36</f>
        <v/>
      </c>
      <c r="AB35" s="23">
        <f>'클럭 정리'!O36</f>
        <v/>
      </c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</row>
    <row r="36">
      <c r="O36" s="25">
        <f>'클럭 정리'!A37</f>
        <v/>
      </c>
      <c r="P36" s="23">
        <f>'클럭 정리'!O37</f>
        <v/>
      </c>
      <c r="Q36" s="24" t="n"/>
      <c r="R36" s="24" t="n"/>
      <c r="S36" s="24" t="n"/>
      <c r="T36" s="24" t="n"/>
      <c r="U36" s="24" t="n"/>
      <c r="V36" s="24" t="n"/>
      <c r="W36" s="23">
        <f>'클럭 정리'!O37</f>
        <v/>
      </c>
      <c r="X36" s="24" t="n"/>
      <c r="Y36" s="24" t="n"/>
      <c r="Z36" s="24" t="n"/>
      <c r="AA36" s="24" t="n"/>
      <c r="AB36" s="24" t="n"/>
      <c r="AC36" s="23">
        <f>'클럭 정리'!O37</f>
        <v/>
      </c>
      <c r="AD36" s="23">
        <f>'클럭 정리'!O37</f>
        <v/>
      </c>
      <c r="AE36" s="23">
        <f>'클럭 정리'!O37</f>
        <v/>
      </c>
      <c r="AF36" s="23">
        <f>'클럭 정리'!O37</f>
        <v/>
      </c>
      <c r="AG36" s="23">
        <f>'클럭 정리'!O37</f>
        <v/>
      </c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>
      <c r="A37" s="2" t="inlineStr">
        <is>
          <t>병렬도 12 분할 5 측정 4회차 (스레드별 클럭, GHz)</t>
        </is>
      </c>
      <c r="O37" s="25">
        <f>'클럭 정리'!A38</f>
        <v/>
      </c>
      <c r="P37" s="23">
        <f>'클럭 정리'!O38</f>
        <v/>
      </c>
      <c r="Q37" s="24" t="n"/>
      <c r="R37" s="24" t="n"/>
      <c r="S37" s="24" t="n"/>
      <c r="T37" s="24" t="n"/>
      <c r="U37" s="24" t="n"/>
      <c r="V37" s="24" t="n"/>
      <c r="W37" s="23">
        <f>'클럭 정리'!O38</f>
        <v/>
      </c>
      <c r="X37" s="24" t="n"/>
      <c r="Y37" s="24" t="n"/>
      <c r="Z37" s="24" t="n"/>
      <c r="AA37" s="24" t="n"/>
      <c r="AB37" s="24" t="n"/>
      <c r="AC37" s="23">
        <f>'클럭 정리'!O38</f>
        <v/>
      </c>
      <c r="AD37" s="23">
        <f>'클럭 정리'!O38</f>
        <v/>
      </c>
      <c r="AE37" s="23">
        <f>'클럭 정리'!O38</f>
        <v/>
      </c>
      <c r="AF37" s="23">
        <f>'클럭 정리'!O38</f>
        <v/>
      </c>
      <c r="AG37" s="23">
        <f>'클럭 정리'!O38</f>
        <v/>
      </c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</row>
    <row r="38">
      <c r="A38" s="21" t="inlineStr">
        <is>
          <t>시각</t>
        </is>
      </c>
      <c r="B38" s="21" t="inlineStr">
        <is>
          <t>ForkJoinPool-14-worker-1</t>
        </is>
      </c>
      <c r="C38" s="21" t="inlineStr">
        <is>
          <t>ForkJoinPool-14-worker-10</t>
        </is>
      </c>
      <c r="D38" s="21" t="inlineStr">
        <is>
          <t>ForkJoinPool-14-worker-11</t>
        </is>
      </c>
      <c r="E38" s="21" t="inlineStr">
        <is>
          <t>ForkJoinPool-14-worker-12</t>
        </is>
      </c>
      <c r="F38" s="21" t="inlineStr">
        <is>
          <t>ForkJoinPool-14-worker-2</t>
        </is>
      </c>
      <c r="G38" s="21" t="inlineStr">
        <is>
          <t>ForkJoinPool-14-worker-3</t>
        </is>
      </c>
      <c r="H38" s="21" t="inlineStr">
        <is>
          <t>ForkJoinPool-14-worker-4</t>
        </is>
      </c>
      <c r="I38" s="21" t="inlineStr">
        <is>
          <t>ForkJoinPool-14-worker-5</t>
        </is>
      </c>
      <c r="J38" s="21" t="inlineStr">
        <is>
          <t>ForkJoinPool-14-worker-6</t>
        </is>
      </c>
      <c r="K38" s="21" t="inlineStr">
        <is>
          <t>ForkJoinPool-14-worker-7</t>
        </is>
      </c>
      <c r="L38" s="21" t="inlineStr">
        <is>
          <t>ForkJoinPool-14-worker-9</t>
        </is>
      </c>
      <c r="M38" s="21" t="inlineStr">
        <is>
          <t>main</t>
        </is>
      </c>
      <c r="O38" s="25">
        <f>'클럭 정리'!A39</f>
        <v/>
      </c>
      <c r="P38" s="23">
        <f>'클럭 정리'!O39</f>
        <v/>
      </c>
      <c r="Q38" s="24" t="n"/>
      <c r="R38" s="24" t="n"/>
      <c r="S38" s="24" t="n"/>
      <c r="T38" s="24" t="n"/>
      <c r="U38" s="24" t="n"/>
      <c r="V38" s="24" t="n"/>
      <c r="W38" s="23">
        <f>'클럭 정리'!O39</f>
        <v/>
      </c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3">
        <f>'클럭 정리'!O39</f>
        <v/>
      </c>
      <c r="AI38" s="23">
        <f>'클럭 정리'!O39</f>
        <v/>
      </c>
      <c r="AJ38" s="23">
        <f>'클럭 정리'!O39</f>
        <v/>
      </c>
      <c r="AK38" s="23">
        <f>'클럭 정리'!O39</f>
        <v/>
      </c>
      <c r="AL38" s="23">
        <f>'클럭 정리'!O39</f>
        <v/>
      </c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</row>
    <row r="39">
      <c r="A39" s="22">
        <f>'클럭 정리'!A49</f>
        <v/>
      </c>
      <c r="B39" s="23">
        <f>'클럭 정리'!O49</f>
        <v/>
      </c>
      <c r="C39" s="24" t="n"/>
      <c r="D39" s="23">
        <f>'클럭 정리'!O49</f>
        <v/>
      </c>
      <c r="E39" s="23">
        <f>'클럭 정리'!O49</f>
        <v/>
      </c>
      <c r="F39" s="24" t="n"/>
      <c r="G39" s="24" t="n"/>
      <c r="H39" s="24" t="n"/>
      <c r="I39" s="23">
        <f>'클럭 정리'!O49</f>
        <v/>
      </c>
      <c r="J39" s="24" t="n"/>
      <c r="K39" s="24" t="n"/>
      <c r="L39" s="23">
        <f>'클럭 정리'!O49</f>
        <v/>
      </c>
      <c r="M39" s="23">
        <f>'클럭 정리'!O49</f>
        <v/>
      </c>
      <c r="O39" s="25">
        <f>'클럭 정리'!A40</f>
        <v/>
      </c>
      <c r="P39" s="23">
        <f>'클럭 정리'!O40</f>
        <v/>
      </c>
      <c r="Q39" s="24" t="n"/>
      <c r="R39" s="24" t="n"/>
      <c r="S39" s="24" t="n"/>
      <c r="T39" s="24" t="n"/>
      <c r="U39" s="24" t="n"/>
      <c r="V39" s="24" t="n"/>
      <c r="W39" s="23">
        <f>'클럭 정리'!O40</f>
        <v/>
      </c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3">
        <f>'클럭 정리'!O40</f>
        <v/>
      </c>
      <c r="AN39" s="23">
        <f>'클럭 정리'!O40</f>
        <v/>
      </c>
      <c r="AO39" s="23">
        <f>'클럭 정리'!O40</f>
        <v/>
      </c>
      <c r="AP39" s="24" t="n"/>
      <c r="AQ39" s="23">
        <f>'클럭 정리'!O40</f>
        <v/>
      </c>
      <c r="AR39" s="23">
        <f>'클럭 정리'!O40</f>
        <v/>
      </c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</row>
    <row r="40">
      <c r="A40" s="22">
        <f>'클럭 정리'!A50</f>
        <v/>
      </c>
      <c r="B40" s="23">
        <f>'클럭 정리'!O50</f>
        <v/>
      </c>
      <c r="C40" s="24" t="n"/>
      <c r="D40" s="23">
        <f>'클럭 정리'!O50</f>
        <v/>
      </c>
      <c r="E40" s="23">
        <f>'클럭 정리'!O50</f>
        <v/>
      </c>
      <c r="F40" s="24" t="n"/>
      <c r="G40" s="24" t="n"/>
      <c r="H40" s="24" t="n"/>
      <c r="I40" s="23">
        <f>'클럭 정리'!O50</f>
        <v/>
      </c>
      <c r="J40" s="24" t="n"/>
      <c r="K40" s="24" t="n"/>
      <c r="L40" s="23">
        <f>'클럭 정리'!O50</f>
        <v/>
      </c>
      <c r="M40" s="23">
        <f>'클럭 정리'!O50</f>
        <v/>
      </c>
      <c r="O40" s="25">
        <f>'클럭 정리'!A41</f>
        <v/>
      </c>
      <c r="P40" s="23">
        <f>'클럭 정리'!O41</f>
        <v/>
      </c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</row>
    <row r="41">
      <c r="O41" s="25">
        <f>'클럭 정리'!A42</f>
        <v/>
      </c>
      <c r="P41" s="23">
        <f>'클럭 정리'!O42</f>
        <v/>
      </c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</row>
    <row r="42">
      <c r="A42" s="2" t="inlineStr">
        <is>
          <t>병렬도 12 분할 5 측정 5회차 (스레드별 클럭, GHz)</t>
        </is>
      </c>
      <c r="O42" s="25">
        <f>'클럭 정리'!A43</f>
        <v/>
      </c>
      <c r="P42" s="23">
        <f>'클럭 정리'!O43</f>
        <v/>
      </c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</row>
    <row r="43">
      <c r="A43" s="21" t="inlineStr">
        <is>
          <t>시각</t>
        </is>
      </c>
      <c r="B43" s="21" t="inlineStr">
        <is>
          <t>ForkJoinPool-15-worker-1</t>
        </is>
      </c>
      <c r="C43" s="21" t="inlineStr">
        <is>
          <t>ForkJoinPool-15-worker-10</t>
        </is>
      </c>
      <c r="D43" s="21" t="inlineStr">
        <is>
          <t>ForkJoinPool-15-worker-11</t>
        </is>
      </c>
      <c r="E43" s="21" t="inlineStr">
        <is>
          <t>ForkJoinPool-15-worker-12</t>
        </is>
      </c>
      <c r="F43" s="21" t="inlineStr">
        <is>
          <t>ForkJoinPool-15-worker-2</t>
        </is>
      </c>
      <c r="G43" s="21" t="inlineStr">
        <is>
          <t>ForkJoinPool-15-worker-3</t>
        </is>
      </c>
      <c r="H43" s="21" t="inlineStr">
        <is>
          <t>ForkJoinPool-15-worker-4</t>
        </is>
      </c>
      <c r="I43" s="21" t="inlineStr">
        <is>
          <t>ForkJoinPool-15-worker-5</t>
        </is>
      </c>
      <c r="J43" s="21" t="inlineStr">
        <is>
          <t>ForkJoinPool-15-worker-7</t>
        </is>
      </c>
      <c r="K43" s="21" t="inlineStr">
        <is>
          <t>ForkJoinPool-15-worker-8</t>
        </is>
      </c>
      <c r="L43" s="21" t="inlineStr">
        <is>
          <t>ForkJoinPool-15-worker-9</t>
        </is>
      </c>
      <c r="M43" s="21" t="inlineStr">
        <is>
          <t>main</t>
        </is>
      </c>
      <c r="O43" s="25">
        <f>'클럭 정리'!A44</f>
        <v/>
      </c>
      <c r="P43" s="23">
        <f>'클럭 정리'!O44</f>
        <v/>
      </c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 t="n"/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</row>
    <row r="44">
      <c r="A44" s="22">
        <f>'클럭 정리'!A51</f>
        <v/>
      </c>
      <c r="B44" s="24" t="n"/>
      <c r="C44" s="24" t="n"/>
      <c r="D44" s="23">
        <f>'클럭 정리'!O51</f>
        <v/>
      </c>
      <c r="E44" s="23">
        <f>'클럭 정리'!O51</f>
        <v/>
      </c>
      <c r="F44" s="23">
        <f>'클럭 정리'!O51</f>
        <v/>
      </c>
      <c r="G44" s="24" t="n"/>
      <c r="H44" s="24" t="n"/>
      <c r="I44" s="23">
        <f>'클럭 정리'!O51</f>
        <v/>
      </c>
      <c r="J44" s="24" t="n"/>
      <c r="K44" s="24" t="n"/>
      <c r="L44" s="23">
        <f>'클럭 정리'!O51</f>
        <v/>
      </c>
      <c r="M44" s="23">
        <f>'클럭 정리'!O51</f>
        <v/>
      </c>
      <c r="O44" s="25">
        <f>'클럭 정리'!A45</f>
        <v/>
      </c>
      <c r="P44" s="23">
        <f>'클럭 정리'!O45</f>
        <v/>
      </c>
      <c r="Q44" s="24" t="n"/>
      <c r="R44" s="24" t="n"/>
      <c r="S44" s="24" t="n"/>
      <c r="T44" s="24" t="n"/>
      <c r="U44" s="24" t="n"/>
      <c r="V44" s="24" t="n"/>
      <c r="W44" s="23">
        <f>'클럭 정리'!O45</f>
        <v/>
      </c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3">
        <f>'클럭 정리'!O45</f>
        <v/>
      </c>
      <c r="AT44" s="23">
        <f>'클럭 정리'!O45</f>
        <v/>
      </c>
      <c r="AU44" s="23">
        <f>'클럭 정리'!O45</f>
        <v/>
      </c>
      <c r="AV44" s="24" t="n"/>
      <c r="AW44" s="24" t="n"/>
      <c r="AX44" s="23">
        <f>'클럭 정리'!O45</f>
        <v/>
      </c>
      <c r="AY44" s="24" t="n"/>
      <c r="AZ44" s="24" t="n"/>
      <c r="BA44" s="23">
        <f>'클럭 정리'!O45</f>
        <v/>
      </c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</row>
    <row r="45">
      <c r="O45" s="25">
        <f>'클럭 정리'!A46</f>
        <v/>
      </c>
      <c r="P45" s="23">
        <f>'클럭 정리'!O46</f>
        <v/>
      </c>
      <c r="Q45" s="24" t="n"/>
      <c r="R45" s="24" t="n"/>
      <c r="S45" s="24" t="n"/>
      <c r="T45" s="24" t="n"/>
      <c r="U45" s="24" t="n"/>
      <c r="V45" s="24" t="n"/>
      <c r="W45" s="23">
        <f>'클럭 정리'!O46</f>
        <v/>
      </c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3">
        <f>'클럭 정리'!O46</f>
        <v/>
      </c>
      <c r="AT45" s="23">
        <f>'클럭 정리'!O46</f>
        <v/>
      </c>
      <c r="AU45" s="23">
        <f>'클럭 정리'!O46</f>
        <v/>
      </c>
      <c r="AV45" s="24" t="n"/>
      <c r="AW45" s="24" t="n"/>
      <c r="AX45" s="23">
        <f>'클럭 정리'!O46</f>
        <v/>
      </c>
      <c r="AY45" s="24" t="n"/>
      <c r="AZ45" s="24" t="n"/>
      <c r="BA45" s="23">
        <f>'클럭 정리'!O46</f>
        <v/>
      </c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</row>
    <row r="46">
      <c r="O46" s="25">
        <f>'클럭 정리'!A47</f>
        <v/>
      </c>
      <c r="P46" s="23">
        <f>'클럭 정리'!O47</f>
        <v/>
      </c>
      <c r="Q46" s="24" t="n"/>
      <c r="R46" s="24" t="n"/>
      <c r="S46" s="24" t="n"/>
      <c r="T46" s="24" t="n"/>
      <c r="U46" s="24" t="n"/>
      <c r="V46" s="24" t="n"/>
      <c r="W46" s="23">
        <f>'클럭 정리'!O47</f>
        <v/>
      </c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3">
        <f>'클럭 정리'!O47</f>
        <v/>
      </c>
      <c r="BC46" s="23">
        <f>'클럭 정리'!O47</f>
        <v/>
      </c>
      <c r="BD46" s="24" t="n"/>
      <c r="BE46" s="24" t="n"/>
      <c r="BF46" s="24" t="n"/>
      <c r="BG46" s="24" t="n"/>
      <c r="BH46" s="23">
        <f>'클럭 정리'!O47</f>
        <v/>
      </c>
      <c r="BI46" s="23">
        <f>'클럭 정리'!O47</f>
        <v/>
      </c>
      <c r="BJ46" s="23">
        <f>'클럭 정리'!O47</f>
        <v/>
      </c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</row>
    <row r="47">
      <c r="O47" s="25">
        <f>'클럭 정리'!A48</f>
        <v/>
      </c>
      <c r="P47" s="23">
        <f>'클럭 정리'!O48</f>
        <v/>
      </c>
      <c r="Q47" s="24" t="n"/>
      <c r="R47" s="24" t="n"/>
      <c r="S47" s="24" t="n"/>
      <c r="T47" s="24" t="n"/>
      <c r="U47" s="24" t="n"/>
      <c r="V47" s="24" t="n"/>
      <c r="W47" s="23">
        <f>'클럭 정리'!O48</f>
        <v/>
      </c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3">
        <f>'클럭 정리'!O48</f>
        <v/>
      </c>
      <c r="BL47" s="23">
        <f>'클럭 정리'!O48</f>
        <v/>
      </c>
      <c r="BM47" s="23">
        <f>'클럭 정리'!O48</f>
        <v/>
      </c>
      <c r="BN47" s="23">
        <f>'클럭 정리'!O48</f>
        <v/>
      </c>
      <c r="BO47" s="23">
        <f>'클럭 정리'!O48</f>
        <v/>
      </c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</row>
    <row r="48">
      <c r="O48" s="25">
        <f>'클럭 정리'!A49</f>
        <v/>
      </c>
      <c r="P48" s="23">
        <f>'클럭 정리'!O49</f>
        <v/>
      </c>
      <c r="Q48" s="24" t="n"/>
      <c r="R48" s="24" t="n"/>
      <c r="S48" s="24" t="n"/>
      <c r="T48" s="24" t="n"/>
      <c r="U48" s="24" t="n"/>
      <c r="V48" s="24" t="n"/>
      <c r="W48" s="23">
        <f>'클럭 정리'!O49</f>
        <v/>
      </c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3">
        <f>'클럭 정리'!O49</f>
        <v/>
      </c>
      <c r="BW48" s="24" t="n"/>
      <c r="BX48" s="23">
        <f>'클럭 정리'!O49</f>
        <v/>
      </c>
      <c r="BY48" s="23">
        <f>'클럭 정리'!O49</f>
        <v/>
      </c>
      <c r="BZ48" s="24" t="n"/>
      <c r="CA48" s="24" t="n"/>
      <c r="CB48" s="24" t="n"/>
      <c r="CC48" s="23">
        <f>'클럭 정리'!O49</f>
        <v/>
      </c>
      <c r="CD48" s="24" t="n"/>
      <c r="CE48" s="24" t="n"/>
      <c r="CF48" s="23">
        <f>'클럭 정리'!O49</f>
        <v/>
      </c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</row>
    <row r="49">
      <c r="O49" s="25">
        <f>'클럭 정리'!A50</f>
        <v/>
      </c>
      <c r="P49" s="23">
        <f>'클럭 정리'!O50</f>
        <v/>
      </c>
      <c r="Q49" s="24" t="n"/>
      <c r="R49" s="24" t="n"/>
      <c r="S49" s="24" t="n"/>
      <c r="T49" s="24" t="n"/>
      <c r="U49" s="24" t="n"/>
      <c r="V49" s="24" t="n"/>
      <c r="W49" s="23">
        <f>'클럭 정리'!O50</f>
        <v/>
      </c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3">
        <f>'클럭 정리'!O50</f>
        <v/>
      </c>
      <c r="BW49" s="24" t="n"/>
      <c r="BX49" s="23">
        <f>'클럭 정리'!O50</f>
        <v/>
      </c>
      <c r="BY49" s="23">
        <f>'클럭 정리'!O50</f>
        <v/>
      </c>
      <c r="BZ49" s="24" t="n"/>
      <c r="CA49" s="24" t="n"/>
      <c r="CB49" s="24" t="n"/>
      <c r="CC49" s="23">
        <f>'클럭 정리'!O50</f>
        <v/>
      </c>
      <c r="CD49" s="24" t="n"/>
      <c r="CE49" s="24" t="n"/>
      <c r="CF49" s="23">
        <f>'클럭 정리'!O50</f>
        <v/>
      </c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</row>
    <row r="50">
      <c r="O50" s="25">
        <f>'클럭 정리'!A51</f>
        <v/>
      </c>
      <c r="P50" s="23">
        <f>'클럭 정리'!O51</f>
        <v/>
      </c>
      <c r="Q50" s="24" t="n"/>
      <c r="R50" s="24" t="n"/>
      <c r="S50" s="24" t="n"/>
      <c r="T50" s="24" t="n"/>
      <c r="U50" s="24" t="n"/>
      <c r="V50" s="24" t="n"/>
      <c r="W50" s="23">
        <f>'클럭 정리'!O51</f>
        <v/>
      </c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3">
        <f>'클럭 정리'!O51</f>
        <v/>
      </c>
      <c r="CJ50" s="23">
        <f>'클럭 정리'!O51</f>
        <v/>
      </c>
      <c r="CK50" s="23">
        <f>'클럭 정리'!O51</f>
        <v/>
      </c>
      <c r="CL50" s="24" t="n"/>
      <c r="CM50" s="24" t="n"/>
      <c r="CN50" s="23">
        <f>'클럭 정리'!O51</f>
        <v/>
      </c>
      <c r="CO50" s="24" t="n"/>
      <c r="CP50" s="24" t="n"/>
      <c r="CQ50" s="23">
        <f>'클럭 정리'!O51</f>
        <v/>
      </c>
    </row>
    <row r="51">
      <c r="O51" s="25">
        <f>'클럭 정리'!A52</f>
        <v/>
      </c>
      <c r="P51" s="23">
        <f>'클럭 정리'!O52</f>
        <v/>
      </c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</row>
    <row r="52">
      <c r="O52" s="25">
        <f>'클럭 정리'!A53</f>
        <v/>
      </c>
      <c r="P52" s="23">
        <f>'클럭 정리'!O53</f>
        <v/>
      </c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</row>
    <row r="53">
      <c r="O53" s="25">
        <f>'클럭 정리'!A54</f>
        <v/>
      </c>
      <c r="P53" s="23">
        <f>'클럭 정리'!O54</f>
        <v/>
      </c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</row>
    <row r="54">
      <c r="O54" s="25">
        <f>'클럭 정리'!A55</f>
        <v/>
      </c>
      <c r="P54" s="23">
        <f>'클럭 정리'!O55</f>
        <v/>
      </c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</row>
    <row r="55">
      <c r="O55" s="25">
        <f>'클럭 정리'!A56</f>
        <v/>
      </c>
      <c r="P55" s="23">
        <f>'클럭 정리'!O56</f>
        <v/>
      </c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</row>
    <row r="56">
      <c r="O56" s="25">
        <f>'클럭 정리'!A57</f>
        <v/>
      </c>
      <c r="P56" s="23">
        <f>'클럭 정리'!O57</f>
        <v/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</row>
    <row r="57">
      <c r="O57" s="25">
        <f>'클럭 정리'!A58</f>
        <v/>
      </c>
      <c r="P57" s="23">
        <f>'클럭 정리'!O58</f>
        <v/>
      </c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</row>
    <row r="58">
      <c r="O58" s="25">
        <f>'클럭 정리'!A59</f>
        <v/>
      </c>
      <c r="P58" s="23">
        <f>'클럭 정리'!O59</f>
        <v/>
      </c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</row>
    <row r="59">
      <c r="O59" s="25">
        <f>'클럭 정리'!A60</f>
        <v/>
      </c>
      <c r="P59" s="23">
        <f>'클럭 정리'!O60</f>
        <v/>
      </c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4" t="n"/>
      <c r="AW59" s="24" t="n"/>
      <c r="AX59" s="24" t="n"/>
      <c r="AY59" s="24" t="n"/>
      <c r="AZ59" s="24" t="n"/>
      <c r="BA59" s="24" t="n"/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2026-08-04T02:43:49Z</dcterms:created>
  <dcterms:modified xmlns:dcterms="http://purl.org/dc/terms/" xmlns:xsi="http://www.w3.org/2001/XMLSchema-instance" xsi:type="dcterms:W3CDTF">2026-08-04T02:43:49Z</dcterms:modified>
</cp:coreProperties>
</file>