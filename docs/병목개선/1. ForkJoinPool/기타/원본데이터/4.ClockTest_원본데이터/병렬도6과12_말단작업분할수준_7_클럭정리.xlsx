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데이터'!$O$5:$O$65</f>
            </numRef>
          </val>
        </ser>
        <ser>
          <idx val="1"/>
          <order val="1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데이터'!$P$5:$P$65</f>
            </numRef>
          </val>
        </ser>
        <ser>
          <idx val="2"/>
          <order val="2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데이터'!$Q$5:$Q$65</f>
            </numRef>
          </val>
        </ser>
        <ser>
          <idx val="3"/>
          <order val="3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데이터'!$R$5:$R$65</f>
            </numRef>
          </val>
        </ser>
        <ser>
          <idx val="4"/>
          <order val="4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데이터'!$S$5:$S$65</f>
            </numRef>
          </val>
        </ser>
        <ser>
          <idx val="5"/>
          <order val="5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데이터'!$T$5:$T$65</f>
            </numRef>
          </val>
        </ser>
        <ser>
          <idx val="6"/>
          <order val="6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데이터'!$U$5:$U$65</f>
            </numRef>
          </val>
        </ser>
        <ser>
          <idx val="7"/>
          <order val="7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데이터'!$V$5:$V$65</f>
            </numRef>
          </val>
        </ser>
        <ser>
          <idx val="8"/>
          <order val="8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데이터'!$W$5:$W$65</f>
            </numRef>
          </val>
        </ser>
        <ser>
          <idx val="9"/>
          <order val="9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데이터'!$X$5:$X$65</f>
            </numRef>
          </val>
        </ser>
        <ser>
          <idx val="10"/>
          <order val="10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데이터'!$Y$5:$Y$65</f>
            </numRef>
          </val>
        </ser>
        <ser>
          <idx val="11"/>
          <order val="11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데이터'!$Z$5:$Z$65</f>
            </numRef>
          </val>
        </ser>
        <ser>
          <idx val="12"/>
          <order val="12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데이터'!$AA$5:$AA$65</f>
            </numRef>
          </val>
        </ser>
        <ser>
          <idx val="13"/>
          <order val="13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데이터'!$AB$5:$AB$65</f>
            </numRef>
          </val>
        </ser>
        <ser>
          <idx val="14"/>
          <order val="14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데이터'!$AC$5:$AC$65</f>
            </numRef>
          </val>
        </ser>
        <ser>
          <idx val="15"/>
          <order val="15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데이터'!$AD$5:$AD$65</f>
            </numRef>
          </val>
        </ser>
        <ser>
          <idx val="16"/>
          <order val="16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데이터'!$AE$5:$AE$65</f>
            </numRef>
          </val>
        </ser>
        <ser>
          <idx val="17"/>
          <order val="17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데이터'!$AF$5:$AF$65</f>
            </numRef>
          </val>
        </ser>
        <ser>
          <idx val="18"/>
          <order val="18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데이터'!$AG$5:$AG$65</f>
            </numRef>
          </val>
        </ser>
        <ser>
          <idx val="19"/>
          <order val="19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데이터'!$AH$5:$AH$65</f>
            </numRef>
          </val>
        </ser>
        <ser>
          <idx val="20"/>
          <order val="20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데이터'!$AI$5:$AI$65</f>
            </numRef>
          </val>
        </ser>
        <ser>
          <idx val="21"/>
          <order val="21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데이터'!$AJ$5:$AJ$65</f>
            </numRef>
          </val>
        </ser>
        <ser>
          <idx val="22"/>
          <order val="22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데이터'!$AK$5:$AK$65</f>
            </numRef>
          </val>
        </ser>
        <ser>
          <idx val="23"/>
          <order val="23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데이터'!$AL$5:$AL$65</f>
            </numRef>
          </val>
        </ser>
        <ser>
          <idx val="24"/>
          <order val="24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데이터'!$AM$5:$AM$65</f>
            </numRef>
          </val>
        </ser>
        <ser>
          <idx val="25"/>
          <order val="25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데이터'!$AN$5:$AN$65</f>
            </numRef>
          </val>
        </ser>
        <ser>
          <idx val="26"/>
          <order val="26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데이터'!$AO$5:$AO$65</f>
            </numRef>
          </val>
        </ser>
        <ser>
          <idx val="27"/>
          <order val="27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데이터'!$AP$5:$AP$65</f>
            </numRef>
          </val>
        </ser>
        <ser>
          <idx val="28"/>
          <order val="28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데이터'!$AQ$5:$AQ$65</f>
            </numRef>
          </val>
        </ser>
        <ser>
          <idx val="29"/>
          <order val="29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데이터'!$AR$5:$AR$65</f>
            </numRef>
          </val>
        </ser>
        <ser>
          <idx val="30"/>
          <order val="30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데이터'!$AS$5:$AS$65</f>
            </numRef>
          </val>
        </ser>
        <ser>
          <idx val="31"/>
          <order val="31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데이터'!$AT$5:$AT$65</f>
            </numRef>
          </val>
        </ser>
        <ser>
          <idx val="32"/>
          <order val="32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데이터'!$AU$5:$AU$65</f>
            </numRef>
          </val>
        </ser>
        <ser>
          <idx val="33"/>
          <order val="33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데이터'!$AV$5:$AV$65</f>
            </numRef>
          </val>
        </ser>
        <ser>
          <idx val="34"/>
          <order val="34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데이터'!$AW$5:$AW$65</f>
            </numRef>
          </val>
        </ser>
        <ser>
          <idx val="35"/>
          <order val="35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데이터'!$AX$5:$AX$65</f>
            </numRef>
          </val>
        </ser>
        <ser>
          <idx val="36"/>
          <order val="36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데이터'!$AY$5:$AY$65</f>
            </numRef>
          </val>
        </ser>
        <ser>
          <idx val="37"/>
          <order val="37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데이터'!$AZ$5:$AZ$65</f>
            </numRef>
          </val>
        </ser>
        <ser>
          <idx val="38"/>
          <order val="38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데이터'!$BA$5:$BA$65</f>
            </numRef>
          </val>
        </ser>
        <ser>
          <idx val="39"/>
          <order val="39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데이터'!$BB$5:$BB$65</f>
            </numRef>
          </val>
        </ser>
        <ser>
          <idx val="40"/>
          <order val="40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데이터'!$BC$5:$BC$65</f>
            </numRef>
          </val>
        </ser>
        <ser>
          <idx val="41"/>
          <order val="41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데이터'!$BD$5:$BD$65</f>
            </numRef>
          </val>
        </ser>
        <ser>
          <idx val="42"/>
          <order val="42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데이터'!$BE$5:$BE$65</f>
            </numRef>
          </val>
        </ser>
        <ser>
          <idx val="43"/>
          <order val="43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데이터'!$BF$5:$BF$65</f>
            </numRef>
          </val>
        </ser>
        <ser>
          <idx val="44"/>
          <order val="44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데이터'!$BG$5:$BG$65</f>
            </numRef>
          </val>
        </ser>
        <ser>
          <idx val="45"/>
          <order val="45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데이터'!$BH$5:$BH$65</f>
            </numRef>
          </val>
        </ser>
        <ser>
          <idx val="46"/>
          <order val="46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데이터'!$BI$5:$BI$65</f>
            </numRef>
          </val>
        </ser>
        <ser>
          <idx val="47"/>
          <order val="47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데이터'!$BJ$5:$BJ$65</f>
            </numRef>
          </val>
        </ser>
        <ser>
          <idx val="48"/>
          <order val="48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데이터'!$BK$5:$BK$65</f>
            </numRef>
          </val>
        </ser>
        <ser>
          <idx val="49"/>
          <order val="49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데이터'!$BL$5:$BL$65</f>
            </numRef>
          </val>
        </ser>
        <ser>
          <idx val="50"/>
          <order val="50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데이터'!$BM$5:$BM$65</f>
            </numRef>
          </val>
        </ser>
        <ser>
          <idx val="51"/>
          <order val="51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데이터'!$BN$5:$BN$65</f>
            </numRef>
          </val>
        </ser>
        <ser>
          <idx val="52"/>
          <order val="52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데이터'!$BO$5:$BO$65</f>
            </numRef>
          </val>
        </ser>
        <ser>
          <idx val="53"/>
          <order val="53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데이터'!$BP$5:$BP$65</f>
            </numRef>
          </val>
        </ser>
        <ser>
          <idx val="54"/>
          <order val="54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데이터'!$BQ$5:$BQ$65</f>
            </numRef>
          </val>
        </ser>
        <ser>
          <idx val="55"/>
          <order val="55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데이터'!$BR$5:$BR$65</f>
            </numRef>
          </val>
        </ser>
        <ser>
          <idx val="56"/>
          <order val="56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데이터'!$BS$5:$BS$65</f>
            </numRef>
          </val>
        </ser>
        <ser>
          <idx val="57"/>
          <order val="57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데이터'!$BT$5:$BT$65</f>
            </numRef>
          </val>
        </ser>
        <ser>
          <idx val="58"/>
          <order val="58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데이터'!$BU$5:$BU$65</f>
            </numRef>
          </val>
        </ser>
        <ser>
          <idx val="59"/>
          <order val="59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데이터'!$BV$5:$BV$65</f>
            </numRef>
          </val>
        </ser>
        <ser>
          <idx val="60"/>
          <order val="60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데이터'!$BW$5:$BW$65</f>
            </numRef>
          </val>
        </ser>
        <ser>
          <idx val="61"/>
          <order val="61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데이터'!$BX$5:$BX$65</f>
            </numRef>
          </val>
        </ser>
        <ser>
          <idx val="62"/>
          <order val="62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데이터'!$BY$5:$BY$65</f>
            </numRef>
          </val>
        </ser>
        <ser>
          <idx val="63"/>
          <order val="63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데이터'!$BZ$5:$BZ$65</f>
            </numRef>
          </val>
        </ser>
        <ser>
          <idx val="64"/>
          <order val="64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데이터'!$CA$5:$CA$65</f>
            </numRef>
          </val>
        </ser>
        <ser>
          <idx val="65"/>
          <order val="65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데이터'!$CB$5:$CB$65</f>
            </numRef>
          </val>
        </ser>
        <ser>
          <idx val="66"/>
          <order val="66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데이터'!$CC$5:$CC$65</f>
            </numRef>
          </val>
        </ser>
        <ser>
          <idx val="67"/>
          <order val="67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데이터'!$CD$5:$CD$65</f>
            </numRef>
          </val>
        </ser>
        <ser>
          <idx val="68"/>
          <order val="68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데이터'!$CE$5:$CE$65</f>
            </numRef>
          </val>
        </ser>
        <ser>
          <idx val="69"/>
          <order val="69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데이터'!$CF$5:$CF$65</f>
            </numRef>
          </val>
        </ser>
        <ser>
          <idx val="70"/>
          <order val="70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데이터'!$CG$5:$CG$65</f>
            </numRef>
          </val>
        </ser>
        <ser>
          <idx val="71"/>
          <order val="71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데이터'!$CH$5:$CH$65</f>
            </numRef>
          </val>
        </ser>
        <ser>
          <idx val="72"/>
          <order val="72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데이터'!$CI$5:$CI$65</f>
            </numRef>
          </val>
        </ser>
        <ser>
          <idx val="73"/>
          <order val="73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데이터'!$CJ$5:$CJ$65</f>
            </numRef>
          </val>
        </ser>
        <ser>
          <idx val="74"/>
          <order val="74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데이터'!$CK$5:$CK$65</f>
            </numRef>
          </val>
        </ser>
        <ser>
          <idx val="75"/>
          <order val="75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데이터'!$CL$5:$CL$65</f>
            </numRef>
          </val>
        </ser>
        <ser>
          <idx val="76"/>
          <order val="76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데이터'!$CM$5:$CM$65</f>
            </numRef>
          </val>
        </ser>
        <ser>
          <idx val="77"/>
          <order val="77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데이터'!$CN$5:$CN$65</f>
            </numRef>
          </val>
        </ser>
        <ser>
          <idx val="78"/>
          <order val="78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데이터'!$CO$5:$CO$65</f>
            </numRef>
          </val>
        </ser>
        <ser>
          <idx val="79"/>
          <order val="79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데이터'!$N$5:$N$65</f>
            </numRef>
          </cat>
          <val>
            <numRef>
              <f>'차트 데이터'!$CP$5:$CP$65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7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데이터'!$B$5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데이터'!$C$5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데이터'!$D$5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데이터'!$E$5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데이터'!$F$5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데이터'!$G$5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데이터'!$H$5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7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데이터'!$B$9:$B$10</f>
            </numRef>
          </val>
        </ser>
        <ser>
          <idx val="1"/>
          <order val="1"/>
          <tx>
            <strRef>
              <f>'차트 데이터'!C8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데이터'!$C$9:$C$10</f>
            </numRef>
          </val>
        </ser>
        <ser>
          <idx val="2"/>
          <order val="2"/>
          <tx>
            <strRef>
              <f>'차트 데이터'!D8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데이터'!$D$9:$D$10</f>
            </numRef>
          </val>
        </ser>
        <ser>
          <idx val="3"/>
          <order val="3"/>
          <tx>
            <strRef>
              <f>'차트 데이터'!E8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데이터'!$E$9:$E$10</f>
            </numRef>
          </val>
        </ser>
        <ser>
          <idx val="4"/>
          <order val="4"/>
          <tx>
            <strRef>
              <f>'차트 데이터'!F8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데이터'!$F$9:$F$10</f>
            </numRef>
          </val>
        </ser>
        <ser>
          <idx val="5"/>
          <order val="5"/>
          <tx>
            <strRef>
              <f>'차트 데이터'!G8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데이터'!$G$9:$G$10</f>
            </numRef>
          </val>
        </ser>
        <ser>
          <idx val="6"/>
          <order val="6"/>
          <tx>
            <strRef>
              <f>'차트 데이터'!H8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데이터'!$A$9:$A$10</f>
            </numRef>
          </cat>
          <val>
            <numRef>
              <f>'차트 데이터'!$H$9:$H$10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7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데이터'!$B$14</f>
            </numRef>
          </val>
        </ser>
        <ser>
          <idx val="1"/>
          <order val="1"/>
          <tx>
            <strRef>
              <f>'차트 데이터'!C13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데이터'!$C$14</f>
            </numRef>
          </val>
        </ser>
        <ser>
          <idx val="2"/>
          <order val="2"/>
          <tx>
            <strRef>
              <f>'차트 데이터'!D13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데이터'!$D$14</f>
            </numRef>
          </val>
        </ser>
        <ser>
          <idx val="3"/>
          <order val="3"/>
          <tx>
            <strRef>
              <f>'차트 데이터'!E13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데이터'!$E$14</f>
            </numRef>
          </val>
        </ser>
        <ser>
          <idx val="4"/>
          <order val="4"/>
          <tx>
            <strRef>
              <f>'차트 데이터'!F13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데이터'!$F$14</f>
            </numRef>
          </val>
        </ser>
        <ser>
          <idx val="5"/>
          <order val="5"/>
          <tx>
            <strRef>
              <f>'차트 데이터'!G13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데이터'!$G$14</f>
            </numRef>
          </val>
        </ser>
        <ser>
          <idx val="6"/>
          <order val="6"/>
          <tx>
            <strRef>
              <f>'차트 데이터'!H13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데이터'!$A$14</f>
            </numRef>
          </cat>
          <val>
            <numRef>
              <f>'차트 데이터'!$H$14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7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데이터'!$B$18:$B$19</f>
            </numRef>
          </val>
        </ser>
        <ser>
          <idx val="1"/>
          <order val="1"/>
          <tx>
            <strRef>
              <f>'차트 데이터'!C17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데이터'!$C$18:$C$19</f>
            </numRef>
          </val>
        </ser>
        <ser>
          <idx val="2"/>
          <order val="2"/>
          <tx>
            <strRef>
              <f>'차트 데이터'!D17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데이터'!$D$18:$D$19</f>
            </numRef>
          </val>
        </ser>
        <ser>
          <idx val="3"/>
          <order val="3"/>
          <tx>
            <strRef>
              <f>'차트 데이터'!E17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데이터'!$E$18:$E$19</f>
            </numRef>
          </val>
        </ser>
        <ser>
          <idx val="4"/>
          <order val="4"/>
          <tx>
            <strRef>
              <f>'차트 데이터'!F17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데이터'!$F$18:$F$19</f>
            </numRef>
          </val>
        </ser>
        <ser>
          <idx val="5"/>
          <order val="5"/>
          <tx>
            <strRef>
              <f>'차트 데이터'!G17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데이터'!$G$18:$G$19</f>
            </numRef>
          </val>
        </ser>
        <ser>
          <idx val="6"/>
          <order val="6"/>
          <tx>
            <strRef>
              <f>'차트 데이터'!H17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데이터'!$A$18:$A$19</f>
            </numRef>
          </cat>
          <val>
            <numRef>
              <f>'차트 데이터'!$H$18:$H$19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7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데이터'!$B$23</f>
            </numRef>
          </val>
        </ser>
        <ser>
          <idx val="1"/>
          <order val="1"/>
          <tx>
            <strRef>
              <f>'차트 데이터'!C22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데이터'!$C$23</f>
            </numRef>
          </val>
        </ser>
        <ser>
          <idx val="2"/>
          <order val="2"/>
          <tx>
            <strRef>
              <f>'차트 데이터'!D22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데이터'!$D$23</f>
            </numRef>
          </val>
        </ser>
        <ser>
          <idx val="3"/>
          <order val="3"/>
          <tx>
            <strRef>
              <f>'차트 데이터'!E22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데이터'!$E$23</f>
            </numRef>
          </val>
        </ser>
        <ser>
          <idx val="4"/>
          <order val="4"/>
          <tx>
            <strRef>
              <f>'차트 데이터'!F22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데이터'!$F$23</f>
            </numRef>
          </val>
        </ser>
        <ser>
          <idx val="5"/>
          <order val="5"/>
          <tx>
            <strRef>
              <f>'차트 데이터'!G22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데이터'!$G$23</f>
            </numRef>
          </val>
        </ser>
        <ser>
          <idx val="6"/>
          <order val="6"/>
          <tx>
            <strRef>
              <f>'차트 데이터'!H22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</f>
            </numRef>
          </cat>
          <val>
            <numRef>
              <f>'차트 데이터'!$H$23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7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데이터'!$B$27</f>
            </numRef>
          </val>
        </ser>
        <ser>
          <idx val="1"/>
          <order val="1"/>
          <tx>
            <strRef>
              <f>'차트 데이터'!C26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데이터'!$C$27</f>
            </numRef>
          </val>
        </ser>
        <ser>
          <idx val="2"/>
          <order val="2"/>
          <tx>
            <strRef>
              <f>'차트 데이터'!D26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데이터'!$D$27</f>
            </numRef>
          </val>
        </ser>
        <ser>
          <idx val="3"/>
          <order val="3"/>
          <tx>
            <strRef>
              <f>'차트 데이터'!E26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데이터'!$E$27</f>
            </numRef>
          </val>
        </ser>
        <ser>
          <idx val="4"/>
          <order val="4"/>
          <tx>
            <strRef>
              <f>'차트 데이터'!F26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데이터'!$F$27</f>
            </numRef>
          </val>
        </ser>
        <ser>
          <idx val="5"/>
          <order val="5"/>
          <tx>
            <strRef>
              <f>'차트 데이터'!G26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데이터'!$G$27</f>
            </numRef>
          </val>
        </ser>
        <ser>
          <idx val="6"/>
          <order val="6"/>
          <tx>
            <strRef>
              <f>'차트 데이터'!H26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데이터'!$H$27</f>
            </numRef>
          </val>
        </ser>
        <ser>
          <idx val="7"/>
          <order val="7"/>
          <tx>
            <strRef>
              <f>'차트 데이터'!I26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데이터'!$I$27</f>
            </numRef>
          </val>
        </ser>
        <ser>
          <idx val="8"/>
          <order val="8"/>
          <tx>
            <strRef>
              <f>'차트 데이터'!J26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데이터'!$J$27</f>
            </numRef>
          </val>
        </ser>
        <ser>
          <idx val="9"/>
          <order val="9"/>
          <tx>
            <strRef>
              <f>'차트 데이터'!K26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데이터'!$K$27</f>
            </numRef>
          </val>
        </ser>
        <ser>
          <idx val="10"/>
          <order val="10"/>
          <tx>
            <strRef>
              <f>'차트 데이터'!L26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데이터'!$A$27</f>
            </numRef>
          </cat>
          <val>
            <numRef>
              <f>'차트 데이터'!$L$27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7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데이터'!$B$31:$B$32</f>
            </numRef>
          </val>
        </ser>
        <ser>
          <idx val="1"/>
          <order val="1"/>
          <tx>
            <strRef>
              <f>'차트 데이터'!C30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데이터'!$C$31:$C$32</f>
            </numRef>
          </val>
        </ser>
        <ser>
          <idx val="2"/>
          <order val="2"/>
          <tx>
            <strRef>
              <f>'차트 데이터'!D30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데이터'!$D$31:$D$32</f>
            </numRef>
          </val>
        </ser>
        <ser>
          <idx val="3"/>
          <order val="3"/>
          <tx>
            <strRef>
              <f>'차트 데이터'!E30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데이터'!$E$31:$E$32</f>
            </numRef>
          </val>
        </ser>
        <ser>
          <idx val="4"/>
          <order val="4"/>
          <tx>
            <strRef>
              <f>'차트 데이터'!F30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데이터'!$F$31:$F$32</f>
            </numRef>
          </val>
        </ser>
        <ser>
          <idx val="5"/>
          <order val="5"/>
          <tx>
            <strRef>
              <f>'차트 데이터'!G30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데이터'!$G$31:$G$32</f>
            </numRef>
          </val>
        </ser>
        <ser>
          <idx val="6"/>
          <order val="6"/>
          <tx>
            <strRef>
              <f>'차트 데이터'!H30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데이터'!$H$31:$H$32</f>
            </numRef>
          </val>
        </ser>
        <ser>
          <idx val="7"/>
          <order val="7"/>
          <tx>
            <strRef>
              <f>'차트 데이터'!I30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데이터'!$I$31:$I$32</f>
            </numRef>
          </val>
        </ser>
        <ser>
          <idx val="8"/>
          <order val="8"/>
          <tx>
            <strRef>
              <f>'차트 데이터'!J30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데이터'!$J$31:$J$32</f>
            </numRef>
          </val>
        </ser>
        <ser>
          <idx val="9"/>
          <order val="9"/>
          <tx>
            <strRef>
              <f>'차트 데이터'!K30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데이터'!$K$31:$K$32</f>
            </numRef>
          </val>
        </ser>
        <ser>
          <idx val="10"/>
          <order val="10"/>
          <tx>
            <strRef>
              <f>'차트 데이터'!L30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데이터'!$L$31:$L$32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7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데이터'!$B$36</f>
            </numRef>
          </val>
        </ser>
        <ser>
          <idx val="1"/>
          <order val="1"/>
          <tx>
            <strRef>
              <f>'차트 데이터'!C35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데이터'!$C$36</f>
            </numRef>
          </val>
        </ser>
        <ser>
          <idx val="2"/>
          <order val="2"/>
          <tx>
            <strRef>
              <f>'차트 데이터'!D35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데이터'!$D$36</f>
            </numRef>
          </val>
        </ser>
        <ser>
          <idx val="3"/>
          <order val="3"/>
          <tx>
            <strRef>
              <f>'차트 데이터'!E35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데이터'!$E$36</f>
            </numRef>
          </val>
        </ser>
        <ser>
          <idx val="4"/>
          <order val="4"/>
          <tx>
            <strRef>
              <f>'차트 데이터'!F35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데이터'!$F$36</f>
            </numRef>
          </val>
        </ser>
        <ser>
          <idx val="5"/>
          <order val="5"/>
          <tx>
            <strRef>
              <f>'차트 데이터'!G35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데이터'!$G$36</f>
            </numRef>
          </val>
        </ser>
        <ser>
          <idx val="6"/>
          <order val="6"/>
          <tx>
            <strRef>
              <f>'차트 데이터'!H35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데이터'!$H$36</f>
            </numRef>
          </val>
        </ser>
        <ser>
          <idx val="7"/>
          <order val="7"/>
          <tx>
            <strRef>
              <f>'차트 데이터'!I35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데이터'!$I$36</f>
            </numRef>
          </val>
        </ser>
        <ser>
          <idx val="8"/>
          <order val="8"/>
          <tx>
            <strRef>
              <f>'차트 데이터'!J35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데이터'!$J$36</f>
            </numRef>
          </val>
        </ser>
        <ser>
          <idx val="9"/>
          <order val="9"/>
          <tx>
            <strRef>
              <f>'차트 데이터'!K35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데이터'!$K$36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7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데이터'!$B$40</f>
            </numRef>
          </val>
        </ser>
        <ser>
          <idx val="1"/>
          <order val="1"/>
          <tx>
            <strRef>
              <f>'차트 데이터'!C39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데이터'!$C$40</f>
            </numRef>
          </val>
        </ser>
        <ser>
          <idx val="2"/>
          <order val="2"/>
          <tx>
            <strRef>
              <f>'차트 데이터'!D39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데이터'!$D$40</f>
            </numRef>
          </val>
        </ser>
        <ser>
          <idx val="3"/>
          <order val="3"/>
          <tx>
            <strRef>
              <f>'차트 데이터'!E39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데이터'!$E$40</f>
            </numRef>
          </val>
        </ser>
        <ser>
          <idx val="4"/>
          <order val="4"/>
          <tx>
            <strRef>
              <f>'차트 데이터'!F39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데이터'!$F$40</f>
            </numRef>
          </val>
        </ser>
        <ser>
          <idx val="5"/>
          <order val="5"/>
          <tx>
            <strRef>
              <f>'차트 데이터'!G39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데이터'!$G$40</f>
            </numRef>
          </val>
        </ser>
        <ser>
          <idx val="6"/>
          <order val="6"/>
          <tx>
            <strRef>
              <f>'차트 데이터'!H39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데이터'!$H$40</f>
            </numRef>
          </val>
        </ser>
        <ser>
          <idx val="7"/>
          <order val="7"/>
          <tx>
            <strRef>
              <f>'차트 데이터'!I39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데이터'!$I$40</f>
            </numRef>
          </val>
        </ser>
        <ser>
          <idx val="8"/>
          <order val="8"/>
          <tx>
            <strRef>
              <f>'차트 데이터'!J39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데이터'!$J$40</f>
            </numRef>
          </val>
        </ser>
        <ser>
          <idx val="9"/>
          <order val="9"/>
          <tx>
            <strRef>
              <f>'차트 데이터'!K39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데이터'!$K$40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7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46238.49500091435</v>
      </c>
      <c r="B6" s="7" t="n">
        <v>153.3729747701436</v>
      </c>
      <c r="C6" s="7" t="n">
        <v>151.7541061814217</v>
      </c>
      <c r="D6" s="7" t="n">
        <v>159.580834631916</v>
      </c>
      <c r="E6" s="7" t="n">
        <v>141.5441627309636</v>
      </c>
      <c r="F6" s="7" t="n">
        <v>142.0230186603478</v>
      </c>
      <c r="G6" s="7" t="n">
        <v>134.4559554949711</v>
      </c>
      <c r="H6" s="7" t="n">
        <v>143.4563233886251</v>
      </c>
      <c r="I6" s="7" t="n">
        <v>129.6588392516228</v>
      </c>
      <c r="J6" s="7" t="n">
        <v>151.574669255105</v>
      </c>
      <c r="K6" s="7" t="n">
        <v>108.0872812135356</v>
      </c>
      <c r="L6" s="7" t="n">
        <v>138.3927040816326</v>
      </c>
      <c r="M6" s="7" t="n">
        <v>144.2626549085117</v>
      </c>
      <c r="N6" s="7" t="n">
        <v>150.119420935412</v>
      </c>
      <c r="O6" s="8">
        <f>N6*$B$2/100</f>
        <v/>
      </c>
    </row>
    <row r="7">
      <c r="A7" s="6" t="n">
        <v>46238.49501262732</v>
      </c>
      <c r="B7" s="7" t="n">
        <v>153.4483216686758</v>
      </c>
      <c r="C7" s="7" t="n">
        <v>154.1011298568507</v>
      </c>
      <c r="D7" s="7" t="n">
        <v>150.2087872237215</v>
      </c>
      <c r="E7" s="7" t="n">
        <v>152.1781200212427</v>
      </c>
      <c r="F7" s="7" t="n">
        <v>151.457447034033</v>
      </c>
      <c r="G7" s="7" t="n">
        <v>149.5515560896269</v>
      </c>
      <c r="H7" s="7" t="n">
        <v>149.6510306376819</v>
      </c>
      <c r="I7" s="7" t="n">
        <v>150.0647806376496</v>
      </c>
      <c r="J7" s="7" t="n">
        <v>149.9188087480715</v>
      </c>
      <c r="K7" s="7" t="n">
        <v>150.0042885104574</v>
      </c>
      <c r="L7" s="7" t="n">
        <v>149.0266416510319</v>
      </c>
      <c r="M7" s="7" t="n">
        <v>149.8622914216564</v>
      </c>
      <c r="N7" s="7" t="n">
        <v>151.0121676564079</v>
      </c>
      <c r="O7" s="8">
        <f>N7*$B$2/100</f>
        <v/>
      </c>
    </row>
    <row r="8">
      <c r="A8" s="6" t="n">
        <v>46238.4950243287</v>
      </c>
      <c r="B8" s="7" t="n">
        <v>149.9298632029316</v>
      </c>
      <c r="C8" s="7" t="n">
        <v>149.6552256888484</v>
      </c>
      <c r="D8" s="7" t="n">
        <v>152.4871602616898</v>
      </c>
      <c r="E8" s="7" t="n">
        <v>155.0631135670477</v>
      </c>
      <c r="F8" s="7" t="n">
        <v>150.2920146059681</v>
      </c>
      <c r="G8" s="7" t="n">
        <v>152.6437350238198</v>
      </c>
      <c r="H8" s="7" t="n">
        <v>153.1142553620162</v>
      </c>
      <c r="I8" s="7" t="n">
        <v>152.0925434798297</v>
      </c>
      <c r="J8" s="7" t="n">
        <v>150.8016921259995</v>
      </c>
      <c r="K8" s="7" t="n">
        <v>150.6137031138127</v>
      </c>
      <c r="L8" s="7" t="n">
        <v>150.5263470879114</v>
      </c>
      <c r="M8" s="7" t="n">
        <v>150.6239548155238</v>
      </c>
      <c r="N8" s="7" t="n">
        <v>151.6797368131667</v>
      </c>
      <c r="O8" s="8">
        <f>N8*$B$2/100</f>
        <v/>
      </c>
    </row>
    <row r="9">
      <c r="A9" s="6" t="n">
        <v>46238.49503603009</v>
      </c>
      <c r="B9" s="7" t="n">
        <v>148.5578166300436</v>
      </c>
      <c r="C9" s="7" t="n">
        <v>147.377892294742</v>
      </c>
      <c r="D9" s="7" t="n">
        <v>149.6052595663928</v>
      </c>
      <c r="E9" s="7" t="n">
        <v>149.4897057076088</v>
      </c>
      <c r="F9" s="7" t="n">
        <v>151.2298228303485</v>
      </c>
      <c r="G9" s="7" t="n">
        <v>146.148642566225</v>
      </c>
      <c r="H9" s="7" t="n">
        <v>148.1586558503276</v>
      </c>
      <c r="I9" s="7" t="n">
        <v>144.37733884242</v>
      </c>
      <c r="J9" s="7" t="n">
        <v>146.5422922165015</v>
      </c>
      <c r="K9" s="7" t="n">
        <v>150.6135882601947</v>
      </c>
      <c r="L9" s="7" t="n">
        <v>148.8477595139958</v>
      </c>
      <c r="M9" s="7" t="n">
        <v>147.3880766553076</v>
      </c>
      <c r="N9" s="7" t="n">
        <v>148.9001273394179</v>
      </c>
      <c r="O9" s="8">
        <f>N9*$B$2/100</f>
        <v/>
      </c>
    </row>
    <row r="10">
      <c r="A10" s="6" t="n">
        <v>46238.49504774305</v>
      </c>
      <c r="B10" s="7" t="n">
        <v>154.8966946087639</v>
      </c>
      <c r="C10" s="7" t="n">
        <v>155.269461522697</v>
      </c>
      <c r="D10" s="7" t="n">
        <v>156.969222492068</v>
      </c>
      <c r="E10" s="7" t="n">
        <v>155.0012153269298</v>
      </c>
      <c r="F10" s="7" t="n">
        <v>154.8349803613752</v>
      </c>
      <c r="G10" s="7" t="n">
        <v>153.1150391783793</v>
      </c>
      <c r="H10" s="7" t="n">
        <v>151.5071730516832</v>
      </c>
      <c r="I10" s="7" t="n">
        <v>151.6477680179122</v>
      </c>
      <c r="J10" s="7" t="n">
        <v>152.2094191980116</v>
      </c>
      <c r="K10" s="7" t="n">
        <v>150.0843954711411</v>
      </c>
      <c r="L10" s="7" t="n">
        <v>151.5600393292455</v>
      </c>
      <c r="M10" s="7" t="n">
        <v>149.1648499376427</v>
      </c>
      <c r="N10" s="7" t="n">
        <v>153.9346095405752</v>
      </c>
      <c r="O10" s="8">
        <f>N10*$B$2/100</f>
        <v/>
      </c>
    </row>
    <row r="11">
      <c r="A11" s="6" t="n">
        <v>46238.49505945602</v>
      </c>
      <c r="B11" s="7" t="n">
        <v>160.6317298186386</v>
      </c>
      <c r="C11" s="7" t="n">
        <v>156.0221241720973</v>
      </c>
      <c r="D11" s="7" t="n">
        <v>155.8727531932109</v>
      </c>
      <c r="E11" s="7" t="n">
        <v>153.3767024458913</v>
      </c>
      <c r="F11" s="7" t="n">
        <v>151.5123099652099</v>
      </c>
      <c r="G11" s="7" t="n">
        <v>149.3071931229194</v>
      </c>
      <c r="H11" s="7" t="n">
        <v>151.8365823146406</v>
      </c>
      <c r="I11" s="7" t="n">
        <v>148.9513948071132</v>
      </c>
      <c r="J11" s="7" t="n">
        <v>153.9889420894397</v>
      </c>
      <c r="K11" s="7" t="n">
        <v>149.1585571372226</v>
      </c>
      <c r="L11" s="7" t="n">
        <v>160.5409381744805</v>
      </c>
      <c r="M11" s="7" t="n">
        <v>159.2028414679646</v>
      </c>
      <c r="N11" s="7" t="n">
        <v>156.4988124957318</v>
      </c>
      <c r="O11" s="8">
        <f>N11*$B$2/100</f>
        <v/>
      </c>
    </row>
    <row r="12">
      <c r="A12" s="6" t="n">
        <v>46238.49507119213</v>
      </c>
      <c r="B12" s="7" t="n">
        <v>152.2275376083108</v>
      </c>
      <c r="C12" s="7" t="n">
        <v>154.0642641903942</v>
      </c>
      <c r="D12" s="7" t="n">
        <v>154.4754389134326</v>
      </c>
      <c r="E12" s="7" t="n">
        <v>160.2735448674934</v>
      </c>
      <c r="F12" s="7" t="n">
        <v>157.2092504432006</v>
      </c>
      <c r="G12" s="7" t="n">
        <v>145.1929807692308</v>
      </c>
      <c r="H12" s="7" t="n">
        <v>140.4960491056091</v>
      </c>
      <c r="I12" s="7" t="n">
        <v>149.8848892405063</v>
      </c>
      <c r="J12" s="7" t="n">
        <v>134.3390648567119</v>
      </c>
      <c r="K12" s="7" t="n">
        <v>143.7694898509071</v>
      </c>
      <c r="L12" s="7" t="n">
        <v>159.7245919572047</v>
      </c>
      <c r="M12" s="7" t="n">
        <v>156.2049455013202</v>
      </c>
      <c r="N12" s="7" t="n">
        <v>155.525443369609</v>
      </c>
      <c r="O12" s="8">
        <f>N12*$B$2/100</f>
        <v/>
      </c>
    </row>
    <row r="13">
      <c r="A13" s="6" t="n">
        <v>46238.49508298611</v>
      </c>
      <c r="B13" s="7" t="n">
        <v>159.2942865313767</v>
      </c>
      <c r="C13" s="7" t="n">
        <v>162.7317252018235</v>
      </c>
      <c r="D13" s="7" t="n">
        <v>141.2963582550508</v>
      </c>
      <c r="E13" s="7" t="n">
        <v>139.676664228237</v>
      </c>
      <c r="F13" s="7" t="n">
        <v>144.1547488811537</v>
      </c>
      <c r="G13" s="7" t="n">
        <v>146.1211919471666</v>
      </c>
      <c r="H13" s="7" t="n">
        <v>138.6060635103188</v>
      </c>
      <c r="I13" s="7" t="n">
        <v>141.216685058486</v>
      </c>
      <c r="J13" s="7" t="n">
        <v>142.0231927950905</v>
      </c>
      <c r="K13" s="7" t="n">
        <v>156.084704768026</v>
      </c>
      <c r="L13" s="7" t="n">
        <v>158.5380129529078</v>
      </c>
      <c r="M13" s="7" t="n">
        <v>159.8100105374078</v>
      </c>
      <c r="N13" s="7" t="n">
        <v>155.2859633718013</v>
      </c>
      <c r="O13" s="8">
        <f>N13*$B$2/100</f>
        <v/>
      </c>
    </row>
    <row r="14">
      <c r="A14" s="6" t="n">
        <v>46238.49509467593</v>
      </c>
      <c r="B14" s="7" t="n">
        <v>160.6487336024218</v>
      </c>
      <c r="C14" s="7" t="n">
        <v>162.1057389562065</v>
      </c>
      <c r="D14" s="7" t="n">
        <v>142.3290223463687</v>
      </c>
      <c r="E14" s="7" t="n">
        <v>158.2704217928292</v>
      </c>
      <c r="F14" s="7" t="n">
        <v>155.6605207387224</v>
      </c>
      <c r="G14" s="7" t="n">
        <v>155.1982657666548</v>
      </c>
      <c r="H14" s="7" t="n">
        <v>148.0426985827791</v>
      </c>
      <c r="I14" s="7" t="n">
        <v>127.9439245107897</v>
      </c>
      <c r="J14" s="7" t="n">
        <v>153.6774346027824</v>
      </c>
      <c r="K14" s="7" t="n">
        <v>124.7445701357466</v>
      </c>
      <c r="L14" s="7" t="n">
        <v>159.3442418005775</v>
      </c>
      <c r="M14" s="7" t="n">
        <v>148.6627236882014</v>
      </c>
      <c r="N14" s="7" t="n">
        <v>156.7196972414535</v>
      </c>
      <c r="O14" s="8">
        <f>N14*$B$2/100</f>
        <v/>
      </c>
    </row>
    <row r="15">
      <c r="A15" s="6" t="n">
        <v>46238.49510643518</v>
      </c>
      <c r="B15" s="7" t="n">
        <v>158.6950428608692</v>
      </c>
      <c r="C15" s="7" t="n">
        <v>148.5719962540181</v>
      </c>
      <c r="D15" s="7" t="n">
        <v>155.9802492673242</v>
      </c>
      <c r="E15" s="7" t="n">
        <v>151.9093839242472</v>
      </c>
      <c r="F15" s="7" t="n">
        <v>151.7647672102577</v>
      </c>
      <c r="G15" s="7" t="n">
        <v>149.693954818897</v>
      </c>
      <c r="H15" s="7" t="n">
        <v>147.5706520744496</v>
      </c>
      <c r="I15" s="7" t="n">
        <v>154.4887743771254</v>
      </c>
      <c r="J15" s="7" t="n">
        <v>139.5674390610894</v>
      </c>
      <c r="K15" s="7" t="n">
        <v>149.3164372354427</v>
      </c>
      <c r="L15" s="7" t="n">
        <v>157.9997758430902</v>
      </c>
      <c r="M15" s="7" t="n">
        <v>159.6656093150519</v>
      </c>
      <c r="N15" s="7" t="n">
        <v>155.7732875937724</v>
      </c>
      <c r="O15" s="8">
        <f>N15*$B$2/100</f>
        <v/>
      </c>
    </row>
    <row r="16">
      <c r="A16" s="6" t="n">
        <v>46238.49511820602</v>
      </c>
      <c r="B16" s="7" t="n">
        <v>158.4324093959732</v>
      </c>
      <c r="C16" s="7" t="n">
        <v>158.7113249180812</v>
      </c>
      <c r="D16" s="7" t="n">
        <v>146.2310341762588</v>
      </c>
      <c r="E16" s="7" t="n">
        <v>154.386131315117</v>
      </c>
      <c r="F16" s="7" t="n">
        <v>141.6856205576818</v>
      </c>
      <c r="G16" s="7" t="n">
        <v>153.5223172659829</v>
      </c>
      <c r="H16" s="7" t="n">
        <v>150.8383142220694</v>
      </c>
      <c r="I16" s="7" t="n">
        <v>154.0647199162548</v>
      </c>
      <c r="J16" s="7" t="n">
        <v>147.1272667900294</v>
      </c>
      <c r="K16" s="7" t="n">
        <v>122.1257661748014</v>
      </c>
      <c r="L16" s="7" t="n">
        <v>158.0682888361262</v>
      </c>
      <c r="M16" s="7" t="n">
        <v>158.2327276270778</v>
      </c>
      <c r="N16" s="7" t="n">
        <v>155.7886383579413</v>
      </c>
      <c r="O16" s="8">
        <f>N16*$B$2/100</f>
        <v/>
      </c>
    </row>
    <row r="17">
      <c r="A17" s="6" t="n">
        <v>46238.49512998843</v>
      </c>
      <c r="B17" s="7" t="n">
        <v>157.5682601476272</v>
      </c>
      <c r="C17" s="7" t="n">
        <v>159.9532460180635</v>
      </c>
      <c r="D17" s="7" t="n">
        <v>148.2495503245484</v>
      </c>
      <c r="E17" s="7" t="n">
        <v>158.4762992987028</v>
      </c>
      <c r="F17" s="7" t="n">
        <v>157.6723660513282</v>
      </c>
      <c r="G17" s="7" t="n">
        <v>146.4712721294149</v>
      </c>
      <c r="H17" s="7" t="n">
        <v>150.2313864012396</v>
      </c>
      <c r="I17" s="7" t="n">
        <v>132.0639238609113</v>
      </c>
      <c r="J17" s="7" t="n">
        <v>154.6369311154011</v>
      </c>
      <c r="K17" s="7" t="n">
        <v>145.2425911777715</v>
      </c>
      <c r="L17" s="7" t="n">
        <v>157.6992000421801</v>
      </c>
      <c r="M17" s="7" t="n">
        <v>158.2810421544575</v>
      </c>
      <c r="N17" s="7" t="n">
        <v>156.3288114397564</v>
      </c>
      <c r="O17" s="8">
        <f>N17*$B$2/100</f>
        <v/>
      </c>
    </row>
    <row r="18">
      <c r="A18" s="6" t="n">
        <v>46238.49514160879</v>
      </c>
      <c r="B18" s="7" t="n">
        <v>158.6505718761083</v>
      </c>
      <c r="C18" s="7" t="n">
        <v>159.113275077807</v>
      </c>
      <c r="D18" s="7" t="n">
        <v>155.1813951915599</v>
      </c>
      <c r="E18" s="7" t="n">
        <v>142.3148423441045</v>
      </c>
      <c r="F18" s="7" t="n">
        <v>153.6622537226087</v>
      </c>
      <c r="G18" s="7" t="n">
        <v>150.5516821622003</v>
      </c>
      <c r="H18" s="7" t="n">
        <v>152.6824227519375</v>
      </c>
      <c r="I18" s="7" t="n">
        <v>150.709755895281</v>
      </c>
      <c r="J18" s="7" t="n">
        <v>151.9713229841602</v>
      </c>
      <c r="K18" s="7" t="n">
        <v>153.5701331590556</v>
      </c>
      <c r="L18" s="7" t="n">
        <v>157.6640642213964</v>
      </c>
      <c r="M18" s="7" t="n">
        <v>157.3538788589098</v>
      </c>
      <c r="N18" s="7" t="n">
        <v>155.9467519962814</v>
      </c>
      <c r="O18" s="8">
        <f>N18*$B$2/100</f>
        <v/>
      </c>
    </row>
    <row r="19">
      <c r="A19" s="6" t="n">
        <v>46238.49515335648</v>
      </c>
      <c r="B19" s="7" t="n">
        <v>159.8671419134647</v>
      </c>
      <c r="C19" s="7" t="n">
        <v>160.6203780280589</v>
      </c>
      <c r="D19" s="7" t="n">
        <v>142.634518196927</v>
      </c>
      <c r="E19" s="7" t="n">
        <v>158.3333966893596</v>
      </c>
      <c r="F19" s="7" t="n">
        <v>157.6095765140659</v>
      </c>
      <c r="G19" s="7" t="n">
        <v>151.8850522944503</v>
      </c>
      <c r="H19" s="7" t="n">
        <v>135.6187689640225</v>
      </c>
      <c r="I19" s="7" t="n">
        <v>152.7978268614179</v>
      </c>
      <c r="J19" s="7" t="n">
        <v>142.1217181585053</v>
      </c>
      <c r="K19" s="7" t="n">
        <v>126.7979314307604</v>
      </c>
      <c r="L19" s="7" t="n">
        <v>161.188202674299</v>
      </c>
      <c r="M19" s="7" t="n">
        <v>158.7120252451257</v>
      </c>
      <c r="N19" s="7" t="n">
        <v>156.4580118370544</v>
      </c>
      <c r="O19" s="8">
        <f>N19*$B$2/100</f>
        <v/>
      </c>
    </row>
    <row r="20">
      <c r="A20" s="6" t="n">
        <v>46238.49516512731</v>
      </c>
      <c r="B20" s="7" t="n">
        <v>160.8174297341982</v>
      </c>
      <c r="C20" s="7" t="n">
        <v>163.66286599187</v>
      </c>
      <c r="D20" s="7" t="n">
        <v>151.7334322541431</v>
      </c>
      <c r="E20" s="7" t="n">
        <v>151.2681551758395</v>
      </c>
      <c r="F20" s="7" t="n">
        <v>143.0012072029778</v>
      </c>
      <c r="G20" s="7" t="n">
        <v>138.7010086816882</v>
      </c>
      <c r="H20" s="7" t="n">
        <v>133.9542846120461</v>
      </c>
      <c r="I20" s="7" t="n">
        <v>122.5564437722804</v>
      </c>
      <c r="J20" s="7" t="n">
        <v>144.9380296287264</v>
      </c>
      <c r="K20" s="7" t="n">
        <v>152.883303129964</v>
      </c>
      <c r="L20" s="7" t="n">
        <v>158.3112786617895</v>
      </c>
      <c r="M20" s="7" t="n">
        <v>160.6572454635806</v>
      </c>
      <c r="N20" s="7" t="n">
        <v>156.9331700846852</v>
      </c>
      <c r="O20" s="8">
        <f>N20*$B$2/100</f>
        <v/>
      </c>
    </row>
    <row r="21">
      <c r="A21" s="6" t="n">
        <v>46238.49517674769</v>
      </c>
      <c r="B21" s="7" t="n">
        <v>160.1022010751126</v>
      </c>
      <c r="C21" s="7" t="n">
        <v>162.1960075986422</v>
      </c>
      <c r="D21" s="7" t="n">
        <v>152.2483083259782</v>
      </c>
      <c r="E21" s="7" t="n">
        <v>159.7974780395215</v>
      </c>
      <c r="F21" s="7" t="n">
        <v>149.419621749409</v>
      </c>
      <c r="G21" s="7" t="n">
        <v>140.63901276334</v>
      </c>
      <c r="H21" s="7" t="n">
        <v>146.1409514925373</v>
      </c>
      <c r="I21" s="7" t="n">
        <v>131.2085447459372</v>
      </c>
      <c r="J21" s="7" t="n">
        <v>152.6837203200839</v>
      </c>
      <c r="K21" s="7" t="n">
        <v>127.1938068856351</v>
      </c>
      <c r="L21" s="7" t="n">
        <v>158.9477001773572</v>
      </c>
      <c r="M21" s="7" t="n">
        <v>159.6727055904212</v>
      </c>
      <c r="N21" s="7" t="n">
        <v>156.8241317158598</v>
      </c>
      <c r="O21" s="8">
        <f>N21*$B$2/100</f>
        <v/>
      </c>
    </row>
    <row r="22">
      <c r="A22" s="6" t="n">
        <v>46238.49518837963</v>
      </c>
      <c r="B22" s="7" t="n">
        <v>147.888311329232</v>
      </c>
      <c r="C22" s="7" t="n">
        <v>152.519665560218</v>
      </c>
      <c r="D22" s="7" t="n">
        <v>159.8532352698124</v>
      </c>
      <c r="E22" s="7" t="n">
        <v>153.732868623441</v>
      </c>
      <c r="F22" s="7" t="n">
        <v>151.6823850813636</v>
      </c>
      <c r="G22" s="7" t="n">
        <v>142.1175954750734</v>
      </c>
      <c r="H22" s="7" t="n">
        <v>149.3372200302299</v>
      </c>
      <c r="I22" s="7" t="n">
        <v>119.5923893157702</v>
      </c>
      <c r="J22" s="7" t="n">
        <v>141.2486125720918</v>
      </c>
      <c r="K22" s="7" t="n">
        <v>143.8190716298384</v>
      </c>
      <c r="L22" s="7" t="n">
        <v>159.6585118780133</v>
      </c>
      <c r="M22" s="7" t="n">
        <v>159.5245198699264</v>
      </c>
      <c r="N22" s="7" t="n">
        <v>156.5545146098142</v>
      </c>
      <c r="O22" s="8">
        <f>N22*$B$2/100</f>
        <v/>
      </c>
    </row>
    <row r="23">
      <c r="A23" s="6" t="n">
        <v>46238.4952</v>
      </c>
      <c r="B23" s="7" t="n">
        <v>142.946353547148</v>
      </c>
      <c r="C23" s="7" t="n">
        <v>158.3273374796769</v>
      </c>
      <c r="D23" s="7" t="n">
        <v>145.005602830904</v>
      </c>
      <c r="E23" s="7" t="n">
        <v>160.0393977940913</v>
      </c>
      <c r="F23" s="7" t="n">
        <v>156.4314073873697</v>
      </c>
      <c r="G23" s="7" t="n">
        <v>142.7513280387104</v>
      </c>
      <c r="H23" s="7" t="n">
        <v>151.1941420644669</v>
      </c>
      <c r="I23" s="7" t="n">
        <v>136.8228071321272</v>
      </c>
      <c r="J23" s="7" t="n">
        <v>152.7409729147869</v>
      </c>
      <c r="K23" s="7" t="n">
        <v>147.7558896324136</v>
      </c>
      <c r="L23" s="7" t="n">
        <v>159.9236044438349</v>
      </c>
      <c r="M23" s="7" t="n">
        <v>159.1689568740377</v>
      </c>
      <c r="N23" s="7" t="n">
        <v>156.3083645922273</v>
      </c>
      <c r="O23" s="8">
        <f>N23*$B$2/100</f>
        <v/>
      </c>
    </row>
    <row r="24">
      <c r="A24" s="6" t="n">
        <v>46238.49521173611</v>
      </c>
      <c r="B24" s="7" t="n">
        <v>157.2689083072563</v>
      </c>
      <c r="C24" s="7" t="n">
        <v>163.8660499237664</v>
      </c>
      <c r="D24" s="7" t="n">
        <v>155.1896713750777</v>
      </c>
      <c r="E24" s="7" t="n">
        <v>160.4462430444764</v>
      </c>
      <c r="F24" s="7" t="n">
        <v>151.7056202878684</v>
      </c>
      <c r="G24" s="7" t="n">
        <v>153.4947410492659</v>
      </c>
      <c r="H24" s="7" t="n">
        <v>149.7523865300146</v>
      </c>
      <c r="I24" s="7" t="n">
        <v>134.646955667789</v>
      </c>
      <c r="J24" s="7" t="n">
        <v>153.2087634508192</v>
      </c>
      <c r="K24" s="7" t="n">
        <v>137.651747020585</v>
      </c>
      <c r="L24" s="7" t="n">
        <v>160.3969106228317</v>
      </c>
      <c r="M24" s="7" t="n">
        <v>159.3927984461378</v>
      </c>
      <c r="N24" s="7" t="n">
        <v>157.8250454289694</v>
      </c>
      <c r="O24" s="8">
        <f>N24*$B$2/100</f>
        <v/>
      </c>
    </row>
    <row r="25">
      <c r="A25" s="6" t="n">
        <v>46238.49522344908</v>
      </c>
      <c r="B25" s="7" t="n">
        <v>150.7507928005143</v>
      </c>
      <c r="C25" s="7" t="n">
        <v>160.3789847400896</v>
      </c>
      <c r="D25" s="7" t="n">
        <v>159.5754336118401</v>
      </c>
      <c r="E25" s="7" t="n">
        <v>158.5541116120006</v>
      </c>
      <c r="F25" s="7" t="n">
        <v>149.9978170588862</v>
      </c>
      <c r="G25" s="7" t="n">
        <v>143.4269992663243</v>
      </c>
      <c r="H25" s="7" t="n">
        <v>155.1304042568916</v>
      </c>
      <c r="I25" s="7" t="n">
        <v>146.1331681635181</v>
      </c>
      <c r="J25" s="7" t="n">
        <v>151.3117329587461</v>
      </c>
      <c r="K25" s="7" t="n">
        <v>144.4987136944931</v>
      </c>
      <c r="L25" s="7" t="n">
        <v>159.6767541223448</v>
      </c>
      <c r="M25" s="7" t="n">
        <v>159.2860303941216</v>
      </c>
      <c r="N25" s="7" t="n">
        <v>157.096580651044</v>
      </c>
      <c r="O25" s="8">
        <f>N25*$B$2/100</f>
        <v/>
      </c>
    </row>
    <row r="26">
      <c r="A26" s="6" t="n">
        <v>46238.49523517361</v>
      </c>
      <c r="B26" s="7" t="n">
        <v>154.4247043877651</v>
      </c>
      <c r="C26" s="7" t="n">
        <v>160.1517173130406</v>
      </c>
      <c r="D26" s="7" t="n">
        <v>160.6094049009841</v>
      </c>
      <c r="E26" s="7" t="n">
        <v>137.5139362675763</v>
      </c>
      <c r="F26" s="7" t="n">
        <v>137.8021545962098</v>
      </c>
      <c r="G26" s="7" t="n">
        <v>139.0923301844354</v>
      </c>
      <c r="H26" s="7" t="n">
        <v>155.2427838810605</v>
      </c>
      <c r="I26" s="7" t="n">
        <v>138.7943470393711</v>
      </c>
      <c r="J26" s="7" t="n">
        <v>161.2600083438584</v>
      </c>
      <c r="K26" s="7" t="n">
        <v>157.0264341340353</v>
      </c>
      <c r="L26" s="7" t="n">
        <v>159.5498270021497</v>
      </c>
      <c r="M26" s="7" t="n">
        <v>159.1883239604097</v>
      </c>
      <c r="N26" s="7" t="n">
        <v>158.0613730017243</v>
      </c>
      <c r="O26" s="8">
        <f>N26*$B$2/100</f>
        <v/>
      </c>
    </row>
    <row r="27">
      <c r="A27" s="6" t="n">
        <v>46238.49524692129</v>
      </c>
      <c r="B27" s="7" t="n">
        <v>157.4981974434505</v>
      </c>
      <c r="C27" s="7" t="n">
        <v>155.0348674114288</v>
      </c>
      <c r="D27" s="7" t="n">
        <v>157.3142219117655</v>
      </c>
      <c r="E27" s="7" t="n">
        <v>158.1075193835098</v>
      </c>
      <c r="F27" s="7" t="n">
        <v>148.7410867902887</v>
      </c>
      <c r="G27" s="7" t="n">
        <v>147.0664253836943</v>
      </c>
      <c r="H27" s="7" t="n">
        <v>149.7434133155465</v>
      </c>
      <c r="I27" s="7" t="n">
        <v>156.2299707084688</v>
      </c>
      <c r="J27" s="7" t="n">
        <v>155.1205318127767</v>
      </c>
      <c r="K27" s="7" t="n">
        <v>136.2820731329408</v>
      </c>
      <c r="L27" s="7" t="n">
        <v>157.9040199106008</v>
      </c>
      <c r="M27" s="7" t="n">
        <v>158.7307265995331</v>
      </c>
      <c r="N27" s="7" t="n">
        <v>156.4140283942918</v>
      </c>
      <c r="O27" s="8">
        <f>N27*$B$2/100</f>
        <v/>
      </c>
    </row>
    <row r="28">
      <c r="A28" s="6" t="n">
        <v>46238.49525865741</v>
      </c>
      <c r="B28" s="7" t="n">
        <v>160.2768076111954</v>
      </c>
      <c r="C28" s="7" t="n">
        <v>158.7398448869812</v>
      </c>
      <c r="D28" s="7" t="n">
        <v>160.9036539424116</v>
      </c>
      <c r="E28" s="7" t="n">
        <v>157.2922079194342</v>
      </c>
      <c r="F28" s="7" t="n">
        <v>145.1646732788798</v>
      </c>
      <c r="G28" s="7" t="n">
        <v>160.9804648075269</v>
      </c>
      <c r="H28" s="7" t="n">
        <v>156.9304657759593</v>
      </c>
      <c r="I28" s="7" t="n">
        <v>141.5267975506597</v>
      </c>
      <c r="J28" s="7" t="n">
        <v>154.9777250425845</v>
      </c>
      <c r="K28" s="7" t="n">
        <v>130.7894136653046</v>
      </c>
      <c r="L28" s="7" t="n">
        <v>156.4232656291216</v>
      </c>
      <c r="M28" s="7" t="n">
        <v>159.8713414440792</v>
      </c>
      <c r="N28" s="7" t="n">
        <v>158.2455816812663</v>
      </c>
      <c r="O28" s="8">
        <f>N28*$B$2/100</f>
        <v/>
      </c>
    </row>
    <row r="29">
      <c r="A29" s="6" t="n">
        <v>46238.49527042824</v>
      </c>
      <c r="B29" s="7" t="n">
        <v>158.8726921935292</v>
      </c>
      <c r="C29" s="7" t="n">
        <v>160.6062904525202</v>
      </c>
      <c r="D29" s="7" t="n">
        <v>150.2640523755073</v>
      </c>
      <c r="E29" s="7" t="n">
        <v>156.1082396413041</v>
      </c>
      <c r="F29" s="7" t="n">
        <v>160.0891294832643</v>
      </c>
      <c r="G29" s="7" t="n">
        <v>154.4343341160684</v>
      </c>
      <c r="H29" s="7" t="n">
        <v>154.444267011561</v>
      </c>
      <c r="I29" s="7" t="n">
        <v>147.2691156593937</v>
      </c>
      <c r="J29" s="7" t="n">
        <v>151.9785306504446</v>
      </c>
      <c r="K29" s="7" t="n">
        <v>134.7911455727864</v>
      </c>
      <c r="L29" s="7" t="n">
        <v>158.0574633203704</v>
      </c>
      <c r="M29" s="7" t="n">
        <v>159.1445916292445</v>
      </c>
      <c r="N29" s="7" t="n">
        <v>157.636583579126</v>
      </c>
      <c r="O29" s="8">
        <f>N29*$B$2/100</f>
        <v/>
      </c>
    </row>
    <row r="30">
      <c r="A30" s="6" t="n">
        <v>46238.49528216435</v>
      </c>
      <c r="B30" s="7" t="n">
        <v>152.5218614256213</v>
      </c>
      <c r="C30" s="7" t="n">
        <v>162.0635861215858</v>
      </c>
      <c r="D30" s="7" t="n">
        <v>159.918528028567</v>
      </c>
      <c r="E30" s="7" t="n">
        <v>159.5605703472545</v>
      </c>
      <c r="F30" s="7" t="n">
        <v>148.2212302053475</v>
      </c>
      <c r="G30" s="7" t="n">
        <v>139.7087564144557</v>
      </c>
      <c r="H30" s="7" t="n">
        <v>156.9643285334652</v>
      </c>
      <c r="I30" s="7" t="n">
        <v>152.36390957358</v>
      </c>
      <c r="J30" s="7" t="n">
        <v>152.5086787105916</v>
      </c>
      <c r="K30" s="7" t="n">
        <v>149.9704250632292</v>
      </c>
      <c r="L30" s="7" t="n">
        <v>160.5198351525574</v>
      </c>
      <c r="M30" s="7" t="n">
        <v>153.9201780259138</v>
      </c>
      <c r="N30" s="7" t="n">
        <v>157.9884798250496</v>
      </c>
      <c r="O30" s="8">
        <f>N30*$B$2/100</f>
        <v/>
      </c>
    </row>
    <row r="31">
      <c r="A31" s="6" t="n">
        <v>46238.49529388889</v>
      </c>
      <c r="B31" s="7" t="n">
        <v>156.2144897051427</v>
      </c>
      <c r="C31" s="7" t="n">
        <v>160.3132987975497</v>
      </c>
      <c r="D31" s="7" t="n">
        <v>153.627739254711</v>
      </c>
      <c r="E31" s="7" t="n">
        <v>161.1301528358318</v>
      </c>
      <c r="F31" s="7" t="n">
        <v>158.9205958480094</v>
      </c>
      <c r="G31" s="7" t="n">
        <v>143.7323506923796</v>
      </c>
      <c r="H31" s="7" t="n">
        <v>147.7764434740417</v>
      </c>
      <c r="I31" s="7" t="n">
        <v>140.1482203244111</v>
      </c>
      <c r="J31" s="7" t="n">
        <v>141.9216767982009</v>
      </c>
      <c r="K31" s="7" t="n">
        <v>112.0809037900875</v>
      </c>
      <c r="L31" s="7" t="n">
        <v>160.5541416857031</v>
      </c>
      <c r="M31" s="7" t="n">
        <v>157.7846998945628</v>
      </c>
      <c r="N31" s="7" t="n">
        <v>157.0891363493845</v>
      </c>
      <c r="O31" s="8">
        <f>N31*$B$2/100</f>
        <v/>
      </c>
    </row>
    <row r="32">
      <c r="A32" s="6" t="n">
        <v>46238.495305625</v>
      </c>
      <c r="B32" s="7" t="n">
        <v>161.4667405889769</v>
      </c>
      <c r="C32" s="7" t="n">
        <v>162.7456200891909</v>
      </c>
      <c r="D32" s="7" t="n">
        <v>155.2894158273381</v>
      </c>
      <c r="E32" s="7" t="n">
        <v>139.3605208556915</v>
      </c>
      <c r="F32" s="7" t="n">
        <v>144.6903160347225</v>
      </c>
      <c r="G32" s="7" t="n">
        <v>139.5835973806506</v>
      </c>
      <c r="H32" s="7" t="n">
        <v>139.6543451652387</v>
      </c>
      <c r="I32" s="7" t="n">
        <v>116.6807331628304</v>
      </c>
      <c r="J32" s="7" t="n">
        <v>154.3667410014928</v>
      </c>
      <c r="K32" s="7" t="n">
        <v>113.3587038432555</v>
      </c>
      <c r="L32" s="7" t="n">
        <v>161.7591932374084</v>
      </c>
      <c r="M32" s="7" t="n">
        <v>159.5287597713219</v>
      </c>
      <c r="N32" s="7" t="n">
        <v>157.976589195816</v>
      </c>
      <c r="O32" s="8">
        <f>N32*$B$2/100</f>
        <v/>
      </c>
    </row>
    <row r="33">
      <c r="A33" s="6" t="n">
        <v>46238.4953172338</v>
      </c>
      <c r="B33" s="7" t="n">
        <v>158.5848232790781</v>
      </c>
      <c r="C33" s="7" t="n">
        <v>159.3807756085587</v>
      </c>
      <c r="D33" s="7" t="n">
        <v>147.1142302490948</v>
      </c>
      <c r="E33" s="7" t="n">
        <v>157.5540352145402</v>
      </c>
      <c r="F33" s="7" t="n">
        <v>151.3671075265785</v>
      </c>
      <c r="G33" s="7" t="n">
        <v>158.2302327877755</v>
      </c>
      <c r="H33" s="7" t="n">
        <v>152.8911820934678</v>
      </c>
      <c r="I33" s="7" t="n">
        <v>146.6729129867138</v>
      </c>
      <c r="J33" s="7" t="n">
        <v>125.0448523972833</v>
      </c>
      <c r="K33" s="7" t="n">
        <v>114.2503536067892</v>
      </c>
      <c r="L33" s="7" t="n">
        <v>159.874995306504</v>
      </c>
      <c r="M33" s="7" t="n">
        <v>158.5993236614723</v>
      </c>
      <c r="N33" s="7" t="n">
        <v>156.9962060266571</v>
      </c>
      <c r="O33" s="8">
        <f>N33*$B$2/100</f>
        <v/>
      </c>
    </row>
    <row r="34">
      <c r="A34" s="6" t="n">
        <v>46238.4953289699</v>
      </c>
      <c r="B34" s="7" t="n">
        <v>156.0517844136926</v>
      </c>
      <c r="C34" s="7" t="n">
        <v>162.0979264506885</v>
      </c>
      <c r="D34" s="7" t="n">
        <v>158.9571641654744</v>
      </c>
      <c r="E34" s="7" t="n">
        <v>153.2205924238109</v>
      </c>
      <c r="F34" s="7" t="n">
        <v>152.0284146580443</v>
      </c>
      <c r="G34" s="7" t="n">
        <v>158.992720084852</v>
      </c>
      <c r="H34" s="7" t="n">
        <v>150.4272884219806</v>
      </c>
      <c r="I34" s="7" t="n">
        <v>127.0873776611845</v>
      </c>
      <c r="J34" s="7" t="n">
        <v>152.458477416609</v>
      </c>
      <c r="K34" s="7" t="n">
        <v>115.9101685232791</v>
      </c>
      <c r="L34" s="7" t="n">
        <v>158.7801950269109</v>
      </c>
      <c r="M34" s="7" t="n">
        <v>158.8358733935771</v>
      </c>
      <c r="N34" s="7" t="n">
        <v>157.5606781761343</v>
      </c>
      <c r="O34" s="8">
        <f>N34*$B$2/100</f>
        <v/>
      </c>
    </row>
    <row r="35">
      <c r="A35" s="6" t="n">
        <v>46238.49534071759</v>
      </c>
      <c r="B35" s="7" t="n">
        <v>152.9040152710501</v>
      </c>
      <c r="C35" s="7" t="n">
        <v>152.1499209209046</v>
      </c>
      <c r="D35" s="7" t="n">
        <v>152.6679928215168</v>
      </c>
      <c r="E35" s="7" t="n">
        <v>151.3462133563173</v>
      </c>
      <c r="F35" s="7" t="n">
        <v>152.2693446114415</v>
      </c>
      <c r="G35" s="7" t="n">
        <v>151.4890023378978</v>
      </c>
      <c r="H35" s="7" t="n">
        <v>152.5756693227</v>
      </c>
      <c r="I35" s="7" t="n">
        <v>152.9663371411486</v>
      </c>
      <c r="J35" s="7" t="n">
        <v>152.517780970602</v>
      </c>
      <c r="K35" s="7" t="n">
        <v>153.2294180377818</v>
      </c>
      <c r="L35" s="7" t="n">
        <v>153.0385964321858</v>
      </c>
      <c r="M35" s="7" t="n">
        <v>153.1251039203183</v>
      </c>
      <c r="N35" s="7" t="n">
        <v>152.592481771792</v>
      </c>
      <c r="O35" s="8">
        <f>N35*$B$2/100</f>
        <v/>
      </c>
    </row>
    <row r="36">
      <c r="A36" s="6" t="n">
        <v>46238.49535248843</v>
      </c>
      <c r="B36" s="7" t="n">
        <v>152.6664000117642</v>
      </c>
      <c r="C36" s="7" t="n">
        <v>150.90316046669</v>
      </c>
      <c r="D36" s="7" t="n">
        <v>152.5191316694616</v>
      </c>
      <c r="E36" s="7" t="n">
        <v>151.8580786321092</v>
      </c>
      <c r="F36" s="7" t="n">
        <v>152.2465123858291</v>
      </c>
      <c r="G36" s="7" t="n">
        <v>151.4998207715259</v>
      </c>
      <c r="H36" s="7" t="n">
        <v>152.3302542118019</v>
      </c>
      <c r="I36" s="7" t="n">
        <v>152.9944733420026</v>
      </c>
      <c r="J36" s="7" t="n">
        <v>152.3563973836333</v>
      </c>
      <c r="K36" s="7" t="n">
        <v>152.8870995701783</v>
      </c>
      <c r="L36" s="7" t="n">
        <v>152.2326905093037</v>
      </c>
      <c r="M36" s="7" t="n">
        <v>153.121895729704</v>
      </c>
      <c r="N36" s="7" t="n">
        <v>152.3344621791366</v>
      </c>
      <c r="O36" s="8">
        <f>N36*$B$2/100</f>
        <v/>
      </c>
    </row>
    <row r="37">
      <c r="A37" s="6" t="n">
        <v>46238.49536422454</v>
      </c>
      <c r="B37" s="7" t="n">
        <v>151.7133059876267</v>
      </c>
      <c r="C37" s="7" t="n">
        <v>152.0135593999391</v>
      </c>
      <c r="D37" s="7" t="n">
        <v>152.4783854811373</v>
      </c>
      <c r="E37" s="7" t="n">
        <v>151.563848680774</v>
      </c>
      <c r="F37" s="7" t="n">
        <v>152.3185526290224</v>
      </c>
      <c r="G37" s="7" t="n">
        <v>152.9061184635374</v>
      </c>
      <c r="H37" s="7" t="n">
        <v>152.3620631214221</v>
      </c>
      <c r="I37" s="7" t="n">
        <v>152.4674797687194</v>
      </c>
      <c r="J37" s="7" t="n">
        <v>152.2296132997243</v>
      </c>
      <c r="K37" s="7" t="n">
        <v>151.8322898517426</v>
      </c>
      <c r="L37" s="7" t="n">
        <v>152.5329732697895</v>
      </c>
      <c r="M37" s="7" t="n">
        <v>152.5578561386727</v>
      </c>
      <c r="N37" s="7" t="n">
        <v>152.266945096716</v>
      </c>
      <c r="O37" s="8">
        <f>N37*$B$2/100</f>
        <v/>
      </c>
    </row>
    <row r="38">
      <c r="A38" s="6" t="n">
        <v>46238.4953759375</v>
      </c>
      <c r="B38" s="7" t="n">
        <v>152.0643171350873</v>
      </c>
      <c r="C38" s="7" t="n">
        <v>151.8430075809527</v>
      </c>
      <c r="D38" s="7" t="n">
        <v>151.9433561783961</v>
      </c>
      <c r="E38" s="7" t="n">
        <v>152.20797637965</v>
      </c>
      <c r="F38" s="7" t="n">
        <v>152.0829299958713</v>
      </c>
      <c r="G38" s="7" t="n">
        <v>152.0852638942092</v>
      </c>
      <c r="H38" s="7" t="n">
        <v>152.1780399071461</v>
      </c>
      <c r="I38" s="7" t="n">
        <v>152.1860737435113</v>
      </c>
      <c r="J38" s="7" t="n">
        <v>151.7230583266445</v>
      </c>
      <c r="K38" s="7" t="n">
        <v>152.167862590883</v>
      </c>
      <c r="L38" s="7" t="n">
        <v>151.364117182402</v>
      </c>
      <c r="M38" s="7" t="n">
        <v>152.2717910393351</v>
      </c>
      <c r="N38" s="7" t="n">
        <v>151.9783790737295</v>
      </c>
      <c r="O38" s="8">
        <f>N38*$B$2/100</f>
        <v/>
      </c>
    </row>
    <row r="39">
      <c r="A39" s="6" t="n">
        <v>46238.49538753472</v>
      </c>
      <c r="B39" s="7" t="n">
        <v>152.1428212458133</v>
      </c>
      <c r="C39" s="7" t="n">
        <v>151.9396859962769</v>
      </c>
      <c r="D39" s="7" t="n">
        <v>152.3038645170122</v>
      </c>
      <c r="E39" s="7" t="n">
        <v>153.0555758047231</v>
      </c>
      <c r="F39" s="7" t="n">
        <v>152.4499800466279</v>
      </c>
      <c r="G39" s="7" t="n">
        <v>153.8436405769879</v>
      </c>
      <c r="H39" s="7" t="n">
        <v>152.8553934902436</v>
      </c>
      <c r="I39" s="7" t="n">
        <v>153.3029488324372</v>
      </c>
      <c r="J39" s="7" t="n">
        <v>152.9664498038396</v>
      </c>
      <c r="K39" s="7" t="n">
        <v>152.7036089226851</v>
      </c>
      <c r="L39" s="7" t="n">
        <v>152.5782156408067</v>
      </c>
      <c r="M39" s="7" t="n">
        <v>152.5044660174611</v>
      </c>
      <c r="N39" s="7" t="n">
        <v>152.6845675204033</v>
      </c>
      <c r="O39" s="8">
        <f>N39*$B$2/100</f>
        <v/>
      </c>
    </row>
    <row r="40">
      <c r="A40" s="6" t="n">
        <v>46238.49539927083</v>
      </c>
      <c r="B40" s="7" t="n">
        <v>152.0748686971874</v>
      </c>
      <c r="C40" s="7" t="n">
        <v>152.2577068610539</v>
      </c>
      <c r="D40" s="7" t="n">
        <v>151.7426211504765</v>
      </c>
      <c r="E40" s="7" t="n">
        <v>152.1089898489601</v>
      </c>
      <c r="F40" s="7" t="n">
        <v>152.0627192761049</v>
      </c>
      <c r="G40" s="7" t="n">
        <v>152.2886259403393</v>
      </c>
      <c r="H40" s="7" t="n">
        <v>152.2246446506711</v>
      </c>
      <c r="I40" s="7" t="n">
        <v>151.7893473810994</v>
      </c>
      <c r="J40" s="7" t="n">
        <v>151.5084815240542</v>
      </c>
      <c r="K40" s="7" t="n">
        <v>151.5974915689003</v>
      </c>
      <c r="L40" s="7" t="n">
        <v>151.7421223234149</v>
      </c>
      <c r="M40" s="7" t="n">
        <v>151.9236489445564</v>
      </c>
      <c r="N40" s="7" t="n">
        <v>151.9216562939238</v>
      </c>
      <c r="O40" s="8">
        <f>N40*$B$2/100</f>
        <v/>
      </c>
    </row>
    <row r="41">
      <c r="A41" s="6" t="n">
        <v>46238.49541104167</v>
      </c>
      <c r="B41" s="7" t="n">
        <v>152.3409323460485</v>
      </c>
      <c r="C41" s="7" t="n">
        <v>152.6761005621586</v>
      </c>
      <c r="D41" s="7" t="n">
        <v>150.8003444574795</v>
      </c>
      <c r="E41" s="7" t="n">
        <v>152.5309279215765</v>
      </c>
      <c r="F41" s="7" t="n">
        <v>152.1577372399815</v>
      </c>
      <c r="G41" s="7" t="n">
        <v>151.9113396688733</v>
      </c>
      <c r="H41" s="7" t="n">
        <v>152.8280017497894</v>
      </c>
      <c r="I41" s="7" t="n">
        <v>152.7486350772622</v>
      </c>
      <c r="J41" s="7" t="n">
        <v>151.7730030221532</v>
      </c>
      <c r="K41" s="7" t="n">
        <v>152.1290619251993</v>
      </c>
      <c r="L41" s="7" t="n">
        <v>152.9241966160796</v>
      </c>
      <c r="M41" s="7" t="n">
        <v>152.6676447695178</v>
      </c>
      <c r="N41" s="7" t="n">
        <v>152.3755211154404</v>
      </c>
      <c r="O41" s="8">
        <f>N41*$B$2/100</f>
        <v/>
      </c>
    </row>
    <row r="42">
      <c r="A42" s="6" t="n">
        <v>46238.49542282407</v>
      </c>
      <c r="B42" s="7" t="n">
        <v>152.689370618146</v>
      </c>
      <c r="C42" s="7" t="n">
        <v>150.3852363239293</v>
      </c>
      <c r="D42" s="7" t="n">
        <v>152.2113229106809</v>
      </c>
      <c r="E42" s="7" t="n">
        <v>152.202993525683</v>
      </c>
      <c r="F42" s="7" t="n">
        <v>151.8253663795367</v>
      </c>
      <c r="G42" s="7" t="n">
        <v>152.4581015279772</v>
      </c>
      <c r="H42" s="7" t="n">
        <v>152.7068818660318</v>
      </c>
      <c r="I42" s="7" t="n">
        <v>152.7074122534303</v>
      </c>
      <c r="J42" s="7" t="n">
        <v>152.1687645628205</v>
      </c>
      <c r="K42" s="7" t="n">
        <v>152.3477320814293</v>
      </c>
      <c r="L42" s="7" t="n">
        <v>152.7432768702018</v>
      </c>
      <c r="M42" s="7" t="n">
        <v>153.0912229584098</v>
      </c>
      <c r="N42" s="7" t="n">
        <v>152.3510748899293</v>
      </c>
      <c r="O42" s="8">
        <f>N42*$B$2/100</f>
        <v/>
      </c>
    </row>
    <row r="43">
      <c r="A43" s="6" t="n">
        <v>46238.49543446759</v>
      </c>
      <c r="B43" s="7" t="n">
        <v>151.8756690454951</v>
      </c>
      <c r="C43" s="7" t="n">
        <v>152.6084878290516</v>
      </c>
      <c r="D43" s="7" t="n">
        <v>152.4017158671157</v>
      </c>
      <c r="E43" s="7" t="n">
        <v>152.7665969217675</v>
      </c>
      <c r="F43" s="7" t="n">
        <v>151.8268117649469</v>
      </c>
      <c r="G43" s="7" t="n">
        <v>151.9240038969522</v>
      </c>
      <c r="H43" s="7" t="n">
        <v>152.3165641563346</v>
      </c>
      <c r="I43" s="7" t="n">
        <v>150.9458837719932</v>
      </c>
      <c r="J43" s="7" t="n">
        <v>151.6549983002022</v>
      </c>
      <c r="K43" s="7" t="n">
        <v>152.4127592885665</v>
      </c>
      <c r="L43" s="7" t="n">
        <v>151.8397656652021</v>
      </c>
      <c r="M43" s="7" t="n">
        <v>152.4701529478503</v>
      </c>
      <c r="N43" s="7" t="n">
        <v>152.0775520074016</v>
      </c>
      <c r="O43" s="8">
        <f>N43*$B$2/100</f>
        <v/>
      </c>
    </row>
    <row r="44">
      <c r="A44" s="6" t="n">
        <v>46238.49544621527</v>
      </c>
      <c r="B44" s="7" t="n">
        <v>151.9740491594899</v>
      </c>
      <c r="C44" s="7" t="n">
        <v>151.8697661629221</v>
      </c>
      <c r="D44" s="7" t="n">
        <v>152.0000617951491</v>
      </c>
      <c r="E44" s="7" t="n">
        <v>151.5568195927041</v>
      </c>
      <c r="F44" s="7" t="n">
        <v>152.9776040634159</v>
      </c>
      <c r="G44" s="7" t="n">
        <v>151.8527863836298</v>
      </c>
      <c r="H44" s="7" t="n">
        <v>152.118117699164</v>
      </c>
      <c r="I44" s="7" t="n">
        <v>152.1553613992681</v>
      </c>
      <c r="J44" s="7" t="n">
        <v>150.8359988303931</v>
      </c>
      <c r="K44" s="7" t="n">
        <v>151.7838455083333</v>
      </c>
      <c r="L44" s="7" t="n">
        <v>152.2408198955474</v>
      </c>
      <c r="M44" s="7" t="n">
        <v>152.3610059719068</v>
      </c>
      <c r="N44" s="7" t="n">
        <v>151.9787318533721</v>
      </c>
      <c r="O44" s="8">
        <f>N44*$B$2/100</f>
        <v/>
      </c>
    </row>
    <row r="45">
      <c r="A45" s="6" t="n">
        <v>46238.4954578125</v>
      </c>
      <c r="B45" s="7" t="n">
        <v>150.4033370721135</v>
      </c>
      <c r="C45" s="7" t="n">
        <v>151.5801678462018</v>
      </c>
      <c r="D45" s="7" t="n">
        <v>151.8269557242375</v>
      </c>
      <c r="E45" s="7" t="n">
        <v>150.9954316330964</v>
      </c>
      <c r="F45" s="7" t="n">
        <v>151.5213041251172</v>
      </c>
      <c r="G45" s="7" t="n">
        <v>151.6217399926724</v>
      </c>
      <c r="H45" s="7" t="n">
        <v>152.0574213180178</v>
      </c>
      <c r="I45" s="7" t="n">
        <v>152.3842817575577</v>
      </c>
      <c r="J45" s="7" t="n">
        <v>151.4706844038992</v>
      </c>
      <c r="K45" s="7" t="n">
        <v>151.3862551628119</v>
      </c>
      <c r="L45" s="7" t="n">
        <v>151.6569075325905</v>
      </c>
      <c r="M45" s="7" t="n">
        <v>152.1848738623387</v>
      </c>
      <c r="N45" s="7" t="n">
        <v>151.62218553386</v>
      </c>
      <c r="O45" s="8">
        <f>N45*$B$2/100</f>
        <v/>
      </c>
    </row>
    <row r="46">
      <c r="A46" s="6" t="n">
        <v>46238.49546940973</v>
      </c>
      <c r="B46" s="7" t="n">
        <v>151.7886946347813</v>
      </c>
      <c r="C46" s="7" t="n">
        <v>152.8743258219431</v>
      </c>
      <c r="D46" s="7" t="n">
        <v>151.6984536002071</v>
      </c>
      <c r="E46" s="7" t="n">
        <v>152.8310869060024</v>
      </c>
      <c r="F46" s="7" t="n">
        <v>151.4551199235226</v>
      </c>
      <c r="G46" s="7" t="n">
        <v>152.4923897857569</v>
      </c>
      <c r="H46" s="7" t="n">
        <v>152.207553947322</v>
      </c>
      <c r="I46" s="7" t="n">
        <v>152.8600121648932</v>
      </c>
      <c r="J46" s="7" t="n">
        <v>152.0080598502138</v>
      </c>
      <c r="K46" s="7" t="n">
        <v>150.8474736742444</v>
      </c>
      <c r="L46" s="7" t="n">
        <v>152.1054686630921</v>
      </c>
      <c r="M46" s="7" t="n">
        <v>151.7796613425896</v>
      </c>
      <c r="N46" s="7" t="n">
        <v>151.9763388226602</v>
      </c>
      <c r="O46" s="8">
        <f>N46*$B$2/100</f>
        <v/>
      </c>
    </row>
    <row r="47">
      <c r="A47" s="6" t="n">
        <v>46238.49548118056</v>
      </c>
      <c r="B47" s="7" t="n">
        <v>151.4346578854578</v>
      </c>
      <c r="C47" s="7" t="n">
        <v>151.4033337093863</v>
      </c>
      <c r="D47" s="7" t="n">
        <v>151.2874900157589</v>
      </c>
      <c r="E47" s="7" t="n">
        <v>151.5399604766752</v>
      </c>
      <c r="F47" s="7" t="n">
        <v>151.4374661971734</v>
      </c>
      <c r="G47" s="7" t="n">
        <v>151.6495925165567</v>
      </c>
      <c r="H47" s="7" t="n">
        <v>151.4245930647298</v>
      </c>
      <c r="I47" s="7" t="n">
        <v>151.5792582007615</v>
      </c>
      <c r="J47" s="7" t="n">
        <v>151.4092937750352</v>
      </c>
      <c r="K47" s="7" t="n">
        <v>151.3869545500353</v>
      </c>
      <c r="L47" s="7" t="n">
        <v>151.3779071570673</v>
      </c>
      <c r="M47" s="7" t="n">
        <v>151.7207939642633</v>
      </c>
      <c r="N47" s="7" t="n">
        <v>151.4631407972334</v>
      </c>
      <c r="O47" s="8">
        <f>N47*$B$2/100</f>
        <v/>
      </c>
    </row>
    <row r="48">
      <c r="A48" s="6" t="n">
        <v>46238.49549291666</v>
      </c>
      <c r="B48" s="7" t="n">
        <v>150.5431878954319</v>
      </c>
      <c r="C48" s="7" t="n">
        <v>151.4837281616444</v>
      </c>
      <c r="D48" s="7" t="n">
        <v>151.6375411160811</v>
      </c>
      <c r="E48" s="7" t="n">
        <v>152.0530791427601</v>
      </c>
      <c r="F48" s="7" t="n">
        <v>151.6297281220477</v>
      </c>
      <c r="G48" s="7" t="n">
        <v>151.7798896523622</v>
      </c>
      <c r="H48" s="7" t="n">
        <v>151.8858508219792</v>
      </c>
      <c r="I48" s="7" t="n">
        <v>151.8815705479572</v>
      </c>
      <c r="J48" s="7" t="n">
        <v>151.5526759960609</v>
      </c>
      <c r="K48" s="7" t="n">
        <v>152.0478165090061</v>
      </c>
      <c r="L48" s="7" t="n">
        <v>151.6608734926714</v>
      </c>
      <c r="M48" s="7" t="n">
        <v>151.6627599626576</v>
      </c>
      <c r="N48" s="7" t="n">
        <v>151.647394065141</v>
      </c>
      <c r="O48" s="8">
        <f>N48*$B$2/100</f>
        <v/>
      </c>
    </row>
    <row r="49">
      <c r="A49" s="6" t="n">
        <v>46238.49550452546</v>
      </c>
      <c r="B49" s="7" t="n">
        <v>151.0958192571534</v>
      </c>
      <c r="C49" s="7" t="n">
        <v>151.6378898967606</v>
      </c>
      <c r="D49" s="7" t="n">
        <v>151.6356707626803</v>
      </c>
      <c r="E49" s="7" t="n">
        <v>151.8099811571027</v>
      </c>
      <c r="F49" s="7" t="n">
        <v>151.4958481992864</v>
      </c>
      <c r="G49" s="7" t="n">
        <v>151.6101041773506</v>
      </c>
      <c r="H49" s="7" t="n">
        <v>151.6914239993262</v>
      </c>
      <c r="I49" s="7" t="n">
        <v>151.8442189985279</v>
      </c>
      <c r="J49" s="7" t="n">
        <v>151.465326111039</v>
      </c>
      <c r="K49" s="7" t="n">
        <v>151.7595869137141</v>
      </c>
      <c r="L49" s="7" t="n">
        <v>151.5152774648176</v>
      </c>
      <c r="M49" s="7" t="n">
        <v>151.8218851480462</v>
      </c>
      <c r="N49" s="7" t="n">
        <v>151.61259669967</v>
      </c>
      <c r="O49" s="8">
        <f>N49*$B$2/100</f>
        <v/>
      </c>
    </row>
    <row r="50">
      <c r="A50" s="6" t="n">
        <v>46238.49551623843</v>
      </c>
      <c r="B50" s="7" t="n">
        <v>150.9069667700843</v>
      </c>
      <c r="C50" s="7" t="n">
        <v>151.5432638761232</v>
      </c>
      <c r="D50" s="7" t="n">
        <v>151.5182811624944</v>
      </c>
      <c r="E50" s="7" t="n">
        <v>151.6255389670995</v>
      </c>
      <c r="F50" s="7" t="n">
        <v>151.4653780865234</v>
      </c>
      <c r="G50" s="7" t="n">
        <v>151.6482759980416</v>
      </c>
      <c r="H50" s="7" t="n">
        <v>151.454518576137</v>
      </c>
      <c r="I50" s="7" t="n">
        <v>151.4779181873669</v>
      </c>
      <c r="J50" s="7" t="n">
        <v>151.4814285510125</v>
      </c>
      <c r="K50" s="7" t="n">
        <v>151.7421712856181</v>
      </c>
      <c r="L50" s="7" t="n">
        <v>151.3959390240413</v>
      </c>
      <c r="M50" s="7" t="n">
        <v>151.5412933075938</v>
      </c>
      <c r="N50" s="7" t="n">
        <v>151.4751964184277</v>
      </c>
      <c r="O50" s="8">
        <f>N50*$B$2/100</f>
        <v/>
      </c>
    </row>
    <row r="51">
      <c r="A51" s="6" t="n">
        <v>46238.49552799769</v>
      </c>
      <c r="B51" s="7" t="n">
        <v>151.4041759481619</v>
      </c>
      <c r="C51" s="7" t="n">
        <v>151.3860045334845</v>
      </c>
      <c r="D51" s="7" t="n">
        <v>151.2647905325984</v>
      </c>
      <c r="E51" s="7" t="n">
        <v>151.5708680749227</v>
      </c>
      <c r="F51" s="7" t="n">
        <v>151.098681256403</v>
      </c>
      <c r="G51" s="7" t="n">
        <v>151.2848641323102</v>
      </c>
      <c r="H51" s="7" t="n">
        <v>151.1216735684989</v>
      </c>
      <c r="I51" s="7" t="n">
        <v>151.405283771107</v>
      </c>
      <c r="J51" s="7" t="n">
        <v>151.041449205364</v>
      </c>
      <c r="K51" s="7" t="n">
        <v>151.4985550024049</v>
      </c>
      <c r="L51" s="7" t="n">
        <v>151.2086447624677</v>
      </c>
      <c r="M51" s="7" t="n">
        <v>150.7512954744758</v>
      </c>
      <c r="N51" s="7" t="n">
        <v>151.2396560845858</v>
      </c>
      <c r="O51" s="8">
        <f>N51*$B$2/100</f>
        <v/>
      </c>
    </row>
    <row r="52">
      <c r="A52" s="6" t="n">
        <v>46238.4955397338</v>
      </c>
      <c r="B52" s="7" t="n">
        <v>151.1869585305181</v>
      </c>
      <c r="C52" s="7" t="n">
        <v>150.9515897534037</v>
      </c>
      <c r="D52" s="7" t="n">
        <v>151.3746990689072</v>
      </c>
      <c r="E52" s="7" t="n">
        <v>151.3466564823999</v>
      </c>
      <c r="F52" s="7" t="n">
        <v>151.4235260400209</v>
      </c>
      <c r="G52" s="7" t="n">
        <v>151.5006371407319</v>
      </c>
      <c r="H52" s="7" t="n">
        <v>151.3483774540647</v>
      </c>
      <c r="I52" s="7" t="n">
        <v>151.6443137009451</v>
      </c>
      <c r="J52" s="7" t="n">
        <v>151.3382343092031</v>
      </c>
      <c r="K52" s="7" t="n">
        <v>151.3367307250886</v>
      </c>
      <c r="L52" s="7" t="n">
        <v>151.2997793646179</v>
      </c>
      <c r="M52" s="7" t="n">
        <v>151.3873811083891</v>
      </c>
      <c r="N52" s="7" t="n">
        <v>151.343557616469</v>
      </c>
      <c r="O52" s="8">
        <f>N52*$B$2/100</f>
        <v/>
      </c>
    </row>
    <row r="53">
      <c r="A53" s="6" t="n">
        <v>46238.49555150463</v>
      </c>
      <c r="B53" s="7" t="n">
        <v>150.9200318392789</v>
      </c>
      <c r="C53" s="7" t="n">
        <v>150.1553064952144</v>
      </c>
      <c r="D53" s="7" t="n">
        <v>151.156723056167</v>
      </c>
      <c r="E53" s="7" t="n">
        <v>150.9683535287181</v>
      </c>
      <c r="F53" s="7" t="n">
        <v>150.7660318694131</v>
      </c>
      <c r="G53" s="7" t="n">
        <v>151.2300387346236</v>
      </c>
      <c r="H53" s="7" t="n">
        <v>150.8289615257072</v>
      </c>
      <c r="I53" s="7" t="n">
        <v>151.1772539418929</v>
      </c>
      <c r="J53" s="7" t="n">
        <v>151.3028199080618</v>
      </c>
      <c r="K53" s="7" t="n">
        <v>150.9795428582716</v>
      </c>
      <c r="L53" s="7" t="n">
        <v>151.0285366528774</v>
      </c>
      <c r="M53" s="7" t="n">
        <v>150.7884010172455</v>
      </c>
      <c r="N53" s="7" t="n">
        <v>150.9641619134655</v>
      </c>
      <c r="O53" s="8">
        <f>N53*$B$2/100</f>
        <v/>
      </c>
    </row>
    <row r="54">
      <c r="A54" s="6" t="n">
        <v>46238.49556311343</v>
      </c>
      <c r="B54" s="7" t="n">
        <v>150.5678791366906</v>
      </c>
      <c r="C54" s="7" t="n">
        <v>149.9288100148131</v>
      </c>
      <c r="D54" s="7" t="n">
        <v>150.5033966692056</v>
      </c>
      <c r="E54" s="7" t="n">
        <v>150.9380741551857</v>
      </c>
      <c r="F54" s="7" t="n">
        <v>150.2830772616608</v>
      </c>
      <c r="G54" s="7" t="n">
        <v>150.7048863368424</v>
      </c>
      <c r="H54" s="7" t="n">
        <v>150.4515631998183</v>
      </c>
      <c r="I54" s="7" t="n">
        <v>150.6158101828858</v>
      </c>
      <c r="J54" s="7" t="n">
        <v>150.8251112610196</v>
      </c>
      <c r="K54" s="7" t="n">
        <v>150.6933805140212</v>
      </c>
      <c r="L54" s="7" t="n">
        <v>150.3356344549555</v>
      </c>
      <c r="M54" s="7" t="n">
        <v>150.4692721273956</v>
      </c>
      <c r="N54" s="7" t="n">
        <v>150.5429795156339</v>
      </c>
      <c r="O54" s="8">
        <f>N54*$B$2/100</f>
        <v/>
      </c>
    </row>
    <row r="55">
      <c r="A55" s="6" t="n">
        <v>46238.49557471065</v>
      </c>
      <c r="B55" s="7" t="n">
        <v>150.9673600443973</v>
      </c>
      <c r="C55" s="7" t="n">
        <v>150.6975218818781</v>
      </c>
      <c r="D55" s="7" t="n">
        <v>150.6389934002298</v>
      </c>
      <c r="E55" s="7" t="n">
        <v>150.5930832092307</v>
      </c>
      <c r="F55" s="7" t="n">
        <v>150.6167129171359</v>
      </c>
      <c r="G55" s="7" t="n">
        <v>150.6898865346764</v>
      </c>
      <c r="H55" s="7" t="n">
        <v>150.9208655074152</v>
      </c>
      <c r="I55" s="7" t="n">
        <v>150.5015392819916</v>
      </c>
      <c r="J55" s="7" t="n">
        <v>151.0221936416251</v>
      </c>
      <c r="K55" s="7" t="n">
        <v>150.7389407351037</v>
      </c>
      <c r="L55" s="7" t="n">
        <v>150.923399249698</v>
      </c>
      <c r="M55" s="7" t="n">
        <v>150.4941070358828</v>
      </c>
      <c r="N55" s="7" t="n">
        <v>150.7357881825939</v>
      </c>
      <c r="O55" s="8">
        <f>N55*$B$2/100</f>
        <v/>
      </c>
    </row>
    <row r="56">
      <c r="A56" s="6" t="n">
        <v>46238.49558644676</v>
      </c>
      <c r="B56" s="7" t="n">
        <v>149.3331812047282</v>
      </c>
      <c r="C56" s="7" t="n">
        <v>148.4155334869482</v>
      </c>
      <c r="D56" s="7" t="n">
        <v>149.7184758532619</v>
      </c>
      <c r="E56" s="7" t="n">
        <v>148.8288101454681</v>
      </c>
      <c r="F56" s="7" t="n">
        <v>149.0825126117001</v>
      </c>
      <c r="G56" s="7" t="n">
        <v>149.1807985493133</v>
      </c>
      <c r="H56" s="7" t="n">
        <v>149.6679927443625</v>
      </c>
      <c r="I56" s="7" t="n">
        <v>149.6015142051946</v>
      </c>
      <c r="J56" s="7" t="n">
        <v>149.3784999844847</v>
      </c>
      <c r="K56" s="7" t="n">
        <v>149.4334735456549</v>
      </c>
      <c r="L56" s="7" t="n">
        <v>149.640766630117</v>
      </c>
      <c r="M56" s="7" t="n">
        <v>149.1573510301225</v>
      </c>
      <c r="N56" s="7" t="n">
        <v>149.3781913165196</v>
      </c>
      <c r="O56" s="8">
        <f>N56*$B$2/100</f>
        <v/>
      </c>
    </row>
    <row r="57">
      <c r="A57" s="6" t="n">
        <v>46238.49559815972</v>
      </c>
      <c r="B57" s="7" t="n">
        <v>145.613173902854</v>
      </c>
      <c r="C57" s="7" t="n">
        <v>150.0021499648015</v>
      </c>
      <c r="D57" s="7" t="n">
        <v>151.4362535212359</v>
      </c>
      <c r="E57" s="7" t="n">
        <v>148.8983458060746</v>
      </c>
      <c r="F57" s="7" t="n">
        <v>148.9633748349368</v>
      </c>
      <c r="G57" s="7" t="n">
        <v>146.8217727754984</v>
      </c>
      <c r="H57" s="7" t="n">
        <v>147.7540388864128</v>
      </c>
      <c r="I57" s="7" t="n">
        <v>148.2050471970718</v>
      </c>
      <c r="J57" s="7" t="n">
        <v>147.2578712838571</v>
      </c>
      <c r="K57" s="7" t="n">
        <v>147.8395244556225</v>
      </c>
      <c r="L57" s="7" t="n">
        <v>148.4034495363801</v>
      </c>
      <c r="M57" s="7" t="n">
        <v>147.4019784549608</v>
      </c>
      <c r="N57" s="7" t="n">
        <v>148.315266017161</v>
      </c>
      <c r="O57" s="8">
        <f>N57*$B$2/100</f>
        <v/>
      </c>
    </row>
    <row r="58">
      <c r="A58" s="6" t="n">
        <v>46238.49560987268</v>
      </c>
      <c r="B58" s="7" t="n">
        <v>151.7261929376698</v>
      </c>
      <c r="C58" s="7" t="n">
        <v>150.4812711210566</v>
      </c>
      <c r="D58" s="7" t="n">
        <v>149.5544600777642</v>
      </c>
      <c r="E58" s="7" t="n">
        <v>150.7125797812301</v>
      </c>
      <c r="F58" s="7" t="n">
        <v>149.8568317164743</v>
      </c>
      <c r="G58" s="7" t="n">
        <v>150.6717674135504</v>
      </c>
      <c r="H58" s="7" t="n">
        <v>150.1702517332147</v>
      </c>
      <c r="I58" s="7" t="n">
        <v>150.1708612967509</v>
      </c>
      <c r="J58" s="7" t="n">
        <v>149.7155900392756</v>
      </c>
      <c r="K58" s="7" t="n">
        <v>150.2648022404819</v>
      </c>
      <c r="L58" s="7" t="n">
        <v>150.8057362568416</v>
      </c>
      <c r="M58" s="7" t="n">
        <v>150.1337298728281</v>
      </c>
      <c r="N58" s="7" t="n">
        <v>150.4248923709421</v>
      </c>
      <c r="O58" s="8">
        <f>N58*$B$2/100</f>
        <v/>
      </c>
    </row>
    <row r="59">
      <c r="A59" s="6" t="n">
        <v>46238.49562155092</v>
      </c>
      <c r="B59" s="7" t="n">
        <v>123.4125500667557</v>
      </c>
      <c r="C59" s="7" t="n">
        <v>154.7101989264288</v>
      </c>
      <c r="D59" s="7" t="n">
        <v>136.2329224713864</v>
      </c>
      <c r="E59" s="7" t="n">
        <v>144.1884919231223</v>
      </c>
      <c r="F59" s="7" t="n">
        <v>133.6292551792654</v>
      </c>
      <c r="G59" s="7" t="n">
        <v>131.8001082216634</v>
      </c>
      <c r="H59" s="7" t="n">
        <v>151.9800312619665</v>
      </c>
      <c r="I59" s="7" t="n">
        <v>103.4875875789292</v>
      </c>
      <c r="J59" s="7" t="n">
        <v>145.7753818940406</v>
      </c>
      <c r="K59" s="7" t="n">
        <v>126.4490263459336</v>
      </c>
      <c r="L59" s="7" t="n">
        <v>127.6276672865383</v>
      </c>
      <c r="M59" s="7" t="n">
        <v>115.5862870078037</v>
      </c>
      <c r="N59" s="7" t="n">
        <v>141.5612705953015</v>
      </c>
      <c r="O59" s="8">
        <f>N59*$B$2/100</f>
        <v/>
      </c>
    </row>
    <row r="60">
      <c r="A60" s="6" t="n">
        <v>46238.49563327547</v>
      </c>
      <c r="B60" s="7" t="n">
        <v>129.6026168969182</v>
      </c>
      <c r="C60" s="7" t="n">
        <v>159.3932663493742</v>
      </c>
      <c r="D60" s="7" t="n">
        <v>153.5787981959415</v>
      </c>
      <c r="E60" s="7" t="n">
        <v>136.0895843834487</v>
      </c>
      <c r="F60" s="7" t="n">
        <v>144.4422146723483</v>
      </c>
      <c r="G60" s="7" t="n">
        <v>131.4689262801114</v>
      </c>
      <c r="H60" s="7" t="n">
        <v>149.7658297823333</v>
      </c>
      <c r="I60" s="7" t="n">
        <v>131.0049132504222</v>
      </c>
      <c r="J60" s="7" t="n">
        <v>148.4608331505791</v>
      </c>
      <c r="K60" s="7" t="n">
        <v>141.3748569416322</v>
      </c>
      <c r="L60" s="7" t="n">
        <v>126.7539231092716</v>
      </c>
      <c r="M60" s="7" t="n">
        <v>136.3518752043342</v>
      </c>
      <c r="N60" s="7" t="n">
        <v>147.0286878453039</v>
      </c>
      <c r="O60" s="8">
        <f>N60*$B$2/100</f>
        <v/>
      </c>
    </row>
    <row r="61">
      <c r="A61" s="6" t="n">
        <v>46238.49564491898</v>
      </c>
      <c r="B61" s="7" t="n">
        <v>146.803726872308</v>
      </c>
      <c r="C61" s="7" t="n">
        <v>155.5126539711798</v>
      </c>
      <c r="D61" s="7" t="n">
        <v>147.9147487689439</v>
      </c>
      <c r="E61" s="7" t="n">
        <v>131.8578439208414</v>
      </c>
      <c r="F61" s="7" t="n">
        <v>133.5027850115741</v>
      </c>
      <c r="G61" s="7" t="n">
        <v>116.1197754955816</v>
      </c>
      <c r="H61" s="7" t="n">
        <v>142.7491010151369</v>
      </c>
      <c r="I61" s="7" t="n">
        <v>108.8394196788394</v>
      </c>
      <c r="J61" s="7" t="n">
        <v>142.8773437817758</v>
      </c>
      <c r="K61" s="7" t="n">
        <v>134.7489724016442</v>
      </c>
      <c r="L61" s="7" t="n">
        <v>124.9555091383812</v>
      </c>
      <c r="M61" s="7" t="n">
        <v>106.6120970662803</v>
      </c>
      <c r="N61" s="7" t="n">
        <v>141.1955308856894</v>
      </c>
      <c r="O61" s="8">
        <f>N61*$B$2/100</f>
        <v/>
      </c>
    </row>
    <row r="62">
      <c r="A62" s="6" t="n">
        <v>46238.49565660879</v>
      </c>
      <c r="B62" s="7" t="n">
        <v>119.3509235319283</v>
      </c>
      <c r="C62" s="7" t="n">
        <v>153.4167267379833</v>
      </c>
      <c r="D62" s="7" t="n">
        <v>146.2861164055893</v>
      </c>
      <c r="E62" s="7" t="n">
        <v>130.624414600551</v>
      </c>
      <c r="F62" s="7" t="n">
        <v>154.4898449039882</v>
      </c>
      <c r="G62" s="7" t="n">
        <v>128.4153509671246</v>
      </c>
      <c r="H62" s="7" t="n">
        <v>143.4656515962222</v>
      </c>
      <c r="I62" s="7" t="n">
        <v>118.0374875723727</v>
      </c>
      <c r="J62" s="7" t="n">
        <v>139.7072488520897</v>
      </c>
      <c r="K62" s="7" t="n">
        <v>112.3242224316682</v>
      </c>
      <c r="L62" s="7" t="n">
        <v>120.1425985651287</v>
      </c>
      <c r="M62" s="7" t="n">
        <v>145.5564273596545</v>
      </c>
      <c r="N62" s="7" t="n">
        <v>142.8447448260145</v>
      </c>
      <c r="O62" s="8">
        <f>N62*$B$2/100</f>
        <v/>
      </c>
    </row>
    <row r="63">
      <c r="A63" s="6" t="n">
        <v>46238.49566829861</v>
      </c>
      <c r="B63" s="7" t="n">
        <v>129.0530782679544</v>
      </c>
      <c r="C63" s="7" t="n">
        <v>158.1682418284693</v>
      </c>
      <c r="D63" s="7" t="n">
        <v>123.6245541628452</v>
      </c>
      <c r="E63" s="7" t="n">
        <v>110.0525293766182</v>
      </c>
      <c r="F63" s="7" t="n">
        <v>158.5502059025395</v>
      </c>
      <c r="G63" s="7" t="n">
        <v>125.7709128851789</v>
      </c>
      <c r="H63" s="7" t="n">
        <v>146.2039659241352</v>
      </c>
      <c r="I63" s="7" t="n">
        <v>111.7589042958129</v>
      </c>
      <c r="J63" s="7" t="n">
        <v>144.6275718243222</v>
      </c>
      <c r="K63" s="7" t="n">
        <v>122.3164556962025</v>
      </c>
      <c r="L63" s="7" t="n">
        <v>128.0884512395266</v>
      </c>
      <c r="M63" s="7" t="n">
        <v>86.6343243724408</v>
      </c>
      <c r="N63" s="7" t="n">
        <v>145.0179800441269</v>
      </c>
      <c r="O63" s="8">
        <f>N63*$B$2/100</f>
        <v/>
      </c>
    </row>
    <row r="64">
      <c r="A64" s="6" t="n">
        <v>46238.49567996528</v>
      </c>
      <c r="B64" s="7" t="n">
        <v>138.6985444754453</v>
      </c>
      <c r="C64" s="7" t="n">
        <v>153.2952733241062</v>
      </c>
      <c r="D64" s="7" t="n">
        <v>151.5809316016894</v>
      </c>
      <c r="E64" s="7" t="n">
        <v>129.5220453853183</v>
      </c>
      <c r="F64" s="7" t="n">
        <v>146.5825284683718</v>
      </c>
      <c r="G64" s="7" t="n">
        <v>140.406751872415</v>
      </c>
      <c r="H64" s="7" t="n">
        <v>144.2980889444544</v>
      </c>
      <c r="I64" s="7" t="n">
        <v>144.6282191353207</v>
      </c>
      <c r="J64" s="7" t="n">
        <v>149.5515401731857</v>
      </c>
      <c r="K64" s="7" t="n">
        <v>146.259931936235</v>
      </c>
      <c r="L64" s="7" t="n">
        <v>152.961102087963</v>
      </c>
      <c r="M64" s="7" t="n">
        <v>141.2702542874039</v>
      </c>
      <c r="N64" s="7" t="n">
        <v>147.2661927535478</v>
      </c>
      <c r="O64" s="8">
        <f>N64*$B$2/100</f>
        <v/>
      </c>
    </row>
    <row r="65">
      <c r="A65" s="6" t="n">
        <v>46238.49569166666</v>
      </c>
      <c r="B65" s="7" t="n">
        <v>130.5532994923858</v>
      </c>
      <c r="C65" s="7" t="n">
        <v>158.6804780103908</v>
      </c>
      <c r="D65" s="7" t="n">
        <v>139.1721224574558</v>
      </c>
      <c r="E65" s="7" t="n">
        <v>111.3582302568982</v>
      </c>
      <c r="F65" s="7" t="n">
        <v>126.8689569683018</v>
      </c>
      <c r="G65" s="7" t="n">
        <v>113.3775274962778</v>
      </c>
      <c r="H65" s="7" t="n">
        <v>153.9351785694033</v>
      </c>
      <c r="I65" s="7" t="n">
        <v>131.1495424706584</v>
      </c>
      <c r="J65" s="7" t="n">
        <v>140.5377153662978</v>
      </c>
      <c r="K65" s="7" t="n">
        <v>118.4015609030939</v>
      </c>
      <c r="L65" s="7" t="n">
        <v>111.7127130146283</v>
      </c>
      <c r="M65" s="7" t="n">
        <v>100.2289555105089</v>
      </c>
      <c r="N65" s="7" t="n">
        <v>139.7331919841324</v>
      </c>
      <c r="O65" s="8">
        <f>N65*$B$2/100</f>
        <v/>
      </c>
    </row>
    <row r="66">
      <c r="A66" s="6" t="n">
        <v>46238.49570335648</v>
      </c>
      <c r="B66" s="7" t="n">
        <v>150.8976050604449</v>
      </c>
      <c r="C66" s="7" t="n">
        <v>159.0620334953835</v>
      </c>
      <c r="D66" s="7" t="n">
        <v>126.051819557704</v>
      </c>
      <c r="E66" s="7" t="n">
        <v>127.9417620706819</v>
      </c>
      <c r="F66" s="7" t="n">
        <v>149.5098424703849</v>
      </c>
      <c r="G66" s="7" t="n">
        <v>115.1608150206281</v>
      </c>
      <c r="H66" s="7" t="n">
        <v>152.3400641481411</v>
      </c>
      <c r="I66" s="7" t="n">
        <v>93.12633084379469</v>
      </c>
      <c r="J66" s="7" t="n">
        <v>145.3111931306908</v>
      </c>
      <c r="K66" s="7" t="n">
        <v>132.8531071013307</v>
      </c>
      <c r="L66" s="7" t="n">
        <v>111.7067223963776</v>
      </c>
      <c r="M66" s="7" t="n">
        <v>89.19745916515427</v>
      </c>
      <c r="N66" s="7" t="n">
        <v>145.9440746128177</v>
      </c>
      <c r="O66" s="8">
        <f>N66*$B$2/100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46238.49504836418</v>
      </c>
      <c r="C6" s="10" t="n">
        <v>46238.49532945312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정리'!$A$6:$A$66,"&gt;="&amp;B6,'클럭 정리'!$A$6:$A$66,"&lt;="&amp;C6)</f>
        <v/>
      </c>
      <c r="G6" s="14">
        <f>AVERAGEIFS('클럭 정리'!$N$6:$N$66,'클럭 정리'!$A$6:$A$66,"&gt;="&amp;B6,'클럭 정리'!$A$6:$A$66,"&lt;="&amp;C6)</f>
        <v/>
      </c>
      <c r="H6" s="15">
        <f>G6*'클럭 정리'!$B$2/100</f>
        <v/>
      </c>
    </row>
    <row r="7">
      <c r="A7" s="9" t="inlineStr">
        <is>
          <t>병렬도 6 분할 7 전체</t>
        </is>
      </c>
      <c r="B7" s="10" t="n">
        <v>46238.49532945312</v>
      </c>
      <c r="C7" s="10" t="n">
        <v>46238.49547089503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정리'!$A$6:$A$66,"&gt;="&amp;B7,'클럭 정리'!$A$6:$A$66,"&lt;="&amp;C7)</f>
        <v/>
      </c>
      <c r="G7" s="14">
        <f>AVERAGEIFS('클럭 정리'!$N$6:$N$66,'클럭 정리'!$A$6:$A$66,"&gt;="&amp;B7,'클럭 정리'!$A$6:$A$66,"&lt;="&amp;C7)</f>
        <v/>
      </c>
      <c r="H7" s="15">
        <f>G7*'클럭 정리'!$B$2/100</f>
        <v/>
      </c>
    </row>
    <row r="8">
      <c r="A8" s="13" t="inlineStr">
        <is>
          <t>병렬도 6 분할 7 워밍업</t>
        </is>
      </c>
      <c r="B8" s="10" t="n">
        <v>46238.49532945312</v>
      </c>
      <c r="C8" s="10" t="n">
        <v>46238.49536483796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정리'!$A$6:$A$66,"&gt;="&amp;B8,'클럭 정리'!$A$6:$A$66,"&lt;="&amp;C8)</f>
        <v/>
      </c>
      <c r="G8" s="14">
        <f>AVERAGEIFS('클럭 정리'!$N$6:$N$66,'클럭 정리'!$A$6:$A$66,"&gt;="&amp;B8,'클럭 정리'!$A$6:$A$66,"&lt;="&amp;C8)</f>
        <v/>
      </c>
      <c r="H8" s="15">
        <f>G8*'클럭 정리'!$B$2/100</f>
        <v/>
      </c>
    </row>
    <row r="9">
      <c r="A9" s="13" t="inlineStr">
        <is>
          <t>병렬도 6 분할 7 측정 1회차</t>
        </is>
      </c>
      <c r="B9" s="10" t="n">
        <v>46238.49536483796</v>
      </c>
      <c r="C9" s="10" t="n">
        <v>46238.49538275895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정리'!$A$6:$A$66,"&gt;="&amp;B9,'클럭 정리'!$A$6:$A$66,"&lt;="&amp;C9)</f>
        <v/>
      </c>
      <c r="G9" s="14">
        <f>AVERAGEIFS('클럭 정리'!$N$6:$N$66,'클럭 정리'!$A$6:$A$66,"&gt;="&amp;B9,'클럭 정리'!$A$6:$A$66,"&lt;="&amp;C9)</f>
        <v/>
      </c>
      <c r="H9" s="15">
        <f>G9*'클럭 정리'!$B$2/100</f>
        <v/>
      </c>
    </row>
    <row r="10">
      <c r="A10" s="13" t="inlineStr">
        <is>
          <t>병렬도 6 분할 7 측정 2회차</t>
        </is>
      </c>
      <c r="B10" s="10" t="n">
        <v>46238.49538277778</v>
      </c>
      <c r="C10" s="10" t="n">
        <v>46238.49540025208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정리'!$A$6:$A$66,"&gt;="&amp;B10,'클럭 정리'!$A$6:$A$66,"&lt;="&amp;C10)</f>
        <v/>
      </c>
      <c r="G10" s="14">
        <f>AVERAGEIFS('클럭 정리'!$N$6:$N$66,'클럭 정리'!$A$6:$A$66,"&gt;="&amp;B10,'클럭 정리'!$A$6:$A$66,"&lt;="&amp;C10)</f>
        <v/>
      </c>
      <c r="H10" s="15">
        <f>G10*'클럭 정리'!$B$2/100</f>
        <v/>
      </c>
    </row>
    <row r="11">
      <c r="A11" s="13" t="inlineStr">
        <is>
          <t>병렬도 6 분할 7 측정 3회차</t>
        </is>
      </c>
      <c r="B11" s="10" t="n">
        <v>46238.49540026621</v>
      </c>
      <c r="C11" s="10" t="n">
        <v>46238.49541765889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정리'!$A$6:$A$66,"&gt;="&amp;B11,'클럭 정리'!$A$6:$A$66,"&lt;="&amp;C11)</f>
        <v/>
      </c>
      <c r="G11" s="14">
        <f>AVERAGEIFS('클럭 정리'!$N$6:$N$66,'클럭 정리'!$A$6:$A$66,"&gt;="&amp;B11,'클럭 정리'!$A$6:$A$66,"&lt;="&amp;C11)</f>
        <v/>
      </c>
      <c r="H11" s="15">
        <f>G11*'클럭 정리'!$B$2/100</f>
        <v/>
      </c>
    </row>
    <row r="12">
      <c r="A12" s="13" t="inlineStr">
        <is>
          <t>병렬도 6 분할 7 측정 4회차</t>
        </is>
      </c>
      <c r="B12" s="10" t="n">
        <v>46238.49541766204</v>
      </c>
      <c r="C12" s="10" t="n">
        <v>46238.49543526883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정리'!$A$6:$A$66,"&gt;="&amp;B12,'클럭 정리'!$A$6:$A$66,"&lt;="&amp;C12)</f>
        <v/>
      </c>
      <c r="G12" s="14">
        <f>AVERAGEIFS('클럭 정리'!$N$6:$N$66,'클럭 정리'!$A$6:$A$66,"&gt;="&amp;B12,'클럭 정리'!$A$6:$A$66,"&lt;="&amp;C12)</f>
        <v/>
      </c>
      <c r="H12" s="15">
        <f>G12*'클럭 정리'!$B$2/100</f>
        <v/>
      </c>
    </row>
    <row r="13">
      <c r="A13" s="13" t="inlineStr">
        <is>
          <t>병렬도 6 분할 7 측정 5회차</t>
        </is>
      </c>
      <c r="B13" s="10" t="n">
        <v>46238.49543527778</v>
      </c>
      <c r="C13" s="10" t="n">
        <v>46238.49545289384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정리'!$A$6:$A$66,"&gt;="&amp;B13,'클럭 정리'!$A$6:$A$66,"&lt;="&amp;C13)</f>
        <v/>
      </c>
      <c r="G13" s="14">
        <f>AVERAGEIFS('클럭 정리'!$N$6:$N$66,'클럭 정리'!$A$6:$A$66,"&gt;="&amp;B13,'클럭 정리'!$A$6:$A$66,"&lt;="&amp;C13)</f>
        <v/>
      </c>
      <c r="H13" s="15">
        <f>G13*'클럭 정리'!$B$2/100</f>
        <v/>
      </c>
    </row>
    <row r="14">
      <c r="A14" s="13" t="inlineStr">
        <is>
          <t>병렬도 6 분할 7 워커별 CPU 읽기 실행</t>
        </is>
      </c>
      <c r="B14" s="10" t="n">
        <v>46238.49545289384</v>
      </c>
      <c r="C14" s="10" t="n">
        <v>46238.49547089503</v>
      </c>
      <c r="D14" s="11">
        <f>(C14-B14)*86400</f>
        <v/>
      </c>
      <c r="E14" s="12" t="inlineStr">
        <is>
          <t>ForkJoinPool-8-worker-2, ForkJoinPool-8-worker-3, ForkJoinPool-8-worker-6, ForkJoinPool-8-worker-4, ForkJoinPool-8-worker-1, ForkJoinPool-8-worker-5 + main</t>
        </is>
      </c>
      <c r="F14" s="13">
        <f>COUNTIFS('클럭 정리'!$A$6:$A$66,"&gt;="&amp;B14,'클럭 정리'!$A$6:$A$66,"&lt;="&amp;C14)</f>
        <v/>
      </c>
      <c r="G14" s="14">
        <f>AVERAGEIFS('클럭 정리'!$N$6:$N$66,'클럭 정리'!$A$6:$A$66,"&gt;="&amp;B14,'클럭 정리'!$A$6:$A$66,"&lt;="&amp;C14)</f>
        <v/>
      </c>
      <c r="H14" s="15">
        <f>G14*'클럭 정리'!$B$2/100</f>
        <v/>
      </c>
    </row>
    <row r="15">
      <c r="A15" s="9" t="inlineStr">
        <is>
          <t>병렬도 12 분할 7 전체</t>
        </is>
      </c>
      <c r="B15" s="10" t="n">
        <v>46238.49547089503</v>
      </c>
      <c r="C15" s="10" t="n">
        <v>46238.49558893422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정리'!$A$6:$A$66,"&gt;="&amp;B15,'클럭 정리'!$A$6:$A$66,"&lt;="&amp;C15)</f>
        <v/>
      </c>
      <c r="G15" s="14">
        <f>AVERAGEIFS('클럭 정리'!$N$6:$N$66,'클럭 정리'!$A$6:$A$66,"&gt;="&amp;B15,'클럭 정리'!$A$6:$A$66,"&lt;="&amp;C15)</f>
        <v/>
      </c>
      <c r="H15" s="15">
        <f>G15*'클럭 정리'!$B$2/100</f>
        <v/>
      </c>
    </row>
    <row r="16">
      <c r="A16" s="13" t="inlineStr">
        <is>
          <t>병렬도 12 분할 7 워밍업</t>
        </is>
      </c>
      <c r="B16" s="10" t="n">
        <v>46238.49547089503</v>
      </c>
      <c r="C16" s="10" t="n">
        <v>46238.49550042824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정리'!$A$6:$A$66,"&gt;="&amp;B16,'클럭 정리'!$A$6:$A$66,"&lt;="&amp;C16)</f>
        <v/>
      </c>
      <c r="G16" s="14">
        <f>AVERAGEIFS('클럭 정리'!$N$6:$N$66,'클럭 정리'!$A$6:$A$66,"&gt;="&amp;B16,'클럭 정리'!$A$6:$A$66,"&lt;="&amp;C16)</f>
        <v/>
      </c>
      <c r="H16" s="15">
        <f>G16*'클럭 정리'!$B$2/100</f>
        <v/>
      </c>
    </row>
    <row r="17">
      <c r="A17" s="13" t="inlineStr">
        <is>
          <t>병렬도 12 분할 7 측정 1회차</t>
        </is>
      </c>
      <c r="B17" s="10" t="n">
        <v>46238.49550042824</v>
      </c>
      <c r="C17" s="10" t="n">
        <v>46238.4955151304</v>
      </c>
      <c r="D17" s="11">
        <f>(C17-B17)*86400</f>
        <v/>
      </c>
      <c r="E17" s="12" t="inlineStr">
        <is>
          <t>ForkJoinPool-11-worker-1, ForkJoinPool-11-worker-10, ForkJoinPool-11-worker-12, ForkJoinPool-11-worker-2, ForkJoinPool-11-worker-3, ForkJoinPool-11-worker-4, ForkJoinPool-11-worker-5, ForkJoinPool-11-worker-6, ForkJoinPool-11-worker-7, ForkJoinPool-11-worker-9 + main(스캔 사이 순차 구간)</t>
        </is>
      </c>
      <c r="F17" s="13">
        <f>COUNTIFS('클럭 정리'!$A$6:$A$66,"&gt;="&amp;B17,'클럭 정리'!$A$6:$A$66,"&lt;="&amp;C17)</f>
        <v/>
      </c>
      <c r="G17" s="14">
        <f>AVERAGEIFS('클럭 정리'!$N$6:$N$66,'클럭 정리'!$A$6:$A$66,"&gt;="&amp;B17,'클럭 정리'!$A$6:$A$66,"&lt;="&amp;C17)</f>
        <v/>
      </c>
      <c r="H17" s="15">
        <f>G17*'클럭 정리'!$B$2/100</f>
        <v/>
      </c>
    </row>
    <row r="18">
      <c r="A18" s="13" t="inlineStr">
        <is>
          <t>병렬도 12 분할 7 측정 2회차</t>
        </is>
      </c>
      <c r="B18" s="10" t="n">
        <v>46238.49551513889</v>
      </c>
      <c r="C18" s="10" t="n">
        <v>46238.49552985703</v>
      </c>
      <c r="D18" s="11">
        <f>(C18-B18)*86400</f>
        <v/>
      </c>
      <c r="E18" s="12" t="inlineStr">
        <is>
          <t>ForkJoinPool-12-worker-1, ForkJoinPool-12-worker-11, ForkJoinPool-12-worker-12, ForkJoinPool-12-worker-2, ForkJoinPool-12-worker-3, ForkJoinPool-12-worker-4, ForkJoinPool-12-worker-5, ForkJoinPool-12-worker-6, ForkJoinPool-12-worker-7, ForkJoinPool-12-worker-9 + main(스캔 사이 순차 구간)</t>
        </is>
      </c>
      <c r="F18" s="13">
        <f>COUNTIFS('클럭 정리'!$A$6:$A$66,"&gt;="&amp;B18,'클럭 정리'!$A$6:$A$66,"&lt;="&amp;C18)</f>
        <v/>
      </c>
      <c r="G18" s="14">
        <f>AVERAGEIFS('클럭 정리'!$N$6:$N$66,'클럭 정리'!$A$6:$A$66,"&gt;="&amp;B18,'클럭 정리'!$A$6:$A$66,"&lt;="&amp;C18)</f>
        <v/>
      </c>
      <c r="H18" s="15">
        <f>G18*'클럭 정리'!$B$2/100</f>
        <v/>
      </c>
    </row>
    <row r="19">
      <c r="A19" s="13" t="inlineStr">
        <is>
          <t>병렬도 12 분할 7 측정 3회차</t>
        </is>
      </c>
      <c r="B19" s="10" t="n">
        <v>46238.49552987269</v>
      </c>
      <c r="C19" s="10" t="n">
        <v>46238.49554448308</v>
      </c>
      <c r="D19" s="11">
        <f>(C19-B19)*86400</f>
        <v/>
      </c>
      <c r="E19" s="12" t="inlineStr">
        <is>
          <t>ForkJoinPool-13-worker-1, ForkJoinPool-13-worker-10, ForkJoinPool-13-worker-12, ForkJoinPool-13-worker-2, ForkJoinPool-13-worker-3, ForkJoinPool-13-worker-4, ForkJoinPool-13-worker-5, ForkJoinPool-13-worker-6, ForkJoinPool-13-worker-7 + main(스캔 사이 순차 구간)</t>
        </is>
      </c>
      <c r="F19" s="13">
        <f>COUNTIFS('클럭 정리'!$A$6:$A$66,"&gt;="&amp;B19,'클럭 정리'!$A$6:$A$66,"&lt;="&amp;C19)</f>
        <v/>
      </c>
      <c r="G19" s="14">
        <f>AVERAGEIFS('클럭 정리'!$N$6:$N$66,'클럭 정리'!$A$6:$A$66,"&gt;="&amp;B19,'클럭 정리'!$A$6:$A$66,"&lt;="&amp;C19)</f>
        <v/>
      </c>
      <c r="H19" s="15">
        <f>G19*'클럭 정리'!$B$2/100</f>
        <v/>
      </c>
    </row>
    <row r="20">
      <c r="A20" s="13" t="inlineStr">
        <is>
          <t>병렬도 12 분할 7 측정 4회차</t>
        </is>
      </c>
      <c r="B20" s="10" t="n">
        <v>46238.49554449074</v>
      </c>
      <c r="C20" s="10" t="n">
        <v>46238.49555917139</v>
      </c>
      <c r="D20" s="11">
        <f>(C20-B20)*86400</f>
        <v/>
      </c>
      <c r="E20" s="12" t="inlineStr">
        <is>
          <t>ForkJoinPool-14-worker-1, ForkJoinPool-14-worker-10, ForkJoinPool-14-worker-12, ForkJoinPool-14-worker-2, ForkJoinPool-14-worker-3, ForkJoinPool-14-worker-4, ForkJoinPool-14-worker-5, ForkJoinPool-14-worker-6, ForkJoinPool-14-worker-7 + main(스캔 사이 순차 구간)</t>
        </is>
      </c>
      <c r="F20" s="13">
        <f>COUNTIFS('클럭 정리'!$A$6:$A$66,"&gt;="&amp;B20,'클럭 정리'!$A$6:$A$66,"&lt;="&amp;C20)</f>
        <v/>
      </c>
      <c r="G20" s="14">
        <f>AVERAGEIFS('클럭 정리'!$N$6:$N$66,'클럭 정리'!$A$6:$A$66,"&gt;="&amp;B20,'클럭 정리'!$A$6:$A$66,"&lt;="&amp;C20)</f>
        <v/>
      </c>
      <c r="H20" s="15">
        <f>G20*'클럭 정리'!$B$2/100</f>
        <v/>
      </c>
    </row>
    <row r="21">
      <c r="A21" s="13" t="inlineStr">
        <is>
          <t>병렬도 12 분할 7 측정 5회차</t>
        </is>
      </c>
      <c r="B21" s="10" t="n">
        <v>46238.49555918982</v>
      </c>
      <c r="C21" s="10" t="n">
        <v>46238.49557388272</v>
      </c>
      <c r="D21" s="11">
        <f>(C21-B21)*86400</f>
        <v/>
      </c>
      <c r="E21" s="12" t="inlineStr">
        <is>
          <t>ForkJoinPool-15-worker-1, ForkJoinPool-15-worker-11, ForkJoinPool-15-worker-12, ForkJoinPool-15-worker-2, ForkJoinPool-15-worker-3, ForkJoinPool-15-worker-4, ForkJoinPool-15-worker-5, ForkJoinPool-15-worker-6, ForkJoinPool-15-worker-7, ForkJoinPool-15-worker-9 + main(스캔 사이 순차 구간)</t>
        </is>
      </c>
      <c r="F21" s="13">
        <f>COUNTIFS('클럭 정리'!$A$6:$A$66,"&gt;="&amp;B21,'클럭 정리'!$A$6:$A$66,"&lt;="&amp;C21)</f>
        <v/>
      </c>
      <c r="G21" s="14">
        <f>AVERAGEIFS('클럭 정리'!$N$6:$N$66,'클럭 정리'!$A$6:$A$66,"&gt;="&amp;B21,'클럭 정리'!$A$6:$A$66,"&lt;="&amp;C21)</f>
        <v/>
      </c>
      <c r="H21" s="15">
        <f>G21*'클럭 정리'!$B$2/100</f>
        <v/>
      </c>
    </row>
    <row r="22">
      <c r="A22" s="13" t="inlineStr">
        <is>
          <t>병렬도 12 분할 7 워커별 CPU 읽기 실행</t>
        </is>
      </c>
      <c r="B22" s="10" t="n">
        <v>46238.49557388272</v>
      </c>
      <c r="C22" s="10" t="n">
        <v>46238.49558893422</v>
      </c>
      <c r="D22" s="11">
        <f>(C22-B22)*86400</f>
        <v/>
      </c>
      <c r="E22" s="12" t="inlineStr">
        <is>
          <t>ForkJoinPool-16-worker-1, ForkJoinPool-16-worker-7, ForkJoinPool-16-worker-5, ForkJoinPool-16-worker-8, ForkJoinPool-16-worker-11, ForkJoinPool-16-worker-10, ForkJoinPool-16-worker-12, ForkJoinPool-16-worker-2, ForkJoinPool-16-worker-6, ForkJoinPool-16-worker-3, ForkJoinPool-16-worker-4, ForkJoinPool-16-worker-9 + main</t>
        </is>
      </c>
      <c r="F22" s="13">
        <f>COUNTIFS('클럭 정리'!$A$6:$A$66,"&gt;="&amp;B22,'클럭 정리'!$A$6:$A$66,"&lt;="&amp;C22)</f>
        <v/>
      </c>
      <c r="G22" s="14">
        <f>AVERAGEIFS('클럭 정리'!$N$6:$N$66,'클럭 정리'!$A$6:$A$66,"&gt;="&amp;B22,'클럭 정리'!$A$6:$A$66,"&lt;="&amp;C22)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7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46238.49536483796</v>
      </c>
      <c r="F6" s="10" t="n">
        <v>46238.4953826272</v>
      </c>
      <c r="G6" s="13" t="n">
        <v>50</v>
      </c>
      <c r="H6" s="14" t="n">
        <v>1138.256</v>
      </c>
      <c r="I6" s="13">
        <f>COUNTIFS('클럭 정리'!$A$6:$A$66,"&gt;="&amp;E6,'클럭 정리'!$A$6:$A$66,"&lt;="&amp;F6)</f>
        <v/>
      </c>
      <c r="J6" s="14">
        <f>AVERAGEIFS('클럭 정리'!$N$6:$N$66,'클럭 정리'!$A$6:$A$66,"&gt;="&amp;E6,'클럭 정리'!$A$6:$A$66,"&lt;="&amp;F6)</f>
        <v/>
      </c>
      <c r="K6" s="15">
        <f>J6*'클럭 정리'!$B$2/100</f>
        <v/>
      </c>
    </row>
    <row r="7">
      <c r="A7" s="13" t="inlineStr">
        <is>
          <t>병렬도 6 분할 7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46238.49536483796</v>
      </c>
      <c r="F7" s="10" t="n">
        <v>46238.4953826179</v>
      </c>
      <c r="G7" s="13" t="n">
        <v>51</v>
      </c>
      <c r="H7" s="14" t="n">
        <v>1146.4177</v>
      </c>
      <c r="I7" s="13">
        <f>COUNTIFS('클럭 정리'!$A$6:$A$66,"&gt;="&amp;E7,'클럭 정리'!$A$6:$A$66,"&lt;="&amp;F7)</f>
        <v/>
      </c>
      <c r="J7" s="14">
        <f>AVERAGEIFS('클럭 정리'!$N$6:$N$66,'클럭 정리'!$A$6:$A$66,"&gt;="&amp;E7,'클럭 정리'!$A$6:$A$66,"&lt;="&amp;F7)</f>
        <v/>
      </c>
      <c r="K7" s="15">
        <f>J7*'클럭 정리'!$B$2/100</f>
        <v/>
      </c>
    </row>
    <row r="8">
      <c r="A8" s="13" t="inlineStr">
        <is>
          <t>병렬도 6 분할 7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46238.49536484954</v>
      </c>
      <c r="F8" s="10" t="n">
        <v>46238.4953827603</v>
      </c>
      <c r="G8" s="13" t="n">
        <v>52</v>
      </c>
      <c r="H8" s="14" t="n">
        <v>1145.8876</v>
      </c>
      <c r="I8" s="13">
        <f>COUNTIFS('클럭 정리'!$A$6:$A$66,"&gt;="&amp;E8,'클럭 정리'!$A$6:$A$66,"&lt;="&amp;F8)</f>
        <v/>
      </c>
      <c r="J8" s="14">
        <f>AVERAGEIFS('클럭 정리'!$N$6:$N$66,'클럭 정리'!$A$6:$A$66,"&gt;="&amp;E8,'클럭 정리'!$A$6:$A$66,"&lt;="&amp;F8)</f>
        <v/>
      </c>
      <c r="K8" s="15">
        <f>J8*'클럭 정리'!$B$2/100</f>
        <v/>
      </c>
    </row>
    <row r="9">
      <c r="A9" s="13" t="inlineStr">
        <is>
          <t>병렬도 6 분할 7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46238.49536484954</v>
      </c>
      <c r="F9" s="10" t="n">
        <v>46238.4953826285</v>
      </c>
      <c r="G9" s="13" t="n">
        <v>50</v>
      </c>
      <c r="H9" s="14" t="n">
        <v>1123.9605</v>
      </c>
      <c r="I9" s="13">
        <f>COUNTIFS('클럭 정리'!$A$6:$A$66,"&gt;="&amp;E9,'클럭 정리'!$A$6:$A$66,"&lt;="&amp;F9)</f>
        <v/>
      </c>
      <c r="J9" s="14">
        <f>AVERAGEIFS('클럭 정리'!$N$6:$N$66,'클럭 정리'!$A$6:$A$66,"&gt;="&amp;E9,'클럭 정리'!$A$6:$A$66,"&lt;="&amp;F9)</f>
        <v/>
      </c>
      <c r="K9" s="15">
        <f>J9*'클럭 정리'!$B$2/100</f>
        <v/>
      </c>
    </row>
    <row r="10">
      <c r="A10" s="13" t="inlineStr">
        <is>
          <t>병렬도 6 분할 7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46238.49536484954</v>
      </c>
      <c r="F10" s="10" t="n">
        <v>46238.4953826162</v>
      </c>
      <c r="G10" s="13" t="n">
        <v>59</v>
      </c>
      <c r="H10" s="14" t="n">
        <v>1182.9771</v>
      </c>
      <c r="I10" s="13">
        <f>COUNTIFS('클럭 정리'!$A$6:$A$66,"&gt;="&amp;E10,'클럭 정리'!$A$6:$A$66,"&lt;="&amp;F10)</f>
        <v/>
      </c>
      <c r="J10" s="14">
        <f>AVERAGEIFS('클럭 정리'!$N$6:$N$66,'클럭 정리'!$A$6:$A$66,"&gt;="&amp;E10,'클럭 정리'!$A$6:$A$66,"&lt;="&amp;F10)</f>
        <v/>
      </c>
      <c r="K10" s="15">
        <f>J10*'클럭 정리'!$B$2/100</f>
        <v/>
      </c>
    </row>
    <row r="11">
      <c r="A11" s="13" t="inlineStr">
        <is>
          <t>병렬도 6 분할 7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46238.49536484954</v>
      </c>
      <c r="F11" s="10" t="n">
        <v>46238.49538263324</v>
      </c>
      <c r="G11" s="13" t="n">
        <v>53</v>
      </c>
      <c r="H11" s="14" t="n">
        <v>1138.1467</v>
      </c>
      <c r="I11" s="13">
        <f>COUNTIFS('클럭 정리'!$A$6:$A$66,"&gt;="&amp;E11,'클럭 정리'!$A$6:$A$66,"&lt;="&amp;F11)</f>
        <v/>
      </c>
      <c r="J11" s="14">
        <f>AVERAGEIFS('클럭 정리'!$N$6:$N$66,'클럭 정리'!$A$6:$A$66,"&gt;="&amp;E11,'클럭 정리'!$A$6:$A$66,"&lt;="&amp;F11)</f>
        <v/>
      </c>
      <c r="K11" s="15">
        <f>J11*'클럭 정리'!$B$2/100</f>
        <v/>
      </c>
    </row>
    <row r="12">
      <c r="A12" s="13" t="inlineStr">
        <is>
          <t>병렬도 6 분할 7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46238.49536483796</v>
      </c>
      <c r="F12" s="10" t="n">
        <v>46238.49538275895</v>
      </c>
      <c r="G12" s="13" t="n">
        <v>45</v>
      </c>
      <c r="H12" s="14" t="n">
        <v>0</v>
      </c>
      <c r="I12" s="13">
        <f>COUNTIFS('클럭 정리'!$A$6:$A$66,"&gt;="&amp;E12,'클럭 정리'!$A$6:$A$66,"&lt;="&amp;F12)</f>
        <v/>
      </c>
      <c r="J12" s="14">
        <f>AVERAGEIFS('클럭 정리'!$N$6:$N$66,'클럭 정리'!$A$6:$A$66,"&gt;="&amp;E12,'클럭 정리'!$A$6:$A$66,"&lt;="&amp;F12)</f>
        <v/>
      </c>
      <c r="K12" s="15">
        <f>J12*'클럭 정리'!$B$2/100</f>
        <v/>
      </c>
    </row>
    <row r="13">
      <c r="A13" s="13" t="inlineStr">
        <is>
          <t>병렬도 6 분할 7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46238.49538277778</v>
      </c>
      <c r="F13" s="10" t="n">
        <v>46238.49540012414</v>
      </c>
      <c r="G13" s="13" t="n">
        <v>55</v>
      </c>
      <c r="H13" s="14" t="n">
        <v>1137.4484</v>
      </c>
      <c r="I13" s="13">
        <f>COUNTIFS('클럭 정리'!$A$6:$A$66,"&gt;="&amp;E13,'클럭 정리'!$A$6:$A$66,"&lt;="&amp;F13)</f>
        <v/>
      </c>
      <c r="J13" s="14">
        <f>AVERAGEIFS('클럭 정리'!$N$6:$N$66,'클럭 정리'!$A$6:$A$66,"&gt;="&amp;E13,'클럭 정리'!$A$6:$A$66,"&lt;="&amp;F13)</f>
        <v/>
      </c>
      <c r="K13" s="15">
        <f>J13*'클럭 정리'!$B$2/100</f>
        <v/>
      </c>
    </row>
    <row r="14">
      <c r="A14" s="13" t="inlineStr">
        <is>
          <t>병렬도 6 분할 7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46238.49538278936</v>
      </c>
      <c r="F14" s="10" t="n">
        <v>46238.49540013131</v>
      </c>
      <c r="G14" s="13" t="n">
        <v>48</v>
      </c>
      <c r="H14" s="14" t="n">
        <v>1077.3509</v>
      </c>
      <c r="I14" s="13">
        <f>COUNTIFS('클럭 정리'!$A$6:$A$66,"&gt;="&amp;E14,'클럭 정리'!$A$6:$A$66,"&lt;="&amp;F14)</f>
        <v/>
      </c>
      <c r="J14" s="14">
        <f>AVERAGEIFS('클럭 정리'!$N$6:$N$66,'클럭 정리'!$A$6:$A$66,"&gt;="&amp;E14,'클럭 정리'!$A$6:$A$66,"&lt;="&amp;F14)</f>
        <v/>
      </c>
      <c r="K14" s="15">
        <f>J14*'클럭 정리'!$B$2/100</f>
        <v/>
      </c>
    </row>
    <row r="15">
      <c r="A15" s="13" t="inlineStr">
        <is>
          <t>병렬도 6 분할 7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46238.49538278936</v>
      </c>
      <c r="F15" s="10" t="n">
        <v>46238.49540014395</v>
      </c>
      <c r="G15" s="13" t="n">
        <v>53</v>
      </c>
      <c r="H15" s="14" t="n">
        <v>1108.6786</v>
      </c>
      <c r="I15" s="13">
        <f>COUNTIFS('클럭 정리'!$A$6:$A$66,"&gt;="&amp;E15,'클럭 정리'!$A$6:$A$66,"&lt;="&amp;F15)</f>
        <v/>
      </c>
      <c r="J15" s="14">
        <f>AVERAGEIFS('클럭 정리'!$N$6:$N$66,'클럭 정리'!$A$6:$A$66,"&gt;="&amp;E15,'클럭 정리'!$A$6:$A$66,"&lt;="&amp;F15)</f>
        <v/>
      </c>
      <c r="K15" s="15">
        <f>J15*'클럭 정리'!$B$2/100</f>
        <v/>
      </c>
    </row>
    <row r="16">
      <c r="A16" s="13" t="inlineStr">
        <is>
          <t>병렬도 6 분할 7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46238.49538278936</v>
      </c>
      <c r="F16" s="10" t="n">
        <v>46238.49540014142</v>
      </c>
      <c r="G16" s="13" t="n">
        <v>50</v>
      </c>
      <c r="H16" s="14" t="n">
        <v>1089.219</v>
      </c>
      <c r="I16" s="13">
        <f>COUNTIFS('클럭 정리'!$A$6:$A$66,"&gt;="&amp;E16,'클럭 정리'!$A$6:$A$66,"&lt;="&amp;F16)</f>
        <v/>
      </c>
      <c r="J16" s="14">
        <f>AVERAGEIFS('클럭 정리'!$N$6:$N$66,'클럭 정리'!$A$6:$A$66,"&gt;="&amp;E16,'클럭 정리'!$A$6:$A$66,"&lt;="&amp;F16)</f>
        <v/>
      </c>
      <c r="K16" s="15">
        <f>J16*'클럭 정리'!$B$2/100</f>
        <v/>
      </c>
    </row>
    <row r="17">
      <c r="A17" s="13" t="inlineStr">
        <is>
          <t>병렬도 6 분할 7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46238.49538278936</v>
      </c>
      <c r="F17" s="10" t="n">
        <v>46238.49540010906</v>
      </c>
      <c r="G17" s="13" t="n">
        <v>52</v>
      </c>
      <c r="H17" s="14" t="n">
        <v>1098.8129</v>
      </c>
      <c r="I17" s="13">
        <f>COUNTIFS('클럭 정리'!$A$6:$A$66,"&gt;="&amp;E17,'클럭 정리'!$A$6:$A$66,"&lt;="&amp;F17)</f>
        <v/>
      </c>
      <c r="J17" s="14">
        <f>AVERAGEIFS('클럭 정리'!$N$6:$N$66,'클럭 정리'!$A$6:$A$66,"&gt;="&amp;E17,'클럭 정리'!$A$6:$A$66,"&lt;="&amp;F17)</f>
        <v/>
      </c>
      <c r="K17" s="15">
        <f>J17*'클럭 정리'!$B$2/100</f>
        <v/>
      </c>
    </row>
    <row r="18">
      <c r="A18" s="13" t="inlineStr">
        <is>
          <t>병렬도 6 분할 7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46238.49538278936</v>
      </c>
      <c r="F18" s="10" t="n">
        <v>46238.49540025112</v>
      </c>
      <c r="G18" s="13" t="n">
        <v>57</v>
      </c>
      <c r="H18" s="14" t="n">
        <v>1162.9361</v>
      </c>
      <c r="I18" s="13">
        <f>COUNTIFS('클럭 정리'!$A$6:$A$66,"&gt;="&amp;E18,'클럭 정리'!$A$6:$A$66,"&lt;="&amp;F18)</f>
        <v/>
      </c>
      <c r="J18" s="14">
        <f>AVERAGEIFS('클럭 정리'!$N$6:$N$66,'클럭 정리'!$A$6:$A$66,"&gt;="&amp;E18,'클럭 정리'!$A$6:$A$66,"&lt;="&amp;F18)</f>
        <v/>
      </c>
      <c r="K18" s="15">
        <f>J18*'클럭 정리'!$B$2/100</f>
        <v/>
      </c>
    </row>
    <row r="19">
      <c r="A19" s="13" t="inlineStr">
        <is>
          <t>병렬도 6 분할 7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46238.49538277778</v>
      </c>
      <c r="F19" s="10" t="n">
        <v>46238.49540025208</v>
      </c>
      <c r="G19" s="13" t="n">
        <v>45</v>
      </c>
      <c r="H19" s="14" t="n">
        <v>31.25</v>
      </c>
      <c r="I19" s="13">
        <f>COUNTIFS('클럭 정리'!$A$6:$A$66,"&gt;="&amp;E19,'클럭 정리'!$A$6:$A$66,"&lt;="&amp;F19)</f>
        <v/>
      </c>
      <c r="J19" s="14">
        <f>AVERAGEIFS('클럭 정리'!$N$6:$N$66,'클럭 정리'!$A$6:$A$66,"&gt;="&amp;E19,'클럭 정리'!$A$6:$A$66,"&lt;="&amp;F19)</f>
        <v/>
      </c>
      <c r="K19" s="15">
        <f>J19*'클럭 정리'!$B$2/100</f>
        <v/>
      </c>
    </row>
    <row r="20">
      <c r="A20" s="13" t="inlineStr">
        <is>
          <t>병렬도 6 분할 7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46238.49540027778</v>
      </c>
      <c r="F20" s="10" t="n">
        <v>46238.4954175114</v>
      </c>
      <c r="G20" s="13" t="n">
        <v>55</v>
      </c>
      <c r="H20" s="14" t="n">
        <v>1146.5795</v>
      </c>
      <c r="I20" s="13">
        <f>COUNTIFS('클럭 정리'!$A$6:$A$66,"&gt;="&amp;E20,'클럭 정리'!$A$6:$A$66,"&lt;="&amp;F20)</f>
        <v/>
      </c>
      <c r="J20" s="14">
        <f>AVERAGEIFS('클럭 정리'!$N$6:$N$66,'클럭 정리'!$A$6:$A$66,"&gt;="&amp;E20,'클럭 정리'!$A$6:$A$66,"&lt;="&amp;F20)</f>
        <v/>
      </c>
      <c r="K20" s="15">
        <f>J20*'클럭 정리'!$B$2/100</f>
        <v/>
      </c>
    </row>
    <row r="21">
      <c r="A21" s="13" t="inlineStr">
        <is>
          <t>병렬도 6 분할 7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46238.49540027778</v>
      </c>
      <c r="F21" s="10" t="n">
        <v>46238.49541754452</v>
      </c>
      <c r="G21" s="13" t="n">
        <v>48</v>
      </c>
      <c r="H21" s="14" t="n">
        <v>1070.644</v>
      </c>
      <c r="I21" s="13">
        <f>COUNTIFS('클럭 정리'!$A$6:$A$66,"&gt;="&amp;E21,'클럭 정리'!$A$6:$A$66,"&lt;="&amp;F21)</f>
        <v/>
      </c>
      <c r="J21" s="14">
        <f>AVERAGEIFS('클럭 정리'!$N$6:$N$66,'클럭 정리'!$A$6:$A$66,"&gt;="&amp;E21,'클럭 정리'!$A$6:$A$66,"&lt;="&amp;F21)</f>
        <v/>
      </c>
      <c r="K21" s="15">
        <f>J21*'클럭 정리'!$B$2/100</f>
        <v/>
      </c>
    </row>
    <row r="22">
      <c r="A22" s="13" t="inlineStr">
        <is>
          <t>병렬도 6 분할 7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46238.49540027778</v>
      </c>
      <c r="F22" s="10" t="n">
        <v>46238.49541766196</v>
      </c>
      <c r="G22" s="13" t="n">
        <v>61</v>
      </c>
      <c r="H22" s="14" t="n">
        <v>1188.483</v>
      </c>
      <c r="I22" s="13">
        <f>COUNTIFS('클럭 정리'!$A$6:$A$66,"&gt;="&amp;E22,'클럭 정리'!$A$6:$A$66,"&lt;="&amp;F22)</f>
        <v/>
      </c>
      <c r="J22" s="14">
        <f>AVERAGEIFS('클럭 정리'!$N$6:$N$66,'클럭 정리'!$A$6:$A$66,"&gt;="&amp;E22,'클럭 정리'!$A$6:$A$66,"&lt;="&amp;F22)</f>
        <v/>
      </c>
      <c r="K22" s="15">
        <f>J22*'클럭 정리'!$B$2/100</f>
        <v/>
      </c>
    </row>
    <row r="23">
      <c r="A23" s="13" t="inlineStr">
        <is>
          <t>병렬도 6 분할 7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46238.49540027778</v>
      </c>
      <c r="F23" s="10" t="n">
        <v>46238.49541752597</v>
      </c>
      <c r="G23" s="13" t="n">
        <v>51</v>
      </c>
      <c r="H23" s="14" t="n">
        <v>1110.597</v>
      </c>
      <c r="I23" s="13">
        <f>COUNTIFS('클럭 정리'!$A$6:$A$66,"&gt;="&amp;E23,'클럭 정리'!$A$6:$A$66,"&lt;="&amp;F23)</f>
        <v/>
      </c>
      <c r="J23" s="14">
        <f>AVERAGEIFS('클럭 정리'!$N$6:$N$66,'클럭 정리'!$A$6:$A$66,"&gt;="&amp;E23,'클럭 정리'!$A$6:$A$66,"&lt;="&amp;F23)</f>
        <v/>
      </c>
      <c r="K23" s="15">
        <f>J23*'클럭 정리'!$B$2/100</f>
        <v/>
      </c>
    </row>
    <row r="24">
      <c r="A24" s="13" t="inlineStr">
        <is>
          <t>병렬도 6 분할 7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46238.49540027778</v>
      </c>
      <c r="F24" s="10" t="n">
        <v>46238.49541752991</v>
      </c>
      <c r="G24" s="13" t="n">
        <v>50</v>
      </c>
      <c r="H24" s="14" t="n">
        <v>1107.7827</v>
      </c>
      <c r="I24" s="13">
        <f>COUNTIFS('클럭 정리'!$A$6:$A$66,"&gt;="&amp;E24,'클럭 정리'!$A$6:$A$66,"&lt;="&amp;F24)</f>
        <v/>
      </c>
      <c r="J24" s="14">
        <f>AVERAGEIFS('클럭 정리'!$N$6:$N$66,'클럭 정리'!$A$6:$A$66,"&gt;="&amp;E24,'클럭 정리'!$A$6:$A$66,"&lt;="&amp;F24)</f>
        <v/>
      </c>
      <c r="K24" s="15">
        <f>J24*'클럭 정리'!$B$2/100</f>
        <v/>
      </c>
    </row>
    <row r="25">
      <c r="A25" s="13" t="inlineStr">
        <is>
          <t>병렬도 6 분할 7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46238.49540028935</v>
      </c>
      <c r="F25" s="10" t="n">
        <v>46238.49541752775</v>
      </c>
      <c r="G25" s="13" t="n">
        <v>50</v>
      </c>
      <c r="H25" s="14" t="n">
        <v>1096.7189</v>
      </c>
      <c r="I25" s="13">
        <f>COUNTIFS('클럭 정리'!$A$6:$A$66,"&gt;="&amp;E25,'클럭 정리'!$A$6:$A$66,"&lt;="&amp;F25)</f>
        <v/>
      </c>
      <c r="J25" s="14">
        <f>AVERAGEIFS('클럭 정리'!$N$6:$N$66,'클럭 정리'!$A$6:$A$66,"&gt;="&amp;E25,'클럭 정리'!$A$6:$A$66,"&lt;="&amp;F25)</f>
        <v/>
      </c>
      <c r="K25" s="15">
        <f>J25*'클럭 정리'!$B$2/100</f>
        <v/>
      </c>
    </row>
    <row r="26">
      <c r="A26" s="13" t="inlineStr">
        <is>
          <t>병렬도 6 분할 7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46238.49540026621</v>
      </c>
      <c r="F26" s="10" t="n">
        <v>46238.49541765889</v>
      </c>
      <c r="G26" s="13" t="n">
        <v>45</v>
      </c>
      <c r="H26" s="14" t="n">
        <v>0</v>
      </c>
      <c r="I26" s="13">
        <f>COUNTIFS('클럭 정리'!$A$6:$A$66,"&gt;="&amp;E26,'클럭 정리'!$A$6:$A$66,"&lt;="&amp;F26)</f>
        <v/>
      </c>
      <c r="J26" s="14">
        <f>AVERAGEIFS('클럭 정리'!$N$6:$N$66,'클럭 정리'!$A$6:$A$66,"&gt;="&amp;E26,'클럭 정리'!$A$6:$A$66,"&lt;="&amp;F26)</f>
        <v/>
      </c>
      <c r="K26" s="15">
        <f>J26*'클럭 정리'!$B$2/100</f>
        <v/>
      </c>
    </row>
    <row r="27">
      <c r="A27" s="13" t="inlineStr">
        <is>
          <t>병렬도 6 분할 7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46238.49541767361</v>
      </c>
      <c r="F27" s="10" t="n">
        <v>46238.49543513695</v>
      </c>
      <c r="G27" s="13" t="n">
        <v>52</v>
      </c>
      <c r="H27" s="14" t="n">
        <v>1111.6605</v>
      </c>
      <c r="I27" s="13">
        <f>COUNTIFS('클럭 정리'!$A$6:$A$66,"&gt;="&amp;E27,'클럭 정리'!$A$6:$A$66,"&lt;="&amp;F27)</f>
        <v/>
      </c>
      <c r="J27" s="14">
        <f>AVERAGEIFS('클럭 정리'!$N$6:$N$66,'클럭 정리'!$A$6:$A$66,"&gt;="&amp;E27,'클럭 정리'!$A$6:$A$66,"&lt;="&amp;F27)</f>
        <v/>
      </c>
      <c r="K27" s="15">
        <f>J27*'클럭 정리'!$B$2/100</f>
        <v/>
      </c>
    </row>
    <row r="28">
      <c r="A28" s="13" t="inlineStr">
        <is>
          <t>병렬도 6 분할 7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46238.49541767361</v>
      </c>
      <c r="F28" s="10" t="n">
        <v>46238.49543513486</v>
      </c>
      <c r="G28" s="13" t="n">
        <v>49</v>
      </c>
      <c r="H28" s="14" t="n">
        <v>1072.347</v>
      </c>
      <c r="I28" s="13">
        <f>COUNTIFS('클럭 정리'!$A$6:$A$66,"&gt;="&amp;E28,'클럭 정리'!$A$6:$A$66,"&lt;="&amp;F28)</f>
        <v/>
      </c>
      <c r="J28" s="14">
        <f>AVERAGEIFS('클럭 정리'!$N$6:$N$66,'클럭 정리'!$A$6:$A$66,"&gt;="&amp;E28,'클럭 정리'!$A$6:$A$66,"&lt;="&amp;F28)</f>
        <v/>
      </c>
      <c r="K28" s="15">
        <f>J28*'클럭 정리'!$B$2/100</f>
        <v/>
      </c>
    </row>
    <row r="29">
      <c r="A29" s="13" t="inlineStr">
        <is>
          <t>병렬도 6 분할 7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46238.49541768518</v>
      </c>
      <c r="F29" s="10" t="n">
        <v>46238.49543512533</v>
      </c>
      <c r="G29" s="13" t="n">
        <v>59</v>
      </c>
      <c r="H29" s="14" t="n">
        <v>1159.7856</v>
      </c>
      <c r="I29" s="13">
        <f>COUNTIFS('클럭 정리'!$A$6:$A$66,"&gt;="&amp;E29,'클럭 정리'!$A$6:$A$66,"&lt;="&amp;F29)</f>
        <v/>
      </c>
      <c r="J29" s="14">
        <f>AVERAGEIFS('클럭 정리'!$N$6:$N$66,'클럭 정리'!$A$6:$A$66,"&gt;="&amp;E29,'클럭 정리'!$A$6:$A$66,"&lt;="&amp;F29)</f>
        <v/>
      </c>
      <c r="K29" s="15">
        <f>J29*'클럭 정리'!$B$2/100</f>
        <v/>
      </c>
    </row>
    <row r="30">
      <c r="A30" s="13" t="inlineStr">
        <is>
          <t>병렬도 6 분할 7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46238.49541767361</v>
      </c>
      <c r="F30" s="10" t="n">
        <v>46238.49543511665</v>
      </c>
      <c r="G30" s="13" t="n">
        <v>51</v>
      </c>
      <c r="H30" s="14" t="n">
        <v>1117.6813</v>
      </c>
      <c r="I30" s="13">
        <f>COUNTIFS('클럭 정리'!$A$6:$A$66,"&gt;="&amp;E30,'클럭 정리'!$A$6:$A$66,"&lt;="&amp;F30)</f>
        <v/>
      </c>
      <c r="J30" s="14">
        <f>AVERAGEIFS('클럭 정리'!$N$6:$N$66,'클럭 정리'!$A$6:$A$66,"&gt;="&amp;E30,'클럭 정리'!$A$6:$A$66,"&lt;="&amp;F30)</f>
        <v/>
      </c>
      <c r="K30" s="15">
        <f>J30*'클럭 정리'!$B$2/100</f>
        <v/>
      </c>
    </row>
    <row r="31">
      <c r="A31" s="13" t="inlineStr">
        <is>
          <t>병렬도 6 분할 7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46238.49541768518</v>
      </c>
      <c r="F31" s="10" t="n">
        <v>46238.4954352675</v>
      </c>
      <c r="G31" s="13" t="n">
        <v>54</v>
      </c>
      <c r="H31" s="14" t="n">
        <v>1151.5855</v>
      </c>
      <c r="I31" s="13">
        <f>COUNTIFS('클럭 정리'!$A$6:$A$66,"&gt;="&amp;E31,'클럭 정리'!$A$6:$A$66,"&lt;="&amp;F31)</f>
        <v/>
      </c>
      <c r="J31" s="14">
        <f>AVERAGEIFS('클럭 정리'!$N$6:$N$66,'클럭 정리'!$A$6:$A$66,"&gt;="&amp;E31,'클럭 정리'!$A$6:$A$66,"&lt;="&amp;F31)</f>
        <v/>
      </c>
      <c r="K31" s="15">
        <f>J31*'클럭 정리'!$B$2/100</f>
        <v/>
      </c>
    </row>
    <row r="32">
      <c r="A32" s="13" t="inlineStr">
        <is>
          <t>병렬도 6 분할 7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46238.49541768518</v>
      </c>
      <c r="F32" s="10" t="n">
        <v>46238.49543515548</v>
      </c>
      <c r="G32" s="13" t="n">
        <v>50</v>
      </c>
      <c r="H32" s="14" t="n">
        <v>1116.5951</v>
      </c>
      <c r="I32" s="13">
        <f>COUNTIFS('클럭 정리'!$A$6:$A$66,"&gt;="&amp;E32,'클럭 정리'!$A$6:$A$66,"&lt;="&amp;F32)</f>
        <v/>
      </c>
      <c r="J32" s="14">
        <f>AVERAGEIFS('클럭 정리'!$N$6:$N$66,'클럭 정리'!$A$6:$A$66,"&gt;="&amp;E32,'클럭 정리'!$A$6:$A$66,"&lt;="&amp;F32)</f>
        <v/>
      </c>
      <c r="K32" s="15">
        <f>J32*'클럭 정리'!$B$2/100</f>
        <v/>
      </c>
    </row>
    <row r="33">
      <c r="A33" s="13" t="inlineStr">
        <is>
          <t>병렬도 6 분할 7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46238.49541766204</v>
      </c>
      <c r="F33" s="10" t="n">
        <v>46238.49543526883</v>
      </c>
      <c r="G33" s="13" t="n">
        <v>45</v>
      </c>
      <c r="H33" s="14" t="n">
        <v>0</v>
      </c>
      <c r="I33" s="13">
        <f>COUNTIFS('클럭 정리'!$A$6:$A$66,"&gt;="&amp;E33,'클럭 정리'!$A$6:$A$66,"&lt;="&amp;F33)</f>
        <v/>
      </c>
      <c r="J33" s="14">
        <f>AVERAGEIFS('클럭 정리'!$N$6:$N$66,'클럭 정리'!$A$6:$A$66,"&gt;="&amp;E33,'클럭 정리'!$A$6:$A$66,"&lt;="&amp;F33)</f>
        <v/>
      </c>
      <c r="K33" s="15">
        <f>J33*'클럭 정리'!$B$2/100</f>
        <v/>
      </c>
    </row>
    <row r="34">
      <c r="A34" s="13" t="inlineStr">
        <is>
          <t>병렬도 6 분할 7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46238.49543527778</v>
      </c>
      <c r="F34" s="10" t="n">
        <v>46238.4954528927</v>
      </c>
      <c r="G34" s="13" t="n">
        <v>52</v>
      </c>
      <c r="H34" s="14" t="n">
        <v>1122.7869</v>
      </c>
      <c r="I34" s="13">
        <f>COUNTIFS('클럭 정리'!$A$6:$A$66,"&gt;="&amp;E34,'클럭 정리'!$A$6:$A$66,"&lt;="&amp;F34)</f>
        <v/>
      </c>
      <c r="J34" s="14">
        <f>AVERAGEIFS('클럭 정리'!$N$6:$N$66,'클럭 정리'!$A$6:$A$66,"&gt;="&amp;E34,'클럭 정리'!$A$6:$A$66,"&lt;="&amp;F34)</f>
        <v/>
      </c>
      <c r="K34" s="15">
        <f>J34*'클럭 정리'!$B$2/100</f>
        <v/>
      </c>
    </row>
    <row r="35">
      <c r="A35" s="13" t="inlineStr">
        <is>
          <t>병렬도 6 분할 7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46238.49543528935</v>
      </c>
      <c r="F35" s="10" t="n">
        <v>46238.49545278159</v>
      </c>
      <c r="G35" s="13" t="n">
        <v>48</v>
      </c>
      <c r="H35" s="14" t="n">
        <v>1089.3756</v>
      </c>
      <c r="I35" s="13">
        <f>COUNTIFS('클럭 정리'!$A$6:$A$66,"&gt;="&amp;E35,'클럭 정리'!$A$6:$A$66,"&lt;="&amp;F35)</f>
        <v/>
      </c>
      <c r="J35" s="14">
        <f>AVERAGEIFS('클럭 정리'!$N$6:$N$66,'클럭 정리'!$A$6:$A$66,"&gt;="&amp;E35,'클럭 정리'!$A$6:$A$66,"&lt;="&amp;F35)</f>
        <v/>
      </c>
      <c r="K35" s="15">
        <f>J35*'클럭 정리'!$B$2/100</f>
        <v/>
      </c>
    </row>
    <row r="36">
      <c r="A36" s="13" t="inlineStr">
        <is>
          <t>병렬도 6 분할 7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46238.49543528935</v>
      </c>
      <c r="F36" s="10" t="n">
        <v>46238.49545277563</v>
      </c>
      <c r="G36" s="13" t="n">
        <v>55</v>
      </c>
      <c r="H36" s="14" t="n">
        <v>1165.8339</v>
      </c>
      <c r="I36" s="13">
        <f>COUNTIFS('클럭 정리'!$A$6:$A$66,"&gt;="&amp;E36,'클럭 정리'!$A$6:$A$66,"&lt;="&amp;F36)</f>
        <v/>
      </c>
      <c r="J36" s="14">
        <f>AVERAGEIFS('클럭 정리'!$N$6:$N$66,'클럭 정리'!$A$6:$A$66,"&gt;="&amp;E36,'클럭 정리'!$A$6:$A$66,"&lt;="&amp;F36)</f>
        <v/>
      </c>
      <c r="K36" s="15">
        <f>J36*'클럭 정리'!$B$2/100</f>
        <v/>
      </c>
    </row>
    <row r="37">
      <c r="A37" s="13" t="inlineStr">
        <is>
          <t>병렬도 6 분할 7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46238.49543528935</v>
      </c>
      <c r="F37" s="10" t="n">
        <v>46238.49545278895</v>
      </c>
      <c r="G37" s="13" t="n">
        <v>49</v>
      </c>
      <c r="H37" s="14" t="n">
        <v>1076.145</v>
      </c>
      <c r="I37" s="13">
        <f>COUNTIFS('클럭 정리'!$A$6:$A$66,"&gt;="&amp;E37,'클럭 정리'!$A$6:$A$66,"&lt;="&amp;F37)</f>
        <v/>
      </c>
      <c r="J37" s="14">
        <f>AVERAGEIFS('클럭 정리'!$N$6:$N$66,'클럭 정리'!$A$6:$A$66,"&gt;="&amp;E37,'클럭 정리'!$A$6:$A$66,"&lt;="&amp;F37)</f>
        <v/>
      </c>
      <c r="K37" s="15">
        <f>J37*'클럭 정리'!$B$2/100</f>
        <v/>
      </c>
    </row>
    <row r="38">
      <c r="A38" s="13" t="inlineStr">
        <is>
          <t>병렬도 6 분할 7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46238.49543528935</v>
      </c>
      <c r="F38" s="10" t="n">
        <v>46238.4954527762</v>
      </c>
      <c r="G38" s="13" t="n">
        <v>57</v>
      </c>
      <c r="H38" s="14" t="n">
        <v>1161.8112</v>
      </c>
      <c r="I38" s="13">
        <f>COUNTIFS('클럭 정리'!$A$6:$A$66,"&gt;="&amp;E38,'클럭 정리'!$A$6:$A$66,"&lt;="&amp;F38)</f>
        <v/>
      </c>
      <c r="J38" s="14">
        <f>AVERAGEIFS('클럭 정리'!$N$6:$N$66,'클럭 정리'!$A$6:$A$66,"&gt;="&amp;E38,'클럭 정리'!$A$6:$A$66,"&lt;="&amp;F38)</f>
        <v/>
      </c>
      <c r="K38" s="15">
        <f>J38*'클럭 정리'!$B$2/100</f>
        <v/>
      </c>
    </row>
    <row r="39">
      <c r="A39" s="13" t="inlineStr">
        <is>
          <t>병렬도 6 분할 7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46238.49543528935</v>
      </c>
      <c r="F39" s="10" t="n">
        <v>46238.49545275402</v>
      </c>
      <c r="G39" s="13" t="n">
        <v>54</v>
      </c>
      <c r="H39" s="14" t="n">
        <v>1113.9571</v>
      </c>
      <c r="I39" s="13">
        <f>COUNTIFS('클럭 정리'!$A$6:$A$66,"&gt;="&amp;E39,'클럭 정리'!$A$6:$A$66,"&lt;="&amp;F39)</f>
        <v/>
      </c>
      <c r="J39" s="14">
        <f>AVERAGEIFS('클럭 정리'!$N$6:$N$66,'클럭 정리'!$A$6:$A$66,"&gt;="&amp;E39,'클럭 정리'!$A$6:$A$66,"&lt;="&amp;F39)</f>
        <v/>
      </c>
      <c r="K39" s="15">
        <f>J39*'클럭 정리'!$B$2/100</f>
        <v/>
      </c>
    </row>
    <row r="40">
      <c r="A40" s="13" t="inlineStr">
        <is>
          <t>병렬도 6 분할 7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46238.49543527778</v>
      </c>
      <c r="F40" s="10" t="n">
        <v>46238.49545289384</v>
      </c>
      <c r="G40" s="13" t="n">
        <v>45</v>
      </c>
      <c r="H40" s="14" t="n">
        <v>0</v>
      </c>
      <c r="I40" s="13">
        <f>COUNTIFS('클럭 정리'!$A$6:$A$66,"&gt;="&amp;E40,'클럭 정리'!$A$6:$A$66,"&lt;="&amp;F40)</f>
        <v/>
      </c>
      <c r="J40" s="14">
        <f>AVERAGEIFS('클럭 정리'!$N$6:$N$66,'클럭 정리'!$A$6:$A$66,"&gt;="&amp;E40,'클럭 정리'!$A$6:$A$66,"&lt;="&amp;F40)</f>
        <v/>
      </c>
      <c r="K40" s="15">
        <f>J40*'클럭 정리'!$B$2/100</f>
        <v/>
      </c>
    </row>
    <row r="41">
      <c r="A41" s="13" t="inlineStr">
        <is>
          <t>병렬도 12 분할 7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46238.49550042824</v>
      </c>
      <c r="F41" s="10" t="n">
        <v>46238.49551508741</v>
      </c>
      <c r="G41" s="13" t="n">
        <v>45</v>
      </c>
      <c r="H41" s="14" t="n">
        <v>1109.9649</v>
      </c>
      <c r="I41" s="13">
        <f>COUNTIFS('클럭 정리'!$A$6:$A$66,"&gt;="&amp;E41,'클럭 정리'!$A$6:$A$66,"&lt;="&amp;F41)</f>
        <v/>
      </c>
      <c r="J41" s="14">
        <f>AVERAGEIFS('클럭 정리'!$N$6:$N$66,'클럭 정리'!$A$6:$A$66,"&gt;="&amp;E41,'클럭 정리'!$A$6:$A$66,"&lt;="&amp;F41)</f>
        <v/>
      </c>
      <c r="K41" s="15">
        <f>J41*'클럭 정리'!$B$2/100</f>
        <v/>
      </c>
    </row>
    <row r="42">
      <c r="A42" s="13" t="inlineStr">
        <is>
          <t>병렬도 12 분할 7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46238.49550076389</v>
      </c>
      <c r="F42" s="10" t="n">
        <v>46238.49551080821</v>
      </c>
      <c r="G42" s="13" t="n">
        <v>31</v>
      </c>
      <c r="H42" s="14" t="n">
        <v>779.647</v>
      </c>
      <c r="I42" s="13">
        <f>COUNTIFS('클럭 정리'!$A$6:$A$66,"&gt;="&amp;E42,'클럭 정리'!$A$6:$A$66,"&lt;="&amp;F42)</f>
        <v/>
      </c>
      <c r="J42" s="14">
        <f>AVERAGEIFS('클럭 정리'!$N$6:$N$66,'클럭 정리'!$A$6:$A$66,"&gt;="&amp;E42,'클럭 정리'!$A$6:$A$66,"&lt;="&amp;F42)</f>
        <v/>
      </c>
      <c r="K42" s="15">
        <f>J42*'클럭 정리'!$B$2/100</f>
        <v/>
      </c>
    </row>
    <row r="43">
      <c r="A43" s="13" t="inlineStr">
        <is>
          <t>병렬도 12 분할 7</t>
        </is>
      </c>
      <c r="B43" s="13" t="n">
        <v>1</v>
      </c>
      <c r="C43" s="13" t="inlineStr">
        <is>
          <t>ForkJoinPool-11-worker-12</t>
        </is>
      </c>
      <c r="D43" s="12" t="inlineStr">
        <is>
          <t>워커</t>
        </is>
      </c>
      <c r="E43" s="10" t="n">
        <v>46238.49550112268</v>
      </c>
      <c r="F43" s="10" t="n">
        <v>46238.49551509681</v>
      </c>
      <c r="G43" s="13" t="n">
        <v>43</v>
      </c>
      <c r="H43" s="14" t="n">
        <v>1066.0585</v>
      </c>
      <c r="I43" s="13">
        <f>COUNTIFS('클럭 정리'!$A$6:$A$66,"&gt;="&amp;E43,'클럭 정리'!$A$6:$A$66,"&lt;="&amp;F43)</f>
        <v/>
      </c>
      <c r="J43" s="14">
        <f>AVERAGEIFS('클럭 정리'!$N$6:$N$66,'클럭 정리'!$A$6:$A$66,"&gt;="&amp;E43,'클럭 정리'!$A$6:$A$66,"&lt;="&amp;F43)</f>
        <v/>
      </c>
      <c r="K43" s="15">
        <f>J43*'클럭 정리'!$B$2/100</f>
        <v/>
      </c>
    </row>
    <row r="44">
      <c r="A44" s="13" t="inlineStr">
        <is>
          <t>병렬도 12 분할 7</t>
        </is>
      </c>
      <c r="B44" s="13" t="n">
        <v>1</v>
      </c>
      <c r="C44" s="13" t="inlineStr">
        <is>
          <t>ForkJoinPool-11-worker-2</t>
        </is>
      </c>
      <c r="D44" s="12" t="inlineStr">
        <is>
          <t>워커</t>
        </is>
      </c>
      <c r="E44" s="10" t="n">
        <v>46238.49550042824</v>
      </c>
      <c r="F44" s="10" t="n">
        <v>46238.49551512895</v>
      </c>
      <c r="G44" s="13" t="n">
        <v>45</v>
      </c>
      <c r="H44" s="14" t="n">
        <v>1121.074</v>
      </c>
      <c r="I44" s="13">
        <f>COUNTIFS('클럭 정리'!$A$6:$A$66,"&gt;="&amp;E44,'클럭 정리'!$A$6:$A$66,"&lt;="&amp;F44)</f>
        <v/>
      </c>
      <c r="J44" s="14">
        <f>AVERAGEIFS('클럭 정리'!$N$6:$N$66,'클럭 정리'!$A$6:$A$66,"&gt;="&amp;E44,'클럭 정리'!$A$6:$A$66,"&lt;="&amp;F44)</f>
        <v/>
      </c>
      <c r="K44" s="15">
        <f>J44*'클럭 정리'!$B$2/100</f>
        <v/>
      </c>
    </row>
    <row r="45">
      <c r="A45" s="13" t="inlineStr">
        <is>
          <t>병렬도 12 분할 7</t>
        </is>
      </c>
      <c r="B45" s="13" t="n">
        <v>1</v>
      </c>
      <c r="C45" s="13" t="inlineStr">
        <is>
          <t>ForkJoinPool-11-worker-3</t>
        </is>
      </c>
      <c r="D45" s="12" t="inlineStr">
        <is>
          <t>워커</t>
        </is>
      </c>
      <c r="E45" s="10" t="n">
        <v>46238.49550043981</v>
      </c>
      <c r="F45" s="10" t="n">
        <v>46238.49551509787</v>
      </c>
      <c r="G45" s="13" t="n">
        <v>45</v>
      </c>
      <c r="H45" s="14" t="n">
        <v>1119.9899</v>
      </c>
      <c r="I45" s="13">
        <f>COUNTIFS('클럭 정리'!$A$6:$A$66,"&gt;="&amp;E45,'클럭 정리'!$A$6:$A$66,"&lt;="&amp;F45)</f>
        <v/>
      </c>
      <c r="J45" s="14">
        <f>AVERAGEIFS('클럭 정리'!$N$6:$N$66,'클럭 정리'!$A$6:$A$66,"&gt;="&amp;E45,'클럭 정리'!$A$6:$A$66,"&lt;="&amp;F45)</f>
        <v/>
      </c>
      <c r="K45" s="15">
        <f>J45*'클럭 정리'!$B$2/100</f>
        <v/>
      </c>
    </row>
    <row r="46">
      <c r="A46" s="13" t="inlineStr">
        <is>
          <t>병렬도 12 분할 7</t>
        </is>
      </c>
      <c r="B46" s="13" t="n">
        <v>1</v>
      </c>
      <c r="C46" s="13" t="inlineStr">
        <is>
          <t>ForkJoinPool-11-worker-4</t>
        </is>
      </c>
      <c r="D46" s="12" t="inlineStr">
        <is>
          <t>워커</t>
        </is>
      </c>
      <c r="E46" s="10" t="n">
        <v>46238.49550042824</v>
      </c>
      <c r="F46" s="10" t="n">
        <v>46238.49550068713</v>
      </c>
      <c r="G46" s="13" t="n">
        <v>1</v>
      </c>
      <c r="H46" s="14" t="n">
        <v>22.3675</v>
      </c>
      <c r="I46" s="13">
        <f>COUNTIFS('클럭 정리'!$A$6:$A$66,"&gt;="&amp;E46,'클럭 정리'!$A$6:$A$66,"&lt;="&amp;F46)</f>
        <v/>
      </c>
      <c r="J46" s="14">
        <f>AVERAGEIFS('클럭 정리'!$N$6:$N$66,'클럭 정리'!$A$6:$A$66,"&gt;="&amp;E46,'클럭 정리'!$A$6:$A$66,"&lt;="&amp;F46)</f>
        <v/>
      </c>
      <c r="K46" s="15">
        <f>J46*'클럭 정리'!$B$2/100</f>
        <v/>
      </c>
    </row>
    <row r="47">
      <c r="A47" s="13" t="inlineStr">
        <is>
          <t>병렬도 12 분할 7</t>
        </is>
      </c>
      <c r="B47" s="13" t="n">
        <v>1</v>
      </c>
      <c r="C47" s="13" t="inlineStr">
        <is>
          <t>ForkJoinPool-11-worker-5</t>
        </is>
      </c>
      <c r="D47" s="12" t="inlineStr">
        <is>
          <t>워커</t>
        </is>
      </c>
      <c r="E47" s="10" t="n">
        <v>46238.49550043981</v>
      </c>
      <c r="F47" s="10" t="n">
        <v>46238.49551512884</v>
      </c>
      <c r="G47" s="13" t="n">
        <v>15</v>
      </c>
      <c r="H47" s="14" t="n">
        <v>378.3815</v>
      </c>
      <c r="I47" s="13">
        <f>COUNTIFS('클럭 정리'!$A$6:$A$66,"&gt;="&amp;E47,'클럭 정리'!$A$6:$A$66,"&lt;="&amp;F47)</f>
        <v/>
      </c>
      <c r="J47" s="14">
        <f>AVERAGEIFS('클럭 정리'!$N$6:$N$66,'클럭 정리'!$A$6:$A$66,"&gt;="&amp;E47,'클럭 정리'!$A$6:$A$66,"&lt;="&amp;F47)</f>
        <v/>
      </c>
      <c r="K47" s="15">
        <f>J47*'클럭 정리'!$B$2/100</f>
        <v/>
      </c>
    </row>
    <row r="48">
      <c r="A48" s="13" t="inlineStr">
        <is>
          <t>병렬도 12 분할 7</t>
        </is>
      </c>
      <c r="B48" s="13" t="n">
        <v>1</v>
      </c>
      <c r="C48" s="13" t="inlineStr">
        <is>
          <t>ForkJoinPool-11-worker-6</t>
        </is>
      </c>
      <c r="D48" s="12" t="inlineStr">
        <is>
          <t>워커</t>
        </is>
      </c>
      <c r="E48" s="10" t="n">
        <v>46238.49550043981</v>
      </c>
      <c r="F48" s="10" t="n">
        <v>46238.49550070051</v>
      </c>
      <c r="G48" s="13" t="n">
        <v>1</v>
      </c>
      <c r="H48" s="14" t="n">
        <v>22.5243</v>
      </c>
      <c r="I48" s="13">
        <f>COUNTIFS('클럭 정리'!$A$6:$A$66,"&gt;="&amp;E48,'클럭 정리'!$A$6:$A$66,"&lt;="&amp;F48)</f>
        <v/>
      </c>
      <c r="J48" s="14">
        <f>AVERAGEIFS('클럭 정리'!$N$6:$N$66,'클럭 정리'!$A$6:$A$66,"&gt;="&amp;E48,'클럭 정리'!$A$6:$A$66,"&lt;="&amp;F48)</f>
        <v/>
      </c>
      <c r="K48" s="15">
        <f>J48*'클럭 정리'!$B$2/100</f>
        <v/>
      </c>
    </row>
    <row r="49">
      <c r="A49" s="13" t="inlineStr">
        <is>
          <t>병렬도 12 분할 7</t>
        </is>
      </c>
      <c r="B49" s="13" t="n">
        <v>1</v>
      </c>
      <c r="C49" s="13" t="inlineStr">
        <is>
          <t>ForkJoinPool-11-worker-7</t>
        </is>
      </c>
      <c r="D49" s="12" t="inlineStr">
        <is>
          <t>워커</t>
        </is>
      </c>
      <c r="E49" s="10" t="n">
        <v>46238.49550043981</v>
      </c>
      <c r="F49" s="10" t="n">
        <v>46238.49551505771</v>
      </c>
      <c r="G49" s="13" t="n">
        <v>45</v>
      </c>
      <c r="H49" s="14" t="n">
        <v>1151.4041</v>
      </c>
      <c r="I49" s="13">
        <f>COUNTIFS('클럭 정리'!$A$6:$A$66,"&gt;="&amp;E49,'클럭 정리'!$A$6:$A$66,"&lt;="&amp;F49)</f>
        <v/>
      </c>
      <c r="J49" s="14">
        <f>AVERAGEIFS('클럭 정리'!$N$6:$N$66,'클럭 정리'!$A$6:$A$66,"&gt;="&amp;E49,'클럭 정리'!$A$6:$A$66,"&lt;="&amp;F49)</f>
        <v/>
      </c>
      <c r="K49" s="15">
        <f>J49*'클럭 정리'!$B$2/100</f>
        <v/>
      </c>
    </row>
    <row r="50">
      <c r="A50" s="13" t="inlineStr">
        <is>
          <t>병렬도 12 분할 7</t>
        </is>
      </c>
      <c r="B50" s="13" t="n">
        <v>1</v>
      </c>
      <c r="C50" s="13" t="inlineStr">
        <is>
          <t>ForkJoinPool-11-worker-9</t>
        </is>
      </c>
      <c r="D50" s="12" t="inlineStr">
        <is>
          <t>워커</t>
        </is>
      </c>
      <c r="E50" s="10" t="n">
        <v>46238.49550076389</v>
      </c>
      <c r="F50" s="10" t="n">
        <v>46238.49551505139</v>
      </c>
      <c r="G50" s="13" t="n">
        <v>44</v>
      </c>
      <c r="H50" s="14" t="n">
        <v>1108.3651</v>
      </c>
      <c r="I50" s="13">
        <f>COUNTIFS('클럭 정리'!$A$6:$A$66,"&gt;="&amp;E50,'클럭 정리'!$A$6:$A$66,"&lt;="&amp;F50)</f>
        <v/>
      </c>
      <c r="J50" s="14">
        <f>AVERAGEIFS('클럭 정리'!$N$6:$N$66,'클럭 정리'!$A$6:$A$66,"&gt;="&amp;E50,'클럭 정리'!$A$6:$A$66,"&lt;="&amp;F50)</f>
        <v/>
      </c>
      <c r="K50" s="15">
        <f>J50*'클럭 정리'!$B$2/100</f>
        <v/>
      </c>
    </row>
    <row r="51">
      <c r="A51" s="13" t="inlineStr">
        <is>
          <t>병렬도 12 분할 7</t>
        </is>
      </c>
      <c r="B51" s="13" t="n">
        <v>1</v>
      </c>
      <c r="C51" s="13" t="inlineStr">
        <is>
          <t>main</t>
        </is>
      </c>
      <c r="D51" s="12" t="inlineStr">
        <is>
          <t>main (활동 시간 합 = 그 회차 mainCPU, 창은 워커와 겹침)</t>
        </is>
      </c>
      <c r="E51" s="10" t="n">
        <v>46238.49550042824</v>
      </c>
      <c r="F51" s="10" t="n">
        <v>46238.4955151304</v>
      </c>
      <c r="G51" s="13" t="n">
        <v>45</v>
      </c>
      <c r="H51" s="14" t="n">
        <v>15.625</v>
      </c>
      <c r="I51" s="13">
        <f>COUNTIFS('클럭 정리'!$A$6:$A$66,"&gt;="&amp;E51,'클럭 정리'!$A$6:$A$66,"&lt;="&amp;F51)</f>
        <v/>
      </c>
      <c r="J51" s="14">
        <f>AVERAGEIFS('클럭 정리'!$N$6:$N$66,'클럭 정리'!$A$6:$A$66,"&gt;="&amp;E51,'클럭 정리'!$A$6:$A$66,"&lt;="&amp;F51)</f>
        <v/>
      </c>
      <c r="K51" s="15">
        <f>J51*'클럭 정리'!$B$2/100</f>
        <v/>
      </c>
    </row>
    <row r="52">
      <c r="A52" s="13" t="inlineStr">
        <is>
          <t>병렬도 12 분할 7</t>
        </is>
      </c>
      <c r="B52" s="13" t="n">
        <v>2</v>
      </c>
      <c r="C52" s="13" t="inlineStr">
        <is>
          <t>ForkJoinPool-12-worker-1</t>
        </is>
      </c>
      <c r="D52" s="12" t="inlineStr">
        <is>
          <t>워커</t>
        </is>
      </c>
      <c r="E52" s="10" t="n">
        <v>46238.49551515046</v>
      </c>
      <c r="F52" s="10" t="n">
        <v>46238.49552983987</v>
      </c>
      <c r="G52" s="13" t="n">
        <v>45</v>
      </c>
      <c r="H52" s="14" t="n">
        <v>1126.6873</v>
      </c>
      <c r="I52" s="13">
        <f>COUNTIFS('클럭 정리'!$A$6:$A$66,"&gt;="&amp;E52,'클럭 정리'!$A$6:$A$66,"&lt;="&amp;F52)</f>
        <v/>
      </c>
      <c r="J52" s="14">
        <f>AVERAGEIFS('클럭 정리'!$N$6:$N$66,'클럭 정리'!$A$6:$A$66,"&gt;="&amp;E52,'클럭 정리'!$A$6:$A$66,"&lt;="&amp;F52)</f>
        <v/>
      </c>
      <c r="K52" s="15">
        <f>J52*'클럭 정리'!$B$2/100</f>
        <v/>
      </c>
    </row>
    <row r="53">
      <c r="A53" s="13" t="inlineStr">
        <is>
          <t>병렬도 12 분할 7</t>
        </is>
      </c>
      <c r="B53" s="13" t="n">
        <v>2</v>
      </c>
      <c r="C53" s="13" t="inlineStr">
        <is>
          <t>ForkJoinPool-12-worker-11</t>
        </is>
      </c>
      <c r="D53" s="12" t="inlineStr">
        <is>
          <t>워커</t>
        </is>
      </c>
      <c r="E53" s="10" t="n">
        <v>46238.49551650463</v>
      </c>
      <c r="F53" s="10" t="n">
        <v>46238.49552977898</v>
      </c>
      <c r="G53" s="13" t="n">
        <v>41</v>
      </c>
      <c r="H53" s="14" t="n">
        <v>987.6831</v>
      </c>
      <c r="I53" s="13">
        <f>COUNTIFS('클럭 정리'!$A$6:$A$66,"&gt;="&amp;E53,'클럭 정리'!$A$6:$A$66,"&lt;="&amp;F53)</f>
        <v/>
      </c>
      <c r="J53" s="14">
        <f>AVERAGEIFS('클럭 정리'!$N$6:$N$66,'클럭 정리'!$A$6:$A$66,"&gt;="&amp;E53,'클럭 정리'!$A$6:$A$66,"&lt;="&amp;F53)</f>
        <v/>
      </c>
      <c r="K53" s="15">
        <f>J53*'클럭 정리'!$B$2/100</f>
        <v/>
      </c>
    </row>
    <row r="54">
      <c r="A54" s="13" t="inlineStr">
        <is>
          <t>병렬도 12 분할 7</t>
        </is>
      </c>
      <c r="B54" s="13" t="n">
        <v>2</v>
      </c>
      <c r="C54" s="13" t="inlineStr">
        <is>
          <t>ForkJoinPool-12-worker-12</t>
        </is>
      </c>
      <c r="D54" s="12" t="inlineStr">
        <is>
          <t>워커</t>
        </is>
      </c>
      <c r="E54" s="10" t="n">
        <v>46238.49551583333</v>
      </c>
      <c r="F54" s="10" t="n">
        <v>46238.49552982902</v>
      </c>
      <c r="G54" s="13" t="n">
        <v>43</v>
      </c>
      <c r="H54" s="14" t="n">
        <v>1118.7836</v>
      </c>
      <c r="I54" s="13">
        <f>COUNTIFS('클럭 정리'!$A$6:$A$66,"&gt;="&amp;E54,'클럭 정리'!$A$6:$A$66,"&lt;="&amp;F54)</f>
        <v/>
      </c>
      <c r="J54" s="14">
        <f>AVERAGEIFS('클럭 정리'!$N$6:$N$66,'클럭 정리'!$A$6:$A$66,"&gt;="&amp;E54,'클럭 정리'!$A$6:$A$66,"&lt;="&amp;F54)</f>
        <v/>
      </c>
      <c r="K54" s="15">
        <f>J54*'클럭 정리'!$B$2/100</f>
        <v/>
      </c>
    </row>
    <row r="55">
      <c r="A55" s="13" t="inlineStr">
        <is>
          <t>병렬도 12 분할 7</t>
        </is>
      </c>
      <c r="B55" s="13" t="n">
        <v>2</v>
      </c>
      <c r="C55" s="13" t="inlineStr">
        <is>
          <t>ForkJoinPool-12-worker-2</t>
        </is>
      </c>
      <c r="D55" s="12" t="inlineStr">
        <is>
          <t>워커</t>
        </is>
      </c>
      <c r="E55" s="10" t="n">
        <v>46238.49551515046</v>
      </c>
      <c r="F55" s="10" t="n">
        <v>46238.4955297775</v>
      </c>
      <c r="G55" s="13" t="n">
        <v>45</v>
      </c>
      <c r="H55" s="14" t="n">
        <v>1072.621</v>
      </c>
      <c r="I55" s="13">
        <f>COUNTIFS('클럭 정리'!$A$6:$A$66,"&gt;="&amp;E55,'클럭 정리'!$A$6:$A$66,"&lt;="&amp;F55)</f>
        <v/>
      </c>
      <c r="J55" s="14">
        <f>AVERAGEIFS('클럭 정리'!$N$6:$N$66,'클럭 정리'!$A$6:$A$66,"&gt;="&amp;E55,'클럭 정리'!$A$6:$A$66,"&lt;="&amp;F55)</f>
        <v/>
      </c>
      <c r="K55" s="15">
        <f>J55*'클럭 정리'!$B$2/100</f>
        <v/>
      </c>
    </row>
    <row r="56">
      <c r="A56" s="13" t="inlineStr">
        <is>
          <t>병렬도 12 분할 7</t>
        </is>
      </c>
      <c r="B56" s="13" t="n">
        <v>2</v>
      </c>
      <c r="C56" s="13" t="inlineStr">
        <is>
          <t>ForkJoinPool-12-worker-3</t>
        </is>
      </c>
      <c r="D56" s="12" t="inlineStr">
        <is>
          <t>워커</t>
        </is>
      </c>
      <c r="E56" s="10" t="n">
        <v>46238.49551515046</v>
      </c>
      <c r="F56" s="10" t="n">
        <v>46238.4955298376</v>
      </c>
      <c r="G56" s="13" t="n">
        <v>45</v>
      </c>
      <c r="H56" s="14" t="n">
        <v>1130.885</v>
      </c>
      <c r="I56" s="13">
        <f>COUNTIFS('클럭 정리'!$A$6:$A$66,"&gt;="&amp;E56,'클럭 정리'!$A$6:$A$66,"&lt;="&amp;F56)</f>
        <v/>
      </c>
      <c r="J56" s="14">
        <f>AVERAGEIFS('클럭 정리'!$N$6:$N$66,'클럭 정리'!$A$6:$A$66,"&gt;="&amp;E56,'클럭 정리'!$A$6:$A$66,"&lt;="&amp;F56)</f>
        <v/>
      </c>
      <c r="K56" s="15">
        <f>J56*'클럭 정리'!$B$2/100</f>
        <v/>
      </c>
    </row>
    <row r="57">
      <c r="A57" s="13" t="inlineStr">
        <is>
          <t>병렬도 12 분할 7</t>
        </is>
      </c>
      <c r="B57" s="13" t="n">
        <v>2</v>
      </c>
      <c r="C57" s="13" t="inlineStr">
        <is>
          <t>ForkJoinPool-12-worker-4</t>
        </is>
      </c>
      <c r="D57" s="12" t="inlineStr">
        <is>
          <t>워커</t>
        </is>
      </c>
      <c r="E57" s="10" t="n">
        <v>46238.49551515046</v>
      </c>
      <c r="F57" s="10" t="n">
        <v>46238.4955157523</v>
      </c>
      <c r="G57" s="13" t="n">
        <v>2</v>
      </c>
      <c r="H57" s="14" t="n">
        <v>49.8887</v>
      </c>
      <c r="I57" s="13">
        <f>COUNTIFS('클럭 정리'!$A$6:$A$66,"&gt;="&amp;E57,'클럭 정리'!$A$6:$A$66,"&lt;="&amp;F57)</f>
        <v/>
      </c>
      <c r="J57" s="14">
        <f>AVERAGEIFS('클럭 정리'!$N$6:$N$66,'클럭 정리'!$A$6:$A$66,"&gt;="&amp;E57,'클럭 정리'!$A$6:$A$66,"&lt;="&amp;F57)</f>
        <v/>
      </c>
      <c r="K57" s="15">
        <f>J57*'클럭 정리'!$B$2/100</f>
        <v/>
      </c>
    </row>
    <row r="58">
      <c r="A58" s="13" t="inlineStr">
        <is>
          <t>병렬도 12 분할 7</t>
        </is>
      </c>
      <c r="B58" s="13" t="n">
        <v>2</v>
      </c>
      <c r="C58" s="13" t="inlineStr">
        <is>
          <t>ForkJoinPool-12-worker-5</t>
        </is>
      </c>
      <c r="D58" s="12" t="inlineStr">
        <is>
          <t>워커</t>
        </is>
      </c>
      <c r="E58" s="10" t="n">
        <v>46238.49551515046</v>
      </c>
      <c r="F58" s="10" t="n">
        <v>46238.4955164491</v>
      </c>
      <c r="G58" s="13" t="n">
        <v>4</v>
      </c>
      <c r="H58" s="14" t="n">
        <v>104.2741</v>
      </c>
      <c r="I58" s="13">
        <f>COUNTIFS('클럭 정리'!$A$6:$A$66,"&gt;="&amp;E58,'클럭 정리'!$A$6:$A$66,"&lt;="&amp;F58)</f>
        <v/>
      </c>
      <c r="J58" s="14">
        <f>AVERAGEIFS('클럭 정리'!$N$6:$N$66,'클럭 정리'!$A$6:$A$66,"&gt;="&amp;E58,'클럭 정리'!$A$6:$A$66,"&lt;="&amp;F58)</f>
        <v/>
      </c>
      <c r="K58" s="15">
        <f>J58*'클럭 정리'!$B$2/100</f>
        <v/>
      </c>
    </row>
    <row r="59">
      <c r="A59" s="13" t="inlineStr">
        <is>
          <t>병렬도 12 분할 7</t>
        </is>
      </c>
      <c r="B59" s="13" t="n">
        <v>2</v>
      </c>
      <c r="C59" s="13" t="inlineStr">
        <is>
          <t>ForkJoinPool-12-worker-6</t>
        </is>
      </c>
      <c r="D59" s="12" t="inlineStr">
        <is>
          <t>워커</t>
        </is>
      </c>
      <c r="E59" s="10" t="n">
        <v>46238.49551515046</v>
      </c>
      <c r="F59" s="10" t="n">
        <v>46238.49552986667</v>
      </c>
      <c r="G59" s="13" t="n">
        <v>45</v>
      </c>
      <c r="H59" s="14" t="n">
        <v>1141.0115</v>
      </c>
      <c r="I59" s="13">
        <f>COUNTIFS('클럭 정리'!$A$6:$A$66,"&gt;="&amp;E59,'클럭 정리'!$A$6:$A$66,"&lt;="&amp;F59)</f>
        <v/>
      </c>
      <c r="J59" s="14">
        <f>AVERAGEIFS('클럭 정리'!$N$6:$N$66,'클럭 정리'!$A$6:$A$66,"&gt;="&amp;E59,'클럭 정리'!$A$6:$A$66,"&lt;="&amp;F59)</f>
        <v/>
      </c>
      <c r="K59" s="15">
        <f>J59*'클럭 정리'!$B$2/100</f>
        <v/>
      </c>
    </row>
    <row r="60">
      <c r="A60" s="13" t="inlineStr">
        <is>
          <t>병렬도 12 분할 7</t>
        </is>
      </c>
      <c r="B60" s="13" t="n">
        <v>2</v>
      </c>
      <c r="C60" s="13" t="inlineStr">
        <is>
          <t>ForkJoinPool-12-worker-7</t>
        </is>
      </c>
      <c r="D60" s="12" t="inlineStr">
        <is>
          <t>워커</t>
        </is>
      </c>
      <c r="E60" s="10" t="n">
        <v>46238.49551515046</v>
      </c>
      <c r="F60" s="10" t="n">
        <v>46238.4955154195</v>
      </c>
      <c r="G60" s="13" t="n">
        <v>1</v>
      </c>
      <c r="H60" s="14" t="n">
        <v>23.2451</v>
      </c>
      <c r="I60" s="13">
        <f>COUNTIFS('클럭 정리'!$A$6:$A$66,"&gt;="&amp;E60,'클럭 정리'!$A$6:$A$66,"&lt;="&amp;F60)</f>
        <v/>
      </c>
      <c r="J60" s="14">
        <f>AVERAGEIFS('클럭 정리'!$N$6:$N$66,'클럭 정리'!$A$6:$A$66,"&gt;="&amp;E60,'클럭 정리'!$A$6:$A$66,"&lt;="&amp;F60)</f>
        <v/>
      </c>
      <c r="K60" s="15">
        <f>J60*'클럭 정리'!$B$2/100</f>
        <v/>
      </c>
    </row>
    <row r="61">
      <c r="A61" s="13" t="inlineStr">
        <is>
          <t>병렬도 12 분할 7</t>
        </is>
      </c>
      <c r="B61" s="13" t="n">
        <v>2</v>
      </c>
      <c r="C61" s="13" t="inlineStr">
        <is>
          <t>ForkJoinPool-12-worker-9</t>
        </is>
      </c>
      <c r="D61" s="12" t="inlineStr">
        <is>
          <t>워커</t>
        </is>
      </c>
      <c r="E61" s="10" t="n">
        <v>46238.49551549769</v>
      </c>
      <c r="F61" s="10" t="n">
        <v>46238.49552979257</v>
      </c>
      <c r="G61" s="13" t="n">
        <v>44</v>
      </c>
      <c r="H61" s="14" t="n">
        <v>1089.4073</v>
      </c>
      <c r="I61" s="13">
        <f>COUNTIFS('클럭 정리'!$A$6:$A$66,"&gt;="&amp;E61,'클럭 정리'!$A$6:$A$66,"&lt;="&amp;F61)</f>
        <v/>
      </c>
      <c r="J61" s="14">
        <f>AVERAGEIFS('클럭 정리'!$N$6:$N$66,'클럭 정리'!$A$6:$A$66,"&gt;="&amp;E61,'클럭 정리'!$A$6:$A$66,"&lt;="&amp;F61)</f>
        <v/>
      </c>
      <c r="K61" s="15">
        <f>J61*'클럭 정리'!$B$2/100</f>
        <v/>
      </c>
    </row>
    <row r="62">
      <c r="A62" s="13" t="inlineStr">
        <is>
          <t>병렬도 12 분할 7</t>
        </is>
      </c>
      <c r="B62" s="13" t="n">
        <v>2</v>
      </c>
      <c r="C62" s="13" t="inlineStr">
        <is>
          <t>main</t>
        </is>
      </c>
      <c r="D62" s="12" t="inlineStr">
        <is>
          <t>main (활동 시간 합 = 그 회차 mainCPU, 창은 워커와 겹침)</t>
        </is>
      </c>
      <c r="E62" s="10" t="n">
        <v>46238.49551513889</v>
      </c>
      <c r="F62" s="10" t="n">
        <v>46238.49552985703</v>
      </c>
      <c r="G62" s="13" t="n">
        <v>45</v>
      </c>
      <c r="H62" s="14" t="n">
        <v>0</v>
      </c>
      <c r="I62" s="13">
        <f>COUNTIFS('클럭 정리'!$A$6:$A$66,"&gt;="&amp;E62,'클럭 정리'!$A$6:$A$66,"&lt;="&amp;F62)</f>
        <v/>
      </c>
      <c r="J62" s="14">
        <f>AVERAGEIFS('클럭 정리'!$N$6:$N$66,'클럭 정리'!$A$6:$A$66,"&gt;="&amp;E62,'클럭 정리'!$A$6:$A$66,"&lt;="&amp;F62)</f>
        <v/>
      </c>
      <c r="K62" s="15">
        <f>J62*'클럭 정리'!$B$2/100</f>
        <v/>
      </c>
    </row>
    <row r="63">
      <c r="A63" s="13" t="inlineStr">
        <is>
          <t>병렬도 12 분할 7</t>
        </is>
      </c>
      <c r="B63" s="13" t="n">
        <v>3</v>
      </c>
      <c r="C63" s="13" t="inlineStr">
        <is>
          <t>ForkJoinPool-13-worker-1</t>
        </is>
      </c>
      <c r="D63" s="12" t="inlineStr">
        <is>
          <t>워커</t>
        </is>
      </c>
      <c r="E63" s="10" t="n">
        <v>46238.49552988426</v>
      </c>
      <c r="F63" s="10" t="n">
        <v>46238.49554445592</v>
      </c>
      <c r="G63" s="13" t="n">
        <v>45</v>
      </c>
      <c r="H63" s="14" t="n">
        <v>1118.5271</v>
      </c>
      <c r="I63" s="13">
        <f>COUNTIFS('클럭 정리'!$A$6:$A$66,"&gt;="&amp;E63,'클럭 정리'!$A$6:$A$66,"&lt;="&amp;F63)</f>
        <v/>
      </c>
      <c r="J63" s="14">
        <f>AVERAGEIFS('클럭 정리'!$N$6:$N$66,'클럭 정리'!$A$6:$A$66,"&gt;="&amp;E63,'클럭 정리'!$A$6:$A$66,"&lt;="&amp;F63)</f>
        <v/>
      </c>
      <c r="K63" s="15">
        <f>J63*'클럭 정리'!$B$2/100</f>
        <v/>
      </c>
    </row>
    <row r="64">
      <c r="A64" s="13" t="inlineStr">
        <is>
          <t>병렬도 12 분할 7</t>
        </is>
      </c>
      <c r="B64" s="13" t="n">
        <v>3</v>
      </c>
      <c r="C64" s="13" t="inlineStr">
        <is>
          <t>ForkJoinPool-13-worker-10</t>
        </is>
      </c>
      <c r="D64" s="12" t="inlineStr">
        <is>
          <t>워커</t>
        </is>
      </c>
      <c r="E64" s="10" t="n">
        <v>46238.49553021991</v>
      </c>
      <c r="F64" s="10" t="n">
        <v>46238.49554440613</v>
      </c>
      <c r="G64" s="13" t="n">
        <v>44</v>
      </c>
      <c r="H64" s="14" t="n">
        <v>1091.9948</v>
      </c>
      <c r="I64" s="13">
        <f>COUNTIFS('클럭 정리'!$A$6:$A$66,"&gt;="&amp;E64,'클럭 정리'!$A$6:$A$66,"&lt;="&amp;F64)</f>
        <v/>
      </c>
      <c r="J64" s="14">
        <f>AVERAGEIFS('클럭 정리'!$N$6:$N$66,'클럭 정리'!$A$6:$A$66,"&gt;="&amp;E64,'클럭 정리'!$A$6:$A$66,"&lt;="&amp;F64)</f>
        <v/>
      </c>
      <c r="K64" s="15">
        <f>J64*'클럭 정리'!$B$2/100</f>
        <v/>
      </c>
    </row>
    <row r="65">
      <c r="A65" s="13" t="inlineStr">
        <is>
          <t>병렬도 12 분할 7</t>
        </is>
      </c>
      <c r="B65" s="13" t="n">
        <v>3</v>
      </c>
      <c r="C65" s="13" t="inlineStr">
        <is>
          <t>ForkJoinPool-13-worker-12</t>
        </is>
      </c>
      <c r="D65" s="12" t="inlineStr">
        <is>
          <t>워커</t>
        </is>
      </c>
      <c r="E65" s="10" t="n">
        <v>46238.49553056713</v>
      </c>
      <c r="F65" s="10" t="n">
        <v>46238.49554447504</v>
      </c>
      <c r="G65" s="13" t="n">
        <v>43</v>
      </c>
      <c r="H65" s="14" t="n">
        <v>1065.3135</v>
      </c>
      <c r="I65" s="13">
        <f>COUNTIFS('클럭 정리'!$A$6:$A$66,"&gt;="&amp;E65,'클럭 정리'!$A$6:$A$66,"&lt;="&amp;F65)</f>
        <v/>
      </c>
      <c r="J65" s="14">
        <f>AVERAGEIFS('클럭 정리'!$N$6:$N$66,'클럭 정리'!$A$6:$A$66,"&gt;="&amp;E65,'클럭 정리'!$A$6:$A$66,"&lt;="&amp;F65)</f>
        <v/>
      </c>
      <c r="K65" s="15">
        <f>J65*'클럭 정리'!$B$2/100</f>
        <v/>
      </c>
    </row>
    <row r="66">
      <c r="A66" s="13" t="inlineStr">
        <is>
          <t>병렬도 12 분할 7</t>
        </is>
      </c>
      <c r="B66" s="13" t="n">
        <v>3</v>
      </c>
      <c r="C66" s="13" t="inlineStr">
        <is>
          <t>ForkJoinPool-13-worker-2</t>
        </is>
      </c>
      <c r="D66" s="12" t="inlineStr">
        <is>
          <t>워커</t>
        </is>
      </c>
      <c r="E66" s="10" t="n">
        <v>46238.49552988426</v>
      </c>
      <c r="F66" s="10" t="n">
        <v>46238.49554445782</v>
      </c>
      <c r="G66" s="13" t="n">
        <v>45</v>
      </c>
      <c r="H66" s="14" t="n">
        <v>1100.1937</v>
      </c>
      <c r="I66" s="13">
        <f>COUNTIFS('클럭 정리'!$A$6:$A$66,"&gt;="&amp;E66,'클럭 정리'!$A$6:$A$66,"&lt;="&amp;F66)</f>
        <v/>
      </c>
      <c r="J66" s="14">
        <f>AVERAGEIFS('클럭 정리'!$N$6:$N$66,'클럭 정리'!$A$6:$A$66,"&gt;="&amp;E66,'클럭 정리'!$A$6:$A$66,"&lt;="&amp;F66)</f>
        <v/>
      </c>
      <c r="K66" s="15">
        <f>J66*'클럭 정리'!$B$2/100</f>
        <v/>
      </c>
    </row>
    <row r="67">
      <c r="A67" s="13" t="inlineStr">
        <is>
          <t>병렬도 12 분할 7</t>
        </is>
      </c>
      <c r="B67" s="13" t="n">
        <v>3</v>
      </c>
      <c r="C67" s="13" t="inlineStr">
        <is>
          <t>ForkJoinPool-13-worker-3</t>
        </is>
      </c>
      <c r="D67" s="12" t="inlineStr">
        <is>
          <t>워커</t>
        </is>
      </c>
      <c r="E67" s="10" t="n">
        <v>46238.49552988426</v>
      </c>
      <c r="F67" s="10" t="n">
        <v>46238.49554443167</v>
      </c>
      <c r="G67" s="13" t="n">
        <v>45</v>
      </c>
      <c r="H67" s="14" t="n">
        <v>1120.9466</v>
      </c>
      <c r="I67" s="13">
        <f>COUNTIFS('클럭 정리'!$A$6:$A$66,"&gt;="&amp;E67,'클럭 정리'!$A$6:$A$66,"&lt;="&amp;F67)</f>
        <v/>
      </c>
      <c r="J67" s="14">
        <f>AVERAGEIFS('클럭 정리'!$N$6:$N$66,'클럭 정리'!$A$6:$A$66,"&gt;="&amp;E67,'클럭 정리'!$A$6:$A$66,"&lt;="&amp;F67)</f>
        <v/>
      </c>
      <c r="K67" s="15">
        <f>J67*'클럭 정리'!$B$2/100</f>
        <v/>
      </c>
    </row>
    <row r="68">
      <c r="A68" s="13" t="inlineStr">
        <is>
          <t>병렬도 12 분할 7</t>
        </is>
      </c>
      <c r="B68" s="13" t="n">
        <v>3</v>
      </c>
      <c r="C68" s="13" t="inlineStr">
        <is>
          <t>ForkJoinPool-13-worker-4</t>
        </is>
      </c>
      <c r="D68" s="12" t="inlineStr">
        <is>
          <t>워커</t>
        </is>
      </c>
      <c r="E68" s="10" t="n">
        <v>46238.49552988426</v>
      </c>
      <c r="F68" s="10" t="n">
        <v>46238.49553050499</v>
      </c>
      <c r="G68" s="13" t="n">
        <v>2</v>
      </c>
      <c r="H68" s="14" t="n">
        <v>51.4628</v>
      </c>
      <c r="I68" s="13">
        <f>COUNTIFS('클럭 정리'!$A$6:$A$66,"&gt;="&amp;E68,'클럭 정리'!$A$6:$A$66,"&lt;="&amp;F68)</f>
        <v/>
      </c>
      <c r="J68" s="14">
        <f>AVERAGEIFS('클럭 정리'!$N$6:$N$66,'클럭 정리'!$A$6:$A$66,"&gt;="&amp;E68,'클럭 정리'!$A$6:$A$66,"&lt;="&amp;F68)</f>
        <v/>
      </c>
      <c r="K68" s="15">
        <f>J68*'클럭 정리'!$B$2/100</f>
        <v/>
      </c>
    </row>
    <row r="69">
      <c r="A69" s="13" t="inlineStr">
        <is>
          <t>병렬도 12 분할 7</t>
        </is>
      </c>
      <c r="B69" s="13" t="n">
        <v>3</v>
      </c>
      <c r="C69" s="13" t="inlineStr">
        <is>
          <t>ForkJoinPool-13-worker-5</t>
        </is>
      </c>
      <c r="D69" s="12" t="inlineStr">
        <is>
          <t>워커</t>
        </is>
      </c>
      <c r="E69" s="10" t="n">
        <v>46238.49552988426</v>
      </c>
      <c r="F69" s="10" t="n">
        <v>46238.49554448094</v>
      </c>
      <c r="G69" s="13" t="n">
        <v>45</v>
      </c>
      <c r="H69" s="14" t="n">
        <v>1117.6496</v>
      </c>
      <c r="I69" s="13">
        <f>COUNTIFS('클럭 정리'!$A$6:$A$66,"&gt;="&amp;E69,'클럭 정리'!$A$6:$A$66,"&lt;="&amp;F69)</f>
        <v/>
      </c>
      <c r="J69" s="14">
        <f>AVERAGEIFS('클럭 정리'!$N$6:$N$66,'클럭 정리'!$A$6:$A$66,"&gt;="&amp;E69,'클럭 정리'!$A$6:$A$66,"&lt;="&amp;F69)</f>
        <v/>
      </c>
      <c r="K69" s="15">
        <f>J69*'클럭 정리'!$B$2/100</f>
        <v/>
      </c>
    </row>
    <row r="70">
      <c r="A70" s="13" t="inlineStr">
        <is>
          <t>병렬도 12 분할 7</t>
        </is>
      </c>
      <c r="B70" s="13" t="n">
        <v>3</v>
      </c>
      <c r="C70" s="13" t="inlineStr">
        <is>
          <t>ForkJoinPool-13-worker-6</t>
        </is>
      </c>
      <c r="D70" s="12" t="inlineStr">
        <is>
          <t>워커</t>
        </is>
      </c>
      <c r="E70" s="10" t="n">
        <v>46238.49552988426</v>
      </c>
      <c r="F70" s="10" t="n">
        <v>46238.49553019424</v>
      </c>
      <c r="G70" s="13" t="n">
        <v>1</v>
      </c>
      <c r="H70" s="14" t="n">
        <v>26.7816</v>
      </c>
      <c r="I70" s="13">
        <f>COUNTIFS('클럭 정리'!$A$6:$A$66,"&gt;="&amp;E70,'클럭 정리'!$A$6:$A$66,"&lt;="&amp;F70)</f>
        <v/>
      </c>
      <c r="J70" s="14">
        <f>AVERAGEIFS('클럭 정리'!$N$6:$N$66,'클럭 정리'!$A$6:$A$66,"&gt;="&amp;E70,'클럭 정리'!$A$6:$A$66,"&lt;="&amp;F70)</f>
        <v/>
      </c>
      <c r="K70" s="15">
        <f>J70*'클럭 정리'!$B$2/100</f>
        <v/>
      </c>
    </row>
    <row r="71">
      <c r="A71" s="13" t="inlineStr">
        <is>
          <t>병렬도 12 분할 7</t>
        </is>
      </c>
      <c r="B71" s="13" t="n">
        <v>3</v>
      </c>
      <c r="C71" s="13" t="inlineStr">
        <is>
          <t>ForkJoinPool-13-worker-7</t>
        </is>
      </c>
      <c r="D71" s="12" t="inlineStr">
        <is>
          <t>워커</t>
        </is>
      </c>
      <c r="E71" s="10" t="n">
        <v>46238.49552988426</v>
      </c>
      <c r="F71" s="10" t="n">
        <v>46238.49554445341</v>
      </c>
      <c r="G71" s="13" t="n">
        <v>45</v>
      </c>
      <c r="H71" s="14" t="n">
        <v>1134.6483</v>
      </c>
      <c r="I71" s="13">
        <f>COUNTIFS('클럭 정리'!$A$6:$A$66,"&gt;="&amp;E71,'클럭 정리'!$A$6:$A$66,"&lt;="&amp;F71)</f>
        <v/>
      </c>
      <c r="J71" s="14">
        <f>AVERAGEIFS('클럭 정리'!$N$6:$N$66,'클럭 정리'!$A$6:$A$66,"&gt;="&amp;E71,'클럭 정리'!$A$6:$A$66,"&lt;="&amp;F71)</f>
        <v/>
      </c>
      <c r="K71" s="15">
        <f>J71*'클럭 정리'!$B$2/100</f>
        <v/>
      </c>
    </row>
    <row r="72">
      <c r="A72" s="13" t="inlineStr">
        <is>
          <t>병렬도 12 분할 7</t>
        </is>
      </c>
      <c r="B72" s="13" t="n">
        <v>3</v>
      </c>
      <c r="C72" s="13" t="inlineStr">
        <is>
          <t>main</t>
        </is>
      </c>
      <c r="D72" s="12" t="inlineStr">
        <is>
          <t>main (활동 시간 합 = 그 회차 mainCPU, 창은 워커와 겹침)</t>
        </is>
      </c>
      <c r="E72" s="10" t="n">
        <v>46238.49552987269</v>
      </c>
      <c r="F72" s="10" t="n">
        <v>46238.49554448308</v>
      </c>
      <c r="G72" s="13" t="n">
        <v>45</v>
      </c>
      <c r="H72" s="14" t="n">
        <v>0</v>
      </c>
      <c r="I72" s="13">
        <f>COUNTIFS('클럭 정리'!$A$6:$A$66,"&gt;="&amp;E72,'클럭 정리'!$A$6:$A$66,"&lt;="&amp;F72)</f>
        <v/>
      </c>
      <c r="J72" s="14">
        <f>AVERAGEIFS('클럭 정리'!$N$6:$N$66,'클럭 정리'!$A$6:$A$66,"&gt;="&amp;E72,'클럭 정리'!$A$6:$A$66,"&lt;="&amp;F72)</f>
        <v/>
      </c>
      <c r="K72" s="15">
        <f>J72*'클럭 정리'!$B$2/100</f>
        <v/>
      </c>
    </row>
    <row r="73">
      <c r="A73" s="13" t="inlineStr">
        <is>
          <t>병렬도 12 분할 7</t>
        </is>
      </c>
      <c r="B73" s="13" t="n">
        <v>4</v>
      </c>
      <c r="C73" s="13" t="inlineStr">
        <is>
          <t>ForkJoinPool-14-worker-1</t>
        </is>
      </c>
      <c r="D73" s="12" t="inlineStr">
        <is>
          <t>워커</t>
        </is>
      </c>
      <c r="E73" s="10" t="n">
        <v>46238.49554449074</v>
      </c>
      <c r="F73" s="10" t="n">
        <v>46238.49555913475</v>
      </c>
      <c r="G73" s="13" t="n">
        <v>45</v>
      </c>
      <c r="H73" s="14" t="n">
        <v>1164.7102</v>
      </c>
      <c r="I73" s="13">
        <f>COUNTIFS('클럭 정리'!$A$6:$A$66,"&gt;="&amp;E73,'클럭 정리'!$A$6:$A$66,"&lt;="&amp;F73)</f>
        <v/>
      </c>
      <c r="J73" s="14">
        <f>AVERAGEIFS('클럭 정리'!$N$6:$N$66,'클럭 정리'!$A$6:$A$66,"&gt;="&amp;E73,'클럭 정리'!$A$6:$A$66,"&lt;="&amp;F73)</f>
        <v/>
      </c>
      <c r="K73" s="15">
        <f>J73*'클럭 정리'!$B$2/100</f>
        <v/>
      </c>
    </row>
    <row r="74">
      <c r="A74" s="13" t="inlineStr">
        <is>
          <t>병렬도 12 분할 7</t>
        </is>
      </c>
      <c r="B74" s="13" t="n">
        <v>4</v>
      </c>
      <c r="C74" s="13" t="inlineStr">
        <is>
          <t>ForkJoinPool-14-worker-10</t>
        </is>
      </c>
      <c r="D74" s="12" t="inlineStr">
        <is>
          <t>워커</t>
        </is>
      </c>
      <c r="E74" s="10" t="n">
        <v>46238.49554483796</v>
      </c>
      <c r="F74" s="10" t="n">
        <v>46238.4955451162</v>
      </c>
      <c r="G74" s="13" t="n">
        <v>1</v>
      </c>
      <c r="H74" s="14" t="n">
        <v>24.0396</v>
      </c>
      <c r="I74" s="13">
        <f>COUNTIFS('클럭 정리'!$A$6:$A$66,"&gt;="&amp;E74,'클럭 정리'!$A$6:$A$66,"&lt;="&amp;F74)</f>
        <v/>
      </c>
      <c r="J74" s="14">
        <f>AVERAGEIFS('클럭 정리'!$N$6:$N$66,'클럭 정리'!$A$6:$A$66,"&gt;="&amp;E74,'클럭 정리'!$A$6:$A$66,"&lt;="&amp;F74)</f>
        <v/>
      </c>
      <c r="K74" s="15">
        <f>J74*'클럭 정리'!$B$2/100</f>
        <v/>
      </c>
    </row>
    <row r="75">
      <c r="A75" s="13" t="inlineStr">
        <is>
          <t>병렬도 12 분할 7</t>
        </is>
      </c>
      <c r="B75" s="13" t="n">
        <v>4</v>
      </c>
      <c r="C75" s="13" t="inlineStr">
        <is>
          <t>ForkJoinPool-14-worker-12</t>
        </is>
      </c>
      <c r="D75" s="12" t="inlineStr">
        <is>
          <t>워커</t>
        </is>
      </c>
      <c r="E75" s="10" t="n">
        <v>46238.49554519676</v>
      </c>
      <c r="F75" s="10" t="n">
        <v>46238.4955591379</v>
      </c>
      <c r="G75" s="13" t="n">
        <v>43</v>
      </c>
      <c r="H75" s="14" t="n">
        <v>1072.8875</v>
      </c>
      <c r="I75" s="13">
        <f>COUNTIFS('클럭 정리'!$A$6:$A$66,"&gt;="&amp;E75,'클럭 정리'!$A$6:$A$66,"&lt;="&amp;F75)</f>
        <v/>
      </c>
      <c r="J75" s="14">
        <f>AVERAGEIFS('클럭 정리'!$N$6:$N$66,'클럭 정리'!$A$6:$A$66,"&gt;="&amp;E75,'클럭 정리'!$A$6:$A$66,"&lt;="&amp;F75)</f>
        <v/>
      </c>
      <c r="K75" s="15">
        <f>J75*'클럭 정리'!$B$2/100</f>
        <v/>
      </c>
    </row>
    <row r="76">
      <c r="A76" s="13" t="inlineStr">
        <is>
          <t>병렬도 12 분할 7</t>
        </is>
      </c>
      <c r="B76" s="13" t="n">
        <v>4</v>
      </c>
      <c r="C76" s="13" t="inlineStr">
        <is>
          <t>ForkJoinPool-14-worker-2</t>
        </is>
      </c>
      <c r="D76" s="12" t="inlineStr">
        <is>
          <t>워커</t>
        </is>
      </c>
      <c r="E76" s="10" t="n">
        <v>46238.49554450232</v>
      </c>
      <c r="F76" s="10" t="n">
        <v>46238.49555910169</v>
      </c>
      <c r="G76" s="13" t="n">
        <v>45</v>
      </c>
      <c r="H76" s="14" t="n">
        <v>1095.1715</v>
      </c>
      <c r="I76" s="13">
        <f>COUNTIFS('클럭 정리'!$A$6:$A$66,"&gt;="&amp;E76,'클럭 정리'!$A$6:$A$66,"&lt;="&amp;F76)</f>
        <v/>
      </c>
      <c r="J76" s="14">
        <f>AVERAGEIFS('클럭 정리'!$N$6:$N$66,'클럭 정리'!$A$6:$A$66,"&gt;="&amp;E76,'클럭 정리'!$A$6:$A$66,"&lt;="&amp;F76)</f>
        <v/>
      </c>
      <c r="K76" s="15">
        <f>J76*'클럭 정리'!$B$2/100</f>
        <v/>
      </c>
    </row>
    <row r="77">
      <c r="A77" s="13" t="inlineStr">
        <is>
          <t>병렬도 12 분할 7</t>
        </is>
      </c>
      <c r="B77" s="13" t="n">
        <v>4</v>
      </c>
      <c r="C77" s="13" t="inlineStr">
        <is>
          <t>ForkJoinPool-14-worker-3</t>
        </is>
      </c>
      <c r="D77" s="12" t="inlineStr">
        <is>
          <t>워커</t>
        </is>
      </c>
      <c r="E77" s="10" t="n">
        <v>46238.49554450232</v>
      </c>
      <c r="F77" s="10" t="n">
        <v>46238.4955591066</v>
      </c>
      <c r="G77" s="13" t="n">
        <v>45</v>
      </c>
      <c r="H77" s="14" t="n">
        <v>1095.5309</v>
      </c>
      <c r="I77" s="13">
        <f>COUNTIFS('클럭 정리'!$A$6:$A$66,"&gt;="&amp;E77,'클럭 정리'!$A$6:$A$66,"&lt;="&amp;F77)</f>
        <v/>
      </c>
      <c r="J77" s="14">
        <f>AVERAGEIFS('클럭 정리'!$N$6:$N$66,'클럭 정리'!$A$6:$A$66,"&gt;="&amp;E77,'클럭 정리'!$A$6:$A$66,"&lt;="&amp;F77)</f>
        <v/>
      </c>
      <c r="K77" s="15">
        <f>J77*'클럭 정리'!$B$2/100</f>
        <v/>
      </c>
    </row>
    <row r="78">
      <c r="A78" s="13" t="inlineStr">
        <is>
          <t>병렬도 12 분할 7</t>
        </is>
      </c>
      <c r="B78" s="13" t="n">
        <v>4</v>
      </c>
      <c r="C78" s="13" t="inlineStr">
        <is>
          <t>ForkJoinPool-14-worker-4</t>
        </is>
      </c>
      <c r="D78" s="12" t="inlineStr">
        <is>
          <t>워커</t>
        </is>
      </c>
      <c r="E78" s="10" t="n">
        <v>46238.49554450232</v>
      </c>
      <c r="F78" s="10" t="n">
        <v>46238.49554476287</v>
      </c>
      <c r="G78" s="13" t="n">
        <v>1</v>
      </c>
      <c r="H78" s="14" t="n">
        <v>22.5121</v>
      </c>
      <c r="I78" s="13">
        <f>COUNTIFS('클럭 정리'!$A$6:$A$66,"&gt;="&amp;E78,'클럭 정리'!$A$6:$A$66,"&lt;="&amp;F78)</f>
        <v/>
      </c>
      <c r="J78" s="14">
        <f>AVERAGEIFS('클럭 정리'!$N$6:$N$66,'클럭 정리'!$A$6:$A$66,"&gt;="&amp;E78,'클럭 정리'!$A$6:$A$66,"&lt;="&amp;F78)</f>
        <v/>
      </c>
      <c r="K78" s="15">
        <f>J78*'클럭 정리'!$B$2/100</f>
        <v/>
      </c>
    </row>
    <row r="79">
      <c r="A79" s="13" t="inlineStr">
        <is>
          <t>병렬도 12 분할 7</t>
        </is>
      </c>
      <c r="B79" s="13" t="n">
        <v>4</v>
      </c>
      <c r="C79" s="13" t="inlineStr">
        <is>
          <t>ForkJoinPool-14-worker-5</t>
        </is>
      </c>
      <c r="D79" s="12" t="inlineStr">
        <is>
          <t>워커</t>
        </is>
      </c>
      <c r="E79" s="10" t="n">
        <v>46238.49554450232</v>
      </c>
      <c r="F79" s="10" t="n">
        <v>46238.49555913331</v>
      </c>
      <c r="G79" s="13" t="n">
        <v>45</v>
      </c>
      <c r="H79" s="14" t="n">
        <v>1106.8186</v>
      </c>
      <c r="I79" s="13">
        <f>COUNTIFS('클럭 정리'!$A$6:$A$66,"&gt;="&amp;E79,'클럭 정리'!$A$6:$A$66,"&lt;="&amp;F79)</f>
        <v/>
      </c>
      <c r="J79" s="14">
        <f>AVERAGEIFS('클럭 정리'!$N$6:$N$66,'클럭 정리'!$A$6:$A$66,"&gt;="&amp;E79,'클럭 정리'!$A$6:$A$66,"&lt;="&amp;F79)</f>
        <v/>
      </c>
      <c r="K79" s="15">
        <f>J79*'클럭 정리'!$B$2/100</f>
        <v/>
      </c>
    </row>
    <row r="80">
      <c r="A80" s="13" t="inlineStr">
        <is>
          <t>병렬도 12 분할 7</t>
        </is>
      </c>
      <c r="B80" s="13" t="n">
        <v>4</v>
      </c>
      <c r="C80" s="13" t="inlineStr">
        <is>
          <t>ForkJoinPool-14-worker-6</t>
        </is>
      </c>
      <c r="D80" s="12" t="inlineStr">
        <is>
          <t>워커</t>
        </is>
      </c>
      <c r="E80" s="10" t="n">
        <v>46238.49554450232</v>
      </c>
      <c r="F80" s="10" t="n">
        <v>46238.49555916918</v>
      </c>
      <c r="G80" s="13" t="n">
        <v>45</v>
      </c>
      <c r="H80" s="14" t="n">
        <v>1115.0146</v>
      </c>
      <c r="I80" s="13">
        <f>COUNTIFS('클럭 정리'!$A$6:$A$66,"&gt;="&amp;E80,'클럭 정리'!$A$6:$A$66,"&lt;="&amp;F80)</f>
        <v/>
      </c>
      <c r="J80" s="14">
        <f>AVERAGEIFS('클럭 정리'!$N$6:$N$66,'클럭 정리'!$A$6:$A$66,"&gt;="&amp;E80,'클럭 정리'!$A$6:$A$66,"&lt;="&amp;F80)</f>
        <v/>
      </c>
      <c r="K80" s="15">
        <f>J80*'클럭 정리'!$B$2/100</f>
        <v/>
      </c>
    </row>
    <row r="81">
      <c r="A81" s="13" t="inlineStr">
        <is>
          <t>병렬도 12 분할 7</t>
        </is>
      </c>
      <c r="B81" s="13" t="n">
        <v>4</v>
      </c>
      <c r="C81" s="13" t="inlineStr">
        <is>
          <t>ForkJoinPool-14-worker-7</t>
        </is>
      </c>
      <c r="D81" s="12" t="inlineStr">
        <is>
          <t>워커</t>
        </is>
      </c>
      <c r="E81" s="10" t="n">
        <v>46238.49554450232</v>
      </c>
      <c r="F81" s="10" t="n">
        <v>46238.49555910713</v>
      </c>
      <c r="G81" s="13" t="n">
        <v>45</v>
      </c>
      <c r="H81" s="14" t="n">
        <v>1135.8976</v>
      </c>
      <c r="I81" s="13">
        <f>COUNTIFS('클럭 정리'!$A$6:$A$66,"&gt;="&amp;E81,'클럭 정리'!$A$6:$A$66,"&lt;="&amp;F81)</f>
        <v/>
      </c>
      <c r="J81" s="14">
        <f>AVERAGEIFS('클럭 정리'!$N$6:$N$66,'클럭 정리'!$A$6:$A$66,"&gt;="&amp;E81,'클럭 정리'!$A$6:$A$66,"&lt;="&amp;F81)</f>
        <v/>
      </c>
      <c r="K81" s="15">
        <f>J81*'클럭 정리'!$B$2/100</f>
        <v/>
      </c>
    </row>
    <row r="82">
      <c r="A82" s="13" t="inlineStr">
        <is>
          <t>병렬도 12 분할 7</t>
        </is>
      </c>
      <c r="B82" s="13" t="n">
        <v>4</v>
      </c>
      <c r="C82" s="13" t="inlineStr">
        <is>
          <t>main</t>
        </is>
      </c>
      <c r="D82" s="12" t="inlineStr">
        <is>
          <t>main (활동 시간 합 = 그 회차 mainCPU, 창은 워커와 겹침)</t>
        </is>
      </c>
      <c r="E82" s="10" t="n">
        <v>46238.49554449074</v>
      </c>
      <c r="F82" s="10" t="n">
        <v>46238.49555917139</v>
      </c>
      <c r="G82" s="13" t="n">
        <v>45</v>
      </c>
      <c r="H82" s="14" t="n">
        <v>0</v>
      </c>
      <c r="I82" s="13">
        <f>COUNTIFS('클럭 정리'!$A$6:$A$66,"&gt;="&amp;E82,'클럭 정리'!$A$6:$A$66,"&lt;="&amp;F82)</f>
        <v/>
      </c>
      <c r="J82" s="14">
        <f>AVERAGEIFS('클럭 정리'!$N$6:$N$66,'클럭 정리'!$A$6:$A$66,"&gt;="&amp;E82,'클럭 정리'!$A$6:$A$66,"&lt;="&amp;F82)</f>
        <v/>
      </c>
      <c r="K82" s="15">
        <f>J82*'클럭 정리'!$B$2/100</f>
        <v/>
      </c>
    </row>
    <row r="83">
      <c r="A83" s="13" t="inlineStr">
        <is>
          <t>병렬도 12 분할 7</t>
        </is>
      </c>
      <c r="B83" s="13" t="n">
        <v>5</v>
      </c>
      <c r="C83" s="13" t="inlineStr">
        <is>
          <t>ForkJoinPool-15-worker-1</t>
        </is>
      </c>
      <c r="D83" s="12" t="inlineStr">
        <is>
          <t>워커</t>
        </is>
      </c>
      <c r="E83" s="10" t="n">
        <v>46238.49555920139</v>
      </c>
      <c r="F83" s="10" t="n">
        <v>46238.49557383452</v>
      </c>
      <c r="G83" s="13" t="n">
        <v>45</v>
      </c>
      <c r="H83" s="14" t="n">
        <v>1118.4363</v>
      </c>
      <c r="I83" s="13">
        <f>COUNTIFS('클럭 정리'!$A$6:$A$66,"&gt;="&amp;E83,'클럭 정리'!$A$6:$A$66,"&lt;="&amp;F83)</f>
        <v/>
      </c>
      <c r="J83" s="14">
        <f>AVERAGEIFS('클럭 정리'!$N$6:$N$66,'클럭 정리'!$A$6:$A$66,"&gt;="&amp;E83,'클럭 정리'!$A$6:$A$66,"&lt;="&amp;F83)</f>
        <v/>
      </c>
      <c r="K83" s="15">
        <f>J83*'클럭 정리'!$B$2/100</f>
        <v/>
      </c>
    </row>
    <row r="84">
      <c r="A84" s="13" t="inlineStr">
        <is>
          <t>병렬도 12 분할 7</t>
        </is>
      </c>
      <c r="B84" s="13" t="n">
        <v>5</v>
      </c>
      <c r="C84" s="13" t="inlineStr">
        <is>
          <t>ForkJoinPool-15-worker-11</t>
        </is>
      </c>
      <c r="D84" s="12" t="inlineStr">
        <is>
          <t>워커</t>
        </is>
      </c>
      <c r="E84" s="10" t="n">
        <v>46238.49555989583</v>
      </c>
      <c r="F84" s="10" t="n">
        <v>46238.49557385031</v>
      </c>
      <c r="G84" s="13" t="n">
        <v>43</v>
      </c>
      <c r="H84" s="14" t="n">
        <v>1093.4022</v>
      </c>
      <c r="I84" s="13">
        <f>COUNTIFS('클럭 정리'!$A$6:$A$66,"&gt;="&amp;E84,'클럭 정리'!$A$6:$A$66,"&lt;="&amp;F84)</f>
        <v/>
      </c>
      <c r="J84" s="14">
        <f>AVERAGEIFS('클럭 정리'!$N$6:$N$66,'클럭 정리'!$A$6:$A$66,"&gt;="&amp;E84,'클럭 정리'!$A$6:$A$66,"&lt;="&amp;F84)</f>
        <v/>
      </c>
      <c r="K84" s="15">
        <f>J84*'클럭 정리'!$B$2/100</f>
        <v/>
      </c>
    </row>
    <row r="85">
      <c r="A85" s="13" t="inlineStr">
        <is>
          <t>병렬도 12 분할 7</t>
        </is>
      </c>
      <c r="B85" s="13" t="n">
        <v>5</v>
      </c>
      <c r="C85" s="13" t="inlineStr">
        <is>
          <t>ForkJoinPool-15-worker-12</t>
        </is>
      </c>
      <c r="D85" s="12" t="inlineStr">
        <is>
          <t>워커</t>
        </is>
      </c>
      <c r="E85" s="10" t="n">
        <v>46238.49555989583</v>
      </c>
      <c r="F85" s="10" t="n">
        <v>46238.4955738559</v>
      </c>
      <c r="G85" s="13" t="n">
        <v>43</v>
      </c>
      <c r="H85" s="14" t="n">
        <v>1075.3368</v>
      </c>
      <c r="I85" s="13">
        <f>COUNTIFS('클럭 정리'!$A$6:$A$66,"&gt;="&amp;E85,'클럭 정리'!$A$6:$A$66,"&lt;="&amp;F85)</f>
        <v/>
      </c>
      <c r="J85" s="14">
        <f>AVERAGEIFS('클럭 정리'!$N$6:$N$66,'클럭 정리'!$A$6:$A$66,"&gt;="&amp;E85,'클럭 정리'!$A$6:$A$66,"&lt;="&amp;F85)</f>
        <v/>
      </c>
      <c r="K85" s="15">
        <f>J85*'클럭 정리'!$B$2/100</f>
        <v/>
      </c>
    </row>
    <row r="86">
      <c r="A86" s="13" t="inlineStr">
        <is>
          <t>병렬도 12 분할 7</t>
        </is>
      </c>
      <c r="B86" s="13" t="n">
        <v>5</v>
      </c>
      <c r="C86" s="13" t="inlineStr">
        <is>
          <t>ForkJoinPool-15-worker-2</t>
        </is>
      </c>
      <c r="D86" s="12" t="inlineStr">
        <is>
          <t>워커</t>
        </is>
      </c>
      <c r="E86" s="10" t="n">
        <v>46238.49555920139</v>
      </c>
      <c r="F86" s="10" t="n">
        <v>46238.49557384969</v>
      </c>
      <c r="G86" s="13" t="n">
        <v>45</v>
      </c>
      <c r="H86" s="14" t="n">
        <v>1076.2709</v>
      </c>
      <c r="I86" s="13">
        <f>COUNTIFS('클럭 정리'!$A$6:$A$66,"&gt;="&amp;E86,'클럭 정리'!$A$6:$A$66,"&lt;="&amp;F86)</f>
        <v/>
      </c>
      <c r="J86" s="14">
        <f>AVERAGEIFS('클럭 정리'!$N$6:$N$66,'클럭 정리'!$A$6:$A$66,"&gt;="&amp;E86,'클럭 정리'!$A$6:$A$66,"&lt;="&amp;F86)</f>
        <v/>
      </c>
      <c r="K86" s="15">
        <f>J86*'클럭 정리'!$B$2/100</f>
        <v/>
      </c>
    </row>
    <row r="87">
      <c r="A87" s="13" t="inlineStr">
        <is>
          <t>병렬도 12 분할 7</t>
        </is>
      </c>
      <c r="B87" s="13" t="n">
        <v>5</v>
      </c>
      <c r="C87" s="13" t="inlineStr">
        <is>
          <t>ForkJoinPool-15-worker-3</t>
        </is>
      </c>
      <c r="D87" s="12" t="inlineStr">
        <is>
          <t>워커</t>
        </is>
      </c>
      <c r="E87" s="10" t="n">
        <v>46238.49555921296</v>
      </c>
      <c r="F87" s="10" t="n">
        <v>46238.49556185619</v>
      </c>
      <c r="G87" s="13" t="n">
        <v>8</v>
      </c>
      <c r="H87" s="14" t="n">
        <v>200.5884</v>
      </c>
      <c r="I87" s="13">
        <f>COUNTIFS('클럭 정리'!$A$6:$A$66,"&gt;="&amp;E87,'클럭 정리'!$A$6:$A$66,"&lt;="&amp;F87)</f>
        <v/>
      </c>
      <c r="J87" s="14">
        <f>AVERAGEIFS('클럭 정리'!$N$6:$N$66,'클럭 정리'!$A$6:$A$66,"&gt;="&amp;E87,'클럭 정리'!$A$6:$A$66,"&lt;="&amp;F87)</f>
        <v/>
      </c>
      <c r="K87" s="15">
        <f>J87*'클럭 정리'!$B$2/100</f>
        <v/>
      </c>
    </row>
    <row r="88">
      <c r="A88" s="13" t="inlineStr">
        <is>
          <t>병렬도 12 분할 7</t>
        </is>
      </c>
      <c r="B88" s="13" t="n">
        <v>5</v>
      </c>
      <c r="C88" s="13" t="inlineStr">
        <is>
          <t>ForkJoinPool-15-worker-4</t>
        </is>
      </c>
      <c r="D88" s="12" t="inlineStr">
        <is>
          <t>워커</t>
        </is>
      </c>
      <c r="E88" s="10" t="n">
        <v>46238.49555921296</v>
      </c>
      <c r="F88" s="10" t="n">
        <v>46238.49555983218</v>
      </c>
      <c r="G88" s="13" t="n">
        <v>2</v>
      </c>
      <c r="H88" s="14" t="n">
        <v>52.059</v>
      </c>
      <c r="I88" s="13">
        <f>COUNTIFS('클럭 정리'!$A$6:$A$66,"&gt;="&amp;E88,'클럭 정리'!$A$6:$A$66,"&lt;="&amp;F88)</f>
        <v/>
      </c>
      <c r="J88" s="14">
        <f>AVERAGEIFS('클럭 정리'!$N$6:$N$66,'클럭 정리'!$A$6:$A$66,"&gt;="&amp;E88,'클럭 정리'!$A$6:$A$66,"&lt;="&amp;F88)</f>
        <v/>
      </c>
      <c r="K88" s="15">
        <f>J88*'클럭 정리'!$B$2/100</f>
        <v/>
      </c>
    </row>
    <row r="89">
      <c r="A89" s="13" t="inlineStr">
        <is>
          <t>병렬도 12 분할 7</t>
        </is>
      </c>
      <c r="B89" s="13" t="n">
        <v>5</v>
      </c>
      <c r="C89" s="13" t="inlineStr">
        <is>
          <t>ForkJoinPool-15-worker-5</t>
        </is>
      </c>
      <c r="D89" s="12" t="inlineStr">
        <is>
          <t>워커</t>
        </is>
      </c>
      <c r="E89" s="10" t="n">
        <v>46238.49555921296</v>
      </c>
      <c r="F89" s="10" t="n">
        <v>46238.49557387359</v>
      </c>
      <c r="G89" s="13" t="n">
        <v>39</v>
      </c>
      <c r="H89" s="14" t="n">
        <v>984.2952</v>
      </c>
      <c r="I89" s="13">
        <f>COUNTIFS('클럭 정리'!$A$6:$A$66,"&gt;="&amp;E89,'클럭 정리'!$A$6:$A$66,"&lt;="&amp;F89)</f>
        <v/>
      </c>
      <c r="J89" s="14">
        <f>AVERAGEIFS('클럭 정리'!$N$6:$N$66,'클럭 정리'!$A$6:$A$66,"&gt;="&amp;E89,'클럭 정리'!$A$6:$A$66,"&lt;="&amp;F89)</f>
        <v/>
      </c>
      <c r="K89" s="15">
        <f>J89*'클럭 정리'!$B$2/100</f>
        <v/>
      </c>
    </row>
    <row r="90">
      <c r="A90" s="13" t="inlineStr">
        <is>
          <t>병렬도 12 분할 7</t>
        </is>
      </c>
      <c r="B90" s="13" t="n">
        <v>5</v>
      </c>
      <c r="C90" s="13" t="inlineStr">
        <is>
          <t>ForkJoinPool-15-worker-6</t>
        </is>
      </c>
      <c r="D90" s="12" t="inlineStr">
        <is>
          <t>워커</t>
        </is>
      </c>
      <c r="E90" s="10" t="n">
        <v>46238.49555921296</v>
      </c>
      <c r="F90" s="10" t="n">
        <v>46238.49555951182</v>
      </c>
      <c r="G90" s="13" t="n">
        <v>1</v>
      </c>
      <c r="H90" s="14" t="n">
        <v>25.8213</v>
      </c>
      <c r="I90" s="13">
        <f>COUNTIFS('클럭 정리'!$A$6:$A$66,"&gt;="&amp;E90,'클럭 정리'!$A$6:$A$66,"&lt;="&amp;F90)</f>
        <v/>
      </c>
      <c r="J90" s="14">
        <f>AVERAGEIFS('클럭 정리'!$N$6:$N$66,'클럭 정리'!$A$6:$A$66,"&gt;="&amp;E90,'클럭 정리'!$A$6:$A$66,"&lt;="&amp;F90)</f>
        <v/>
      </c>
      <c r="K90" s="15">
        <f>J90*'클럭 정리'!$B$2/100</f>
        <v/>
      </c>
    </row>
    <row r="91">
      <c r="A91" s="13" t="inlineStr">
        <is>
          <t>병렬도 12 분할 7</t>
        </is>
      </c>
      <c r="B91" s="13" t="n">
        <v>5</v>
      </c>
      <c r="C91" s="13" t="inlineStr">
        <is>
          <t>ForkJoinPool-15-worker-7</t>
        </is>
      </c>
      <c r="D91" s="12" t="inlineStr">
        <is>
          <t>워커</t>
        </is>
      </c>
      <c r="E91" s="10" t="n">
        <v>46238.49555921296</v>
      </c>
      <c r="F91" s="10" t="n">
        <v>46238.49557388067</v>
      </c>
      <c r="G91" s="13" t="n">
        <v>45</v>
      </c>
      <c r="H91" s="14" t="n">
        <v>1150.7559</v>
      </c>
      <c r="I91" s="13">
        <f>COUNTIFS('클럭 정리'!$A$6:$A$66,"&gt;="&amp;E91,'클럭 정리'!$A$6:$A$66,"&lt;="&amp;F91)</f>
        <v/>
      </c>
      <c r="J91" s="14">
        <f>AVERAGEIFS('클럭 정리'!$N$6:$N$66,'클럭 정리'!$A$6:$A$66,"&gt;="&amp;E91,'클럭 정리'!$A$6:$A$66,"&lt;="&amp;F91)</f>
        <v/>
      </c>
      <c r="K91" s="15">
        <f>J91*'클럭 정리'!$B$2/100</f>
        <v/>
      </c>
    </row>
    <row r="92">
      <c r="A92" s="13" t="inlineStr">
        <is>
          <t>병렬도 12 분할 7</t>
        </is>
      </c>
      <c r="B92" s="13" t="n">
        <v>5</v>
      </c>
      <c r="C92" s="13" t="inlineStr">
        <is>
          <t>ForkJoinPool-15-worker-9</t>
        </is>
      </c>
      <c r="D92" s="12" t="inlineStr">
        <is>
          <t>워커</t>
        </is>
      </c>
      <c r="E92" s="10" t="n">
        <v>46238.49555954861</v>
      </c>
      <c r="F92" s="10" t="n">
        <v>46238.49557379912</v>
      </c>
      <c r="G92" s="13" t="n">
        <v>44</v>
      </c>
      <c r="H92" s="14" t="n">
        <v>1084.2997</v>
      </c>
      <c r="I92" s="13">
        <f>COUNTIFS('클럭 정리'!$A$6:$A$66,"&gt;="&amp;E92,'클럭 정리'!$A$6:$A$66,"&lt;="&amp;F92)</f>
        <v/>
      </c>
      <c r="J92" s="14">
        <f>AVERAGEIFS('클럭 정리'!$N$6:$N$66,'클럭 정리'!$A$6:$A$66,"&gt;="&amp;E92,'클럭 정리'!$A$6:$A$66,"&lt;="&amp;F92)</f>
        <v/>
      </c>
      <c r="K92" s="15">
        <f>J92*'클럭 정리'!$B$2/100</f>
        <v/>
      </c>
    </row>
    <row r="93">
      <c r="A93" s="13" t="inlineStr">
        <is>
          <t>병렬도 12 분할 7</t>
        </is>
      </c>
      <c r="B93" s="13" t="n">
        <v>5</v>
      </c>
      <c r="C93" s="13" t="inlineStr">
        <is>
          <t>main</t>
        </is>
      </c>
      <c r="D93" s="12" t="inlineStr">
        <is>
          <t>main (활동 시간 합 = 그 회차 mainCPU, 창은 워커와 겹침)</t>
        </is>
      </c>
      <c r="E93" s="10" t="n">
        <v>46238.49555918982</v>
      </c>
      <c r="F93" s="10" t="n">
        <v>46238.49557388272</v>
      </c>
      <c r="G93" s="13" t="n">
        <v>45</v>
      </c>
      <c r="H93" s="14" t="n">
        <v>0</v>
      </c>
      <c r="I93" s="13">
        <f>COUNTIFS('클럭 정리'!$A$6:$A$66,"&gt;="&amp;E93,'클럭 정리'!$A$6:$A$66,"&lt;="&amp;F93)</f>
        <v/>
      </c>
      <c r="J93" s="14">
        <f>AVERAGEIFS('클럭 정리'!$N$6:$N$66,'클럭 정리'!$A$6:$A$66,"&gt;="&amp;E93,'클럭 정리'!$A$6:$A$66,"&lt;="&amp;F93)</f>
        <v/>
      </c>
      <c r="K93" s="15">
        <f>J93*'클럭 정리'!$B$2/100</f>
        <v/>
      </c>
    </row>
    <row r="96">
      <c r="A96" s="1" t="inlineStr">
        <is>
          <t>풀·main별 클럭 표본 매핑</t>
        </is>
      </c>
    </row>
    <row r="97">
      <c r="A97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98">
      <c r="A98" s="5" t="inlineStr">
        <is>
          <t>구간</t>
        </is>
      </c>
      <c r="B98" s="5" t="inlineStr">
        <is>
          <t>회차</t>
        </is>
      </c>
      <c r="C98" s="5" t="inlineStr">
        <is>
          <t>풀/스레드</t>
        </is>
      </c>
      <c r="D98" s="5" t="inlineStr">
        <is>
          <t>활동 시작</t>
        </is>
      </c>
      <c r="E98" s="5" t="inlineStr">
        <is>
          <t>활동 끝</t>
        </is>
      </c>
      <c r="F98" s="5" t="inlineStr">
        <is>
          <t>표본 시각</t>
        </is>
      </c>
      <c r="G98" s="5" t="inlineStr">
        <is>
          <t>표본 클럭(%)</t>
        </is>
      </c>
      <c r="H98" s="5" t="inlineStr">
        <is>
          <t>표본 클럭(GHz)</t>
        </is>
      </c>
    </row>
    <row r="99">
      <c r="A99" s="13" t="inlineStr">
        <is>
          <t>병렬도 6 분할 7</t>
        </is>
      </c>
      <c r="B99" s="13" t="n">
        <v>1</v>
      </c>
      <c r="C99" s="13" t="inlineStr">
        <is>
          <t>ForkJoinPool-3</t>
        </is>
      </c>
      <c r="D99" s="10" t="n">
        <v>46238.49536483796</v>
      </c>
      <c r="E99" s="10" t="n">
        <v>46238.4953827603</v>
      </c>
      <c r="F99" s="16">
        <f>'클럭 정리'!A38</f>
        <v/>
      </c>
      <c r="G99" s="17">
        <f>'클럭 정리'!N38</f>
        <v/>
      </c>
      <c r="H99" s="15">
        <f>'클럭 정리'!O38</f>
        <v/>
      </c>
    </row>
    <row r="100">
      <c r="A100" s="13" t="inlineStr">
        <is>
          <t>병렬도 6 분할 7</t>
        </is>
      </c>
      <c r="B100" s="13" t="n">
        <v>1</v>
      </c>
      <c r="C100" s="13" t="inlineStr">
        <is>
          <t>main</t>
        </is>
      </c>
      <c r="D100" s="10" t="n">
        <v>46238.49536483796</v>
      </c>
      <c r="E100" s="10" t="n">
        <v>46238.49538275895</v>
      </c>
      <c r="F100" s="16">
        <f>'클럭 정리'!A38</f>
        <v/>
      </c>
      <c r="G100" s="17">
        <f>'클럭 정리'!N38</f>
        <v/>
      </c>
      <c r="H100" s="15">
        <f>'클럭 정리'!O38</f>
        <v/>
      </c>
    </row>
    <row r="101">
      <c r="A101" s="13" t="inlineStr">
        <is>
          <t>병렬도 6 분할 7</t>
        </is>
      </c>
      <c r="B101" s="13" t="n">
        <v>2</v>
      </c>
      <c r="C101" s="13" t="inlineStr">
        <is>
          <t>ForkJoinPool-4</t>
        </is>
      </c>
      <c r="D101" s="10" t="n">
        <v>46238.49538277778</v>
      </c>
      <c r="E101" s="10" t="n">
        <v>46238.49540025112</v>
      </c>
      <c r="F101" s="16">
        <f>'클럭 정리'!A39</f>
        <v/>
      </c>
      <c r="G101" s="17">
        <f>'클럭 정리'!N39</f>
        <v/>
      </c>
      <c r="H101" s="15">
        <f>'클럭 정리'!O39</f>
        <v/>
      </c>
    </row>
    <row r="102">
      <c r="A102" s="13" t="inlineStr">
        <is>
          <t>병렬도 6 분할 7</t>
        </is>
      </c>
      <c r="B102" s="13" t="n">
        <v>2</v>
      </c>
      <c r="C102" s="13" t="inlineStr">
        <is>
          <t>ForkJoinPool-4</t>
        </is>
      </c>
      <c r="D102" s="10" t="n">
        <v>46238.49538277778</v>
      </c>
      <c r="E102" s="10" t="n">
        <v>46238.49540025112</v>
      </c>
      <c r="F102" s="16">
        <f>'클럭 정리'!A40</f>
        <v/>
      </c>
      <c r="G102" s="17">
        <f>'클럭 정리'!N40</f>
        <v/>
      </c>
      <c r="H102" s="15">
        <f>'클럭 정리'!O40</f>
        <v/>
      </c>
    </row>
    <row r="103">
      <c r="A103" s="13" t="inlineStr">
        <is>
          <t>병렬도 6 분할 7</t>
        </is>
      </c>
      <c r="B103" s="13" t="n">
        <v>2</v>
      </c>
      <c r="C103" s="13" t="inlineStr">
        <is>
          <t>main</t>
        </is>
      </c>
      <c r="D103" s="10" t="n">
        <v>46238.49538277778</v>
      </c>
      <c r="E103" s="10" t="n">
        <v>46238.49540025208</v>
      </c>
      <c r="F103" s="16">
        <f>'클럭 정리'!A39</f>
        <v/>
      </c>
      <c r="G103" s="17">
        <f>'클럭 정리'!N39</f>
        <v/>
      </c>
      <c r="H103" s="15">
        <f>'클럭 정리'!O39</f>
        <v/>
      </c>
    </row>
    <row r="104">
      <c r="A104" s="13" t="inlineStr">
        <is>
          <t>병렬도 6 분할 7</t>
        </is>
      </c>
      <c r="B104" s="13" t="n">
        <v>2</v>
      </c>
      <c r="C104" s="13" t="inlineStr">
        <is>
          <t>main</t>
        </is>
      </c>
      <c r="D104" s="10" t="n">
        <v>46238.49538277778</v>
      </c>
      <c r="E104" s="10" t="n">
        <v>46238.49540025208</v>
      </c>
      <c r="F104" s="16">
        <f>'클럭 정리'!A40</f>
        <v/>
      </c>
      <c r="G104" s="17">
        <f>'클럭 정리'!N40</f>
        <v/>
      </c>
      <c r="H104" s="15">
        <f>'클럭 정리'!O40</f>
        <v/>
      </c>
    </row>
    <row r="105">
      <c r="A105" s="13" t="inlineStr">
        <is>
          <t>병렬도 6 분할 7</t>
        </is>
      </c>
      <c r="B105" s="13" t="n">
        <v>3</v>
      </c>
      <c r="C105" s="13" t="inlineStr">
        <is>
          <t>ForkJoinPool-5</t>
        </is>
      </c>
      <c r="D105" s="10" t="n">
        <v>46238.49540027778</v>
      </c>
      <c r="E105" s="10" t="n">
        <v>46238.49541766196</v>
      </c>
      <c r="F105" s="16">
        <f>'클럭 정리'!A41</f>
        <v/>
      </c>
      <c r="G105" s="17">
        <f>'클럭 정리'!N41</f>
        <v/>
      </c>
      <c r="H105" s="15">
        <f>'클럭 정리'!O41</f>
        <v/>
      </c>
    </row>
    <row r="106">
      <c r="A106" s="13" t="inlineStr">
        <is>
          <t>병렬도 6 분할 7</t>
        </is>
      </c>
      <c r="B106" s="13" t="n">
        <v>3</v>
      </c>
      <c r="C106" s="13" t="inlineStr">
        <is>
          <t>main</t>
        </is>
      </c>
      <c r="D106" s="10" t="n">
        <v>46238.49540026621</v>
      </c>
      <c r="E106" s="10" t="n">
        <v>46238.49541765889</v>
      </c>
      <c r="F106" s="16">
        <f>'클럭 정리'!A41</f>
        <v/>
      </c>
      <c r="G106" s="17">
        <f>'클럭 정리'!N41</f>
        <v/>
      </c>
      <c r="H106" s="15">
        <f>'클럭 정리'!O41</f>
        <v/>
      </c>
    </row>
    <row r="107">
      <c r="A107" s="13" t="inlineStr">
        <is>
          <t>병렬도 6 분할 7</t>
        </is>
      </c>
      <c r="B107" s="13" t="n">
        <v>4</v>
      </c>
      <c r="C107" s="13" t="inlineStr">
        <is>
          <t>ForkJoinPool-6</t>
        </is>
      </c>
      <c r="D107" s="10" t="n">
        <v>46238.49541767361</v>
      </c>
      <c r="E107" s="10" t="n">
        <v>46238.4954352675</v>
      </c>
      <c r="F107" s="16">
        <f>'클럭 정리'!A42</f>
        <v/>
      </c>
      <c r="G107" s="17">
        <f>'클럭 정리'!N42</f>
        <v/>
      </c>
      <c r="H107" s="15">
        <f>'클럭 정리'!O42</f>
        <v/>
      </c>
    </row>
    <row r="108">
      <c r="A108" s="13" t="inlineStr">
        <is>
          <t>병렬도 6 분할 7</t>
        </is>
      </c>
      <c r="B108" s="13" t="n">
        <v>4</v>
      </c>
      <c r="C108" s="13" t="inlineStr">
        <is>
          <t>ForkJoinPool-6</t>
        </is>
      </c>
      <c r="D108" s="10" t="n">
        <v>46238.49541767361</v>
      </c>
      <c r="E108" s="10" t="n">
        <v>46238.4954352675</v>
      </c>
      <c r="F108" s="16">
        <f>'클럭 정리'!A43</f>
        <v/>
      </c>
      <c r="G108" s="17">
        <f>'클럭 정리'!N43</f>
        <v/>
      </c>
      <c r="H108" s="15">
        <f>'클럭 정리'!O43</f>
        <v/>
      </c>
    </row>
    <row r="109">
      <c r="A109" s="13" t="inlineStr">
        <is>
          <t>병렬도 6 분할 7</t>
        </is>
      </c>
      <c r="B109" s="13" t="n">
        <v>4</v>
      </c>
      <c r="C109" s="13" t="inlineStr">
        <is>
          <t>main</t>
        </is>
      </c>
      <c r="D109" s="10" t="n">
        <v>46238.49541766204</v>
      </c>
      <c r="E109" s="10" t="n">
        <v>46238.49543526883</v>
      </c>
      <c r="F109" s="16">
        <f>'클럭 정리'!A42</f>
        <v/>
      </c>
      <c r="G109" s="17">
        <f>'클럭 정리'!N42</f>
        <v/>
      </c>
      <c r="H109" s="15">
        <f>'클럭 정리'!O42</f>
        <v/>
      </c>
    </row>
    <row r="110">
      <c r="A110" s="13" t="inlineStr">
        <is>
          <t>병렬도 6 분할 7</t>
        </is>
      </c>
      <c r="B110" s="13" t="n">
        <v>4</v>
      </c>
      <c r="C110" s="13" t="inlineStr">
        <is>
          <t>main</t>
        </is>
      </c>
      <c r="D110" s="10" t="n">
        <v>46238.49541766204</v>
      </c>
      <c r="E110" s="10" t="n">
        <v>46238.49543526883</v>
      </c>
      <c r="F110" s="16">
        <f>'클럭 정리'!A43</f>
        <v/>
      </c>
      <c r="G110" s="17">
        <f>'클럭 정리'!N43</f>
        <v/>
      </c>
      <c r="H110" s="15">
        <f>'클럭 정리'!O43</f>
        <v/>
      </c>
    </row>
    <row r="111">
      <c r="A111" s="13" t="inlineStr">
        <is>
          <t>병렬도 6 분할 7</t>
        </is>
      </c>
      <c r="B111" s="13" t="n">
        <v>5</v>
      </c>
      <c r="C111" s="13" t="inlineStr">
        <is>
          <t>ForkJoinPool-7</t>
        </is>
      </c>
      <c r="D111" s="10" t="n">
        <v>46238.49543527778</v>
      </c>
      <c r="E111" s="10" t="n">
        <v>46238.4954528927</v>
      </c>
      <c r="F111" s="16">
        <f>'클럭 정리'!A44</f>
        <v/>
      </c>
      <c r="G111" s="17">
        <f>'클럭 정리'!N44</f>
        <v/>
      </c>
      <c r="H111" s="15">
        <f>'클럭 정리'!O44</f>
        <v/>
      </c>
    </row>
    <row r="112">
      <c r="A112" s="13" t="inlineStr">
        <is>
          <t>병렬도 6 분할 7</t>
        </is>
      </c>
      <c r="B112" s="13" t="n">
        <v>5</v>
      </c>
      <c r="C112" s="13" t="inlineStr">
        <is>
          <t>main</t>
        </is>
      </c>
      <c r="D112" s="10" t="n">
        <v>46238.49543527778</v>
      </c>
      <c r="E112" s="10" t="n">
        <v>46238.49545289384</v>
      </c>
      <c r="F112" s="16">
        <f>'클럭 정리'!A44</f>
        <v/>
      </c>
      <c r="G112" s="17">
        <f>'클럭 정리'!N44</f>
        <v/>
      </c>
      <c r="H112" s="15">
        <f>'클럭 정리'!O44</f>
        <v/>
      </c>
    </row>
    <row r="113">
      <c r="A113" s="13" t="inlineStr">
        <is>
          <t>병렬도 12 분할 7</t>
        </is>
      </c>
      <c r="B113" s="13" t="n">
        <v>1</v>
      </c>
      <c r="C113" s="13" t="inlineStr">
        <is>
          <t>ForkJoinPool-11</t>
        </is>
      </c>
      <c r="D113" s="10" t="n">
        <v>46238.49550042824</v>
      </c>
      <c r="E113" s="10" t="n">
        <v>46238.49551512895</v>
      </c>
      <c r="F113" s="16">
        <f>'클럭 정리'!A49</f>
        <v/>
      </c>
      <c r="G113" s="17">
        <f>'클럭 정리'!N49</f>
        <v/>
      </c>
      <c r="H113" s="15">
        <f>'클럭 정리'!O49</f>
        <v/>
      </c>
    </row>
    <row r="114">
      <c r="A114" s="13" t="inlineStr">
        <is>
          <t>병렬도 12 분할 7</t>
        </is>
      </c>
      <c r="B114" s="13" t="n">
        <v>1</v>
      </c>
      <c r="C114" s="13" t="inlineStr">
        <is>
          <t>main</t>
        </is>
      </c>
      <c r="D114" s="10" t="n">
        <v>46238.49550042824</v>
      </c>
      <c r="E114" s="10" t="n">
        <v>46238.4955151304</v>
      </c>
      <c r="F114" s="16">
        <f>'클럭 정리'!A49</f>
        <v/>
      </c>
      <c r="G114" s="17">
        <f>'클럭 정리'!N49</f>
        <v/>
      </c>
      <c r="H114" s="15">
        <f>'클럭 정리'!O49</f>
        <v/>
      </c>
    </row>
    <row r="115">
      <c r="A115" s="13" t="inlineStr">
        <is>
          <t>병렬도 12 분할 7</t>
        </is>
      </c>
      <c r="B115" s="13" t="n">
        <v>2</v>
      </c>
      <c r="C115" s="13" t="inlineStr">
        <is>
          <t>ForkJoinPool-12</t>
        </is>
      </c>
      <c r="D115" s="10" t="n">
        <v>46238.49551515046</v>
      </c>
      <c r="E115" s="10" t="n">
        <v>46238.49552986667</v>
      </c>
      <c r="F115" s="16">
        <f>'클럭 정리'!A50</f>
        <v/>
      </c>
      <c r="G115" s="17">
        <f>'클럭 정리'!N50</f>
        <v/>
      </c>
      <c r="H115" s="15">
        <f>'클럭 정리'!O50</f>
        <v/>
      </c>
    </row>
    <row r="116">
      <c r="A116" s="13" t="inlineStr">
        <is>
          <t>병렬도 12 분할 7</t>
        </is>
      </c>
      <c r="B116" s="13" t="n">
        <v>2</v>
      </c>
      <c r="C116" s="13" t="inlineStr">
        <is>
          <t>ForkJoinPool-12</t>
        </is>
      </c>
      <c r="D116" s="10" t="n">
        <v>46238.49551515046</v>
      </c>
      <c r="E116" s="10" t="n">
        <v>46238.49552986667</v>
      </c>
      <c r="F116" s="16">
        <f>'클럭 정리'!A51</f>
        <v/>
      </c>
      <c r="G116" s="17">
        <f>'클럭 정리'!N51</f>
        <v/>
      </c>
      <c r="H116" s="15">
        <f>'클럭 정리'!O51</f>
        <v/>
      </c>
    </row>
    <row r="117">
      <c r="A117" s="13" t="inlineStr">
        <is>
          <t>병렬도 12 분할 7</t>
        </is>
      </c>
      <c r="B117" s="13" t="n">
        <v>2</v>
      </c>
      <c r="C117" s="13" t="inlineStr">
        <is>
          <t>main</t>
        </is>
      </c>
      <c r="D117" s="10" t="n">
        <v>46238.49551513889</v>
      </c>
      <c r="E117" s="10" t="n">
        <v>46238.49552985703</v>
      </c>
      <c r="F117" s="16">
        <f>'클럭 정리'!A50</f>
        <v/>
      </c>
      <c r="G117" s="17">
        <f>'클럭 정리'!N50</f>
        <v/>
      </c>
      <c r="H117" s="15">
        <f>'클럭 정리'!O50</f>
        <v/>
      </c>
    </row>
    <row r="118">
      <c r="A118" s="13" t="inlineStr">
        <is>
          <t>병렬도 12 분할 7</t>
        </is>
      </c>
      <c r="B118" s="13" t="n">
        <v>2</v>
      </c>
      <c r="C118" s="13" t="inlineStr">
        <is>
          <t>main</t>
        </is>
      </c>
      <c r="D118" s="10" t="n">
        <v>46238.49551513889</v>
      </c>
      <c r="E118" s="10" t="n">
        <v>46238.49552985703</v>
      </c>
      <c r="F118" s="16">
        <f>'클럭 정리'!A51</f>
        <v/>
      </c>
      <c r="G118" s="17">
        <f>'클럭 정리'!N51</f>
        <v/>
      </c>
      <c r="H118" s="15">
        <f>'클럭 정리'!O51</f>
        <v/>
      </c>
    </row>
    <row r="119">
      <c r="A119" s="13" t="inlineStr">
        <is>
          <t>병렬도 12 분할 7</t>
        </is>
      </c>
      <c r="B119" s="13" t="n">
        <v>3</v>
      </c>
      <c r="C119" s="13" t="inlineStr">
        <is>
          <t>ForkJoinPool-13</t>
        </is>
      </c>
      <c r="D119" s="10" t="n">
        <v>46238.49552988426</v>
      </c>
      <c r="E119" s="10" t="n">
        <v>46238.49554448094</v>
      </c>
      <c r="F119" s="16">
        <f>'클럭 정리'!A52</f>
        <v/>
      </c>
      <c r="G119" s="17">
        <f>'클럭 정리'!N52</f>
        <v/>
      </c>
      <c r="H119" s="15">
        <f>'클럭 정리'!O52</f>
        <v/>
      </c>
    </row>
    <row r="120">
      <c r="A120" s="13" t="inlineStr">
        <is>
          <t>병렬도 12 분할 7</t>
        </is>
      </c>
      <c r="B120" s="13" t="n">
        <v>3</v>
      </c>
      <c r="C120" s="13" t="inlineStr">
        <is>
          <t>main</t>
        </is>
      </c>
      <c r="D120" s="10" t="n">
        <v>46238.49552987269</v>
      </c>
      <c r="E120" s="10" t="n">
        <v>46238.49554448308</v>
      </c>
      <c r="F120" s="16">
        <f>'클럭 정리'!A52</f>
        <v/>
      </c>
      <c r="G120" s="17">
        <f>'클럭 정리'!N52</f>
        <v/>
      </c>
      <c r="H120" s="15">
        <f>'클럭 정리'!O52</f>
        <v/>
      </c>
    </row>
    <row r="121">
      <c r="A121" s="13" t="inlineStr">
        <is>
          <t>병렬도 12 분할 7</t>
        </is>
      </c>
      <c r="B121" s="13" t="n">
        <v>4</v>
      </c>
      <c r="C121" s="13" t="inlineStr">
        <is>
          <t>ForkJoinPool-14</t>
        </is>
      </c>
      <c r="D121" s="10" t="n">
        <v>46238.49554449074</v>
      </c>
      <c r="E121" s="10" t="n">
        <v>46238.49555916918</v>
      </c>
      <c r="F121" s="16">
        <f>'클럭 정리'!A53</f>
        <v/>
      </c>
      <c r="G121" s="17">
        <f>'클럭 정리'!N53</f>
        <v/>
      </c>
      <c r="H121" s="15">
        <f>'클럭 정리'!O53</f>
        <v/>
      </c>
    </row>
    <row r="122">
      <c r="A122" s="13" t="inlineStr">
        <is>
          <t>병렬도 12 분할 7</t>
        </is>
      </c>
      <c r="B122" s="13" t="n">
        <v>4</v>
      </c>
      <c r="C122" s="13" t="inlineStr">
        <is>
          <t>main</t>
        </is>
      </c>
      <c r="D122" s="10" t="n">
        <v>46238.49554449074</v>
      </c>
      <c r="E122" s="10" t="n">
        <v>46238.49555917139</v>
      </c>
      <c r="F122" s="16">
        <f>'클럭 정리'!A53</f>
        <v/>
      </c>
      <c r="G122" s="17">
        <f>'클럭 정리'!N53</f>
        <v/>
      </c>
      <c r="H122" s="15">
        <f>'클럭 정리'!O53</f>
        <v/>
      </c>
    </row>
    <row r="123">
      <c r="A123" s="13" t="inlineStr">
        <is>
          <t>병렬도 12 분할 7</t>
        </is>
      </c>
      <c r="B123" s="13" t="n">
        <v>5</v>
      </c>
      <c r="C123" s="13" t="inlineStr">
        <is>
          <t>ForkJoinPool-15</t>
        </is>
      </c>
      <c r="D123" s="10" t="n">
        <v>46238.49555920139</v>
      </c>
      <c r="E123" s="10" t="n">
        <v>46238.49557388067</v>
      </c>
      <c r="F123" s="16">
        <f>'클럭 정리'!A54</f>
        <v/>
      </c>
      <c r="G123" s="17">
        <f>'클럭 정리'!N54</f>
        <v/>
      </c>
      <c r="H123" s="15">
        <f>'클럭 정리'!O54</f>
        <v/>
      </c>
    </row>
    <row r="124">
      <c r="A124" s="13" t="inlineStr">
        <is>
          <t>병렬도 12 분할 7</t>
        </is>
      </c>
      <c r="B124" s="13" t="n">
        <v>5</v>
      </c>
      <c r="C124" s="13" t="inlineStr">
        <is>
          <t>main</t>
        </is>
      </c>
      <c r="D124" s="10" t="n">
        <v>46238.49555918982</v>
      </c>
      <c r="E124" s="10" t="n">
        <v>46238.49557388272</v>
      </c>
      <c r="F124" s="16">
        <f>'클럭 정리'!A54</f>
        <v/>
      </c>
      <c r="G124" s="17">
        <f>'클럭 정리'!N54</f>
        <v/>
      </c>
      <c r="H124" s="15">
        <f>'클럭 정리'!O54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3286.4336</v>
      </c>
      <c r="F5" s="14" t="n">
        <v>3312.5</v>
      </c>
      <c r="G5" s="11">
        <f>F5/E5</f>
        <v/>
      </c>
      <c r="H5" s="14" t="n">
        <v>3265.625</v>
      </c>
      <c r="I5" s="14" t="n">
        <v>0</v>
      </c>
      <c r="J5" s="14" t="n">
        <v>0</v>
      </c>
      <c r="K5" s="14" t="n">
        <v>46.875</v>
      </c>
      <c r="L5" s="13" t="n">
        <v>19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3560.5202</v>
      </c>
      <c r="F6" s="14" t="n">
        <v>3531.25</v>
      </c>
      <c r="G6" s="11">
        <f>F6/E6</f>
        <v/>
      </c>
      <c r="H6" s="14" t="n">
        <v>3484.375</v>
      </c>
      <c r="I6" s="14" t="n">
        <v>0</v>
      </c>
      <c r="J6" s="14" t="n">
        <v>0</v>
      </c>
      <c r="K6" s="14" t="n">
        <v>46.875</v>
      </c>
      <c r="L6" s="13" t="n">
        <v>19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3585.9194</v>
      </c>
      <c r="F7" s="14" t="n">
        <v>3609.375</v>
      </c>
      <c r="G7" s="11">
        <f>F7/E7</f>
        <v/>
      </c>
      <c r="H7" s="14" t="n">
        <v>3578.125</v>
      </c>
      <c r="I7" s="14" t="n">
        <v>0</v>
      </c>
      <c r="J7" s="14" t="n">
        <v>0</v>
      </c>
      <c r="K7" s="14" t="n">
        <v>31.25</v>
      </c>
      <c r="L7" s="13" t="n">
        <v>18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3553.7276</v>
      </c>
      <c r="F8" s="14" t="n">
        <v>3531.25</v>
      </c>
      <c r="G8" s="11">
        <f>F8/E8</f>
        <v/>
      </c>
      <c r="H8" s="14" t="n">
        <v>3531.25</v>
      </c>
      <c r="I8" s="14" t="n">
        <v>0</v>
      </c>
      <c r="J8" s="14" t="n">
        <v>0</v>
      </c>
      <c r="K8" s="14" t="n">
        <v>0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3550.237</v>
      </c>
      <c r="F9" s="14" t="n">
        <v>3546.875</v>
      </c>
      <c r="G9" s="11">
        <f>F9/E9</f>
        <v/>
      </c>
      <c r="H9" s="14" t="n">
        <v>3531.25</v>
      </c>
      <c r="I9" s="14" t="n">
        <v>0</v>
      </c>
      <c r="J9" s="14" t="n">
        <v>0</v>
      </c>
      <c r="K9" s="14" t="n">
        <v>15.625</v>
      </c>
      <c r="L9" s="13" t="n">
        <v>17</v>
      </c>
      <c r="M9" s="13" t="n"/>
    </row>
    <row r="10">
      <c r="A10" s="13" t="inlineStr">
        <is>
          <t>병렬</t>
        </is>
      </c>
      <c r="B10" s="13" t="n">
        <v>6</v>
      </c>
      <c r="C10" s="13" t="n">
        <v>7</v>
      </c>
      <c r="D10" s="13" t="n">
        <v>1</v>
      </c>
      <c r="E10" s="14" t="n">
        <v>1549.8747</v>
      </c>
      <c r="F10" s="14" t="n">
        <v>7265.625</v>
      </c>
      <c r="G10" s="11">
        <f>F10/E10</f>
        <v/>
      </c>
      <c r="H10" s="14" t="n">
        <v>0</v>
      </c>
      <c r="I10" s="14" t="n">
        <v>6765.625</v>
      </c>
      <c r="J10" s="14" t="n">
        <v>0</v>
      </c>
      <c r="K10" s="14" t="n">
        <v>500</v>
      </c>
      <c r="L10" s="13" t="n">
        <v>16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7</v>
      </c>
      <c r="D11" s="13" t="n">
        <v>2</v>
      </c>
      <c r="E11" s="14" t="n">
        <v>1510.7154</v>
      </c>
      <c r="F11" s="14" t="n">
        <v>6609.375</v>
      </c>
      <c r="G11" s="11">
        <f>F11/E11</f>
        <v/>
      </c>
      <c r="H11" s="14" t="n">
        <v>31.25</v>
      </c>
      <c r="I11" s="14" t="n">
        <v>6546.875</v>
      </c>
      <c r="J11" s="14" t="n">
        <v>0</v>
      </c>
      <c r="K11" s="14" t="n">
        <v>31.25</v>
      </c>
      <c r="L11" s="13" t="n">
        <v>16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7</v>
      </c>
      <c r="D12" s="13" t="n">
        <v>3</v>
      </c>
      <c r="E12" s="14" t="n">
        <v>1502.3022</v>
      </c>
      <c r="F12" s="14" t="n">
        <v>6718.75</v>
      </c>
      <c r="G12" s="11">
        <f>F12/E12</f>
        <v/>
      </c>
      <c r="H12" s="14" t="n">
        <v>0</v>
      </c>
      <c r="I12" s="14" t="n">
        <v>6671.875</v>
      </c>
      <c r="J12" s="14" t="n">
        <v>0</v>
      </c>
      <c r="K12" s="14" t="n">
        <v>46.875</v>
      </c>
      <c r="L12" s="13" t="n">
        <v>16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7</v>
      </c>
      <c r="D13" s="13" t="n">
        <v>4</v>
      </c>
      <c r="E13" s="14" t="n">
        <v>1520.5124</v>
      </c>
      <c r="F13" s="14" t="n">
        <v>6750</v>
      </c>
      <c r="G13" s="11">
        <f>F13/E13</f>
        <v/>
      </c>
      <c r="H13" s="14" t="n">
        <v>0</v>
      </c>
      <c r="I13" s="14" t="n">
        <v>6750</v>
      </c>
      <c r="J13" s="14" t="n">
        <v>0</v>
      </c>
      <c r="K13" s="14" t="n">
        <v>0</v>
      </c>
      <c r="L13" s="13" t="n">
        <v>16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7</v>
      </c>
      <c r="D14" s="13" t="n">
        <v>5</v>
      </c>
      <c r="E14" s="14" t="n">
        <v>1522.7633</v>
      </c>
      <c r="F14" s="14" t="n">
        <v>6812.5</v>
      </c>
      <c r="G14" s="11">
        <f>F14/E14</f>
        <v/>
      </c>
      <c r="H14" s="14" t="n">
        <v>0</v>
      </c>
      <c r="I14" s="14" t="n">
        <v>6687.5</v>
      </c>
      <c r="J14" s="14" t="n">
        <v>0</v>
      </c>
      <c r="K14" s="14" t="n">
        <v>125</v>
      </c>
      <c r="L14" s="13" t="n">
        <v>14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7</v>
      </c>
      <c r="D15" s="13" t="n">
        <v>1</v>
      </c>
      <c r="E15" s="14" t="n">
        <v>1270.1932</v>
      </c>
      <c r="F15" s="14" t="n">
        <v>7843.75</v>
      </c>
      <c r="G15" s="11">
        <f>F15/E15</f>
        <v/>
      </c>
      <c r="H15" s="14" t="n">
        <v>15.625</v>
      </c>
      <c r="I15" s="14" t="n">
        <v>7781.25</v>
      </c>
      <c r="J15" s="14" t="n">
        <v>0</v>
      </c>
      <c r="K15" s="14" t="n">
        <v>46.875</v>
      </c>
      <c r="L15" s="13" t="n">
        <v>13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7</v>
      </c>
      <c r="D16" s="13" t="n">
        <v>2</v>
      </c>
      <c r="E16" s="14" t="n">
        <v>1272.3742</v>
      </c>
      <c r="F16" s="14" t="n">
        <v>7734.375</v>
      </c>
      <c r="G16" s="11">
        <f>F16/E16</f>
        <v/>
      </c>
      <c r="H16" s="14" t="n">
        <v>0</v>
      </c>
      <c r="I16" s="14" t="n">
        <v>7656.25</v>
      </c>
      <c r="J16" s="14" t="n">
        <v>0</v>
      </c>
      <c r="K16" s="14" t="n">
        <v>78.125</v>
      </c>
      <c r="L16" s="13" t="n">
        <v>14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7</v>
      </c>
      <c r="D17" s="13" t="n">
        <v>3</v>
      </c>
      <c r="E17" s="14" t="n">
        <v>1261.8814</v>
      </c>
      <c r="F17" s="14" t="n">
        <v>7859.375</v>
      </c>
      <c r="G17" s="11">
        <f>F17/E17</f>
        <v/>
      </c>
      <c r="H17" s="14" t="n">
        <v>0</v>
      </c>
      <c r="I17" s="14" t="n">
        <v>7859.375</v>
      </c>
      <c r="J17" s="14" t="n">
        <v>0</v>
      </c>
      <c r="K17" s="14" t="n">
        <v>0</v>
      </c>
      <c r="L17" s="13" t="n">
        <v>13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7</v>
      </c>
      <c r="D18" s="13" t="n">
        <v>4</v>
      </c>
      <c r="E18" s="14" t="n">
        <v>1268.9187</v>
      </c>
      <c r="F18" s="14" t="n">
        <v>7781.25</v>
      </c>
      <c r="G18" s="11">
        <f>F18/E18</f>
        <v/>
      </c>
      <c r="H18" s="14" t="n">
        <v>0</v>
      </c>
      <c r="I18" s="14" t="n">
        <v>7500</v>
      </c>
      <c r="J18" s="14" t="n">
        <v>0</v>
      </c>
      <c r="K18" s="14" t="n">
        <v>281.25</v>
      </c>
      <c r="L18" s="13" t="n">
        <v>14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7</v>
      </c>
      <c r="D19" s="13" t="n">
        <v>5</v>
      </c>
      <c r="E19" s="14" t="n">
        <v>1269.5042</v>
      </c>
      <c r="F19" s="14" t="n">
        <v>7437.5</v>
      </c>
      <c r="G19" s="11">
        <f>F19/E19</f>
        <v/>
      </c>
      <c r="H19" s="14" t="n">
        <v>0</v>
      </c>
      <c r="I19" s="14" t="n">
        <v>7437.5</v>
      </c>
      <c r="J19" s="14" t="n">
        <v>0</v>
      </c>
      <c r="K19" s="14" t="n">
        <v>0</v>
      </c>
      <c r="L19" s="13" t="n">
        <v>15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7</t>
        </is>
      </c>
      <c r="D3" s="19" t="inlineStr">
        <is>
          <t>병렬도 12 분할 7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6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7 측정 1회차 (스레드별 클럭, GHz)</t>
        </is>
      </c>
      <c r="N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N4" s="21" t="inlineStr">
        <is>
          <t>시각</t>
        </is>
      </c>
      <c r="O4" s="21" t="inlineStr">
        <is>
          <t>전체 평균</t>
        </is>
      </c>
      <c r="P4" s="21" t="inlineStr">
        <is>
          <t>ForkJoinPool-3-worker-1</t>
        </is>
      </c>
      <c r="Q4" s="21" t="inlineStr">
        <is>
          <t>ForkJoinPool-3-worker-2</t>
        </is>
      </c>
      <c r="R4" s="21" t="inlineStr">
        <is>
          <t>ForkJoinPool-3-worker-3</t>
        </is>
      </c>
      <c r="S4" s="21" t="inlineStr">
        <is>
          <t>ForkJoinPool-3-worker-4</t>
        </is>
      </c>
      <c r="T4" s="21" t="inlineStr">
        <is>
          <t>ForkJoinPool-3-worker-5</t>
        </is>
      </c>
      <c r="U4" s="21" t="inlineStr">
        <is>
          <t>ForkJoinPool-3-worker-6</t>
        </is>
      </c>
      <c r="V4" s="21" t="inlineStr">
        <is>
          <t>main</t>
        </is>
      </c>
      <c r="W4" s="21" t="inlineStr">
        <is>
          <t>ForkJoinPool-4-worker-1</t>
        </is>
      </c>
      <c r="X4" s="21" t="inlineStr">
        <is>
          <t>ForkJoinPool-4-worker-2</t>
        </is>
      </c>
      <c r="Y4" s="21" t="inlineStr">
        <is>
          <t>ForkJoinPool-4-worker-3</t>
        </is>
      </c>
      <c r="Z4" s="21" t="inlineStr">
        <is>
          <t>ForkJoinPool-4-worker-4</t>
        </is>
      </c>
      <c r="AA4" s="21" t="inlineStr">
        <is>
          <t>ForkJoinPool-4-worker-5</t>
        </is>
      </c>
      <c r="AB4" s="21" t="inlineStr">
        <is>
          <t>ForkJoinPool-4-worker-6</t>
        </is>
      </c>
      <c r="AC4" s="21" t="inlineStr">
        <is>
          <t>ForkJoinPool-5-worker-1</t>
        </is>
      </c>
      <c r="AD4" s="21" t="inlineStr">
        <is>
          <t>ForkJoinPool-5-worker-2</t>
        </is>
      </c>
      <c r="AE4" s="21" t="inlineStr">
        <is>
          <t>ForkJoinPool-5-worker-3</t>
        </is>
      </c>
      <c r="AF4" s="21" t="inlineStr">
        <is>
          <t>ForkJoinPool-5-worker-4</t>
        </is>
      </c>
      <c r="AG4" s="21" t="inlineStr">
        <is>
          <t>ForkJoinPool-5-worker-5</t>
        </is>
      </c>
      <c r="AH4" s="21" t="inlineStr">
        <is>
          <t>ForkJoinPool-5-worker-6</t>
        </is>
      </c>
      <c r="AI4" s="21" t="inlineStr">
        <is>
          <t>ForkJoinPool-6-worker-1</t>
        </is>
      </c>
      <c r="AJ4" s="21" t="inlineStr">
        <is>
          <t>ForkJoinPool-6-worker-2</t>
        </is>
      </c>
      <c r="AK4" s="21" t="inlineStr">
        <is>
          <t>ForkJoinPool-6-worker-3</t>
        </is>
      </c>
      <c r="AL4" s="21" t="inlineStr">
        <is>
          <t>ForkJoinPool-6-worker-4</t>
        </is>
      </c>
      <c r="AM4" s="21" t="inlineStr">
        <is>
          <t>ForkJoinPool-6-worker-5</t>
        </is>
      </c>
      <c r="AN4" s="21" t="inlineStr">
        <is>
          <t>ForkJoinPool-6-worker-6</t>
        </is>
      </c>
      <c r="AO4" s="21" t="inlineStr">
        <is>
          <t>ForkJoinPool-7-worker-1</t>
        </is>
      </c>
      <c r="AP4" s="21" t="inlineStr">
        <is>
          <t>ForkJoinPool-7-worker-2</t>
        </is>
      </c>
      <c r="AQ4" s="21" t="inlineStr">
        <is>
          <t>ForkJoinPool-7-worker-3</t>
        </is>
      </c>
      <c r="AR4" s="21" t="inlineStr">
        <is>
          <t>ForkJoinPool-7-worker-4</t>
        </is>
      </c>
      <c r="AS4" s="21" t="inlineStr">
        <is>
          <t>ForkJoinPool-7-worker-5</t>
        </is>
      </c>
      <c r="AT4" s="21" t="inlineStr">
        <is>
          <t>ForkJoinPool-7-worker-6</t>
        </is>
      </c>
      <c r="AU4" s="21" t="inlineStr">
        <is>
          <t>ForkJoinPool-11-worker-1</t>
        </is>
      </c>
      <c r="AV4" s="21" t="inlineStr">
        <is>
          <t>ForkJoinPool-11-worker-10</t>
        </is>
      </c>
      <c r="AW4" s="21" t="inlineStr">
        <is>
          <t>ForkJoinPool-11-worker-12</t>
        </is>
      </c>
      <c r="AX4" s="21" t="inlineStr">
        <is>
          <t>ForkJoinPool-11-worker-2</t>
        </is>
      </c>
      <c r="AY4" s="21" t="inlineStr">
        <is>
          <t>ForkJoinPool-11-worker-3</t>
        </is>
      </c>
      <c r="AZ4" s="21" t="inlineStr">
        <is>
          <t>ForkJoinPool-11-worker-4</t>
        </is>
      </c>
      <c r="BA4" s="21" t="inlineStr">
        <is>
          <t>ForkJoinPool-11-worker-5</t>
        </is>
      </c>
      <c r="BB4" s="21" t="inlineStr">
        <is>
          <t>ForkJoinPool-11-worker-6</t>
        </is>
      </c>
      <c r="BC4" s="21" t="inlineStr">
        <is>
          <t>ForkJoinPool-11-worker-7</t>
        </is>
      </c>
      <c r="BD4" s="21" t="inlineStr">
        <is>
          <t>ForkJoinPool-11-worker-9</t>
        </is>
      </c>
      <c r="BE4" s="21" t="inlineStr">
        <is>
          <t>ForkJoinPool-12-worker-1</t>
        </is>
      </c>
      <c r="BF4" s="21" t="inlineStr">
        <is>
          <t>ForkJoinPool-12-worker-11</t>
        </is>
      </c>
      <c r="BG4" s="21" t="inlineStr">
        <is>
          <t>ForkJoinPool-12-worker-12</t>
        </is>
      </c>
      <c r="BH4" s="21" t="inlineStr">
        <is>
          <t>ForkJoinPool-12-worker-2</t>
        </is>
      </c>
      <c r="BI4" s="21" t="inlineStr">
        <is>
          <t>ForkJoinPool-12-worker-3</t>
        </is>
      </c>
      <c r="BJ4" s="21" t="inlineStr">
        <is>
          <t>ForkJoinPool-12-worker-4</t>
        </is>
      </c>
      <c r="BK4" s="21" t="inlineStr">
        <is>
          <t>ForkJoinPool-12-worker-5</t>
        </is>
      </c>
      <c r="BL4" s="21" t="inlineStr">
        <is>
          <t>ForkJoinPool-12-worker-6</t>
        </is>
      </c>
      <c r="BM4" s="21" t="inlineStr">
        <is>
          <t>ForkJoinPool-12-worker-7</t>
        </is>
      </c>
      <c r="BN4" s="21" t="inlineStr">
        <is>
          <t>ForkJoinPool-12-worker-9</t>
        </is>
      </c>
      <c r="BO4" s="21" t="inlineStr">
        <is>
          <t>ForkJoinPool-13-worker-1</t>
        </is>
      </c>
      <c r="BP4" s="21" t="inlineStr">
        <is>
          <t>ForkJoinPool-13-worker-10</t>
        </is>
      </c>
      <c r="BQ4" s="21" t="inlineStr">
        <is>
          <t>ForkJoinPool-13-worker-12</t>
        </is>
      </c>
      <c r="BR4" s="21" t="inlineStr">
        <is>
          <t>ForkJoinPool-13-worker-2</t>
        </is>
      </c>
      <c r="BS4" s="21" t="inlineStr">
        <is>
          <t>ForkJoinPool-13-worker-3</t>
        </is>
      </c>
      <c r="BT4" s="21" t="inlineStr">
        <is>
          <t>ForkJoinPool-13-worker-4</t>
        </is>
      </c>
      <c r="BU4" s="21" t="inlineStr">
        <is>
          <t>ForkJoinPool-13-worker-5</t>
        </is>
      </c>
      <c r="BV4" s="21" t="inlineStr">
        <is>
          <t>ForkJoinPool-13-worker-6</t>
        </is>
      </c>
      <c r="BW4" s="21" t="inlineStr">
        <is>
          <t>ForkJoinPool-13-worker-7</t>
        </is>
      </c>
      <c r="BX4" s="21" t="inlineStr">
        <is>
          <t>ForkJoinPool-14-worker-1</t>
        </is>
      </c>
      <c r="BY4" s="21" t="inlineStr">
        <is>
          <t>ForkJoinPool-14-worker-10</t>
        </is>
      </c>
      <c r="BZ4" s="21" t="inlineStr">
        <is>
          <t>ForkJoinPool-14-worker-12</t>
        </is>
      </c>
      <c r="CA4" s="21" t="inlineStr">
        <is>
          <t>ForkJoinPool-14-worker-2</t>
        </is>
      </c>
      <c r="CB4" s="21" t="inlineStr">
        <is>
          <t>ForkJoinPool-14-worker-3</t>
        </is>
      </c>
      <c r="CC4" s="21" t="inlineStr">
        <is>
          <t>ForkJoinPool-14-worker-4</t>
        </is>
      </c>
      <c r="CD4" s="21" t="inlineStr">
        <is>
          <t>ForkJoinPool-14-worker-5</t>
        </is>
      </c>
      <c r="CE4" s="21" t="inlineStr">
        <is>
          <t>ForkJoinPool-14-worker-6</t>
        </is>
      </c>
      <c r="CF4" s="21" t="inlineStr">
        <is>
          <t>ForkJoinPool-14-worker-7</t>
        </is>
      </c>
      <c r="CG4" s="21" t="inlineStr">
        <is>
          <t>ForkJoinPool-15-worker-1</t>
        </is>
      </c>
      <c r="CH4" s="21" t="inlineStr">
        <is>
          <t>ForkJoinPool-15-worker-11</t>
        </is>
      </c>
      <c r="CI4" s="21" t="inlineStr">
        <is>
          <t>ForkJoinPool-15-worker-12</t>
        </is>
      </c>
      <c r="CJ4" s="21" t="inlineStr">
        <is>
          <t>ForkJoinPool-15-worker-2</t>
        </is>
      </c>
      <c r="CK4" s="21" t="inlineStr">
        <is>
          <t>ForkJoinPool-15-worker-3</t>
        </is>
      </c>
      <c r="CL4" s="21" t="inlineStr">
        <is>
          <t>ForkJoinPool-15-worker-4</t>
        </is>
      </c>
      <c r="CM4" s="21" t="inlineStr">
        <is>
          <t>ForkJoinPool-15-worker-5</t>
        </is>
      </c>
      <c r="CN4" s="21" t="inlineStr">
        <is>
          <t>ForkJoinPool-15-worker-6</t>
        </is>
      </c>
      <c r="CO4" s="21" t="inlineStr">
        <is>
          <t>ForkJoinPool-15-worker-7</t>
        </is>
      </c>
      <c r="CP4" s="21" t="inlineStr">
        <is>
          <t>ForkJoinPool-15-worker-9</t>
        </is>
      </c>
    </row>
    <row r="5">
      <c r="A5" s="22">
        <f>'클럭 정리'!A38</f>
        <v/>
      </c>
      <c r="B5" s="23">
        <f>'클럭 정리'!O38</f>
        <v/>
      </c>
      <c r="C5" s="23">
        <f>'클럭 정리'!O38</f>
        <v/>
      </c>
      <c r="D5" s="23">
        <f>'클럭 정리'!O38</f>
        <v/>
      </c>
      <c r="E5" s="23">
        <f>'클럭 정리'!O38</f>
        <v/>
      </c>
      <c r="F5" s="23">
        <f>'클럭 정리'!O38</f>
        <v/>
      </c>
      <c r="G5" s="23">
        <f>'클럭 정리'!O38</f>
        <v/>
      </c>
      <c r="H5" s="23">
        <f>'클럭 정리'!O38</f>
        <v/>
      </c>
      <c r="N5" s="24">
        <f>'클럭 정리'!A6</f>
        <v/>
      </c>
      <c r="O5" s="23">
        <f>'클럭 정리'!O6</f>
        <v/>
      </c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</row>
    <row r="6">
      <c r="N6" s="24">
        <f>'클럭 정리'!A7</f>
        <v/>
      </c>
      <c r="O6" s="23">
        <f>'클럭 정리'!O7</f>
        <v/>
      </c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</row>
    <row r="7">
      <c r="A7" s="2" t="inlineStr">
        <is>
          <t>병렬도 6 분할 7 측정 2회차 (스레드별 클럭, GHz)</t>
        </is>
      </c>
      <c r="N7" s="24">
        <f>'클럭 정리'!A8</f>
        <v/>
      </c>
      <c r="O7" s="23">
        <f>'클럭 정리'!O8</f>
        <v/>
      </c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</row>
    <row r="8">
      <c r="A8" s="21" t="inlineStr">
        <is>
          <t>시각</t>
        </is>
      </c>
      <c r="B8" s="21" t="inlineStr">
        <is>
          <t>ForkJoinPool-4-worker-1</t>
        </is>
      </c>
      <c r="C8" s="21" t="inlineStr">
        <is>
          <t>ForkJoinPool-4-worker-2</t>
        </is>
      </c>
      <c r="D8" s="21" t="inlineStr">
        <is>
          <t>ForkJoinPool-4-worker-3</t>
        </is>
      </c>
      <c r="E8" s="21" t="inlineStr">
        <is>
          <t>ForkJoinPool-4-worker-4</t>
        </is>
      </c>
      <c r="F8" s="21" t="inlineStr">
        <is>
          <t>ForkJoinPool-4-worker-5</t>
        </is>
      </c>
      <c r="G8" s="21" t="inlineStr">
        <is>
          <t>ForkJoinPool-4-worker-6</t>
        </is>
      </c>
      <c r="H8" s="21" t="inlineStr">
        <is>
          <t>main</t>
        </is>
      </c>
      <c r="N8" s="24">
        <f>'클럭 정리'!A9</f>
        <v/>
      </c>
      <c r="O8" s="23">
        <f>'클럭 정리'!O9</f>
        <v/>
      </c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</row>
    <row r="9">
      <c r="A9" s="22">
        <f>'클럭 정리'!A39</f>
        <v/>
      </c>
      <c r="B9" s="23">
        <f>'클럭 정리'!O39</f>
        <v/>
      </c>
      <c r="C9" s="23">
        <f>'클럭 정리'!O39</f>
        <v/>
      </c>
      <c r="D9" s="23">
        <f>'클럭 정리'!O39</f>
        <v/>
      </c>
      <c r="E9" s="23">
        <f>'클럭 정리'!O39</f>
        <v/>
      </c>
      <c r="F9" s="23">
        <f>'클럭 정리'!O39</f>
        <v/>
      </c>
      <c r="G9" s="23">
        <f>'클럭 정리'!O39</f>
        <v/>
      </c>
      <c r="H9" s="23">
        <f>'클럭 정리'!O39</f>
        <v/>
      </c>
      <c r="N9" s="24">
        <f>'클럭 정리'!A10</f>
        <v/>
      </c>
      <c r="O9" s="23">
        <f>'클럭 정리'!O10</f>
        <v/>
      </c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</row>
    <row r="10">
      <c r="A10" s="22">
        <f>'클럭 정리'!A40</f>
        <v/>
      </c>
      <c r="B10" s="23">
        <f>'클럭 정리'!O40</f>
        <v/>
      </c>
      <c r="C10" s="23">
        <f>'클럭 정리'!O40</f>
        <v/>
      </c>
      <c r="D10" s="23">
        <f>'클럭 정리'!O40</f>
        <v/>
      </c>
      <c r="E10" s="23">
        <f>'클럭 정리'!O40</f>
        <v/>
      </c>
      <c r="F10" s="23">
        <f>'클럭 정리'!O40</f>
        <v/>
      </c>
      <c r="G10" s="23">
        <f>'클럭 정리'!O40</f>
        <v/>
      </c>
      <c r="H10" s="23">
        <f>'클럭 정리'!O40</f>
        <v/>
      </c>
      <c r="N10" s="24">
        <f>'클럭 정리'!A11</f>
        <v/>
      </c>
      <c r="O10" s="23">
        <f>'클럭 정리'!O11</f>
        <v/>
      </c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</row>
    <row r="11">
      <c r="N11" s="24">
        <f>'클럭 정리'!A12</f>
        <v/>
      </c>
      <c r="O11" s="23">
        <f>'클럭 정리'!O12</f>
        <v/>
      </c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</row>
    <row r="12">
      <c r="A12" s="2" t="inlineStr">
        <is>
          <t>병렬도 6 분할 7 측정 3회차 (스레드별 클럭, GHz)</t>
        </is>
      </c>
      <c r="N12" s="24">
        <f>'클럭 정리'!A13</f>
        <v/>
      </c>
      <c r="O12" s="23">
        <f>'클럭 정리'!O13</f>
        <v/>
      </c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</row>
    <row r="13">
      <c r="A13" s="21" t="inlineStr">
        <is>
          <t>시각</t>
        </is>
      </c>
      <c r="B13" s="21" t="inlineStr">
        <is>
          <t>ForkJoinPool-5-worker-1</t>
        </is>
      </c>
      <c r="C13" s="21" t="inlineStr">
        <is>
          <t>ForkJoinPool-5-worker-2</t>
        </is>
      </c>
      <c r="D13" s="21" t="inlineStr">
        <is>
          <t>ForkJoinPool-5-worker-3</t>
        </is>
      </c>
      <c r="E13" s="21" t="inlineStr">
        <is>
          <t>ForkJoinPool-5-worker-4</t>
        </is>
      </c>
      <c r="F13" s="21" t="inlineStr">
        <is>
          <t>ForkJoinPool-5-worker-5</t>
        </is>
      </c>
      <c r="G13" s="21" t="inlineStr">
        <is>
          <t>ForkJoinPool-5-worker-6</t>
        </is>
      </c>
      <c r="H13" s="21" t="inlineStr">
        <is>
          <t>main</t>
        </is>
      </c>
      <c r="N13" s="24">
        <f>'클럭 정리'!A14</f>
        <v/>
      </c>
      <c r="O13" s="23">
        <f>'클럭 정리'!O14</f>
        <v/>
      </c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</row>
    <row r="14">
      <c r="A14" s="22">
        <f>'클럭 정리'!A41</f>
        <v/>
      </c>
      <c r="B14" s="23">
        <f>'클럭 정리'!O41</f>
        <v/>
      </c>
      <c r="C14" s="23">
        <f>'클럭 정리'!O41</f>
        <v/>
      </c>
      <c r="D14" s="23">
        <f>'클럭 정리'!O41</f>
        <v/>
      </c>
      <c r="E14" s="23">
        <f>'클럭 정리'!O41</f>
        <v/>
      </c>
      <c r="F14" s="23">
        <f>'클럭 정리'!O41</f>
        <v/>
      </c>
      <c r="G14" s="23">
        <f>'클럭 정리'!O41</f>
        <v/>
      </c>
      <c r="H14" s="23">
        <f>'클럭 정리'!O41</f>
        <v/>
      </c>
      <c r="N14" s="24">
        <f>'클럭 정리'!A15</f>
        <v/>
      </c>
      <c r="O14" s="23">
        <f>'클럭 정리'!O15</f>
        <v/>
      </c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</row>
    <row r="15">
      <c r="N15" s="24">
        <f>'클럭 정리'!A16</f>
        <v/>
      </c>
      <c r="O15" s="23">
        <f>'클럭 정리'!O16</f>
        <v/>
      </c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</row>
    <row r="16">
      <c r="A16" s="2" t="inlineStr">
        <is>
          <t>병렬도 6 분할 7 측정 4회차 (스레드별 클럭, GHz)</t>
        </is>
      </c>
      <c r="N16" s="24">
        <f>'클럭 정리'!A17</f>
        <v/>
      </c>
      <c r="O16" s="23">
        <f>'클럭 정리'!O17</f>
        <v/>
      </c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</row>
    <row r="17">
      <c r="A17" s="21" t="inlineStr">
        <is>
          <t>시각</t>
        </is>
      </c>
      <c r="B17" s="21" t="inlineStr">
        <is>
          <t>ForkJoinPool-6-worker-1</t>
        </is>
      </c>
      <c r="C17" s="21" t="inlineStr">
        <is>
          <t>ForkJoinPool-6-worker-2</t>
        </is>
      </c>
      <c r="D17" s="21" t="inlineStr">
        <is>
          <t>ForkJoinPool-6-worker-3</t>
        </is>
      </c>
      <c r="E17" s="21" t="inlineStr">
        <is>
          <t>ForkJoinPool-6-worker-4</t>
        </is>
      </c>
      <c r="F17" s="21" t="inlineStr">
        <is>
          <t>ForkJoinPool-6-worker-5</t>
        </is>
      </c>
      <c r="G17" s="21" t="inlineStr">
        <is>
          <t>ForkJoinPool-6-worker-6</t>
        </is>
      </c>
      <c r="H17" s="21" t="inlineStr">
        <is>
          <t>main</t>
        </is>
      </c>
      <c r="N17" s="24">
        <f>'클럭 정리'!A18</f>
        <v/>
      </c>
      <c r="O17" s="23">
        <f>'클럭 정리'!O18</f>
        <v/>
      </c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</row>
    <row r="18">
      <c r="A18" s="22">
        <f>'클럭 정리'!A42</f>
        <v/>
      </c>
      <c r="B18" s="23">
        <f>'클럭 정리'!O42</f>
        <v/>
      </c>
      <c r="C18" s="23">
        <f>'클럭 정리'!O42</f>
        <v/>
      </c>
      <c r="D18" s="23">
        <f>'클럭 정리'!O42</f>
        <v/>
      </c>
      <c r="E18" s="23">
        <f>'클럭 정리'!O42</f>
        <v/>
      </c>
      <c r="F18" s="23">
        <f>'클럭 정리'!O42</f>
        <v/>
      </c>
      <c r="G18" s="23">
        <f>'클럭 정리'!O42</f>
        <v/>
      </c>
      <c r="H18" s="23">
        <f>'클럭 정리'!O42</f>
        <v/>
      </c>
      <c r="N18" s="24">
        <f>'클럭 정리'!A19</f>
        <v/>
      </c>
      <c r="O18" s="23">
        <f>'클럭 정리'!O19</f>
        <v/>
      </c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</row>
    <row r="19">
      <c r="A19" s="22">
        <f>'클럭 정리'!A43</f>
        <v/>
      </c>
      <c r="B19" s="23">
        <f>'클럭 정리'!O43</f>
        <v/>
      </c>
      <c r="C19" s="23">
        <f>'클럭 정리'!O43</f>
        <v/>
      </c>
      <c r="D19" s="23">
        <f>'클럭 정리'!O43</f>
        <v/>
      </c>
      <c r="E19" s="23">
        <f>'클럭 정리'!O43</f>
        <v/>
      </c>
      <c r="F19" s="23">
        <f>'클럭 정리'!O43</f>
        <v/>
      </c>
      <c r="G19" s="23">
        <f>'클럭 정리'!O43</f>
        <v/>
      </c>
      <c r="H19" s="23">
        <f>'클럭 정리'!O43</f>
        <v/>
      </c>
      <c r="N19" s="24">
        <f>'클럭 정리'!A20</f>
        <v/>
      </c>
      <c r="O19" s="23">
        <f>'클럭 정리'!O20</f>
        <v/>
      </c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</row>
    <row r="20">
      <c r="N20" s="24">
        <f>'클럭 정리'!A21</f>
        <v/>
      </c>
      <c r="O20" s="23">
        <f>'클럭 정리'!O21</f>
        <v/>
      </c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</row>
    <row r="21">
      <c r="A21" s="2" t="inlineStr">
        <is>
          <t>병렬도 6 분할 7 측정 5회차 (스레드별 클럭, GHz)</t>
        </is>
      </c>
      <c r="N21" s="24">
        <f>'클럭 정리'!A22</f>
        <v/>
      </c>
      <c r="O21" s="23">
        <f>'클럭 정리'!O22</f>
        <v/>
      </c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</row>
    <row r="22">
      <c r="A22" s="21" t="inlineStr">
        <is>
          <t>시각</t>
        </is>
      </c>
      <c r="B22" s="21" t="inlineStr">
        <is>
          <t>ForkJoinPool-7-worker-1</t>
        </is>
      </c>
      <c r="C22" s="21" t="inlineStr">
        <is>
          <t>ForkJoinPool-7-worker-2</t>
        </is>
      </c>
      <c r="D22" s="21" t="inlineStr">
        <is>
          <t>ForkJoinPool-7-worker-3</t>
        </is>
      </c>
      <c r="E22" s="21" t="inlineStr">
        <is>
          <t>ForkJoinPool-7-worker-4</t>
        </is>
      </c>
      <c r="F22" s="21" t="inlineStr">
        <is>
          <t>ForkJoinPool-7-worker-5</t>
        </is>
      </c>
      <c r="G22" s="21" t="inlineStr">
        <is>
          <t>ForkJoinPool-7-worker-6</t>
        </is>
      </c>
      <c r="H22" s="21" t="inlineStr">
        <is>
          <t>main</t>
        </is>
      </c>
      <c r="N22" s="24">
        <f>'클럭 정리'!A23</f>
        <v/>
      </c>
      <c r="O22" s="23">
        <f>'클럭 정리'!O23</f>
        <v/>
      </c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</row>
    <row r="23">
      <c r="A23" s="22">
        <f>'클럭 정리'!A44</f>
        <v/>
      </c>
      <c r="B23" s="23">
        <f>'클럭 정리'!O44</f>
        <v/>
      </c>
      <c r="C23" s="23">
        <f>'클럭 정리'!O44</f>
        <v/>
      </c>
      <c r="D23" s="23">
        <f>'클럭 정리'!O44</f>
        <v/>
      </c>
      <c r="E23" s="23">
        <f>'클럭 정리'!O44</f>
        <v/>
      </c>
      <c r="F23" s="23">
        <f>'클럭 정리'!O44</f>
        <v/>
      </c>
      <c r="G23" s="23">
        <f>'클럭 정리'!O44</f>
        <v/>
      </c>
      <c r="H23" s="23">
        <f>'클럭 정리'!O44</f>
        <v/>
      </c>
      <c r="N23" s="24">
        <f>'클럭 정리'!A24</f>
        <v/>
      </c>
      <c r="O23" s="23">
        <f>'클럭 정리'!O24</f>
        <v/>
      </c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</row>
    <row r="24">
      <c r="N24" s="24">
        <f>'클럭 정리'!A25</f>
        <v/>
      </c>
      <c r="O24" s="23">
        <f>'클럭 정리'!O25</f>
        <v/>
      </c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</row>
    <row r="25">
      <c r="A25" s="2" t="inlineStr">
        <is>
          <t>병렬도 12 분할 7 측정 1회차 (스레드별 클럭, GHz)</t>
        </is>
      </c>
      <c r="N25" s="24">
        <f>'클럭 정리'!A26</f>
        <v/>
      </c>
      <c r="O25" s="23">
        <f>'클럭 정리'!O26</f>
        <v/>
      </c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</row>
    <row r="26">
      <c r="A26" s="21" t="inlineStr">
        <is>
          <t>시각</t>
        </is>
      </c>
      <c r="B26" s="21" t="inlineStr">
        <is>
          <t>ForkJoinPool-11-worker-1</t>
        </is>
      </c>
      <c r="C26" s="21" t="inlineStr">
        <is>
          <t>ForkJoinPool-11-worker-10</t>
        </is>
      </c>
      <c r="D26" s="21" t="inlineStr">
        <is>
          <t>ForkJoinPool-11-worker-12</t>
        </is>
      </c>
      <c r="E26" s="21" t="inlineStr">
        <is>
          <t>ForkJoinPool-11-worker-2</t>
        </is>
      </c>
      <c r="F26" s="21" t="inlineStr">
        <is>
          <t>ForkJoinPool-11-worker-3</t>
        </is>
      </c>
      <c r="G26" s="21" t="inlineStr">
        <is>
          <t>ForkJoinPool-11-worker-4</t>
        </is>
      </c>
      <c r="H26" s="21" t="inlineStr">
        <is>
          <t>ForkJoinPool-11-worker-5</t>
        </is>
      </c>
      <c r="I26" s="21" t="inlineStr">
        <is>
          <t>ForkJoinPool-11-worker-6</t>
        </is>
      </c>
      <c r="J26" s="21" t="inlineStr">
        <is>
          <t>ForkJoinPool-11-worker-7</t>
        </is>
      </c>
      <c r="K26" s="21" t="inlineStr">
        <is>
          <t>ForkJoinPool-11-worker-9</t>
        </is>
      </c>
      <c r="L26" s="21" t="inlineStr">
        <is>
          <t>main</t>
        </is>
      </c>
      <c r="N26" s="24">
        <f>'클럭 정리'!A27</f>
        <v/>
      </c>
      <c r="O26" s="23">
        <f>'클럭 정리'!O27</f>
        <v/>
      </c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</row>
    <row r="27">
      <c r="A27" s="22">
        <f>'클럭 정리'!A49</f>
        <v/>
      </c>
      <c r="B27" s="23">
        <f>'클럭 정리'!O49</f>
        <v/>
      </c>
      <c r="C27" s="23">
        <f>'클럭 정리'!O49</f>
        <v/>
      </c>
      <c r="D27" s="23">
        <f>'클럭 정리'!O49</f>
        <v/>
      </c>
      <c r="E27" s="23">
        <f>'클럭 정리'!O49</f>
        <v/>
      </c>
      <c r="F27" s="23">
        <f>'클럭 정리'!O49</f>
        <v/>
      </c>
      <c r="G27" s="25" t="n"/>
      <c r="H27" s="23">
        <f>'클럭 정리'!O49</f>
        <v/>
      </c>
      <c r="I27" s="25" t="n"/>
      <c r="J27" s="23">
        <f>'클럭 정리'!O49</f>
        <v/>
      </c>
      <c r="K27" s="23">
        <f>'클럭 정리'!O49</f>
        <v/>
      </c>
      <c r="L27" s="23">
        <f>'클럭 정리'!O49</f>
        <v/>
      </c>
      <c r="N27" s="24">
        <f>'클럭 정리'!A28</f>
        <v/>
      </c>
      <c r="O27" s="23">
        <f>'클럭 정리'!O28</f>
        <v/>
      </c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</row>
    <row r="28">
      <c r="N28" s="24">
        <f>'클럭 정리'!A29</f>
        <v/>
      </c>
      <c r="O28" s="23">
        <f>'클럭 정리'!O29</f>
        <v/>
      </c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</row>
    <row r="29">
      <c r="A29" s="2" t="inlineStr">
        <is>
          <t>병렬도 12 분할 7 측정 2회차 (스레드별 클럭, GHz)</t>
        </is>
      </c>
      <c r="N29" s="24">
        <f>'클럭 정리'!A30</f>
        <v/>
      </c>
      <c r="O29" s="23">
        <f>'클럭 정리'!O30</f>
        <v/>
      </c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</row>
    <row r="30">
      <c r="A30" s="21" t="inlineStr">
        <is>
          <t>시각</t>
        </is>
      </c>
      <c r="B30" s="21" t="inlineStr">
        <is>
          <t>ForkJoinPool-12-worker-1</t>
        </is>
      </c>
      <c r="C30" s="21" t="inlineStr">
        <is>
          <t>ForkJoinPool-12-worker-11</t>
        </is>
      </c>
      <c r="D30" s="21" t="inlineStr">
        <is>
          <t>ForkJoinPool-12-worker-12</t>
        </is>
      </c>
      <c r="E30" s="21" t="inlineStr">
        <is>
          <t>ForkJoinPool-12-worker-2</t>
        </is>
      </c>
      <c r="F30" s="21" t="inlineStr">
        <is>
          <t>ForkJoinPool-12-worker-3</t>
        </is>
      </c>
      <c r="G30" s="21" t="inlineStr">
        <is>
          <t>ForkJoinPool-12-worker-4</t>
        </is>
      </c>
      <c r="H30" s="21" t="inlineStr">
        <is>
          <t>ForkJoinPool-12-worker-5</t>
        </is>
      </c>
      <c r="I30" s="21" t="inlineStr">
        <is>
          <t>ForkJoinPool-12-worker-6</t>
        </is>
      </c>
      <c r="J30" s="21" t="inlineStr">
        <is>
          <t>ForkJoinPool-12-worker-7</t>
        </is>
      </c>
      <c r="K30" s="21" t="inlineStr">
        <is>
          <t>ForkJoinPool-12-worker-9</t>
        </is>
      </c>
      <c r="L30" s="21" t="inlineStr">
        <is>
          <t>main</t>
        </is>
      </c>
      <c r="N30" s="24">
        <f>'클럭 정리'!A31</f>
        <v/>
      </c>
      <c r="O30" s="23">
        <f>'클럭 정리'!O31</f>
        <v/>
      </c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</row>
    <row r="31">
      <c r="A31" s="22">
        <f>'클럭 정리'!A50</f>
        <v/>
      </c>
      <c r="B31" s="23">
        <f>'클럭 정리'!O50</f>
        <v/>
      </c>
      <c r="C31" s="25" t="n"/>
      <c r="D31" s="23">
        <f>'클럭 정리'!O50</f>
        <v/>
      </c>
      <c r="E31" s="23">
        <f>'클럭 정리'!O50</f>
        <v/>
      </c>
      <c r="F31" s="23">
        <f>'클럭 정리'!O50</f>
        <v/>
      </c>
      <c r="G31" s="25" t="n"/>
      <c r="H31" s="23">
        <f>'클럭 정리'!O50</f>
        <v/>
      </c>
      <c r="I31" s="23">
        <f>'클럭 정리'!O50</f>
        <v/>
      </c>
      <c r="J31" s="25" t="n"/>
      <c r="K31" s="23">
        <f>'클럭 정리'!O50</f>
        <v/>
      </c>
      <c r="L31" s="23">
        <f>'클럭 정리'!O50</f>
        <v/>
      </c>
      <c r="N31" s="24">
        <f>'클럭 정리'!A32</f>
        <v/>
      </c>
      <c r="O31" s="23">
        <f>'클럭 정리'!O32</f>
        <v/>
      </c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</row>
    <row r="32">
      <c r="A32" s="22">
        <f>'클럭 정리'!A51</f>
        <v/>
      </c>
      <c r="B32" s="23">
        <f>'클럭 정리'!O51</f>
        <v/>
      </c>
      <c r="C32" s="23">
        <f>'클럭 정리'!O51</f>
        <v/>
      </c>
      <c r="D32" s="23">
        <f>'클럭 정리'!O51</f>
        <v/>
      </c>
      <c r="E32" s="23">
        <f>'클럭 정리'!O51</f>
        <v/>
      </c>
      <c r="F32" s="23">
        <f>'클럭 정리'!O51</f>
        <v/>
      </c>
      <c r="G32" s="25" t="n"/>
      <c r="H32" s="25" t="n"/>
      <c r="I32" s="23">
        <f>'클럭 정리'!O51</f>
        <v/>
      </c>
      <c r="J32" s="25" t="n"/>
      <c r="K32" s="23">
        <f>'클럭 정리'!O51</f>
        <v/>
      </c>
      <c r="L32" s="23">
        <f>'클럭 정리'!O51</f>
        <v/>
      </c>
      <c r="N32" s="24">
        <f>'클럭 정리'!A33</f>
        <v/>
      </c>
      <c r="O32" s="23">
        <f>'클럭 정리'!O33</f>
        <v/>
      </c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</row>
    <row r="33">
      <c r="N33" s="24">
        <f>'클럭 정리'!A34</f>
        <v/>
      </c>
      <c r="O33" s="23">
        <f>'클럭 정리'!O34</f>
        <v/>
      </c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</row>
    <row r="34">
      <c r="A34" s="2" t="inlineStr">
        <is>
          <t>병렬도 12 분할 7 측정 3회차 (스레드별 클럭, GHz)</t>
        </is>
      </c>
      <c r="N34" s="24">
        <f>'클럭 정리'!A35</f>
        <v/>
      </c>
      <c r="O34" s="23">
        <f>'클럭 정리'!O35</f>
        <v/>
      </c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</row>
    <row r="35">
      <c r="A35" s="21" t="inlineStr">
        <is>
          <t>시각</t>
        </is>
      </c>
      <c r="B35" s="21" t="inlineStr">
        <is>
          <t>ForkJoinPool-13-worker-1</t>
        </is>
      </c>
      <c r="C35" s="21" t="inlineStr">
        <is>
          <t>ForkJoinPool-13-worker-10</t>
        </is>
      </c>
      <c r="D35" s="21" t="inlineStr">
        <is>
          <t>ForkJoinPool-13-worker-12</t>
        </is>
      </c>
      <c r="E35" s="21" t="inlineStr">
        <is>
          <t>ForkJoinPool-13-worker-2</t>
        </is>
      </c>
      <c r="F35" s="21" t="inlineStr">
        <is>
          <t>ForkJoinPool-13-worker-3</t>
        </is>
      </c>
      <c r="G35" s="21" t="inlineStr">
        <is>
          <t>ForkJoinPool-13-worker-4</t>
        </is>
      </c>
      <c r="H35" s="21" t="inlineStr">
        <is>
          <t>ForkJoinPool-13-worker-5</t>
        </is>
      </c>
      <c r="I35" s="21" t="inlineStr">
        <is>
          <t>ForkJoinPool-13-worker-6</t>
        </is>
      </c>
      <c r="J35" s="21" t="inlineStr">
        <is>
          <t>ForkJoinPool-13-worker-7</t>
        </is>
      </c>
      <c r="K35" s="21" t="inlineStr">
        <is>
          <t>main</t>
        </is>
      </c>
      <c r="N35" s="24">
        <f>'클럭 정리'!A36</f>
        <v/>
      </c>
      <c r="O35" s="23">
        <f>'클럭 정리'!O36</f>
        <v/>
      </c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</row>
    <row r="36">
      <c r="A36" s="22">
        <f>'클럭 정리'!A52</f>
        <v/>
      </c>
      <c r="B36" s="23">
        <f>'클럭 정리'!O52</f>
        <v/>
      </c>
      <c r="C36" s="23">
        <f>'클럭 정리'!O52</f>
        <v/>
      </c>
      <c r="D36" s="23">
        <f>'클럭 정리'!O52</f>
        <v/>
      </c>
      <c r="E36" s="23">
        <f>'클럭 정리'!O52</f>
        <v/>
      </c>
      <c r="F36" s="23">
        <f>'클럭 정리'!O52</f>
        <v/>
      </c>
      <c r="G36" s="25" t="n"/>
      <c r="H36" s="23">
        <f>'클럭 정리'!O52</f>
        <v/>
      </c>
      <c r="I36" s="25" t="n"/>
      <c r="J36" s="23">
        <f>'클럭 정리'!O52</f>
        <v/>
      </c>
      <c r="K36" s="23">
        <f>'클럭 정리'!O52</f>
        <v/>
      </c>
      <c r="N36" s="24">
        <f>'클럭 정리'!A37</f>
        <v/>
      </c>
      <c r="O36" s="23">
        <f>'클럭 정리'!O37</f>
        <v/>
      </c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</row>
    <row r="37">
      <c r="N37" s="24">
        <f>'클럭 정리'!A38</f>
        <v/>
      </c>
      <c r="O37" s="23">
        <f>'클럭 정리'!O38</f>
        <v/>
      </c>
      <c r="P37" s="23">
        <f>'클럭 정리'!O38</f>
        <v/>
      </c>
      <c r="Q37" s="23">
        <f>'클럭 정리'!O38</f>
        <v/>
      </c>
      <c r="R37" s="23">
        <f>'클럭 정리'!O38</f>
        <v/>
      </c>
      <c r="S37" s="23">
        <f>'클럭 정리'!O38</f>
        <v/>
      </c>
      <c r="T37" s="23">
        <f>'클럭 정리'!O38</f>
        <v/>
      </c>
      <c r="U37" s="23">
        <f>'클럭 정리'!O38</f>
        <v/>
      </c>
      <c r="V37" s="23">
        <f>'클럭 정리'!O38</f>
        <v/>
      </c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</row>
    <row r="38">
      <c r="A38" s="2" t="inlineStr">
        <is>
          <t>병렬도 12 분할 7 측정 4회차 (스레드별 클럭, GHz)</t>
        </is>
      </c>
      <c r="N38" s="24">
        <f>'클럭 정리'!A39</f>
        <v/>
      </c>
      <c r="O38" s="23">
        <f>'클럭 정리'!O39</f>
        <v/>
      </c>
      <c r="P38" s="25" t="n"/>
      <c r="Q38" s="25" t="n"/>
      <c r="R38" s="25" t="n"/>
      <c r="S38" s="25" t="n"/>
      <c r="T38" s="25" t="n"/>
      <c r="U38" s="25" t="n"/>
      <c r="V38" s="23">
        <f>'클럭 정리'!O39</f>
        <v/>
      </c>
      <c r="W38" s="23">
        <f>'클럭 정리'!O39</f>
        <v/>
      </c>
      <c r="X38" s="23">
        <f>'클럭 정리'!O39</f>
        <v/>
      </c>
      <c r="Y38" s="23">
        <f>'클럭 정리'!O39</f>
        <v/>
      </c>
      <c r="Z38" s="23">
        <f>'클럭 정리'!O39</f>
        <v/>
      </c>
      <c r="AA38" s="23">
        <f>'클럭 정리'!O39</f>
        <v/>
      </c>
      <c r="AB38" s="23">
        <f>'클럭 정리'!O39</f>
        <v/>
      </c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</row>
    <row r="39">
      <c r="A39" s="21" t="inlineStr">
        <is>
          <t>시각</t>
        </is>
      </c>
      <c r="B39" s="21" t="inlineStr">
        <is>
          <t>ForkJoinPool-14-worker-1</t>
        </is>
      </c>
      <c r="C39" s="21" t="inlineStr">
        <is>
          <t>ForkJoinPool-14-worker-10</t>
        </is>
      </c>
      <c r="D39" s="21" t="inlineStr">
        <is>
          <t>ForkJoinPool-14-worker-12</t>
        </is>
      </c>
      <c r="E39" s="21" t="inlineStr">
        <is>
          <t>ForkJoinPool-14-worker-2</t>
        </is>
      </c>
      <c r="F39" s="21" t="inlineStr">
        <is>
          <t>ForkJoinPool-14-worker-3</t>
        </is>
      </c>
      <c r="G39" s="21" t="inlineStr">
        <is>
          <t>ForkJoinPool-14-worker-4</t>
        </is>
      </c>
      <c r="H39" s="21" t="inlineStr">
        <is>
          <t>ForkJoinPool-14-worker-5</t>
        </is>
      </c>
      <c r="I39" s="21" t="inlineStr">
        <is>
          <t>ForkJoinPool-14-worker-6</t>
        </is>
      </c>
      <c r="J39" s="21" t="inlineStr">
        <is>
          <t>ForkJoinPool-14-worker-7</t>
        </is>
      </c>
      <c r="K39" s="21" t="inlineStr">
        <is>
          <t>main</t>
        </is>
      </c>
      <c r="N39" s="24">
        <f>'클럭 정리'!A40</f>
        <v/>
      </c>
      <c r="O39" s="23">
        <f>'클럭 정리'!O40</f>
        <v/>
      </c>
      <c r="P39" s="25" t="n"/>
      <c r="Q39" s="25" t="n"/>
      <c r="R39" s="25" t="n"/>
      <c r="S39" s="25" t="n"/>
      <c r="T39" s="25" t="n"/>
      <c r="U39" s="25" t="n"/>
      <c r="V39" s="23">
        <f>'클럭 정리'!O40</f>
        <v/>
      </c>
      <c r="W39" s="23">
        <f>'클럭 정리'!O40</f>
        <v/>
      </c>
      <c r="X39" s="23">
        <f>'클럭 정리'!O40</f>
        <v/>
      </c>
      <c r="Y39" s="23">
        <f>'클럭 정리'!O40</f>
        <v/>
      </c>
      <c r="Z39" s="23">
        <f>'클럭 정리'!O40</f>
        <v/>
      </c>
      <c r="AA39" s="23">
        <f>'클럭 정리'!O40</f>
        <v/>
      </c>
      <c r="AB39" s="23">
        <f>'클럭 정리'!O40</f>
        <v/>
      </c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</row>
    <row r="40">
      <c r="A40" s="22">
        <f>'클럭 정리'!A53</f>
        <v/>
      </c>
      <c r="B40" s="23">
        <f>'클럭 정리'!O53</f>
        <v/>
      </c>
      <c r="C40" s="25" t="n"/>
      <c r="D40" s="23">
        <f>'클럭 정리'!O53</f>
        <v/>
      </c>
      <c r="E40" s="23">
        <f>'클럭 정리'!O53</f>
        <v/>
      </c>
      <c r="F40" s="23">
        <f>'클럭 정리'!O53</f>
        <v/>
      </c>
      <c r="G40" s="25" t="n"/>
      <c r="H40" s="23">
        <f>'클럭 정리'!O53</f>
        <v/>
      </c>
      <c r="I40" s="23">
        <f>'클럭 정리'!O53</f>
        <v/>
      </c>
      <c r="J40" s="23">
        <f>'클럭 정리'!O53</f>
        <v/>
      </c>
      <c r="K40" s="23">
        <f>'클럭 정리'!O53</f>
        <v/>
      </c>
      <c r="N40" s="24">
        <f>'클럭 정리'!A41</f>
        <v/>
      </c>
      <c r="O40" s="23">
        <f>'클럭 정리'!O41</f>
        <v/>
      </c>
      <c r="P40" s="25" t="n"/>
      <c r="Q40" s="25" t="n"/>
      <c r="R40" s="25" t="n"/>
      <c r="S40" s="25" t="n"/>
      <c r="T40" s="25" t="n"/>
      <c r="U40" s="25" t="n"/>
      <c r="V40" s="23">
        <f>'클럭 정리'!O41</f>
        <v/>
      </c>
      <c r="W40" s="25" t="n"/>
      <c r="X40" s="25" t="n"/>
      <c r="Y40" s="25" t="n"/>
      <c r="Z40" s="25" t="n"/>
      <c r="AA40" s="25" t="n"/>
      <c r="AB40" s="25" t="n"/>
      <c r="AC40" s="23">
        <f>'클럭 정리'!O41</f>
        <v/>
      </c>
      <c r="AD40" s="23">
        <f>'클럭 정리'!O41</f>
        <v/>
      </c>
      <c r="AE40" s="23">
        <f>'클럭 정리'!O41</f>
        <v/>
      </c>
      <c r="AF40" s="23">
        <f>'클럭 정리'!O41</f>
        <v/>
      </c>
      <c r="AG40" s="23">
        <f>'클럭 정리'!O41</f>
        <v/>
      </c>
      <c r="AH40" s="23">
        <f>'클럭 정리'!O41</f>
        <v/>
      </c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</row>
    <row r="41">
      <c r="N41" s="24">
        <f>'클럭 정리'!A42</f>
        <v/>
      </c>
      <c r="O41" s="23">
        <f>'클럭 정리'!O42</f>
        <v/>
      </c>
      <c r="P41" s="25" t="n"/>
      <c r="Q41" s="25" t="n"/>
      <c r="R41" s="25" t="n"/>
      <c r="S41" s="25" t="n"/>
      <c r="T41" s="25" t="n"/>
      <c r="U41" s="25" t="n"/>
      <c r="V41" s="23">
        <f>'클럭 정리'!O42</f>
        <v/>
      </c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3">
        <f>'클럭 정리'!O42</f>
        <v/>
      </c>
      <c r="AJ41" s="23">
        <f>'클럭 정리'!O42</f>
        <v/>
      </c>
      <c r="AK41" s="23">
        <f>'클럭 정리'!O42</f>
        <v/>
      </c>
      <c r="AL41" s="23">
        <f>'클럭 정리'!O42</f>
        <v/>
      </c>
      <c r="AM41" s="23">
        <f>'클럭 정리'!O42</f>
        <v/>
      </c>
      <c r="AN41" s="23">
        <f>'클럭 정리'!O42</f>
        <v/>
      </c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</row>
    <row r="42">
      <c r="A42" s="2" t="inlineStr">
        <is>
          <t>병렬도 12 분할 7 측정 5회차 (스레드별 클럭, GHz)</t>
        </is>
      </c>
      <c r="N42" s="24">
        <f>'클럭 정리'!A43</f>
        <v/>
      </c>
      <c r="O42" s="23">
        <f>'클럭 정리'!O43</f>
        <v/>
      </c>
      <c r="P42" s="25" t="n"/>
      <c r="Q42" s="25" t="n"/>
      <c r="R42" s="25" t="n"/>
      <c r="S42" s="25" t="n"/>
      <c r="T42" s="25" t="n"/>
      <c r="U42" s="25" t="n"/>
      <c r="V42" s="23">
        <f>'클럭 정리'!O43</f>
        <v/>
      </c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3">
        <f>'클럭 정리'!O43</f>
        <v/>
      </c>
      <c r="AJ42" s="23">
        <f>'클럭 정리'!O43</f>
        <v/>
      </c>
      <c r="AK42" s="23">
        <f>'클럭 정리'!O43</f>
        <v/>
      </c>
      <c r="AL42" s="23">
        <f>'클럭 정리'!O43</f>
        <v/>
      </c>
      <c r="AM42" s="23">
        <f>'클럭 정리'!O43</f>
        <v/>
      </c>
      <c r="AN42" s="23">
        <f>'클럭 정리'!O43</f>
        <v/>
      </c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</row>
    <row r="43">
      <c r="A43" s="21" t="inlineStr">
        <is>
          <t>시각</t>
        </is>
      </c>
      <c r="B43" s="21" t="inlineStr">
        <is>
          <t>ForkJoinPool-15-worker-1</t>
        </is>
      </c>
      <c r="C43" s="21" t="inlineStr">
        <is>
          <t>ForkJoinPool-15-worker-11</t>
        </is>
      </c>
      <c r="D43" s="21" t="inlineStr">
        <is>
          <t>ForkJoinPool-15-worker-12</t>
        </is>
      </c>
      <c r="E43" s="21" t="inlineStr">
        <is>
          <t>ForkJoinPool-15-worker-2</t>
        </is>
      </c>
      <c r="F43" s="21" t="inlineStr">
        <is>
          <t>ForkJoinPool-15-worker-3</t>
        </is>
      </c>
      <c r="G43" s="21" t="inlineStr">
        <is>
          <t>ForkJoinPool-15-worker-4</t>
        </is>
      </c>
      <c r="H43" s="21" t="inlineStr">
        <is>
          <t>ForkJoinPool-15-worker-5</t>
        </is>
      </c>
      <c r="I43" s="21" t="inlineStr">
        <is>
          <t>ForkJoinPool-15-worker-6</t>
        </is>
      </c>
      <c r="J43" s="21" t="inlineStr">
        <is>
          <t>ForkJoinPool-15-worker-7</t>
        </is>
      </c>
      <c r="K43" s="21" t="inlineStr">
        <is>
          <t>ForkJoinPool-15-worker-9</t>
        </is>
      </c>
      <c r="L43" s="21" t="inlineStr">
        <is>
          <t>main</t>
        </is>
      </c>
      <c r="N43" s="24">
        <f>'클럭 정리'!A44</f>
        <v/>
      </c>
      <c r="O43" s="23">
        <f>'클럭 정리'!O44</f>
        <v/>
      </c>
      <c r="P43" s="25" t="n"/>
      <c r="Q43" s="25" t="n"/>
      <c r="R43" s="25" t="n"/>
      <c r="S43" s="25" t="n"/>
      <c r="T43" s="25" t="n"/>
      <c r="U43" s="25" t="n"/>
      <c r="V43" s="23">
        <f>'클럭 정리'!O44</f>
        <v/>
      </c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3">
        <f>'클럭 정리'!O44</f>
        <v/>
      </c>
      <c r="AP43" s="23">
        <f>'클럭 정리'!O44</f>
        <v/>
      </c>
      <c r="AQ43" s="23">
        <f>'클럭 정리'!O44</f>
        <v/>
      </c>
      <c r="AR43" s="23">
        <f>'클럭 정리'!O44</f>
        <v/>
      </c>
      <c r="AS43" s="23">
        <f>'클럭 정리'!O44</f>
        <v/>
      </c>
      <c r="AT43" s="23">
        <f>'클럭 정리'!O44</f>
        <v/>
      </c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</row>
    <row r="44">
      <c r="A44" s="22">
        <f>'클럭 정리'!A54</f>
        <v/>
      </c>
      <c r="B44" s="23">
        <f>'클럭 정리'!O54</f>
        <v/>
      </c>
      <c r="C44" s="23">
        <f>'클럭 정리'!O54</f>
        <v/>
      </c>
      <c r="D44" s="23">
        <f>'클럭 정리'!O54</f>
        <v/>
      </c>
      <c r="E44" s="23">
        <f>'클럭 정리'!O54</f>
        <v/>
      </c>
      <c r="F44" s="25" t="n"/>
      <c r="G44" s="25" t="n"/>
      <c r="H44" s="23">
        <f>'클럭 정리'!O54</f>
        <v/>
      </c>
      <c r="I44" s="25" t="n"/>
      <c r="J44" s="23">
        <f>'클럭 정리'!O54</f>
        <v/>
      </c>
      <c r="K44" s="23">
        <f>'클럭 정리'!O54</f>
        <v/>
      </c>
      <c r="L44" s="23">
        <f>'클럭 정리'!O54</f>
        <v/>
      </c>
      <c r="N44" s="24">
        <f>'클럭 정리'!A45</f>
        <v/>
      </c>
      <c r="O44" s="23">
        <f>'클럭 정리'!O45</f>
        <v/>
      </c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</row>
    <row r="45">
      <c r="N45" s="24">
        <f>'클럭 정리'!A46</f>
        <v/>
      </c>
      <c r="O45" s="23">
        <f>'클럭 정리'!O46</f>
        <v/>
      </c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</row>
    <row r="46">
      <c r="N46" s="24">
        <f>'클럭 정리'!A47</f>
        <v/>
      </c>
      <c r="O46" s="23">
        <f>'클럭 정리'!O47</f>
        <v/>
      </c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</row>
    <row r="47">
      <c r="N47" s="24">
        <f>'클럭 정리'!A48</f>
        <v/>
      </c>
      <c r="O47" s="23">
        <f>'클럭 정리'!O48</f>
        <v/>
      </c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</row>
    <row r="48">
      <c r="N48" s="24">
        <f>'클럭 정리'!A49</f>
        <v/>
      </c>
      <c r="O48" s="23">
        <f>'클럭 정리'!O49</f>
        <v/>
      </c>
      <c r="P48" s="25" t="n"/>
      <c r="Q48" s="25" t="n"/>
      <c r="R48" s="25" t="n"/>
      <c r="S48" s="25" t="n"/>
      <c r="T48" s="25" t="n"/>
      <c r="U48" s="25" t="n"/>
      <c r="V48" s="23">
        <f>'클럭 정리'!O49</f>
        <v/>
      </c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25" t="n"/>
      <c r="AU48" s="23">
        <f>'클럭 정리'!O49</f>
        <v/>
      </c>
      <c r="AV48" s="23">
        <f>'클럭 정리'!O49</f>
        <v/>
      </c>
      <c r="AW48" s="23">
        <f>'클럭 정리'!O49</f>
        <v/>
      </c>
      <c r="AX48" s="23">
        <f>'클럭 정리'!O49</f>
        <v/>
      </c>
      <c r="AY48" s="23">
        <f>'클럭 정리'!O49</f>
        <v/>
      </c>
      <c r="AZ48" s="25" t="n"/>
      <c r="BA48" s="23">
        <f>'클럭 정리'!O49</f>
        <v/>
      </c>
      <c r="BB48" s="25" t="n"/>
      <c r="BC48" s="23">
        <f>'클럭 정리'!O49</f>
        <v/>
      </c>
      <c r="BD48" s="23">
        <f>'클럭 정리'!O49</f>
        <v/>
      </c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</row>
    <row r="49">
      <c r="N49" s="24">
        <f>'클럭 정리'!A50</f>
        <v/>
      </c>
      <c r="O49" s="23">
        <f>'클럭 정리'!O50</f>
        <v/>
      </c>
      <c r="P49" s="25" t="n"/>
      <c r="Q49" s="25" t="n"/>
      <c r="R49" s="25" t="n"/>
      <c r="S49" s="25" t="n"/>
      <c r="T49" s="25" t="n"/>
      <c r="U49" s="25" t="n"/>
      <c r="V49" s="23">
        <f>'클럭 정리'!O50</f>
        <v/>
      </c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3">
        <f>'클럭 정리'!O50</f>
        <v/>
      </c>
      <c r="BF49" s="25" t="n"/>
      <c r="BG49" s="23">
        <f>'클럭 정리'!O50</f>
        <v/>
      </c>
      <c r="BH49" s="23">
        <f>'클럭 정리'!O50</f>
        <v/>
      </c>
      <c r="BI49" s="23">
        <f>'클럭 정리'!O50</f>
        <v/>
      </c>
      <c r="BJ49" s="25" t="n"/>
      <c r="BK49" s="23">
        <f>'클럭 정리'!O50</f>
        <v/>
      </c>
      <c r="BL49" s="23">
        <f>'클럭 정리'!O50</f>
        <v/>
      </c>
      <c r="BM49" s="25" t="n"/>
      <c r="BN49" s="23">
        <f>'클럭 정리'!O50</f>
        <v/>
      </c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</row>
    <row r="50">
      <c r="N50" s="24">
        <f>'클럭 정리'!A51</f>
        <v/>
      </c>
      <c r="O50" s="23">
        <f>'클럭 정리'!O51</f>
        <v/>
      </c>
      <c r="P50" s="25" t="n"/>
      <c r="Q50" s="25" t="n"/>
      <c r="R50" s="25" t="n"/>
      <c r="S50" s="25" t="n"/>
      <c r="T50" s="25" t="n"/>
      <c r="U50" s="25" t="n"/>
      <c r="V50" s="23">
        <f>'클럭 정리'!O51</f>
        <v/>
      </c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3">
        <f>'클럭 정리'!O51</f>
        <v/>
      </c>
      <c r="BF50" s="23">
        <f>'클럭 정리'!O51</f>
        <v/>
      </c>
      <c r="BG50" s="23">
        <f>'클럭 정리'!O51</f>
        <v/>
      </c>
      <c r="BH50" s="23">
        <f>'클럭 정리'!O51</f>
        <v/>
      </c>
      <c r="BI50" s="23">
        <f>'클럭 정리'!O51</f>
        <v/>
      </c>
      <c r="BJ50" s="25" t="n"/>
      <c r="BK50" s="25" t="n"/>
      <c r="BL50" s="23">
        <f>'클럭 정리'!O51</f>
        <v/>
      </c>
      <c r="BM50" s="25" t="n"/>
      <c r="BN50" s="23">
        <f>'클럭 정리'!O51</f>
        <v/>
      </c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</row>
    <row r="51">
      <c r="N51" s="24">
        <f>'클럭 정리'!A52</f>
        <v/>
      </c>
      <c r="O51" s="23">
        <f>'클럭 정리'!O52</f>
        <v/>
      </c>
      <c r="P51" s="25" t="n"/>
      <c r="Q51" s="25" t="n"/>
      <c r="R51" s="25" t="n"/>
      <c r="S51" s="25" t="n"/>
      <c r="T51" s="25" t="n"/>
      <c r="U51" s="25" t="n"/>
      <c r="V51" s="23">
        <f>'클럭 정리'!O52</f>
        <v/>
      </c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3">
        <f>'클럭 정리'!O52</f>
        <v/>
      </c>
      <c r="BP51" s="23">
        <f>'클럭 정리'!O52</f>
        <v/>
      </c>
      <c r="BQ51" s="23">
        <f>'클럭 정리'!O52</f>
        <v/>
      </c>
      <c r="BR51" s="23">
        <f>'클럭 정리'!O52</f>
        <v/>
      </c>
      <c r="BS51" s="23">
        <f>'클럭 정리'!O52</f>
        <v/>
      </c>
      <c r="BT51" s="25" t="n"/>
      <c r="BU51" s="23">
        <f>'클럭 정리'!O52</f>
        <v/>
      </c>
      <c r="BV51" s="25" t="n"/>
      <c r="BW51" s="23">
        <f>'클럭 정리'!O52</f>
        <v/>
      </c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</row>
    <row r="52">
      <c r="N52" s="24">
        <f>'클럭 정리'!A53</f>
        <v/>
      </c>
      <c r="O52" s="23">
        <f>'클럭 정리'!O53</f>
        <v/>
      </c>
      <c r="P52" s="25" t="n"/>
      <c r="Q52" s="25" t="n"/>
      <c r="R52" s="25" t="n"/>
      <c r="S52" s="25" t="n"/>
      <c r="T52" s="25" t="n"/>
      <c r="U52" s="25" t="n"/>
      <c r="V52" s="23">
        <f>'클럭 정리'!O53</f>
        <v/>
      </c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3">
        <f>'클럭 정리'!O53</f>
        <v/>
      </c>
      <c r="BY52" s="25" t="n"/>
      <c r="BZ52" s="23">
        <f>'클럭 정리'!O53</f>
        <v/>
      </c>
      <c r="CA52" s="23">
        <f>'클럭 정리'!O53</f>
        <v/>
      </c>
      <c r="CB52" s="23">
        <f>'클럭 정리'!O53</f>
        <v/>
      </c>
      <c r="CC52" s="25" t="n"/>
      <c r="CD52" s="23">
        <f>'클럭 정리'!O53</f>
        <v/>
      </c>
      <c r="CE52" s="23">
        <f>'클럭 정리'!O53</f>
        <v/>
      </c>
      <c r="CF52" s="23">
        <f>'클럭 정리'!O53</f>
        <v/>
      </c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</row>
    <row r="53">
      <c r="N53" s="24">
        <f>'클럭 정리'!A54</f>
        <v/>
      </c>
      <c r="O53" s="23">
        <f>'클럭 정리'!O54</f>
        <v/>
      </c>
      <c r="P53" s="25" t="n"/>
      <c r="Q53" s="25" t="n"/>
      <c r="R53" s="25" t="n"/>
      <c r="S53" s="25" t="n"/>
      <c r="T53" s="25" t="n"/>
      <c r="U53" s="25" t="n"/>
      <c r="V53" s="23">
        <f>'클럭 정리'!O54</f>
        <v/>
      </c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3">
        <f>'클럭 정리'!O54</f>
        <v/>
      </c>
      <c r="CH53" s="23">
        <f>'클럭 정리'!O54</f>
        <v/>
      </c>
      <c r="CI53" s="23">
        <f>'클럭 정리'!O54</f>
        <v/>
      </c>
      <c r="CJ53" s="23">
        <f>'클럭 정리'!O54</f>
        <v/>
      </c>
      <c r="CK53" s="25" t="n"/>
      <c r="CL53" s="25" t="n"/>
      <c r="CM53" s="23">
        <f>'클럭 정리'!O54</f>
        <v/>
      </c>
      <c r="CN53" s="25" t="n"/>
      <c r="CO53" s="23">
        <f>'클럭 정리'!O54</f>
        <v/>
      </c>
      <c r="CP53" s="23">
        <f>'클럭 정리'!O54</f>
        <v/>
      </c>
    </row>
    <row r="54">
      <c r="N54" s="24">
        <f>'클럭 정리'!A55</f>
        <v/>
      </c>
      <c r="O54" s="23">
        <f>'클럭 정리'!O55</f>
        <v/>
      </c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</row>
    <row r="55">
      <c r="N55" s="24">
        <f>'클럭 정리'!A56</f>
        <v/>
      </c>
      <c r="O55" s="23">
        <f>'클럭 정리'!O56</f>
        <v/>
      </c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</row>
    <row r="56">
      <c r="N56" s="24">
        <f>'클럭 정리'!A57</f>
        <v/>
      </c>
      <c r="O56" s="23">
        <f>'클럭 정리'!O57</f>
        <v/>
      </c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</row>
    <row r="57">
      <c r="N57" s="24">
        <f>'클럭 정리'!A58</f>
        <v/>
      </c>
      <c r="O57" s="23">
        <f>'클럭 정리'!O58</f>
        <v/>
      </c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</row>
    <row r="58">
      <c r="N58" s="24">
        <f>'클럭 정리'!A59</f>
        <v/>
      </c>
      <c r="O58" s="23">
        <f>'클럭 정리'!O59</f>
        <v/>
      </c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</row>
    <row r="59">
      <c r="N59" s="24">
        <f>'클럭 정리'!A60</f>
        <v/>
      </c>
      <c r="O59" s="23">
        <f>'클럭 정리'!O60</f>
        <v/>
      </c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</row>
    <row r="60">
      <c r="N60" s="24">
        <f>'클럭 정리'!A61</f>
        <v/>
      </c>
      <c r="O60" s="23">
        <f>'클럭 정리'!O61</f>
        <v/>
      </c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</row>
    <row r="61">
      <c r="N61" s="24">
        <f>'클럭 정리'!A62</f>
        <v/>
      </c>
      <c r="O61" s="23">
        <f>'클럭 정리'!O62</f>
        <v/>
      </c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</row>
    <row r="62">
      <c r="N62" s="24">
        <f>'클럭 정리'!A63</f>
        <v/>
      </c>
      <c r="O62" s="23">
        <f>'클럭 정리'!O63</f>
        <v/>
      </c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</row>
    <row r="63">
      <c r="N63" s="24">
        <f>'클럭 정리'!A64</f>
        <v/>
      </c>
      <c r="O63" s="23">
        <f>'클럭 정리'!O64</f>
        <v/>
      </c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</row>
    <row r="64">
      <c r="N64" s="24">
        <f>'클럭 정리'!A65</f>
        <v/>
      </c>
      <c r="O64" s="23">
        <f>'클럭 정리'!O65</f>
        <v/>
      </c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</row>
    <row r="65">
      <c r="N65" s="24">
        <f>'클럭 정리'!A66</f>
        <v/>
      </c>
      <c r="O65" s="23">
        <f>'클럭 정리'!O66</f>
        <v/>
      </c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2026-08-04T02:54:21Z</dcterms:created>
  <dcterms:modified xmlns:dcterms="http://purl.org/dc/terms/" xmlns:xsi="http://www.w3.org/2001/XMLSchema-instance" xsi:type="dcterms:W3CDTF">2026-08-04T02:54:21Z</dcterms:modified>
</cp:coreProperties>
</file>