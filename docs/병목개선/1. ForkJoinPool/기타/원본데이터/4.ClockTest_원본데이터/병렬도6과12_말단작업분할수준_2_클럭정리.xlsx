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devSpace\SpringBootProjects\ExerciseManagement\docs\병목개선\ForkJoinPool\기타\원본데이터\4.ClockTest_원본데이터\"/>
    </mc:Choice>
  </mc:AlternateContent>
  <xr:revisionPtr revIDLastSave="0" documentId="13_ncr:1_{1405F07D-35BC-4CD4-BAB3-50D30CE8D5BE}" xr6:coauthVersionLast="47" xr6:coauthVersionMax="47" xr10:uidLastSave="{00000000-0000-0000-0000-000000000000}"/>
  <bookViews>
    <workbookView xWindow="14295" yWindow="0" windowWidth="14610" windowHeight="15585" activeTab="2" xr2:uid="{00000000-000D-0000-FFFF-FFFF00000000}"/>
  </bookViews>
  <sheets>
    <sheet name="클럭 정리" sheetId="1" r:id="rId1"/>
    <sheet name="구간과 스레드 매핑" sheetId="2" r:id="rId2"/>
    <sheet name="스레드별 클럭" sheetId="3" r:id="rId3"/>
    <sheet name="회차별 측정값" sheetId="4" r:id="rId4"/>
    <sheet name="차트" sheetId="5" r:id="rId5"/>
    <sheet name="차트 데이터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6" i="6" l="1"/>
  <c r="J75" i="6"/>
  <c r="J74" i="6"/>
  <c r="J73" i="6"/>
  <c r="J72" i="6"/>
  <c r="J71" i="6"/>
  <c r="J70" i="6"/>
  <c r="J69" i="6"/>
  <c r="J68" i="6"/>
  <c r="J67" i="6"/>
  <c r="K66" i="6"/>
  <c r="J66" i="6"/>
  <c r="K65" i="6"/>
  <c r="J65" i="6"/>
  <c r="AU64" i="6"/>
  <c r="AP64" i="6"/>
  <c r="N64" i="6"/>
  <c r="K64" i="6"/>
  <c r="J64" i="6"/>
  <c r="AT63" i="6"/>
  <c r="AP63" i="6"/>
  <c r="N63" i="6"/>
  <c r="K63" i="6"/>
  <c r="J63" i="6"/>
  <c r="AN62" i="6"/>
  <c r="AL62" i="6"/>
  <c r="N62" i="6"/>
  <c r="K62" i="6"/>
  <c r="J62" i="6"/>
  <c r="AN61" i="6"/>
  <c r="AL61" i="6"/>
  <c r="N61" i="6"/>
  <c r="K61" i="6"/>
  <c r="J61" i="6"/>
  <c r="AK60" i="6"/>
  <c r="AG60" i="6"/>
  <c r="N60" i="6"/>
  <c r="K60" i="6"/>
  <c r="J60" i="6"/>
  <c r="AJ59" i="6"/>
  <c r="AG59" i="6"/>
  <c r="N59" i="6"/>
  <c r="K59" i="6"/>
  <c r="J59" i="6"/>
  <c r="AF58" i="6"/>
  <c r="AD58" i="6"/>
  <c r="N58" i="6"/>
  <c r="K58" i="6"/>
  <c r="J58" i="6"/>
  <c r="AE57" i="6"/>
  <c r="AD57" i="6"/>
  <c r="K57" i="6"/>
  <c r="J57" i="6"/>
  <c r="AC56" i="6"/>
  <c r="AB56" i="6"/>
  <c r="N56" i="6"/>
  <c r="K56" i="6"/>
  <c r="J56" i="6"/>
  <c r="AB55" i="6"/>
  <c r="Y55" i="6"/>
  <c r="N55" i="6"/>
  <c r="K55" i="6"/>
  <c r="J55" i="6"/>
  <c r="K54" i="6"/>
  <c r="J54" i="6"/>
  <c r="K53" i="6"/>
  <c r="J53" i="6"/>
  <c r="K52" i="6"/>
  <c r="J52" i="6"/>
  <c r="H52" i="6"/>
  <c r="G52" i="6"/>
  <c r="B52" i="6"/>
  <c r="A52" i="6"/>
  <c r="K51" i="6"/>
  <c r="J51" i="6"/>
  <c r="H51" i="6"/>
  <c r="F51" i="6"/>
  <c r="B51" i="6"/>
  <c r="A51" i="6"/>
  <c r="K50" i="6"/>
  <c r="J50" i="6"/>
  <c r="K49" i="6"/>
  <c r="J49" i="6"/>
  <c r="X48" i="6"/>
  <c r="V48" i="6"/>
  <c r="N48" i="6"/>
  <c r="K48" i="6"/>
  <c r="J48" i="6"/>
  <c r="X47" i="6"/>
  <c r="V47" i="6"/>
  <c r="N47" i="6"/>
  <c r="K47" i="6"/>
  <c r="J47" i="6"/>
  <c r="F47" i="6"/>
  <c r="D47" i="6"/>
  <c r="B47" i="6"/>
  <c r="A47" i="6"/>
  <c r="U46" i="6"/>
  <c r="T46" i="6"/>
  <c r="N46" i="6"/>
  <c r="K46" i="6"/>
  <c r="J46" i="6"/>
  <c r="F46" i="6"/>
  <c r="D46" i="6"/>
  <c r="B46" i="6"/>
  <c r="A46" i="6"/>
  <c r="U45" i="6"/>
  <c r="T45" i="6"/>
  <c r="N45" i="6"/>
  <c r="K45" i="6"/>
  <c r="J45" i="6"/>
  <c r="R44" i="6"/>
  <c r="N44" i="6"/>
  <c r="K44" i="6"/>
  <c r="J44" i="6"/>
  <c r="S43" i="6"/>
  <c r="R43" i="6"/>
  <c r="N43" i="6"/>
  <c r="K43" i="6"/>
  <c r="J43" i="6"/>
  <c r="S42" i="6"/>
  <c r="R42" i="6"/>
  <c r="N42" i="6"/>
  <c r="K42" i="6"/>
  <c r="J42" i="6"/>
  <c r="G42" i="6"/>
  <c r="F42" i="6"/>
  <c r="B42" i="6"/>
  <c r="A42" i="6"/>
  <c r="Q41" i="6"/>
  <c r="O41" i="6"/>
  <c r="N41" i="6"/>
  <c r="K41" i="6"/>
  <c r="J41" i="6"/>
  <c r="G41" i="6"/>
  <c r="E41" i="6"/>
  <c r="B41" i="6"/>
  <c r="A41" i="6"/>
  <c r="P40" i="6"/>
  <c r="O40" i="6"/>
  <c r="N40" i="6"/>
  <c r="K40" i="6"/>
  <c r="J40" i="6"/>
  <c r="N39" i="6"/>
  <c r="M39" i="6"/>
  <c r="L39" i="6"/>
  <c r="K39" i="6"/>
  <c r="J39" i="6"/>
  <c r="N38" i="6"/>
  <c r="M38" i="6"/>
  <c r="L38" i="6"/>
  <c r="K38" i="6"/>
  <c r="J38" i="6"/>
  <c r="K37" i="6"/>
  <c r="J37" i="6"/>
  <c r="E37" i="6"/>
  <c r="D37" i="6"/>
  <c r="B37" i="6"/>
  <c r="A37" i="6"/>
  <c r="K36" i="6"/>
  <c r="J36" i="6"/>
  <c r="E36" i="6"/>
  <c r="C36" i="6"/>
  <c r="B36" i="6"/>
  <c r="A36" i="6"/>
  <c r="K35" i="6"/>
  <c r="J35" i="6"/>
  <c r="K34" i="6"/>
  <c r="J34" i="6"/>
  <c r="K33" i="6"/>
  <c r="J33" i="6"/>
  <c r="J32" i="6"/>
  <c r="G32" i="6"/>
  <c r="F32" i="6"/>
  <c r="E32" i="6"/>
  <c r="A32" i="6"/>
  <c r="K31" i="6"/>
  <c r="J31" i="6"/>
  <c r="G31" i="6"/>
  <c r="E31" i="6"/>
  <c r="B31" i="6"/>
  <c r="A31" i="6"/>
  <c r="K30" i="6"/>
  <c r="J30" i="6"/>
  <c r="K29" i="6"/>
  <c r="J29" i="6"/>
  <c r="K28" i="6"/>
  <c r="J28" i="6"/>
  <c r="K27" i="6"/>
  <c r="J27" i="6"/>
  <c r="E27" i="6"/>
  <c r="D27" i="6"/>
  <c r="B27" i="6"/>
  <c r="A27" i="6"/>
  <c r="K26" i="6"/>
  <c r="J26" i="6"/>
  <c r="E26" i="6"/>
  <c r="D26" i="6"/>
  <c r="B26" i="6"/>
  <c r="A26" i="6"/>
  <c r="K25" i="6"/>
  <c r="J25" i="6"/>
  <c r="K24" i="6"/>
  <c r="J24" i="6"/>
  <c r="K23" i="6"/>
  <c r="J23" i="6"/>
  <c r="K22" i="6"/>
  <c r="J22" i="6"/>
  <c r="D22" i="6"/>
  <c r="C22" i="6"/>
  <c r="B22" i="6"/>
  <c r="A22" i="6"/>
  <c r="K21" i="6"/>
  <c r="J21" i="6"/>
  <c r="D21" i="6"/>
  <c r="C21" i="6"/>
  <c r="B21" i="6"/>
  <c r="A21" i="6"/>
  <c r="K20" i="6"/>
  <c r="J20" i="6"/>
  <c r="K19" i="6"/>
  <c r="J19" i="6"/>
  <c r="K18" i="6"/>
  <c r="J18" i="6"/>
  <c r="K17" i="6"/>
  <c r="J17" i="6"/>
  <c r="D17" i="6"/>
  <c r="C17" i="6"/>
  <c r="B17" i="6"/>
  <c r="A17" i="6"/>
  <c r="K16" i="6"/>
  <c r="J16" i="6"/>
  <c r="C16" i="6"/>
  <c r="B16" i="6"/>
  <c r="A16" i="6"/>
  <c r="J15" i="6"/>
  <c r="D15" i="6"/>
  <c r="C15" i="6"/>
  <c r="B15" i="6"/>
  <c r="A15" i="6"/>
  <c r="J14" i="6"/>
  <c r="J13" i="6"/>
  <c r="J12" i="6"/>
  <c r="J11" i="6"/>
  <c r="E11" i="6"/>
  <c r="D11" i="6"/>
  <c r="B11" i="6"/>
  <c r="A11" i="6"/>
  <c r="J10" i="6"/>
  <c r="E10" i="6"/>
  <c r="C10" i="6"/>
  <c r="B10" i="6"/>
  <c r="A10" i="6"/>
  <c r="J9" i="6"/>
  <c r="J8" i="6"/>
  <c r="J7" i="6"/>
  <c r="J6" i="6"/>
  <c r="D6" i="6"/>
  <c r="C6" i="6"/>
  <c r="B6" i="6"/>
  <c r="A6" i="6"/>
  <c r="K5" i="6"/>
  <c r="J5" i="6"/>
  <c r="D5" i="6"/>
  <c r="C5" i="6"/>
  <c r="B5" i="6"/>
  <c r="A5" i="6"/>
  <c r="M19" i="4"/>
  <c r="G19" i="4"/>
  <c r="M18" i="4"/>
  <c r="G18" i="4"/>
  <c r="M17" i="4"/>
  <c r="G17" i="4"/>
  <c r="M16" i="4"/>
  <c r="G16" i="4"/>
  <c r="M15" i="4"/>
  <c r="G15" i="4"/>
  <c r="M14" i="4"/>
  <c r="G14" i="4"/>
  <c r="M13" i="4"/>
  <c r="G13" i="4"/>
  <c r="M12" i="4"/>
  <c r="G12" i="4"/>
  <c r="M11" i="4"/>
  <c r="G11" i="4"/>
  <c r="M10" i="4"/>
  <c r="G10" i="4"/>
  <c r="G9" i="4"/>
  <c r="G8" i="4"/>
  <c r="G7" i="4"/>
  <c r="G6" i="4"/>
  <c r="G5" i="4"/>
  <c r="H97" i="3"/>
  <c r="G97" i="3"/>
  <c r="F97" i="3"/>
  <c r="H96" i="3"/>
  <c r="G96" i="3"/>
  <c r="F96" i="3"/>
  <c r="H95" i="3"/>
  <c r="G95" i="3"/>
  <c r="F95" i="3"/>
  <c r="H94" i="3"/>
  <c r="G94" i="3"/>
  <c r="F94" i="3"/>
  <c r="H93" i="3"/>
  <c r="G93" i="3"/>
  <c r="F93" i="3"/>
  <c r="H92" i="3"/>
  <c r="G92" i="3"/>
  <c r="F92" i="3"/>
  <c r="H91" i="3"/>
  <c r="G91" i="3"/>
  <c r="F91" i="3"/>
  <c r="H90" i="3"/>
  <c r="G90" i="3"/>
  <c r="F90" i="3"/>
  <c r="H89" i="3"/>
  <c r="G89" i="3"/>
  <c r="F89" i="3"/>
  <c r="H88" i="3"/>
  <c r="G88" i="3"/>
  <c r="F88" i="3"/>
  <c r="H87" i="3"/>
  <c r="G87" i="3"/>
  <c r="F87" i="3"/>
  <c r="H86" i="3"/>
  <c r="G86" i="3"/>
  <c r="F86" i="3"/>
  <c r="G85" i="3"/>
  <c r="F85" i="3"/>
  <c r="H84" i="3"/>
  <c r="G84" i="3"/>
  <c r="F84" i="3"/>
  <c r="H83" i="3"/>
  <c r="G83" i="3"/>
  <c r="F83" i="3"/>
  <c r="H82" i="3"/>
  <c r="G82" i="3"/>
  <c r="F82" i="3"/>
  <c r="H81" i="3"/>
  <c r="G81" i="3"/>
  <c r="F81" i="3"/>
  <c r="H80" i="3"/>
  <c r="G80" i="3"/>
  <c r="F80" i="3"/>
  <c r="H79" i="3"/>
  <c r="G79" i="3"/>
  <c r="F79" i="3"/>
  <c r="H78" i="3"/>
  <c r="G78" i="3"/>
  <c r="F78" i="3"/>
  <c r="H77" i="3"/>
  <c r="G77" i="3"/>
  <c r="F77" i="3"/>
  <c r="H76" i="3"/>
  <c r="G76" i="3"/>
  <c r="F76" i="3"/>
  <c r="H75" i="3"/>
  <c r="G75" i="3"/>
  <c r="F75" i="3"/>
  <c r="H74" i="3"/>
  <c r="G74" i="3"/>
  <c r="F74" i="3"/>
  <c r="H73" i="3"/>
  <c r="G73" i="3"/>
  <c r="F73" i="3"/>
  <c r="H72" i="3"/>
  <c r="G72" i="3"/>
  <c r="F72" i="3"/>
  <c r="H71" i="3"/>
  <c r="G71" i="3"/>
  <c r="F71" i="3"/>
  <c r="H70" i="3"/>
  <c r="G70" i="3"/>
  <c r="F70" i="3"/>
  <c r="H69" i="3"/>
  <c r="G69" i="3"/>
  <c r="F69" i="3"/>
  <c r="H68" i="3"/>
  <c r="G68" i="3"/>
  <c r="F68" i="3"/>
  <c r="H67" i="3"/>
  <c r="G67" i="3"/>
  <c r="F67" i="3"/>
  <c r="H66" i="3"/>
  <c r="G66" i="3"/>
  <c r="F66" i="3"/>
  <c r="G65" i="3"/>
  <c r="F65" i="3"/>
  <c r="H64" i="3"/>
  <c r="G64" i="3"/>
  <c r="F64" i="3"/>
  <c r="H63" i="3"/>
  <c r="G63" i="3"/>
  <c r="F63" i="3"/>
  <c r="H62" i="3"/>
  <c r="G62" i="3"/>
  <c r="F62" i="3"/>
  <c r="H61" i="3"/>
  <c r="G61" i="3"/>
  <c r="F61" i="3"/>
  <c r="H60" i="3"/>
  <c r="G60" i="3"/>
  <c r="F60" i="3"/>
  <c r="H59" i="3"/>
  <c r="G59" i="3"/>
  <c r="F59" i="3"/>
  <c r="H58" i="3"/>
  <c r="G58" i="3"/>
  <c r="F58" i="3"/>
  <c r="H57" i="3"/>
  <c r="G57" i="3"/>
  <c r="F57" i="3"/>
  <c r="H56" i="3"/>
  <c r="G56" i="3"/>
  <c r="F56" i="3"/>
  <c r="J50" i="3"/>
  <c r="K50" i="3" s="1"/>
  <c r="I50" i="3"/>
  <c r="J49" i="3"/>
  <c r="K49" i="3" s="1"/>
  <c r="I49" i="3"/>
  <c r="J48" i="3"/>
  <c r="K48" i="3" s="1"/>
  <c r="I48" i="3"/>
  <c r="J47" i="3"/>
  <c r="K47" i="3" s="1"/>
  <c r="I47" i="3"/>
  <c r="J46" i="3"/>
  <c r="K46" i="3" s="1"/>
  <c r="I46" i="3"/>
  <c r="J45" i="3"/>
  <c r="K45" i="3" s="1"/>
  <c r="I45" i="3"/>
  <c r="J44" i="3"/>
  <c r="K44" i="3" s="1"/>
  <c r="I44" i="3"/>
  <c r="J43" i="3"/>
  <c r="K43" i="3" s="1"/>
  <c r="I43" i="3"/>
  <c r="J42" i="3"/>
  <c r="K42" i="3" s="1"/>
  <c r="I42" i="3"/>
  <c r="J41" i="3"/>
  <c r="K41" i="3" s="1"/>
  <c r="I41" i="3"/>
  <c r="J40" i="3"/>
  <c r="K40" i="3" s="1"/>
  <c r="I40" i="3"/>
  <c r="J39" i="3"/>
  <c r="K39" i="3" s="1"/>
  <c r="I39" i="3"/>
  <c r="J38" i="3"/>
  <c r="K38" i="3" s="1"/>
  <c r="I38" i="3"/>
  <c r="J37" i="3"/>
  <c r="K37" i="3" s="1"/>
  <c r="I37" i="3"/>
  <c r="J36" i="3"/>
  <c r="K36" i="3" s="1"/>
  <c r="I36" i="3"/>
  <c r="J35" i="3"/>
  <c r="K35" i="3" s="1"/>
  <c r="I35" i="3"/>
  <c r="J34" i="3"/>
  <c r="K34" i="3" s="1"/>
  <c r="I34" i="3"/>
  <c r="J33" i="3"/>
  <c r="K33" i="3" s="1"/>
  <c r="I33" i="3"/>
  <c r="J32" i="3"/>
  <c r="K32" i="3" s="1"/>
  <c r="I32" i="3"/>
  <c r="J31" i="3"/>
  <c r="K31" i="3" s="1"/>
  <c r="I31" i="3"/>
  <c r="J30" i="3"/>
  <c r="K30" i="3" s="1"/>
  <c r="I30" i="3"/>
  <c r="J29" i="3"/>
  <c r="K29" i="3" s="1"/>
  <c r="I29" i="3"/>
  <c r="J28" i="3"/>
  <c r="K28" i="3" s="1"/>
  <c r="I28" i="3"/>
  <c r="J27" i="3"/>
  <c r="K27" i="3" s="1"/>
  <c r="I27" i="3"/>
  <c r="J26" i="3"/>
  <c r="K26" i="3" s="1"/>
  <c r="I26" i="3"/>
  <c r="J25" i="3"/>
  <c r="K25" i="3" s="1"/>
  <c r="I25" i="3"/>
  <c r="J24" i="3"/>
  <c r="K24" i="3" s="1"/>
  <c r="I24" i="3"/>
  <c r="J23" i="3"/>
  <c r="K23" i="3" s="1"/>
  <c r="I23" i="3"/>
  <c r="J22" i="3"/>
  <c r="K22" i="3" s="1"/>
  <c r="I22" i="3"/>
  <c r="J21" i="3"/>
  <c r="K21" i="3" s="1"/>
  <c r="I21" i="3"/>
  <c r="K20" i="3"/>
  <c r="J20" i="3"/>
  <c r="I20" i="3"/>
  <c r="J19" i="3"/>
  <c r="K19" i="3" s="1"/>
  <c r="I19" i="3"/>
  <c r="J18" i="3"/>
  <c r="K18" i="3" s="1"/>
  <c r="I18" i="3"/>
  <c r="J17" i="3"/>
  <c r="K17" i="3" s="1"/>
  <c r="I17" i="3"/>
  <c r="J16" i="3"/>
  <c r="K16" i="3" s="1"/>
  <c r="I16" i="3"/>
  <c r="J15" i="3"/>
  <c r="K15" i="3" s="1"/>
  <c r="I15" i="3"/>
  <c r="J14" i="3"/>
  <c r="K14" i="3" s="1"/>
  <c r="I14" i="3"/>
  <c r="J13" i="3"/>
  <c r="K13" i="3" s="1"/>
  <c r="I13" i="3"/>
  <c r="J12" i="3"/>
  <c r="K12" i="3" s="1"/>
  <c r="I12" i="3"/>
  <c r="J11" i="3"/>
  <c r="K11" i="3" s="1"/>
  <c r="I11" i="3"/>
  <c r="J10" i="3"/>
  <c r="K10" i="3" s="1"/>
  <c r="I10" i="3"/>
  <c r="J9" i="3"/>
  <c r="K9" i="3" s="1"/>
  <c r="I9" i="3"/>
  <c r="J8" i="3"/>
  <c r="K8" i="3" s="1"/>
  <c r="I8" i="3"/>
  <c r="J7" i="3"/>
  <c r="K7" i="3" s="1"/>
  <c r="I7" i="3"/>
  <c r="J6" i="3"/>
  <c r="K6" i="3" s="1"/>
  <c r="I6" i="3"/>
  <c r="G22" i="2"/>
  <c r="H22" i="2" s="1"/>
  <c r="D11" i="5" s="1"/>
  <c r="F22" i="2"/>
  <c r="D22" i="2"/>
  <c r="G21" i="2"/>
  <c r="H21" i="2" s="1"/>
  <c r="D10" i="5" s="1"/>
  <c r="F21" i="2"/>
  <c r="D21" i="2"/>
  <c r="G20" i="2"/>
  <c r="H20" i="2" s="1"/>
  <c r="D9" i="5" s="1"/>
  <c r="F20" i="2"/>
  <c r="D20" i="2"/>
  <c r="G19" i="2"/>
  <c r="H19" i="2" s="1"/>
  <c r="D8" i="5" s="1"/>
  <c r="F19" i="2"/>
  <c r="D19" i="2"/>
  <c r="H18" i="2"/>
  <c r="D7" i="5" s="1"/>
  <c r="G18" i="2"/>
  <c r="F18" i="2"/>
  <c r="D18" i="2"/>
  <c r="G17" i="2"/>
  <c r="H17" i="2" s="1"/>
  <c r="D6" i="5" s="1"/>
  <c r="F17" i="2"/>
  <c r="D17" i="2"/>
  <c r="G16" i="2"/>
  <c r="H16" i="2" s="1"/>
  <c r="D5" i="5" s="1"/>
  <c r="F16" i="2"/>
  <c r="D16" i="2"/>
  <c r="G15" i="2"/>
  <c r="H15" i="2" s="1"/>
  <c r="D4" i="5" s="1"/>
  <c r="F15" i="2"/>
  <c r="D15" i="2"/>
  <c r="G14" i="2"/>
  <c r="H14" i="2" s="1"/>
  <c r="C11" i="5" s="1"/>
  <c r="F14" i="2"/>
  <c r="D14" i="2"/>
  <c r="G13" i="2"/>
  <c r="H13" i="2" s="1"/>
  <c r="C10" i="5" s="1"/>
  <c r="F13" i="2"/>
  <c r="D13" i="2"/>
  <c r="G12" i="2"/>
  <c r="H12" i="2" s="1"/>
  <c r="C9" i="5" s="1"/>
  <c r="F12" i="2"/>
  <c r="D12" i="2"/>
  <c r="G11" i="2"/>
  <c r="H11" i="2" s="1"/>
  <c r="C8" i="5" s="1"/>
  <c r="F11" i="2"/>
  <c r="D11" i="2"/>
  <c r="G10" i="2"/>
  <c r="H10" i="2" s="1"/>
  <c r="C7" i="5" s="1"/>
  <c r="F10" i="2"/>
  <c r="D10" i="2"/>
  <c r="G9" i="2"/>
  <c r="H9" i="2" s="1"/>
  <c r="C6" i="5" s="1"/>
  <c r="F9" i="2"/>
  <c r="D9" i="2"/>
  <c r="G8" i="2"/>
  <c r="H8" i="2" s="1"/>
  <c r="C5" i="5" s="1"/>
  <c r="F8" i="2"/>
  <c r="D8" i="2"/>
  <c r="G7" i="2"/>
  <c r="H7" i="2" s="1"/>
  <c r="C4" i="5" s="1"/>
  <c r="F7" i="2"/>
  <c r="D7" i="2"/>
  <c r="G6" i="2"/>
  <c r="H6" i="2" s="1"/>
  <c r="B4" i="5" s="1"/>
  <c r="F6" i="2"/>
  <c r="D6" i="2"/>
  <c r="O77" i="1"/>
  <c r="K76" i="6" s="1"/>
  <c r="O76" i="1"/>
  <c r="K75" i="6" s="1"/>
  <c r="O75" i="1"/>
  <c r="K74" i="6" s="1"/>
  <c r="O74" i="1"/>
  <c r="K73" i="6" s="1"/>
  <c r="O73" i="1"/>
  <c r="K72" i="6" s="1"/>
  <c r="O72" i="1"/>
  <c r="K71" i="6" s="1"/>
  <c r="O71" i="1"/>
  <c r="K70" i="6" s="1"/>
  <c r="O70" i="1"/>
  <c r="K69" i="6" s="1"/>
  <c r="O69" i="1"/>
  <c r="K68" i="6" s="1"/>
  <c r="O68" i="1"/>
  <c r="K67" i="6" s="1"/>
  <c r="O67" i="1"/>
  <c r="O66" i="1"/>
  <c r="O65" i="1"/>
  <c r="O64" i="1"/>
  <c r="O63" i="1"/>
  <c r="O62" i="1"/>
  <c r="O61" i="1"/>
  <c r="O60" i="1"/>
  <c r="O59" i="1"/>
  <c r="H85" i="3" s="1"/>
  <c r="O58" i="1"/>
  <c r="N57" i="6" s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S44" i="6" s="1"/>
  <c r="O44" i="1"/>
  <c r="O43" i="1"/>
  <c r="O42" i="1"/>
  <c r="O41" i="1"/>
  <c r="O40" i="1"/>
  <c r="O39" i="1"/>
  <c r="O38" i="1"/>
  <c r="O37" i="1"/>
  <c r="O36" i="1"/>
  <c r="O35" i="1"/>
  <c r="O34" i="1"/>
  <c r="O33" i="1"/>
  <c r="K32" i="6" s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K15" i="6" s="1"/>
  <c r="O15" i="1"/>
  <c r="K14" i="6" s="1"/>
  <c r="O14" i="1"/>
  <c r="K13" i="6" s="1"/>
  <c r="O13" i="1"/>
  <c r="K12" i="6" s="1"/>
  <c r="O12" i="1"/>
  <c r="K11" i="6" s="1"/>
  <c r="O11" i="1"/>
  <c r="K10" i="6" s="1"/>
  <c r="O10" i="1"/>
  <c r="K9" i="6" s="1"/>
  <c r="O9" i="1"/>
  <c r="K8" i="6" s="1"/>
  <c r="O8" i="1"/>
  <c r="K7" i="6" s="1"/>
  <c r="O7" i="1"/>
  <c r="K6" i="6" s="1"/>
  <c r="O6" i="1"/>
  <c r="D16" i="6" l="1"/>
  <c r="H65" i="3"/>
</calcChain>
</file>

<file path=xl/sharedStrings.xml><?xml version="1.0" encoding="utf-8"?>
<sst xmlns="http://schemas.openxmlformats.org/spreadsheetml/2006/main" count="466" uniqueCount="169">
  <si>
    <t>논리 프로세서별 CPU 클럭, 표본 간격은 기록 도구 설정 (typeperf % Processor Performance)</t>
  </si>
  <si>
    <t>기본 클럭(GHz)</t>
  </si>
  <si>
    <t>출처: 작업 관리자 성능 탭의 기본 속도. GHz = 백분율 × 기본 클럭 ÷ 100</t>
  </si>
  <si>
    <t>각 표본은 그 시각까지의 직전 표본 간격 구간의 평균이다. 백분율은 기본 클럭 대비 값이라 터보 구간에서 100을 넘는다.</t>
  </si>
  <si>
    <t>시각</t>
  </si>
  <si>
    <t>논리 0(%)</t>
  </si>
  <si>
    <t>논리 1(%)</t>
  </si>
  <si>
    <t>논리 2(%)</t>
  </si>
  <si>
    <t>논리 3(%)</t>
  </si>
  <si>
    <t>논리 4(%)</t>
  </si>
  <si>
    <t>논리 5(%)</t>
  </si>
  <si>
    <t>논리 6(%)</t>
  </si>
  <si>
    <t>논리 7(%)</t>
  </si>
  <si>
    <t>논리 8(%)</t>
  </si>
  <si>
    <t>논리 9(%)</t>
  </si>
  <si>
    <t>논리 10(%)</t>
  </si>
  <si>
    <t>논리 11(%)</t>
  </si>
  <si>
    <t>전체 평균(%)</t>
  </si>
  <si>
    <t>전체 평균(GHz)</t>
  </si>
  <si>
    <t>테스트 구간별 시각 경계와 실행 스레드, 그 구간의 평균 클럭</t>
  </si>
  <si>
    <t>시각 경계 출처: 전체·워밍업·워커 읽기는 프로브의 [구간 시각] 출력, 측정 회차는 IMPLOG의 시작시각ms(첫 스캔 시작)와 마지막 스캔 시작+바퀴 시간이다.</t>
  </si>
  <si>
    <t>클럭은 논리 프로세서별 값이고 스레드가 어느 프로세서에서 돌았는지는 기록되지 않으므로, 스레드별 대응은 구간 단위까지다. 각 표본이 직전 간격의 평균이라 경계 표본에는 이웃 구간의 몫이 섞일 수 있다.</t>
  </si>
  <si>
    <t>구간</t>
  </si>
  <si>
    <t>시작 시각</t>
  </si>
  <si>
    <t>끝 시각</t>
  </si>
  <si>
    <t>길이(초)</t>
  </si>
  <si>
    <t>실행 스레드</t>
  </si>
  <si>
    <t>표본 수(개)</t>
  </si>
  <si>
    <t>평균 클럭(%)</t>
  </si>
  <si>
    <t>평균 클럭(GHz)</t>
  </si>
  <si>
    <t>순차 전체</t>
  </si>
  <si>
    <t>main (improveSequential, 워밍업+측정)</t>
  </si>
  <si>
    <t>병렬도 6 분할 2 전체</t>
  </si>
  <si>
    <t>워커(호출마다 새 풀)+main</t>
  </si>
  <si>
    <t>병렬도 6 분할 2 워밍업</t>
  </si>
  <si>
    <t>워커 (IMPLOG 기록 없음)</t>
  </si>
  <si>
    <t>병렬도 6 분할 2 측정 1회차</t>
  </si>
  <si>
    <t>ForkJoinPool-3-worker-1, ForkJoinPool-3-worker-2 + main(스캔 사이 순차 구간)</t>
  </si>
  <si>
    <t>병렬도 6 분할 2 측정 2회차</t>
  </si>
  <si>
    <t>ForkJoinPool-4-worker-1, ForkJoinPool-4-worker-2, ForkJoinPool-4-worker-4 + main(스캔 사이 순차 구간)</t>
  </si>
  <si>
    <t>병렬도 6 분할 2 측정 3회차</t>
  </si>
  <si>
    <t>ForkJoinPool-5-worker-1, ForkJoinPool-5-worker-2 + main(스캔 사이 순차 구간)</t>
  </si>
  <si>
    <t>병렬도 6 분할 2 측정 4회차</t>
  </si>
  <si>
    <t>ForkJoinPool-6-worker-1, ForkJoinPool-6-worker-2 + main(스캔 사이 순차 구간)</t>
  </si>
  <si>
    <t>병렬도 6 분할 2 측정 5회차</t>
  </si>
  <si>
    <t>ForkJoinPool-7-worker-1, ForkJoinPool-7-worker-2, ForkJoinPool-7-worker-4 + main(스캔 사이 순차 구간)</t>
  </si>
  <si>
    <t>병렬도 6 분할 2 워커별 CPU 읽기 실행</t>
  </si>
  <si>
    <t>ForkJoinPool-8-worker-1, ForkJoinPool-8-worker-2, ForkJoinPool-8-worker-3, ForkJoinPool-8-worker-4, ForkJoinPool-8-worker-5, ForkJoinPool-8-worker-6 + main</t>
  </si>
  <si>
    <t>병렬도 12 분할 2 전체</t>
  </si>
  <si>
    <t>병렬도 12 분할 2 워밍업</t>
  </si>
  <si>
    <t>병렬도 12 분할 2 측정 1회차</t>
  </si>
  <si>
    <t>ForkJoinPool-11-worker-1, ForkJoinPool-11-worker-2, ForkJoinPool-11-worker-3, ForkJoinPool-11-worker-4, ForkJoinPool-11-worker-6 + main(스캔 사이 순차 구간)</t>
  </si>
  <si>
    <t>병렬도 12 분할 2 측정 2회차</t>
  </si>
  <si>
    <t>ForkJoinPool-12-worker-1, ForkJoinPool-12-worker-2, ForkJoinPool-12-worker-8 + main(스캔 사이 순차 구간)</t>
  </si>
  <si>
    <t>병렬도 12 분할 2 측정 3회차</t>
  </si>
  <si>
    <t>ForkJoinPool-13-worker-1, ForkJoinPool-13-worker-11, ForkJoinPool-13-worker-2, ForkJoinPool-13-worker-4, ForkJoinPool-13-worker-8 + main(스캔 사이 순차 구간)</t>
  </si>
  <si>
    <t>병렬도 12 분할 2 측정 4회차</t>
  </si>
  <si>
    <t>ForkJoinPool-14-worker-1, ForkJoinPool-14-worker-2, ForkJoinPool-14-worker-3, ForkJoinPool-14-worker-7 + main(스캔 사이 순차 구간)</t>
  </si>
  <si>
    <t>병렬도 12 분할 2 측정 5회차</t>
  </si>
  <si>
    <t>ForkJoinPool-15-worker-1, ForkJoinPool-15-worker-10, ForkJoinPool-15-worker-2, ForkJoinPool-15-worker-3, ForkJoinPool-15-worker-4, ForkJoinPool-15-worker-7 + main(스캔 사이 순차 구간)</t>
  </si>
  <si>
    <t>병렬도 12 분할 2 워커별 CPU 읽기 실행</t>
  </si>
  <si>
    <t>ForkJoinPool-16-worker-1, ForkJoinPool-16-worker-2, ForkJoinPool-16-worker-10, ForkJoinPool-16-worker-3, ForkJoinPool-16-worker-4, ForkJoinPool-16-worker-5, ForkJoinPool-16-worker-6, ForkJoinPool-16-worker-7, ForkJoinPool-16-worker-8, ForkJoinPool-16-worker-9, ForkJoinPool-16-worker-11, ForkJoinPool-16-worker-12 + main</t>
  </si>
  <si>
    <t>측정 회차 구간 안의 스레드별 활동 창과 클럭, 그리고 풀별 클럭 표본 매핑</t>
  </si>
  <si>
    <t>활동 창의 출처: 워커는 IMPLOG leaf(첫 말단 시작 ~ 마지막 말단 시작+4중 루프), main은 IMPLOG scan이다. 활동 시간 합은 워커가 4중 루프 경과 시간 합이고, main은 그 회차의 mainCPU(IMPLOG run 레코드, CPU 시간)다. 말단이 2개 이상 겹치면 경과 시간 뺄셈으로는 main 몫이 나오지 않아 실측 CPU 시간으로 바꿨다(2026-08-04). run 레코드가 없는 옛 로그는 main의 이 칸이 빈 칸이고, mainCPU는 Windows 해상도(15.625ms) 계단이라 0으로 찍힐 수 있다.</t>
  </si>
  <si>
    <t>클럭 값은 그 창에 걸린 표본의 전체 프로세서 평균이다. 스레드가 어느 논리 프로세서에서 돌았는지는 기록되지 않으므로 특정 코어의 클럭이 아니다. 워커별 CPU 읽기 실행의 풀은 IMPLOG가 꺼져 있어 이 시트에 없다.</t>
  </si>
  <si>
    <t>회차</t>
  </si>
  <si>
    <t>스레드</t>
  </si>
  <si>
    <t>역할</t>
  </si>
  <si>
    <t>활동 시작</t>
  </si>
  <si>
    <t>활동 끝</t>
  </si>
  <si>
    <t>처리 수(말단/스캔)</t>
  </si>
  <si>
    <t>활동 시간 합(ms)</t>
  </si>
  <si>
    <t>병렬도 6 분할 2</t>
  </si>
  <si>
    <t>ForkJoinPool-3-worker-1</t>
  </si>
  <si>
    <t>워커</t>
  </si>
  <si>
    <t>ForkJoinPool-3-worker-2</t>
  </si>
  <si>
    <t>main</t>
  </si>
  <si>
    <t>main (활동 시간 합 = 그 회차 mainCPU, 창은 워커와 겹침)</t>
  </si>
  <si>
    <t>ForkJoinPool-4-worker-1</t>
  </si>
  <si>
    <t>ForkJoinPool-4-worker-2</t>
  </si>
  <si>
    <t>ForkJoinPool-4-worker-4</t>
  </si>
  <si>
    <t>ForkJoinPool-5-worker-1</t>
  </si>
  <si>
    <t>ForkJoinPool-5-worker-2</t>
  </si>
  <si>
    <t>ForkJoinPool-6-worker-1</t>
  </si>
  <si>
    <t>ForkJoinPool-6-worker-2</t>
  </si>
  <si>
    <t>ForkJoinPool-7-worker-1</t>
  </si>
  <si>
    <t>ForkJoinPool-7-worker-2</t>
  </si>
  <si>
    <t>ForkJoinPool-7-worker-4</t>
  </si>
  <si>
    <t>병렬도 12 분할 2</t>
  </si>
  <si>
    <t>ForkJoinPool-11-worker-1</t>
  </si>
  <si>
    <t>ForkJoinPool-11-worker-2</t>
  </si>
  <si>
    <t>ForkJoinPool-11-worker-3</t>
  </si>
  <si>
    <t>ForkJoinPool-11-worker-4</t>
  </si>
  <si>
    <t>ForkJoinPool-11-worker-6</t>
  </si>
  <si>
    <t>ForkJoinPool-12-worker-1</t>
  </si>
  <si>
    <t>ForkJoinPool-12-worker-2</t>
  </si>
  <si>
    <t>ForkJoinPool-12-worker-8</t>
  </si>
  <si>
    <t>ForkJoinPool-13-worker-1</t>
  </si>
  <si>
    <t>ForkJoinPool-13-worker-11</t>
  </si>
  <si>
    <t>ForkJoinPool-13-worker-2</t>
  </si>
  <si>
    <t>ForkJoinPool-13-worker-4</t>
  </si>
  <si>
    <t>ForkJoinPool-13-worker-8</t>
  </si>
  <si>
    <t>ForkJoinPool-14-worker-1</t>
  </si>
  <si>
    <t>ForkJoinPool-14-worker-2</t>
  </si>
  <si>
    <t>ForkJoinPool-14-worker-3</t>
  </si>
  <si>
    <t>ForkJoinPool-14-worker-7</t>
  </si>
  <si>
    <t>ForkJoinPool-15-worker-1</t>
  </si>
  <si>
    <t>ForkJoinPool-15-worker-10</t>
  </si>
  <si>
    <t>ForkJoinPool-15-worker-2</t>
  </si>
  <si>
    <t>ForkJoinPool-15-worker-3</t>
  </si>
  <si>
    <t>ForkJoinPool-15-worker-4</t>
  </si>
  <si>
    <t>ForkJoinPool-15-worker-7</t>
  </si>
  <si>
    <t>풀·main별 클럭 표본 매핑</t>
  </si>
  <si>
    <t>행 하나가 (풀 또는 main, 그 활동 창에 걸린 클럭 표본 1개)다. 표본 값은 클럭 정리 시트의 해당 행을 참조한다. main의 창은 그 회차 스캔 전체라 같은 회차 풀과 같은 표본에 걸린다.</t>
  </si>
  <si>
    <t>풀/스레드</t>
  </si>
  <si>
    <t>표본 시각</t>
  </si>
  <si>
    <t>표본 클럭(%)</t>
  </si>
  <si>
    <t>표본 클럭(GHz)</t>
  </si>
  <si>
    <t>ForkJoinPool-3</t>
  </si>
  <si>
    <t>ForkJoinPool-4</t>
  </si>
  <si>
    <t>ForkJoinPool-5</t>
  </si>
  <si>
    <t>ForkJoinPool-6</t>
  </si>
  <si>
    <t>ForkJoinPool-7</t>
  </si>
  <si>
    <t>ForkJoinPool-11</t>
  </si>
  <si>
    <t>ForkJoinPool-12</t>
  </si>
  <si>
    <t>ForkJoinPool-13</t>
  </si>
  <si>
    <t>ForkJoinPool-14</t>
  </si>
  <si>
    <t>ForkJoinPool-15</t>
  </si>
  <si>
    <t>측정 회차별 원값 (IMPLOG run 레코드). 프로브 표의 행은 5회 평균이고, 이 시트는 그 5회 각각이다</t>
  </si>
  <si>
    <t>busyCore와 speedup은 파생값이라 로그에 없고 여기서 수식으로 계산한다. busyCore는 procCPU를 elapsed로 나눈 값, speedup은 순차 elapsed의 5회 평균을 그 행의 elapsed로 나눈 값이다. 스레드 CPU 시간(mainCPU 등)은 Windows 해상도(15.625ms) 계단이라 작은 값은 0으로 찍힌다.</t>
  </si>
  <si>
    <t>구현</t>
  </si>
  <si>
    <t>병렬도</t>
  </si>
  <si>
    <t>분할</t>
  </si>
  <si>
    <t>elapsed(ms)</t>
  </si>
  <si>
    <t>procCPU(ms)</t>
  </si>
  <si>
    <t>busyCore(개)</t>
  </si>
  <si>
    <t>mainCPU(ms)</t>
  </si>
  <si>
    <t>workerCPU(ms)</t>
  </si>
  <si>
    <t>기타 자바(ms)</t>
  </si>
  <si>
    <t>자바 아닌(ms)</t>
  </si>
  <si>
    <t>GC(ms)</t>
  </si>
  <si>
    <t>speedup(배)</t>
  </si>
  <si>
    <t>순차</t>
  </si>
  <si>
    <t>-</t>
  </si>
  <si>
    <t>병렬</t>
  </si>
  <si>
    <t>이 시트의 값: '구간과 스레드 매핑' 시트의 평균 클럭(GHz) 열이다. 수식 참조로 그대로 가져왔다</t>
  </si>
  <si>
    <t>차트: 전체 추이 선(전체 평균과 스레드별 선), 구간별 평균 막대, 측정 회차마다 스레드별 클럭 선 그래프다. 스레드별 선은 그 스레드의 활동 창에 걸린 표본만 그린다. 분할 1처럼 창이 겹치면 선도 겹친다. 그래프의 원천 표는 '차트 데이터' 시트에 있다</t>
  </si>
  <si>
    <t>구간 종류</t>
  </si>
  <si>
    <t>전체</t>
  </si>
  <si>
    <t>워밍업</t>
  </si>
  <si>
    <t>측정 1회차</t>
  </si>
  <si>
    <t>측정 2회차</t>
  </si>
  <si>
    <t>측정 3회차</t>
  </si>
  <si>
    <t>측정 4회차</t>
  </si>
  <si>
    <t>측정 5회차</t>
  </si>
  <si>
    <t>워커별 CPU 읽기 실행</t>
  </si>
  <si>
    <t>차트 시트 그래프들의 원천 표다. 값은 전부 '클럭 정리' 시트를 참조하는 수식이고, 여기서는 보기만 한다</t>
  </si>
  <si>
    <t>병렬도 6 분할 2 측정 1회차 (스레드별 클럭, GHz)</t>
  </si>
  <si>
    <t>전체 추이 데이터 (스레드별 선용, GHz)</t>
  </si>
  <si>
    <t>전체 평균</t>
  </si>
  <si>
    <t>병렬도 6 분할 2 측정 2회차 (스레드별 클럭, GHz)</t>
  </si>
  <si>
    <t>병렬도 6 분할 2 측정 3회차 (스레드별 클럭, GHz)</t>
  </si>
  <si>
    <t>병렬도 6 분할 2 측정 4회차 (스레드별 클럭, GHz)</t>
  </si>
  <si>
    <t>병렬도 6 분할 2 측정 5회차 (스레드별 클럭, GHz)</t>
  </si>
  <si>
    <t>병렬도 12 분할 2 측정 1회차 (스레드별 클럭, GHz)</t>
  </si>
  <si>
    <t>병렬도 12 분할 2 측정 2회차 (스레드별 클럭, GHz)</t>
  </si>
  <si>
    <t>병렬도 12 분할 2 측정 3회차 (스레드별 클럭, GHz)</t>
  </si>
  <si>
    <t>병렬도 12 분할 2 측정 4회차 (스레드별 클럭, GHz)</t>
  </si>
  <si>
    <t>병렬도 12 분할 2 측정 5회차 (스레드별 클럭, GHz)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</si>
</sst>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7" formatCode="hh:mm:ss.000"/>
    <numFmt numFmtId="178" formatCode="0.0"/>
    <numFmt numFmtId="179" formatCode="hh:mm:ss"/>
  </numFmts>
  <fonts count="10" x14ac:knownFonts="1">
    <font>
      <sz val="11"/>
      <color theme="1"/>
      <name val="맑은 고딕"/>
      <family val="2"/>
      <scheme val="minor"/>
    </font>
    <font>
      <b/>
      <sz val="11"/>
      <color rgb="FF000000"/>
      <name val="Arial"/>
    </font>
    <font>
      <b/>
      <sz val="10"/>
      <color rgb="FF000000"/>
      <name val="Arial"/>
    </font>
    <font>
      <sz val="10"/>
      <color rgb="FF0000FF"/>
      <name val="Arial"/>
    </font>
    <font>
      <sz val="9"/>
      <color rgb="FF000000"/>
      <name val="Arial"/>
    </font>
    <font>
      <sz val="10"/>
      <color rgb="FF000000"/>
      <name val="Arial"/>
    </font>
    <font>
      <sz val="10"/>
      <color rgb="FF008000"/>
      <name val="Arial"/>
    </font>
    <font>
      <b/>
      <sz val="9"/>
      <color rgb="FF000000"/>
      <name val="Arial"/>
    </font>
    <font>
      <sz val="9"/>
      <color rgb="FF008000"/>
      <name val="Arial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D9D9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0" xfId="0" applyFont="1"/>
    <xf numFmtId="0" fontId="2" fillId="3" borderId="1" xfId="0" applyFont="1" applyFill="1" applyBorder="1"/>
    <xf numFmtId="177" fontId="5" fillId="0" borderId="0" xfId="0" applyNumberFormat="1" applyFont="1"/>
    <xf numFmtId="178" fontId="5" fillId="0" borderId="0" xfId="0" applyNumberFormat="1" applyFont="1"/>
    <xf numFmtId="2" fontId="5" fillId="0" borderId="0" xfId="0" applyNumberFormat="1" applyFont="1"/>
    <xf numFmtId="0" fontId="2" fillId="0" borderId="1" xfId="0" applyFont="1" applyBorder="1"/>
    <xf numFmtId="177" fontId="5" fillId="0" borderId="1" xfId="0" applyNumberFormat="1" applyFont="1" applyBorder="1"/>
    <xf numFmtId="2" fontId="5" fillId="0" borderId="1" xfId="0" applyNumberFormat="1" applyFont="1" applyBorder="1"/>
    <xf numFmtId="0" fontId="4" fillId="0" borderId="1" xfId="0" applyFont="1" applyBorder="1"/>
    <xf numFmtId="0" fontId="5" fillId="0" borderId="1" xfId="0" applyFont="1" applyBorder="1"/>
    <xf numFmtId="178" fontId="5" fillId="0" borderId="1" xfId="0" applyNumberFormat="1" applyFont="1" applyBorder="1"/>
    <xf numFmtId="2" fontId="6" fillId="0" borderId="1" xfId="0" applyNumberFormat="1" applyFont="1" applyBorder="1"/>
    <xf numFmtId="177" fontId="6" fillId="0" borderId="1" xfId="0" applyNumberFormat="1" applyFont="1" applyBorder="1"/>
    <xf numFmtId="178" fontId="6" fillId="0" borderId="1" xfId="0" applyNumberFormat="1" applyFont="1" applyBorder="1"/>
    <xf numFmtId="0" fontId="5" fillId="0" borderId="0" xfId="0" applyFont="1"/>
    <xf numFmtId="0" fontId="2" fillId="3" borderId="0" xfId="0" applyFont="1" applyFill="1"/>
    <xf numFmtId="2" fontId="6" fillId="0" borderId="0" xfId="0" applyNumberFormat="1" applyFont="1"/>
    <xf numFmtId="0" fontId="7" fillId="3" borderId="1" xfId="0" applyFont="1" applyFill="1" applyBorder="1"/>
    <xf numFmtId="177" fontId="8" fillId="0" borderId="1" xfId="0" applyNumberFormat="1" applyFont="1" applyBorder="1"/>
    <xf numFmtId="2" fontId="8" fillId="0" borderId="1" xfId="0" applyNumberFormat="1" applyFont="1" applyBorder="1"/>
    <xf numFmtId="179" fontId="8" fillId="0" borderId="1" xfId="0" applyNumberFormat="1" applyFont="1" applyBorder="1"/>
    <xf numFmtId="0" fontId="0" fillId="0" borderId="1" xfId="0" applyBorder="1"/>
    <xf numFmtId="0" fontId="5" fillId="4" borderId="1" xfId="0" applyFont="1" applyFill="1" applyBorder="1"/>
    <xf numFmtId="0" fontId="4" fillId="4" borderId="1" xfId="0" applyFont="1" applyFill="1" applyBorder="1"/>
    <xf numFmtId="177" fontId="5" fillId="4" borderId="1" xfId="0" applyNumberFormat="1" applyFont="1" applyFill="1" applyBorder="1"/>
    <xf numFmtId="178" fontId="5" fillId="4" borderId="1" xfId="0" applyNumberFormat="1" applyFont="1" applyFill="1" applyBorder="1"/>
    <xf numFmtId="2" fontId="6" fillId="4" borderId="1" xfId="0" applyNumberFormat="1" applyFont="1" applyFill="1" applyBorder="1"/>
    <xf numFmtId="0" fontId="0" fillId="4" borderId="0" xfId="0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ko-KR" altLang="en-US"/>
              <a:t>전체 평균 클럭 추이 </a:t>
            </a:r>
            <a:r>
              <a:rPr lang="en-US" altLang="ko-KR"/>
              <a:t>(</a:t>
            </a:r>
            <a:r>
              <a:rPr lang="ko-KR" altLang="en-US"/>
              <a:t>전체 평균 </a:t>
            </a:r>
            <a:r>
              <a:rPr lang="en-US" altLang="ko-KR"/>
              <a:t>+ </a:t>
            </a:r>
            <a:r>
              <a:rPr lang="ko-KR" altLang="en-US"/>
              <a:t>스레드별</a:t>
            </a:r>
            <a:r>
              <a:rPr lang="en-US" altLang="ko-KR"/>
              <a:t>)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'차트 데이터'!$K$4</c:f>
              <c:strCache>
                <c:ptCount val="1"/>
                <c:pt idx="0">
                  <c:v>전체 평균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'차트 데이터'!$J$5:$J$76</c:f>
              <c:numCache>
                <c:formatCode>hh:mm:ss</c:formatCode>
                <c:ptCount val="72"/>
                <c:pt idx="0">
                  <c:v>46238.447757256938</c:v>
                </c:pt>
                <c:pt idx="1">
                  <c:v>46238.447769004633</c:v>
                </c:pt>
                <c:pt idx="2">
                  <c:v>46238.44778072917</c:v>
                </c:pt>
                <c:pt idx="3">
                  <c:v>46238.44779244213</c:v>
                </c:pt>
                <c:pt idx="4">
                  <c:v>46238.447804178242</c:v>
                </c:pt>
                <c:pt idx="5">
                  <c:v>46238.447815949083</c:v>
                </c:pt>
                <c:pt idx="6">
                  <c:v>46238.447827592587</c:v>
                </c:pt>
                <c:pt idx="7">
                  <c:v>46238.447839224536</c:v>
                </c:pt>
                <c:pt idx="8">
                  <c:v>46238.447850937497</c:v>
                </c:pt>
                <c:pt idx="9">
                  <c:v>46238.447862696761</c:v>
                </c:pt>
                <c:pt idx="10">
                  <c:v>46238.447874398153</c:v>
                </c:pt>
                <c:pt idx="11">
                  <c:v>46238.447886122682</c:v>
                </c:pt>
                <c:pt idx="12">
                  <c:v>46238.447897743063</c:v>
                </c:pt>
                <c:pt idx="13">
                  <c:v>46238.447909502313</c:v>
                </c:pt>
                <c:pt idx="14">
                  <c:v>46238.447921226849</c:v>
                </c:pt>
                <c:pt idx="15">
                  <c:v>46238.447932951392</c:v>
                </c:pt>
                <c:pt idx="16">
                  <c:v>46238.447944722233</c:v>
                </c:pt>
                <c:pt idx="17">
                  <c:v>46238.447956469907</c:v>
                </c:pt>
                <c:pt idx="18">
                  <c:v>46238.447968217602</c:v>
                </c:pt>
                <c:pt idx="19">
                  <c:v>46238.447979872682</c:v>
                </c:pt>
                <c:pt idx="20">
                  <c:v>46238.44799148148</c:v>
                </c:pt>
                <c:pt idx="21">
                  <c:v>46238.448003229169</c:v>
                </c:pt>
                <c:pt idx="22">
                  <c:v>46238.448014849528</c:v>
                </c:pt>
                <c:pt idx="23">
                  <c:v>46238.448026620368</c:v>
                </c:pt>
                <c:pt idx="24">
                  <c:v>46238.448038356481</c:v>
                </c:pt>
                <c:pt idx="25">
                  <c:v>46238.448049965278</c:v>
                </c:pt>
                <c:pt idx="26">
                  <c:v>46238.448061736111</c:v>
                </c:pt>
                <c:pt idx="27">
                  <c:v>46238.448073472216</c:v>
                </c:pt>
                <c:pt idx="28">
                  <c:v>46238.448085231481</c:v>
                </c:pt>
                <c:pt idx="29">
                  <c:v>46238.448097002307</c:v>
                </c:pt>
                <c:pt idx="30">
                  <c:v>46238.448108599543</c:v>
                </c:pt>
                <c:pt idx="31">
                  <c:v>46238.448120347217</c:v>
                </c:pt>
                <c:pt idx="32">
                  <c:v>46238.448132094913</c:v>
                </c:pt>
                <c:pt idx="33">
                  <c:v>46238.448143784721</c:v>
                </c:pt>
                <c:pt idx="34">
                  <c:v>46238.448155532409</c:v>
                </c:pt>
                <c:pt idx="35">
                  <c:v>46238.44816728009</c:v>
                </c:pt>
                <c:pt idx="36">
                  <c:v>46238.448179039347</c:v>
                </c:pt>
                <c:pt idx="37">
                  <c:v>46238.448190798612</c:v>
                </c:pt>
                <c:pt idx="38">
                  <c:v>46238.448202523148</c:v>
                </c:pt>
                <c:pt idx="39">
                  <c:v>46238.448214247677</c:v>
                </c:pt>
                <c:pt idx="40">
                  <c:v>46238.448225983797</c:v>
                </c:pt>
                <c:pt idx="41">
                  <c:v>46238.448237731478</c:v>
                </c:pt>
                <c:pt idx="42">
                  <c:v>46238.44824946759</c:v>
                </c:pt>
                <c:pt idx="43">
                  <c:v>46238.448261215279</c:v>
                </c:pt>
                <c:pt idx="44">
                  <c:v>46238.448272951391</c:v>
                </c:pt>
                <c:pt idx="45">
                  <c:v>46238.448284699072</c:v>
                </c:pt>
                <c:pt idx="46">
                  <c:v>46238.448296446761</c:v>
                </c:pt>
                <c:pt idx="47">
                  <c:v>46238.448308055558</c:v>
                </c:pt>
                <c:pt idx="48">
                  <c:v>46238.448319768519</c:v>
                </c:pt>
                <c:pt idx="49">
                  <c:v>46238.448331493048</c:v>
                </c:pt>
                <c:pt idx="50">
                  <c:v>46238.448343252312</c:v>
                </c:pt>
                <c:pt idx="51">
                  <c:v>46238.448355</c:v>
                </c:pt>
                <c:pt idx="52">
                  <c:v>46238.448366747682</c:v>
                </c:pt>
                <c:pt idx="53">
                  <c:v>46238.448378472232</c:v>
                </c:pt>
                <c:pt idx="54">
                  <c:v>46238.448390196761</c:v>
                </c:pt>
                <c:pt idx="55">
                  <c:v>46238.448401956019</c:v>
                </c:pt>
                <c:pt idx="56">
                  <c:v>46238.448413564824</c:v>
                </c:pt>
                <c:pt idx="57">
                  <c:v>46238.448425312497</c:v>
                </c:pt>
                <c:pt idx="58">
                  <c:v>46238.44843704861</c:v>
                </c:pt>
                <c:pt idx="59">
                  <c:v>46238.448448784722</c:v>
                </c:pt>
                <c:pt idx="60">
                  <c:v>46238.448460509258</c:v>
                </c:pt>
                <c:pt idx="61">
                  <c:v>46238.448472164353</c:v>
                </c:pt>
                <c:pt idx="62">
                  <c:v>46238.448483865737</c:v>
                </c:pt>
                <c:pt idx="63">
                  <c:v>46238.448495613433</c:v>
                </c:pt>
                <c:pt idx="64">
                  <c:v>46238.448507465277</c:v>
                </c:pt>
                <c:pt idx="65">
                  <c:v>46238.448519166668</c:v>
                </c:pt>
                <c:pt idx="66">
                  <c:v>46238.448530856484</c:v>
                </c:pt>
                <c:pt idx="67">
                  <c:v>46238.448542592603</c:v>
                </c:pt>
                <c:pt idx="68">
                  <c:v>46238.448554282397</c:v>
                </c:pt>
                <c:pt idx="69">
                  <c:v>46238.448566006948</c:v>
                </c:pt>
                <c:pt idx="70">
                  <c:v>46238.448577685187</c:v>
                </c:pt>
                <c:pt idx="71">
                  <c:v>46238.448589409723</c:v>
                </c:pt>
              </c:numCache>
            </c:numRef>
          </c:cat>
          <c:val>
            <c:numRef>
              <c:f>'차트 데이터'!$K$5:$K$76</c:f>
              <c:numCache>
                <c:formatCode>0.00</c:formatCode>
                <c:ptCount val="72"/>
                <c:pt idx="0">
                  <c:v>3.9844461116131948</c:v>
                </c:pt>
                <c:pt idx="1">
                  <c:v>4.086325968834867</c:v>
                </c:pt>
                <c:pt idx="2">
                  <c:v>4.0776687172624753</c:v>
                </c:pt>
                <c:pt idx="3">
                  <c:v>4.0946867091731187</c:v>
                </c:pt>
                <c:pt idx="4">
                  <c:v>4.1553620016412509</c:v>
                </c:pt>
                <c:pt idx="5">
                  <c:v>4.1987289901086822</c:v>
                </c:pt>
                <c:pt idx="6">
                  <c:v>4.1767093936940416</c:v>
                </c:pt>
                <c:pt idx="7">
                  <c:v>4.2950732686641659</c:v>
                </c:pt>
                <c:pt idx="8">
                  <c:v>4.1477805627897757</c:v>
                </c:pt>
                <c:pt idx="9">
                  <c:v>4.1536957298983186</c:v>
                </c:pt>
                <c:pt idx="10">
                  <c:v>4.2194735475503329</c:v>
                </c:pt>
                <c:pt idx="11">
                  <c:v>4.1444515906254704</c:v>
                </c:pt>
                <c:pt idx="12">
                  <c:v>4.1352756345373765</c:v>
                </c:pt>
                <c:pt idx="13">
                  <c:v>4.0771339788077192</c:v>
                </c:pt>
                <c:pt idx="14">
                  <c:v>4.0600706001011337</c:v>
                </c:pt>
                <c:pt idx="15">
                  <c:v>4.0966379406141122</c:v>
                </c:pt>
                <c:pt idx="16">
                  <c:v>4.1595917001947802</c:v>
                </c:pt>
                <c:pt idx="17">
                  <c:v>4.2387876071224522</c:v>
                </c:pt>
                <c:pt idx="18">
                  <c:v>4.0879940711200922</c:v>
                </c:pt>
                <c:pt idx="19">
                  <c:v>4.1257623619809083</c:v>
                </c:pt>
                <c:pt idx="20">
                  <c:v>4.1964634082085395</c:v>
                </c:pt>
                <c:pt idx="21">
                  <c:v>4.1733025661368881</c:v>
                </c:pt>
                <c:pt idx="22">
                  <c:v>4.1764718306112174</c:v>
                </c:pt>
                <c:pt idx="23">
                  <c:v>4.209730754083731</c:v>
                </c:pt>
                <c:pt idx="24">
                  <c:v>4.2457281653876215</c:v>
                </c:pt>
                <c:pt idx="25">
                  <c:v>4.210755719847457</c:v>
                </c:pt>
                <c:pt idx="26">
                  <c:v>4.232319076163261</c:v>
                </c:pt>
                <c:pt idx="27">
                  <c:v>4.2516114494589541</c:v>
                </c:pt>
                <c:pt idx="28">
                  <c:v>4.2550684106466887</c:v>
                </c:pt>
                <c:pt idx="29">
                  <c:v>4.2171006959781465</c:v>
                </c:pt>
                <c:pt idx="30">
                  <c:v>4.2656148822340523</c:v>
                </c:pt>
                <c:pt idx="31">
                  <c:v>4.2503675673069514</c:v>
                </c:pt>
                <c:pt idx="32">
                  <c:v>4.2204810891367073</c:v>
                </c:pt>
                <c:pt idx="33">
                  <c:v>4.2047476320377051</c:v>
                </c:pt>
                <c:pt idx="34">
                  <c:v>4.2500202218435206</c:v>
                </c:pt>
                <c:pt idx="35">
                  <c:v>4.2333021212623114</c:v>
                </c:pt>
                <c:pt idx="36">
                  <c:v>4.2704283779012755</c:v>
                </c:pt>
                <c:pt idx="37">
                  <c:v>4.2587368465642683</c:v>
                </c:pt>
                <c:pt idx="38">
                  <c:v>4.232557061698536</c:v>
                </c:pt>
                <c:pt idx="39">
                  <c:v>4.2431879093323746</c:v>
                </c:pt>
                <c:pt idx="40">
                  <c:v>4.2463316583663078</c:v>
                </c:pt>
                <c:pt idx="41">
                  <c:v>4.2407088391165981</c:v>
                </c:pt>
                <c:pt idx="42">
                  <c:v>4.2255423338758389</c:v>
                </c:pt>
                <c:pt idx="43">
                  <c:v>4.2197828861053974</c:v>
                </c:pt>
                <c:pt idx="44">
                  <c:v>4.1534297305433459</c:v>
                </c:pt>
                <c:pt idx="45">
                  <c:v>4.2272821267446341</c:v>
                </c:pt>
                <c:pt idx="46">
                  <c:v>4.212532112433963</c:v>
                </c:pt>
                <c:pt idx="47">
                  <c:v>4.2267886497480234</c:v>
                </c:pt>
                <c:pt idx="48">
                  <c:v>4.2292027279183255</c:v>
                </c:pt>
                <c:pt idx="49">
                  <c:v>4.243046201358065</c:v>
                </c:pt>
                <c:pt idx="50">
                  <c:v>4.2323963987300779</c:v>
                </c:pt>
                <c:pt idx="51">
                  <c:v>4.2159846933454563</c:v>
                </c:pt>
                <c:pt idx="52">
                  <c:v>4.2553699726160206</c:v>
                </c:pt>
                <c:pt idx="53">
                  <c:v>4.2655001099390102</c:v>
                </c:pt>
                <c:pt idx="54">
                  <c:v>4.2473993532147656</c:v>
                </c:pt>
                <c:pt idx="55">
                  <c:v>4.2575302839606879</c:v>
                </c:pt>
                <c:pt idx="56">
                  <c:v>4.2662261341538139</c:v>
                </c:pt>
                <c:pt idx="57">
                  <c:v>4.246641610153131</c:v>
                </c:pt>
                <c:pt idx="58">
                  <c:v>4.247036821133503</c:v>
                </c:pt>
                <c:pt idx="59">
                  <c:v>4.2352709826877408</c:v>
                </c:pt>
                <c:pt idx="60">
                  <c:v>4.2170470800375606</c:v>
                </c:pt>
                <c:pt idx="61">
                  <c:v>4.2123029595770856</c:v>
                </c:pt>
                <c:pt idx="62">
                  <c:v>4.151516831190377</c:v>
                </c:pt>
                <c:pt idx="63">
                  <c:v>4.0833907582875613</c:v>
                </c:pt>
                <c:pt idx="64">
                  <c:v>4.0871564953544075</c:v>
                </c:pt>
                <c:pt idx="65">
                  <c:v>3.9751318233110635</c:v>
                </c:pt>
                <c:pt idx="66">
                  <c:v>4.0000580011161535</c:v>
                </c:pt>
                <c:pt idx="67">
                  <c:v>4.0753481041715585</c:v>
                </c:pt>
                <c:pt idx="68">
                  <c:v>4.0095167826884666</c:v>
                </c:pt>
                <c:pt idx="69">
                  <c:v>3.9252353932236934</c:v>
                </c:pt>
                <c:pt idx="70">
                  <c:v>3.7667522496093886</c:v>
                </c:pt>
                <c:pt idx="71">
                  <c:v>3.9012160464242687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E43-4286-9785-A26771440B0E}"/>
            </c:ext>
          </c:extLst>
        </c:ser>
        <c:ser>
          <c:idx val="1"/>
          <c:order val="1"/>
          <c:tx>
            <c:strRef>
              <c:f>'차트 데이터'!$L$4</c:f>
              <c:strCache>
                <c:ptCount val="1"/>
                <c:pt idx="0">
                  <c:v>ForkJoinPool-3-worker-1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'차트 데이터'!$J$5:$J$76</c:f>
              <c:numCache>
                <c:formatCode>hh:mm:ss</c:formatCode>
                <c:ptCount val="72"/>
                <c:pt idx="0">
                  <c:v>46238.447757256938</c:v>
                </c:pt>
                <c:pt idx="1">
                  <c:v>46238.447769004633</c:v>
                </c:pt>
                <c:pt idx="2">
                  <c:v>46238.44778072917</c:v>
                </c:pt>
                <c:pt idx="3">
                  <c:v>46238.44779244213</c:v>
                </c:pt>
                <c:pt idx="4">
                  <c:v>46238.447804178242</c:v>
                </c:pt>
                <c:pt idx="5">
                  <c:v>46238.447815949083</c:v>
                </c:pt>
                <c:pt idx="6">
                  <c:v>46238.447827592587</c:v>
                </c:pt>
                <c:pt idx="7">
                  <c:v>46238.447839224536</c:v>
                </c:pt>
                <c:pt idx="8">
                  <c:v>46238.447850937497</c:v>
                </c:pt>
                <c:pt idx="9">
                  <c:v>46238.447862696761</c:v>
                </c:pt>
                <c:pt idx="10">
                  <c:v>46238.447874398153</c:v>
                </c:pt>
                <c:pt idx="11">
                  <c:v>46238.447886122682</c:v>
                </c:pt>
                <c:pt idx="12">
                  <c:v>46238.447897743063</c:v>
                </c:pt>
                <c:pt idx="13">
                  <c:v>46238.447909502313</c:v>
                </c:pt>
                <c:pt idx="14">
                  <c:v>46238.447921226849</c:v>
                </c:pt>
                <c:pt idx="15">
                  <c:v>46238.447932951392</c:v>
                </c:pt>
                <c:pt idx="16">
                  <c:v>46238.447944722233</c:v>
                </c:pt>
                <c:pt idx="17">
                  <c:v>46238.447956469907</c:v>
                </c:pt>
                <c:pt idx="18">
                  <c:v>46238.447968217602</c:v>
                </c:pt>
                <c:pt idx="19">
                  <c:v>46238.447979872682</c:v>
                </c:pt>
                <c:pt idx="20">
                  <c:v>46238.44799148148</c:v>
                </c:pt>
                <c:pt idx="21">
                  <c:v>46238.448003229169</c:v>
                </c:pt>
                <c:pt idx="22">
                  <c:v>46238.448014849528</c:v>
                </c:pt>
                <c:pt idx="23">
                  <c:v>46238.448026620368</c:v>
                </c:pt>
                <c:pt idx="24">
                  <c:v>46238.448038356481</c:v>
                </c:pt>
                <c:pt idx="25">
                  <c:v>46238.448049965278</c:v>
                </c:pt>
                <c:pt idx="26">
                  <c:v>46238.448061736111</c:v>
                </c:pt>
                <c:pt idx="27">
                  <c:v>46238.448073472216</c:v>
                </c:pt>
                <c:pt idx="28">
                  <c:v>46238.448085231481</c:v>
                </c:pt>
                <c:pt idx="29">
                  <c:v>46238.448097002307</c:v>
                </c:pt>
                <c:pt idx="30">
                  <c:v>46238.448108599543</c:v>
                </c:pt>
                <c:pt idx="31">
                  <c:v>46238.448120347217</c:v>
                </c:pt>
                <c:pt idx="32">
                  <c:v>46238.448132094913</c:v>
                </c:pt>
                <c:pt idx="33">
                  <c:v>46238.448143784721</c:v>
                </c:pt>
                <c:pt idx="34">
                  <c:v>46238.448155532409</c:v>
                </c:pt>
                <c:pt idx="35">
                  <c:v>46238.44816728009</c:v>
                </c:pt>
                <c:pt idx="36">
                  <c:v>46238.448179039347</c:v>
                </c:pt>
                <c:pt idx="37">
                  <c:v>46238.448190798612</c:v>
                </c:pt>
                <c:pt idx="38">
                  <c:v>46238.448202523148</c:v>
                </c:pt>
                <c:pt idx="39">
                  <c:v>46238.448214247677</c:v>
                </c:pt>
                <c:pt idx="40">
                  <c:v>46238.448225983797</c:v>
                </c:pt>
                <c:pt idx="41">
                  <c:v>46238.448237731478</c:v>
                </c:pt>
                <c:pt idx="42">
                  <c:v>46238.44824946759</c:v>
                </c:pt>
                <c:pt idx="43">
                  <c:v>46238.448261215279</c:v>
                </c:pt>
                <c:pt idx="44">
                  <c:v>46238.448272951391</c:v>
                </c:pt>
                <c:pt idx="45">
                  <c:v>46238.448284699072</c:v>
                </c:pt>
                <c:pt idx="46">
                  <c:v>46238.448296446761</c:v>
                </c:pt>
                <c:pt idx="47">
                  <c:v>46238.448308055558</c:v>
                </c:pt>
                <c:pt idx="48">
                  <c:v>46238.448319768519</c:v>
                </c:pt>
                <c:pt idx="49">
                  <c:v>46238.448331493048</c:v>
                </c:pt>
                <c:pt idx="50">
                  <c:v>46238.448343252312</c:v>
                </c:pt>
                <c:pt idx="51">
                  <c:v>46238.448355</c:v>
                </c:pt>
                <c:pt idx="52">
                  <c:v>46238.448366747682</c:v>
                </c:pt>
                <c:pt idx="53">
                  <c:v>46238.448378472232</c:v>
                </c:pt>
                <c:pt idx="54">
                  <c:v>46238.448390196761</c:v>
                </c:pt>
                <c:pt idx="55">
                  <c:v>46238.448401956019</c:v>
                </c:pt>
                <c:pt idx="56">
                  <c:v>46238.448413564824</c:v>
                </c:pt>
                <c:pt idx="57">
                  <c:v>46238.448425312497</c:v>
                </c:pt>
                <c:pt idx="58">
                  <c:v>46238.44843704861</c:v>
                </c:pt>
                <c:pt idx="59">
                  <c:v>46238.448448784722</c:v>
                </c:pt>
                <c:pt idx="60">
                  <c:v>46238.448460509258</c:v>
                </c:pt>
                <c:pt idx="61">
                  <c:v>46238.448472164353</c:v>
                </c:pt>
                <c:pt idx="62">
                  <c:v>46238.448483865737</c:v>
                </c:pt>
                <c:pt idx="63">
                  <c:v>46238.448495613433</c:v>
                </c:pt>
                <c:pt idx="64">
                  <c:v>46238.448507465277</c:v>
                </c:pt>
                <c:pt idx="65">
                  <c:v>46238.448519166668</c:v>
                </c:pt>
                <c:pt idx="66">
                  <c:v>46238.448530856484</c:v>
                </c:pt>
                <c:pt idx="67">
                  <c:v>46238.448542592603</c:v>
                </c:pt>
                <c:pt idx="68">
                  <c:v>46238.448554282397</c:v>
                </c:pt>
                <c:pt idx="69">
                  <c:v>46238.448566006948</c:v>
                </c:pt>
                <c:pt idx="70">
                  <c:v>46238.448577685187</c:v>
                </c:pt>
                <c:pt idx="71">
                  <c:v>46238.448589409723</c:v>
                </c:pt>
              </c:numCache>
            </c:numRef>
          </c:cat>
          <c:val>
            <c:numRef>
              <c:f>'차트 데이터'!$L$5:$L$76</c:f>
              <c:numCache>
                <c:formatCode>General</c:formatCode>
                <c:ptCount val="72"/>
                <c:pt idx="33" formatCode="0.00">
                  <c:v>4.2047476320377051</c:v>
                </c:pt>
                <c:pt idx="34" formatCode="0.00">
                  <c:v>4.2500202218435206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E43-4286-9785-A26771440B0E}"/>
            </c:ext>
          </c:extLst>
        </c:ser>
        <c:ser>
          <c:idx val="2"/>
          <c:order val="2"/>
          <c:tx>
            <c:strRef>
              <c:f>'차트 데이터'!$M$4</c:f>
              <c:strCache>
                <c:ptCount val="1"/>
                <c:pt idx="0">
                  <c:v>ForkJoinPool-3-worker-2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'차트 데이터'!$J$5:$J$76</c:f>
              <c:numCache>
                <c:formatCode>hh:mm:ss</c:formatCode>
                <c:ptCount val="72"/>
                <c:pt idx="0">
                  <c:v>46238.447757256938</c:v>
                </c:pt>
                <c:pt idx="1">
                  <c:v>46238.447769004633</c:v>
                </c:pt>
                <c:pt idx="2">
                  <c:v>46238.44778072917</c:v>
                </c:pt>
                <c:pt idx="3">
                  <c:v>46238.44779244213</c:v>
                </c:pt>
                <c:pt idx="4">
                  <c:v>46238.447804178242</c:v>
                </c:pt>
                <c:pt idx="5">
                  <c:v>46238.447815949083</c:v>
                </c:pt>
                <c:pt idx="6">
                  <c:v>46238.447827592587</c:v>
                </c:pt>
                <c:pt idx="7">
                  <c:v>46238.447839224536</c:v>
                </c:pt>
                <c:pt idx="8">
                  <c:v>46238.447850937497</c:v>
                </c:pt>
                <c:pt idx="9">
                  <c:v>46238.447862696761</c:v>
                </c:pt>
                <c:pt idx="10">
                  <c:v>46238.447874398153</c:v>
                </c:pt>
                <c:pt idx="11">
                  <c:v>46238.447886122682</c:v>
                </c:pt>
                <c:pt idx="12">
                  <c:v>46238.447897743063</c:v>
                </c:pt>
                <c:pt idx="13">
                  <c:v>46238.447909502313</c:v>
                </c:pt>
                <c:pt idx="14">
                  <c:v>46238.447921226849</c:v>
                </c:pt>
                <c:pt idx="15">
                  <c:v>46238.447932951392</c:v>
                </c:pt>
                <c:pt idx="16">
                  <c:v>46238.447944722233</c:v>
                </c:pt>
                <c:pt idx="17">
                  <c:v>46238.447956469907</c:v>
                </c:pt>
                <c:pt idx="18">
                  <c:v>46238.447968217602</c:v>
                </c:pt>
                <c:pt idx="19">
                  <c:v>46238.447979872682</c:v>
                </c:pt>
                <c:pt idx="20">
                  <c:v>46238.44799148148</c:v>
                </c:pt>
                <c:pt idx="21">
                  <c:v>46238.448003229169</c:v>
                </c:pt>
                <c:pt idx="22">
                  <c:v>46238.448014849528</c:v>
                </c:pt>
                <c:pt idx="23">
                  <c:v>46238.448026620368</c:v>
                </c:pt>
                <c:pt idx="24">
                  <c:v>46238.448038356481</c:v>
                </c:pt>
                <c:pt idx="25">
                  <c:v>46238.448049965278</c:v>
                </c:pt>
                <c:pt idx="26">
                  <c:v>46238.448061736111</c:v>
                </c:pt>
                <c:pt idx="27">
                  <c:v>46238.448073472216</c:v>
                </c:pt>
                <c:pt idx="28">
                  <c:v>46238.448085231481</c:v>
                </c:pt>
                <c:pt idx="29">
                  <c:v>46238.448097002307</c:v>
                </c:pt>
                <c:pt idx="30">
                  <c:v>46238.448108599543</c:v>
                </c:pt>
                <c:pt idx="31">
                  <c:v>46238.448120347217</c:v>
                </c:pt>
                <c:pt idx="32">
                  <c:v>46238.448132094913</c:v>
                </c:pt>
                <c:pt idx="33">
                  <c:v>46238.448143784721</c:v>
                </c:pt>
                <c:pt idx="34">
                  <c:v>46238.448155532409</c:v>
                </c:pt>
                <c:pt idx="35">
                  <c:v>46238.44816728009</c:v>
                </c:pt>
                <c:pt idx="36">
                  <c:v>46238.448179039347</c:v>
                </c:pt>
                <c:pt idx="37">
                  <c:v>46238.448190798612</c:v>
                </c:pt>
                <c:pt idx="38">
                  <c:v>46238.448202523148</c:v>
                </c:pt>
                <c:pt idx="39">
                  <c:v>46238.448214247677</c:v>
                </c:pt>
                <c:pt idx="40">
                  <c:v>46238.448225983797</c:v>
                </c:pt>
                <c:pt idx="41">
                  <c:v>46238.448237731478</c:v>
                </c:pt>
                <c:pt idx="42">
                  <c:v>46238.44824946759</c:v>
                </c:pt>
                <c:pt idx="43">
                  <c:v>46238.448261215279</c:v>
                </c:pt>
                <c:pt idx="44">
                  <c:v>46238.448272951391</c:v>
                </c:pt>
                <c:pt idx="45">
                  <c:v>46238.448284699072</c:v>
                </c:pt>
                <c:pt idx="46">
                  <c:v>46238.448296446761</c:v>
                </c:pt>
                <c:pt idx="47">
                  <c:v>46238.448308055558</c:v>
                </c:pt>
                <c:pt idx="48">
                  <c:v>46238.448319768519</c:v>
                </c:pt>
                <c:pt idx="49">
                  <c:v>46238.448331493048</c:v>
                </c:pt>
                <c:pt idx="50">
                  <c:v>46238.448343252312</c:v>
                </c:pt>
                <c:pt idx="51">
                  <c:v>46238.448355</c:v>
                </c:pt>
                <c:pt idx="52">
                  <c:v>46238.448366747682</c:v>
                </c:pt>
                <c:pt idx="53">
                  <c:v>46238.448378472232</c:v>
                </c:pt>
                <c:pt idx="54">
                  <c:v>46238.448390196761</c:v>
                </c:pt>
                <c:pt idx="55">
                  <c:v>46238.448401956019</c:v>
                </c:pt>
                <c:pt idx="56">
                  <c:v>46238.448413564824</c:v>
                </c:pt>
                <c:pt idx="57">
                  <c:v>46238.448425312497</c:v>
                </c:pt>
                <c:pt idx="58">
                  <c:v>46238.44843704861</c:v>
                </c:pt>
                <c:pt idx="59">
                  <c:v>46238.448448784722</c:v>
                </c:pt>
                <c:pt idx="60">
                  <c:v>46238.448460509258</c:v>
                </c:pt>
                <c:pt idx="61">
                  <c:v>46238.448472164353</c:v>
                </c:pt>
                <c:pt idx="62">
                  <c:v>46238.448483865737</c:v>
                </c:pt>
                <c:pt idx="63">
                  <c:v>46238.448495613433</c:v>
                </c:pt>
                <c:pt idx="64">
                  <c:v>46238.448507465277</c:v>
                </c:pt>
                <c:pt idx="65">
                  <c:v>46238.448519166668</c:v>
                </c:pt>
                <c:pt idx="66">
                  <c:v>46238.448530856484</c:v>
                </c:pt>
                <c:pt idx="67">
                  <c:v>46238.448542592603</c:v>
                </c:pt>
                <c:pt idx="68">
                  <c:v>46238.448554282397</c:v>
                </c:pt>
                <c:pt idx="69">
                  <c:v>46238.448566006948</c:v>
                </c:pt>
                <c:pt idx="70">
                  <c:v>46238.448577685187</c:v>
                </c:pt>
                <c:pt idx="71">
                  <c:v>46238.448589409723</c:v>
                </c:pt>
              </c:numCache>
            </c:numRef>
          </c:cat>
          <c:val>
            <c:numRef>
              <c:f>'차트 데이터'!$M$5:$M$76</c:f>
              <c:numCache>
                <c:formatCode>General</c:formatCode>
                <c:ptCount val="72"/>
                <c:pt idx="33" formatCode="0.00">
                  <c:v>4.2047476320377051</c:v>
                </c:pt>
                <c:pt idx="34" formatCode="0.00">
                  <c:v>4.2500202218435206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EE43-4286-9785-A26771440B0E}"/>
            </c:ext>
          </c:extLst>
        </c:ser>
        <c:ser>
          <c:idx val="3"/>
          <c:order val="3"/>
          <c:tx>
            <c:strRef>
              <c:f>'차트 데이터'!$N$4</c:f>
              <c:strCache>
                <c:ptCount val="1"/>
                <c:pt idx="0">
                  <c:v>main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'차트 데이터'!$J$5:$J$76</c:f>
              <c:numCache>
                <c:formatCode>hh:mm:ss</c:formatCode>
                <c:ptCount val="72"/>
                <c:pt idx="0">
                  <c:v>46238.447757256938</c:v>
                </c:pt>
                <c:pt idx="1">
                  <c:v>46238.447769004633</c:v>
                </c:pt>
                <c:pt idx="2">
                  <c:v>46238.44778072917</c:v>
                </c:pt>
                <c:pt idx="3">
                  <c:v>46238.44779244213</c:v>
                </c:pt>
                <c:pt idx="4">
                  <c:v>46238.447804178242</c:v>
                </c:pt>
                <c:pt idx="5">
                  <c:v>46238.447815949083</c:v>
                </c:pt>
                <c:pt idx="6">
                  <c:v>46238.447827592587</c:v>
                </c:pt>
                <c:pt idx="7">
                  <c:v>46238.447839224536</c:v>
                </c:pt>
                <c:pt idx="8">
                  <c:v>46238.447850937497</c:v>
                </c:pt>
                <c:pt idx="9">
                  <c:v>46238.447862696761</c:v>
                </c:pt>
                <c:pt idx="10">
                  <c:v>46238.447874398153</c:v>
                </c:pt>
                <c:pt idx="11">
                  <c:v>46238.447886122682</c:v>
                </c:pt>
                <c:pt idx="12">
                  <c:v>46238.447897743063</c:v>
                </c:pt>
                <c:pt idx="13">
                  <c:v>46238.447909502313</c:v>
                </c:pt>
                <c:pt idx="14">
                  <c:v>46238.447921226849</c:v>
                </c:pt>
                <c:pt idx="15">
                  <c:v>46238.447932951392</c:v>
                </c:pt>
                <c:pt idx="16">
                  <c:v>46238.447944722233</c:v>
                </c:pt>
                <c:pt idx="17">
                  <c:v>46238.447956469907</c:v>
                </c:pt>
                <c:pt idx="18">
                  <c:v>46238.447968217602</c:v>
                </c:pt>
                <c:pt idx="19">
                  <c:v>46238.447979872682</c:v>
                </c:pt>
                <c:pt idx="20">
                  <c:v>46238.44799148148</c:v>
                </c:pt>
                <c:pt idx="21">
                  <c:v>46238.448003229169</c:v>
                </c:pt>
                <c:pt idx="22">
                  <c:v>46238.448014849528</c:v>
                </c:pt>
                <c:pt idx="23">
                  <c:v>46238.448026620368</c:v>
                </c:pt>
                <c:pt idx="24">
                  <c:v>46238.448038356481</c:v>
                </c:pt>
                <c:pt idx="25">
                  <c:v>46238.448049965278</c:v>
                </c:pt>
                <c:pt idx="26">
                  <c:v>46238.448061736111</c:v>
                </c:pt>
                <c:pt idx="27">
                  <c:v>46238.448073472216</c:v>
                </c:pt>
                <c:pt idx="28">
                  <c:v>46238.448085231481</c:v>
                </c:pt>
                <c:pt idx="29">
                  <c:v>46238.448097002307</c:v>
                </c:pt>
                <c:pt idx="30">
                  <c:v>46238.448108599543</c:v>
                </c:pt>
                <c:pt idx="31">
                  <c:v>46238.448120347217</c:v>
                </c:pt>
                <c:pt idx="32">
                  <c:v>46238.448132094913</c:v>
                </c:pt>
                <c:pt idx="33">
                  <c:v>46238.448143784721</c:v>
                </c:pt>
                <c:pt idx="34">
                  <c:v>46238.448155532409</c:v>
                </c:pt>
                <c:pt idx="35">
                  <c:v>46238.44816728009</c:v>
                </c:pt>
                <c:pt idx="36">
                  <c:v>46238.448179039347</c:v>
                </c:pt>
                <c:pt idx="37">
                  <c:v>46238.448190798612</c:v>
                </c:pt>
                <c:pt idx="38">
                  <c:v>46238.448202523148</c:v>
                </c:pt>
                <c:pt idx="39">
                  <c:v>46238.448214247677</c:v>
                </c:pt>
                <c:pt idx="40">
                  <c:v>46238.448225983797</c:v>
                </c:pt>
                <c:pt idx="41">
                  <c:v>46238.448237731478</c:v>
                </c:pt>
                <c:pt idx="42">
                  <c:v>46238.44824946759</c:v>
                </c:pt>
                <c:pt idx="43">
                  <c:v>46238.448261215279</c:v>
                </c:pt>
                <c:pt idx="44">
                  <c:v>46238.448272951391</c:v>
                </c:pt>
                <c:pt idx="45">
                  <c:v>46238.448284699072</c:v>
                </c:pt>
                <c:pt idx="46">
                  <c:v>46238.448296446761</c:v>
                </c:pt>
                <c:pt idx="47">
                  <c:v>46238.448308055558</c:v>
                </c:pt>
                <c:pt idx="48">
                  <c:v>46238.448319768519</c:v>
                </c:pt>
                <c:pt idx="49">
                  <c:v>46238.448331493048</c:v>
                </c:pt>
                <c:pt idx="50">
                  <c:v>46238.448343252312</c:v>
                </c:pt>
                <c:pt idx="51">
                  <c:v>46238.448355</c:v>
                </c:pt>
                <c:pt idx="52">
                  <c:v>46238.448366747682</c:v>
                </c:pt>
                <c:pt idx="53">
                  <c:v>46238.448378472232</c:v>
                </c:pt>
                <c:pt idx="54">
                  <c:v>46238.448390196761</c:v>
                </c:pt>
                <c:pt idx="55">
                  <c:v>46238.448401956019</c:v>
                </c:pt>
                <c:pt idx="56">
                  <c:v>46238.448413564824</c:v>
                </c:pt>
                <c:pt idx="57">
                  <c:v>46238.448425312497</c:v>
                </c:pt>
                <c:pt idx="58">
                  <c:v>46238.44843704861</c:v>
                </c:pt>
                <c:pt idx="59">
                  <c:v>46238.448448784722</c:v>
                </c:pt>
                <c:pt idx="60">
                  <c:v>46238.448460509258</c:v>
                </c:pt>
                <c:pt idx="61">
                  <c:v>46238.448472164353</c:v>
                </c:pt>
                <c:pt idx="62">
                  <c:v>46238.448483865737</c:v>
                </c:pt>
                <c:pt idx="63">
                  <c:v>46238.448495613433</c:v>
                </c:pt>
                <c:pt idx="64">
                  <c:v>46238.448507465277</c:v>
                </c:pt>
                <c:pt idx="65">
                  <c:v>46238.448519166668</c:v>
                </c:pt>
                <c:pt idx="66">
                  <c:v>46238.448530856484</c:v>
                </c:pt>
                <c:pt idx="67">
                  <c:v>46238.448542592603</c:v>
                </c:pt>
                <c:pt idx="68">
                  <c:v>46238.448554282397</c:v>
                </c:pt>
                <c:pt idx="69">
                  <c:v>46238.448566006948</c:v>
                </c:pt>
                <c:pt idx="70">
                  <c:v>46238.448577685187</c:v>
                </c:pt>
                <c:pt idx="71">
                  <c:v>46238.448589409723</c:v>
                </c:pt>
              </c:numCache>
            </c:numRef>
          </c:cat>
          <c:val>
            <c:numRef>
              <c:f>'차트 데이터'!$N$5:$N$76</c:f>
              <c:numCache>
                <c:formatCode>General</c:formatCode>
                <c:ptCount val="72"/>
                <c:pt idx="33" formatCode="0.00">
                  <c:v>4.2047476320377051</c:v>
                </c:pt>
                <c:pt idx="34" formatCode="0.00">
                  <c:v>4.2500202218435206</c:v>
                </c:pt>
                <c:pt idx="35" formatCode="0.00">
                  <c:v>4.2333021212623114</c:v>
                </c:pt>
                <c:pt idx="36" formatCode="0.00">
                  <c:v>4.2704283779012755</c:v>
                </c:pt>
                <c:pt idx="37" formatCode="0.00">
                  <c:v>4.2587368465642683</c:v>
                </c:pt>
                <c:pt idx="38" formatCode="0.00">
                  <c:v>4.232557061698536</c:v>
                </c:pt>
                <c:pt idx="39" formatCode="0.00">
                  <c:v>4.2431879093323746</c:v>
                </c:pt>
                <c:pt idx="40" formatCode="0.00">
                  <c:v>4.2463316583663078</c:v>
                </c:pt>
                <c:pt idx="41" formatCode="0.00">
                  <c:v>4.2407088391165981</c:v>
                </c:pt>
                <c:pt idx="42" formatCode="0.00">
                  <c:v>4.2255423338758389</c:v>
                </c:pt>
                <c:pt idx="43" formatCode="0.00">
                  <c:v>4.2197828861053974</c:v>
                </c:pt>
                <c:pt idx="50" formatCode="0.00">
                  <c:v>4.2323963987300779</c:v>
                </c:pt>
                <c:pt idx="51" formatCode="0.00">
                  <c:v>4.2159846933454563</c:v>
                </c:pt>
                <c:pt idx="52" formatCode="0.00">
                  <c:v>4.2553699726160206</c:v>
                </c:pt>
                <c:pt idx="53" formatCode="0.00">
                  <c:v>4.2655001099390102</c:v>
                </c:pt>
                <c:pt idx="54" formatCode="0.00">
                  <c:v>4.2473993532147656</c:v>
                </c:pt>
                <c:pt idx="55" formatCode="0.00">
                  <c:v>4.2575302839606879</c:v>
                </c:pt>
                <c:pt idx="56" formatCode="0.00">
                  <c:v>4.2662261341538139</c:v>
                </c:pt>
                <c:pt idx="57" formatCode="0.00">
                  <c:v>4.246641610153131</c:v>
                </c:pt>
                <c:pt idx="58" formatCode="0.00">
                  <c:v>4.247036821133503</c:v>
                </c:pt>
                <c:pt idx="59" formatCode="0.00">
                  <c:v>4.2352709826877408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EE43-4286-9785-A26771440B0E}"/>
            </c:ext>
          </c:extLst>
        </c:ser>
        <c:ser>
          <c:idx val="4"/>
          <c:order val="4"/>
          <c:tx>
            <c:strRef>
              <c:f>'차트 데이터'!$O$4</c:f>
              <c:strCache>
                <c:ptCount val="1"/>
                <c:pt idx="0">
                  <c:v>ForkJoinPool-4-worker-1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'차트 데이터'!$J$5:$J$76</c:f>
              <c:numCache>
                <c:formatCode>hh:mm:ss</c:formatCode>
                <c:ptCount val="72"/>
                <c:pt idx="0">
                  <c:v>46238.447757256938</c:v>
                </c:pt>
                <c:pt idx="1">
                  <c:v>46238.447769004633</c:v>
                </c:pt>
                <c:pt idx="2">
                  <c:v>46238.44778072917</c:v>
                </c:pt>
                <c:pt idx="3">
                  <c:v>46238.44779244213</c:v>
                </c:pt>
                <c:pt idx="4">
                  <c:v>46238.447804178242</c:v>
                </c:pt>
                <c:pt idx="5">
                  <c:v>46238.447815949083</c:v>
                </c:pt>
                <c:pt idx="6">
                  <c:v>46238.447827592587</c:v>
                </c:pt>
                <c:pt idx="7">
                  <c:v>46238.447839224536</c:v>
                </c:pt>
                <c:pt idx="8">
                  <c:v>46238.447850937497</c:v>
                </c:pt>
                <c:pt idx="9">
                  <c:v>46238.447862696761</c:v>
                </c:pt>
                <c:pt idx="10">
                  <c:v>46238.447874398153</c:v>
                </c:pt>
                <c:pt idx="11">
                  <c:v>46238.447886122682</c:v>
                </c:pt>
                <c:pt idx="12">
                  <c:v>46238.447897743063</c:v>
                </c:pt>
                <c:pt idx="13">
                  <c:v>46238.447909502313</c:v>
                </c:pt>
                <c:pt idx="14">
                  <c:v>46238.447921226849</c:v>
                </c:pt>
                <c:pt idx="15">
                  <c:v>46238.447932951392</c:v>
                </c:pt>
                <c:pt idx="16">
                  <c:v>46238.447944722233</c:v>
                </c:pt>
                <c:pt idx="17">
                  <c:v>46238.447956469907</c:v>
                </c:pt>
                <c:pt idx="18">
                  <c:v>46238.447968217602</c:v>
                </c:pt>
                <c:pt idx="19">
                  <c:v>46238.447979872682</c:v>
                </c:pt>
                <c:pt idx="20">
                  <c:v>46238.44799148148</c:v>
                </c:pt>
                <c:pt idx="21">
                  <c:v>46238.448003229169</c:v>
                </c:pt>
                <c:pt idx="22">
                  <c:v>46238.448014849528</c:v>
                </c:pt>
                <c:pt idx="23">
                  <c:v>46238.448026620368</c:v>
                </c:pt>
                <c:pt idx="24">
                  <c:v>46238.448038356481</c:v>
                </c:pt>
                <c:pt idx="25">
                  <c:v>46238.448049965278</c:v>
                </c:pt>
                <c:pt idx="26">
                  <c:v>46238.448061736111</c:v>
                </c:pt>
                <c:pt idx="27">
                  <c:v>46238.448073472216</c:v>
                </c:pt>
                <c:pt idx="28">
                  <c:v>46238.448085231481</c:v>
                </c:pt>
                <c:pt idx="29">
                  <c:v>46238.448097002307</c:v>
                </c:pt>
                <c:pt idx="30">
                  <c:v>46238.448108599543</c:v>
                </c:pt>
                <c:pt idx="31">
                  <c:v>46238.448120347217</c:v>
                </c:pt>
                <c:pt idx="32">
                  <c:v>46238.448132094913</c:v>
                </c:pt>
                <c:pt idx="33">
                  <c:v>46238.448143784721</c:v>
                </c:pt>
                <c:pt idx="34">
                  <c:v>46238.448155532409</c:v>
                </c:pt>
                <c:pt idx="35">
                  <c:v>46238.44816728009</c:v>
                </c:pt>
                <c:pt idx="36">
                  <c:v>46238.448179039347</c:v>
                </c:pt>
                <c:pt idx="37">
                  <c:v>46238.448190798612</c:v>
                </c:pt>
                <c:pt idx="38">
                  <c:v>46238.448202523148</c:v>
                </c:pt>
                <c:pt idx="39">
                  <c:v>46238.448214247677</c:v>
                </c:pt>
                <c:pt idx="40">
                  <c:v>46238.448225983797</c:v>
                </c:pt>
                <c:pt idx="41">
                  <c:v>46238.448237731478</c:v>
                </c:pt>
                <c:pt idx="42">
                  <c:v>46238.44824946759</c:v>
                </c:pt>
                <c:pt idx="43">
                  <c:v>46238.448261215279</c:v>
                </c:pt>
                <c:pt idx="44">
                  <c:v>46238.448272951391</c:v>
                </c:pt>
                <c:pt idx="45">
                  <c:v>46238.448284699072</c:v>
                </c:pt>
                <c:pt idx="46">
                  <c:v>46238.448296446761</c:v>
                </c:pt>
                <c:pt idx="47">
                  <c:v>46238.448308055558</c:v>
                </c:pt>
                <c:pt idx="48">
                  <c:v>46238.448319768519</c:v>
                </c:pt>
                <c:pt idx="49">
                  <c:v>46238.448331493048</c:v>
                </c:pt>
                <c:pt idx="50">
                  <c:v>46238.448343252312</c:v>
                </c:pt>
                <c:pt idx="51">
                  <c:v>46238.448355</c:v>
                </c:pt>
                <c:pt idx="52">
                  <c:v>46238.448366747682</c:v>
                </c:pt>
                <c:pt idx="53">
                  <c:v>46238.448378472232</c:v>
                </c:pt>
                <c:pt idx="54">
                  <c:v>46238.448390196761</c:v>
                </c:pt>
                <c:pt idx="55">
                  <c:v>46238.448401956019</c:v>
                </c:pt>
                <c:pt idx="56">
                  <c:v>46238.448413564824</c:v>
                </c:pt>
                <c:pt idx="57">
                  <c:v>46238.448425312497</c:v>
                </c:pt>
                <c:pt idx="58">
                  <c:v>46238.44843704861</c:v>
                </c:pt>
                <c:pt idx="59">
                  <c:v>46238.448448784722</c:v>
                </c:pt>
                <c:pt idx="60">
                  <c:v>46238.448460509258</c:v>
                </c:pt>
                <c:pt idx="61">
                  <c:v>46238.448472164353</c:v>
                </c:pt>
                <c:pt idx="62">
                  <c:v>46238.448483865737</c:v>
                </c:pt>
                <c:pt idx="63">
                  <c:v>46238.448495613433</c:v>
                </c:pt>
                <c:pt idx="64">
                  <c:v>46238.448507465277</c:v>
                </c:pt>
                <c:pt idx="65">
                  <c:v>46238.448519166668</c:v>
                </c:pt>
                <c:pt idx="66">
                  <c:v>46238.448530856484</c:v>
                </c:pt>
                <c:pt idx="67">
                  <c:v>46238.448542592603</c:v>
                </c:pt>
                <c:pt idx="68">
                  <c:v>46238.448554282397</c:v>
                </c:pt>
                <c:pt idx="69">
                  <c:v>46238.448566006948</c:v>
                </c:pt>
                <c:pt idx="70">
                  <c:v>46238.448577685187</c:v>
                </c:pt>
                <c:pt idx="71">
                  <c:v>46238.448589409723</c:v>
                </c:pt>
              </c:numCache>
            </c:numRef>
          </c:cat>
          <c:val>
            <c:numRef>
              <c:f>'차트 데이터'!$O$5:$O$76</c:f>
              <c:numCache>
                <c:formatCode>General</c:formatCode>
                <c:ptCount val="72"/>
                <c:pt idx="35" formatCode="0.00">
                  <c:v>4.2333021212623114</c:v>
                </c:pt>
                <c:pt idx="36" formatCode="0.00">
                  <c:v>4.2704283779012755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EE43-4286-9785-A26771440B0E}"/>
            </c:ext>
          </c:extLst>
        </c:ser>
        <c:ser>
          <c:idx val="5"/>
          <c:order val="5"/>
          <c:tx>
            <c:strRef>
              <c:f>'차트 데이터'!$P$4</c:f>
              <c:strCache>
                <c:ptCount val="1"/>
                <c:pt idx="0">
                  <c:v>ForkJoinPool-4-worker-2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'차트 데이터'!$J$5:$J$76</c:f>
              <c:numCache>
                <c:formatCode>hh:mm:ss</c:formatCode>
                <c:ptCount val="72"/>
                <c:pt idx="0">
                  <c:v>46238.447757256938</c:v>
                </c:pt>
                <c:pt idx="1">
                  <c:v>46238.447769004633</c:v>
                </c:pt>
                <c:pt idx="2">
                  <c:v>46238.44778072917</c:v>
                </c:pt>
                <c:pt idx="3">
                  <c:v>46238.44779244213</c:v>
                </c:pt>
                <c:pt idx="4">
                  <c:v>46238.447804178242</c:v>
                </c:pt>
                <c:pt idx="5">
                  <c:v>46238.447815949083</c:v>
                </c:pt>
                <c:pt idx="6">
                  <c:v>46238.447827592587</c:v>
                </c:pt>
                <c:pt idx="7">
                  <c:v>46238.447839224536</c:v>
                </c:pt>
                <c:pt idx="8">
                  <c:v>46238.447850937497</c:v>
                </c:pt>
                <c:pt idx="9">
                  <c:v>46238.447862696761</c:v>
                </c:pt>
                <c:pt idx="10">
                  <c:v>46238.447874398153</c:v>
                </c:pt>
                <c:pt idx="11">
                  <c:v>46238.447886122682</c:v>
                </c:pt>
                <c:pt idx="12">
                  <c:v>46238.447897743063</c:v>
                </c:pt>
                <c:pt idx="13">
                  <c:v>46238.447909502313</c:v>
                </c:pt>
                <c:pt idx="14">
                  <c:v>46238.447921226849</c:v>
                </c:pt>
                <c:pt idx="15">
                  <c:v>46238.447932951392</c:v>
                </c:pt>
                <c:pt idx="16">
                  <c:v>46238.447944722233</c:v>
                </c:pt>
                <c:pt idx="17">
                  <c:v>46238.447956469907</c:v>
                </c:pt>
                <c:pt idx="18">
                  <c:v>46238.447968217602</c:v>
                </c:pt>
                <c:pt idx="19">
                  <c:v>46238.447979872682</c:v>
                </c:pt>
                <c:pt idx="20">
                  <c:v>46238.44799148148</c:v>
                </c:pt>
                <c:pt idx="21">
                  <c:v>46238.448003229169</c:v>
                </c:pt>
                <c:pt idx="22">
                  <c:v>46238.448014849528</c:v>
                </c:pt>
                <c:pt idx="23">
                  <c:v>46238.448026620368</c:v>
                </c:pt>
                <c:pt idx="24">
                  <c:v>46238.448038356481</c:v>
                </c:pt>
                <c:pt idx="25">
                  <c:v>46238.448049965278</c:v>
                </c:pt>
                <c:pt idx="26">
                  <c:v>46238.448061736111</c:v>
                </c:pt>
                <c:pt idx="27">
                  <c:v>46238.448073472216</c:v>
                </c:pt>
                <c:pt idx="28">
                  <c:v>46238.448085231481</c:v>
                </c:pt>
                <c:pt idx="29">
                  <c:v>46238.448097002307</c:v>
                </c:pt>
                <c:pt idx="30">
                  <c:v>46238.448108599543</c:v>
                </c:pt>
                <c:pt idx="31">
                  <c:v>46238.448120347217</c:v>
                </c:pt>
                <c:pt idx="32">
                  <c:v>46238.448132094913</c:v>
                </c:pt>
                <c:pt idx="33">
                  <c:v>46238.448143784721</c:v>
                </c:pt>
                <c:pt idx="34">
                  <c:v>46238.448155532409</c:v>
                </c:pt>
                <c:pt idx="35">
                  <c:v>46238.44816728009</c:v>
                </c:pt>
                <c:pt idx="36">
                  <c:v>46238.448179039347</c:v>
                </c:pt>
                <c:pt idx="37">
                  <c:v>46238.448190798612</c:v>
                </c:pt>
                <c:pt idx="38">
                  <c:v>46238.448202523148</c:v>
                </c:pt>
                <c:pt idx="39">
                  <c:v>46238.448214247677</c:v>
                </c:pt>
                <c:pt idx="40">
                  <c:v>46238.448225983797</c:v>
                </c:pt>
                <c:pt idx="41">
                  <c:v>46238.448237731478</c:v>
                </c:pt>
                <c:pt idx="42">
                  <c:v>46238.44824946759</c:v>
                </c:pt>
                <c:pt idx="43">
                  <c:v>46238.448261215279</c:v>
                </c:pt>
                <c:pt idx="44">
                  <c:v>46238.448272951391</c:v>
                </c:pt>
                <c:pt idx="45">
                  <c:v>46238.448284699072</c:v>
                </c:pt>
                <c:pt idx="46">
                  <c:v>46238.448296446761</c:v>
                </c:pt>
                <c:pt idx="47">
                  <c:v>46238.448308055558</c:v>
                </c:pt>
                <c:pt idx="48">
                  <c:v>46238.448319768519</c:v>
                </c:pt>
                <c:pt idx="49">
                  <c:v>46238.448331493048</c:v>
                </c:pt>
                <c:pt idx="50">
                  <c:v>46238.448343252312</c:v>
                </c:pt>
                <c:pt idx="51">
                  <c:v>46238.448355</c:v>
                </c:pt>
                <c:pt idx="52">
                  <c:v>46238.448366747682</c:v>
                </c:pt>
                <c:pt idx="53">
                  <c:v>46238.448378472232</c:v>
                </c:pt>
                <c:pt idx="54">
                  <c:v>46238.448390196761</c:v>
                </c:pt>
                <c:pt idx="55">
                  <c:v>46238.448401956019</c:v>
                </c:pt>
                <c:pt idx="56">
                  <c:v>46238.448413564824</c:v>
                </c:pt>
                <c:pt idx="57">
                  <c:v>46238.448425312497</c:v>
                </c:pt>
                <c:pt idx="58">
                  <c:v>46238.44843704861</c:v>
                </c:pt>
                <c:pt idx="59">
                  <c:v>46238.448448784722</c:v>
                </c:pt>
                <c:pt idx="60">
                  <c:v>46238.448460509258</c:v>
                </c:pt>
                <c:pt idx="61">
                  <c:v>46238.448472164353</c:v>
                </c:pt>
                <c:pt idx="62">
                  <c:v>46238.448483865737</c:v>
                </c:pt>
                <c:pt idx="63">
                  <c:v>46238.448495613433</c:v>
                </c:pt>
                <c:pt idx="64">
                  <c:v>46238.448507465277</c:v>
                </c:pt>
                <c:pt idx="65">
                  <c:v>46238.448519166668</c:v>
                </c:pt>
                <c:pt idx="66">
                  <c:v>46238.448530856484</c:v>
                </c:pt>
                <c:pt idx="67">
                  <c:v>46238.448542592603</c:v>
                </c:pt>
                <c:pt idx="68">
                  <c:v>46238.448554282397</c:v>
                </c:pt>
                <c:pt idx="69">
                  <c:v>46238.448566006948</c:v>
                </c:pt>
                <c:pt idx="70">
                  <c:v>46238.448577685187</c:v>
                </c:pt>
                <c:pt idx="71">
                  <c:v>46238.448589409723</c:v>
                </c:pt>
              </c:numCache>
            </c:numRef>
          </c:cat>
          <c:val>
            <c:numRef>
              <c:f>'차트 데이터'!$P$5:$P$76</c:f>
              <c:numCache>
                <c:formatCode>General</c:formatCode>
                <c:ptCount val="72"/>
                <c:pt idx="35" formatCode="0.00">
                  <c:v>4.2333021212623114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EE43-4286-9785-A26771440B0E}"/>
            </c:ext>
          </c:extLst>
        </c:ser>
        <c:ser>
          <c:idx val="6"/>
          <c:order val="6"/>
          <c:tx>
            <c:strRef>
              <c:f>'차트 데이터'!$Q$4</c:f>
              <c:strCache>
                <c:ptCount val="1"/>
                <c:pt idx="0">
                  <c:v>ForkJoinPool-4-worker-4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'차트 데이터'!$J$5:$J$76</c:f>
              <c:numCache>
                <c:formatCode>hh:mm:ss</c:formatCode>
                <c:ptCount val="72"/>
                <c:pt idx="0">
                  <c:v>46238.447757256938</c:v>
                </c:pt>
                <c:pt idx="1">
                  <c:v>46238.447769004633</c:v>
                </c:pt>
                <c:pt idx="2">
                  <c:v>46238.44778072917</c:v>
                </c:pt>
                <c:pt idx="3">
                  <c:v>46238.44779244213</c:v>
                </c:pt>
                <c:pt idx="4">
                  <c:v>46238.447804178242</c:v>
                </c:pt>
                <c:pt idx="5">
                  <c:v>46238.447815949083</c:v>
                </c:pt>
                <c:pt idx="6">
                  <c:v>46238.447827592587</c:v>
                </c:pt>
                <c:pt idx="7">
                  <c:v>46238.447839224536</c:v>
                </c:pt>
                <c:pt idx="8">
                  <c:v>46238.447850937497</c:v>
                </c:pt>
                <c:pt idx="9">
                  <c:v>46238.447862696761</c:v>
                </c:pt>
                <c:pt idx="10">
                  <c:v>46238.447874398153</c:v>
                </c:pt>
                <c:pt idx="11">
                  <c:v>46238.447886122682</c:v>
                </c:pt>
                <c:pt idx="12">
                  <c:v>46238.447897743063</c:v>
                </c:pt>
                <c:pt idx="13">
                  <c:v>46238.447909502313</c:v>
                </c:pt>
                <c:pt idx="14">
                  <c:v>46238.447921226849</c:v>
                </c:pt>
                <c:pt idx="15">
                  <c:v>46238.447932951392</c:v>
                </c:pt>
                <c:pt idx="16">
                  <c:v>46238.447944722233</c:v>
                </c:pt>
                <c:pt idx="17">
                  <c:v>46238.447956469907</c:v>
                </c:pt>
                <c:pt idx="18">
                  <c:v>46238.447968217602</c:v>
                </c:pt>
                <c:pt idx="19">
                  <c:v>46238.447979872682</c:v>
                </c:pt>
                <c:pt idx="20">
                  <c:v>46238.44799148148</c:v>
                </c:pt>
                <c:pt idx="21">
                  <c:v>46238.448003229169</c:v>
                </c:pt>
                <c:pt idx="22">
                  <c:v>46238.448014849528</c:v>
                </c:pt>
                <c:pt idx="23">
                  <c:v>46238.448026620368</c:v>
                </c:pt>
                <c:pt idx="24">
                  <c:v>46238.448038356481</c:v>
                </c:pt>
                <c:pt idx="25">
                  <c:v>46238.448049965278</c:v>
                </c:pt>
                <c:pt idx="26">
                  <c:v>46238.448061736111</c:v>
                </c:pt>
                <c:pt idx="27">
                  <c:v>46238.448073472216</c:v>
                </c:pt>
                <c:pt idx="28">
                  <c:v>46238.448085231481</c:v>
                </c:pt>
                <c:pt idx="29">
                  <c:v>46238.448097002307</c:v>
                </c:pt>
                <c:pt idx="30">
                  <c:v>46238.448108599543</c:v>
                </c:pt>
                <c:pt idx="31">
                  <c:v>46238.448120347217</c:v>
                </c:pt>
                <c:pt idx="32">
                  <c:v>46238.448132094913</c:v>
                </c:pt>
                <c:pt idx="33">
                  <c:v>46238.448143784721</c:v>
                </c:pt>
                <c:pt idx="34">
                  <c:v>46238.448155532409</c:v>
                </c:pt>
                <c:pt idx="35">
                  <c:v>46238.44816728009</c:v>
                </c:pt>
                <c:pt idx="36">
                  <c:v>46238.448179039347</c:v>
                </c:pt>
                <c:pt idx="37">
                  <c:v>46238.448190798612</c:v>
                </c:pt>
                <c:pt idx="38">
                  <c:v>46238.448202523148</c:v>
                </c:pt>
                <c:pt idx="39">
                  <c:v>46238.448214247677</c:v>
                </c:pt>
                <c:pt idx="40">
                  <c:v>46238.448225983797</c:v>
                </c:pt>
                <c:pt idx="41">
                  <c:v>46238.448237731478</c:v>
                </c:pt>
                <c:pt idx="42">
                  <c:v>46238.44824946759</c:v>
                </c:pt>
                <c:pt idx="43">
                  <c:v>46238.448261215279</c:v>
                </c:pt>
                <c:pt idx="44">
                  <c:v>46238.448272951391</c:v>
                </c:pt>
                <c:pt idx="45">
                  <c:v>46238.448284699072</c:v>
                </c:pt>
                <c:pt idx="46">
                  <c:v>46238.448296446761</c:v>
                </c:pt>
                <c:pt idx="47">
                  <c:v>46238.448308055558</c:v>
                </c:pt>
                <c:pt idx="48">
                  <c:v>46238.448319768519</c:v>
                </c:pt>
                <c:pt idx="49">
                  <c:v>46238.448331493048</c:v>
                </c:pt>
                <c:pt idx="50">
                  <c:v>46238.448343252312</c:v>
                </c:pt>
                <c:pt idx="51">
                  <c:v>46238.448355</c:v>
                </c:pt>
                <c:pt idx="52">
                  <c:v>46238.448366747682</c:v>
                </c:pt>
                <c:pt idx="53">
                  <c:v>46238.448378472232</c:v>
                </c:pt>
                <c:pt idx="54">
                  <c:v>46238.448390196761</c:v>
                </c:pt>
                <c:pt idx="55">
                  <c:v>46238.448401956019</c:v>
                </c:pt>
                <c:pt idx="56">
                  <c:v>46238.448413564824</c:v>
                </c:pt>
                <c:pt idx="57">
                  <c:v>46238.448425312497</c:v>
                </c:pt>
                <c:pt idx="58">
                  <c:v>46238.44843704861</c:v>
                </c:pt>
                <c:pt idx="59">
                  <c:v>46238.448448784722</c:v>
                </c:pt>
                <c:pt idx="60">
                  <c:v>46238.448460509258</c:v>
                </c:pt>
                <c:pt idx="61">
                  <c:v>46238.448472164353</c:v>
                </c:pt>
                <c:pt idx="62">
                  <c:v>46238.448483865737</c:v>
                </c:pt>
                <c:pt idx="63">
                  <c:v>46238.448495613433</c:v>
                </c:pt>
                <c:pt idx="64">
                  <c:v>46238.448507465277</c:v>
                </c:pt>
                <c:pt idx="65">
                  <c:v>46238.448519166668</c:v>
                </c:pt>
                <c:pt idx="66">
                  <c:v>46238.448530856484</c:v>
                </c:pt>
                <c:pt idx="67">
                  <c:v>46238.448542592603</c:v>
                </c:pt>
                <c:pt idx="68">
                  <c:v>46238.448554282397</c:v>
                </c:pt>
                <c:pt idx="69">
                  <c:v>46238.448566006948</c:v>
                </c:pt>
                <c:pt idx="70">
                  <c:v>46238.448577685187</c:v>
                </c:pt>
                <c:pt idx="71">
                  <c:v>46238.448589409723</c:v>
                </c:pt>
              </c:numCache>
            </c:numRef>
          </c:cat>
          <c:val>
            <c:numRef>
              <c:f>'차트 데이터'!$Q$5:$Q$76</c:f>
              <c:numCache>
                <c:formatCode>General</c:formatCode>
                <c:ptCount val="72"/>
                <c:pt idx="36" formatCode="0.00">
                  <c:v>4.2704283779012755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EE43-4286-9785-A26771440B0E}"/>
            </c:ext>
          </c:extLst>
        </c:ser>
        <c:ser>
          <c:idx val="7"/>
          <c:order val="7"/>
          <c:tx>
            <c:strRef>
              <c:f>'차트 데이터'!$R$4</c:f>
              <c:strCache>
                <c:ptCount val="1"/>
                <c:pt idx="0">
                  <c:v>ForkJoinPool-5-worker-1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'차트 데이터'!$J$5:$J$76</c:f>
              <c:numCache>
                <c:formatCode>hh:mm:ss</c:formatCode>
                <c:ptCount val="72"/>
                <c:pt idx="0">
                  <c:v>46238.447757256938</c:v>
                </c:pt>
                <c:pt idx="1">
                  <c:v>46238.447769004633</c:v>
                </c:pt>
                <c:pt idx="2">
                  <c:v>46238.44778072917</c:v>
                </c:pt>
                <c:pt idx="3">
                  <c:v>46238.44779244213</c:v>
                </c:pt>
                <c:pt idx="4">
                  <c:v>46238.447804178242</c:v>
                </c:pt>
                <c:pt idx="5">
                  <c:v>46238.447815949083</c:v>
                </c:pt>
                <c:pt idx="6">
                  <c:v>46238.447827592587</c:v>
                </c:pt>
                <c:pt idx="7">
                  <c:v>46238.447839224536</c:v>
                </c:pt>
                <c:pt idx="8">
                  <c:v>46238.447850937497</c:v>
                </c:pt>
                <c:pt idx="9">
                  <c:v>46238.447862696761</c:v>
                </c:pt>
                <c:pt idx="10">
                  <c:v>46238.447874398153</c:v>
                </c:pt>
                <c:pt idx="11">
                  <c:v>46238.447886122682</c:v>
                </c:pt>
                <c:pt idx="12">
                  <c:v>46238.447897743063</c:v>
                </c:pt>
                <c:pt idx="13">
                  <c:v>46238.447909502313</c:v>
                </c:pt>
                <c:pt idx="14">
                  <c:v>46238.447921226849</c:v>
                </c:pt>
                <c:pt idx="15">
                  <c:v>46238.447932951392</c:v>
                </c:pt>
                <c:pt idx="16">
                  <c:v>46238.447944722233</c:v>
                </c:pt>
                <c:pt idx="17">
                  <c:v>46238.447956469907</c:v>
                </c:pt>
                <c:pt idx="18">
                  <c:v>46238.447968217602</c:v>
                </c:pt>
                <c:pt idx="19">
                  <c:v>46238.447979872682</c:v>
                </c:pt>
                <c:pt idx="20">
                  <c:v>46238.44799148148</c:v>
                </c:pt>
                <c:pt idx="21">
                  <c:v>46238.448003229169</c:v>
                </c:pt>
                <c:pt idx="22">
                  <c:v>46238.448014849528</c:v>
                </c:pt>
                <c:pt idx="23">
                  <c:v>46238.448026620368</c:v>
                </c:pt>
                <c:pt idx="24">
                  <c:v>46238.448038356481</c:v>
                </c:pt>
                <c:pt idx="25">
                  <c:v>46238.448049965278</c:v>
                </c:pt>
                <c:pt idx="26">
                  <c:v>46238.448061736111</c:v>
                </c:pt>
                <c:pt idx="27">
                  <c:v>46238.448073472216</c:v>
                </c:pt>
                <c:pt idx="28">
                  <c:v>46238.448085231481</c:v>
                </c:pt>
                <c:pt idx="29">
                  <c:v>46238.448097002307</c:v>
                </c:pt>
                <c:pt idx="30">
                  <c:v>46238.448108599543</c:v>
                </c:pt>
                <c:pt idx="31">
                  <c:v>46238.448120347217</c:v>
                </c:pt>
                <c:pt idx="32">
                  <c:v>46238.448132094913</c:v>
                </c:pt>
                <c:pt idx="33">
                  <c:v>46238.448143784721</c:v>
                </c:pt>
                <c:pt idx="34">
                  <c:v>46238.448155532409</c:v>
                </c:pt>
                <c:pt idx="35">
                  <c:v>46238.44816728009</c:v>
                </c:pt>
                <c:pt idx="36">
                  <c:v>46238.448179039347</c:v>
                </c:pt>
                <c:pt idx="37">
                  <c:v>46238.448190798612</c:v>
                </c:pt>
                <c:pt idx="38">
                  <c:v>46238.448202523148</c:v>
                </c:pt>
                <c:pt idx="39">
                  <c:v>46238.448214247677</c:v>
                </c:pt>
                <c:pt idx="40">
                  <c:v>46238.448225983797</c:v>
                </c:pt>
                <c:pt idx="41">
                  <c:v>46238.448237731478</c:v>
                </c:pt>
                <c:pt idx="42">
                  <c:v>46238.44824946759</c:v>
                </c:pt>
                <c:pt idx="43">
                  <c:v>46238.448261215279</c:v>
                </c:pt>
                <c:pt idx="44">
                  <c:v>46238.448272951391</c:v>
                </c:pt>
                <c:pt idx="45">
                  <c:v>46238.448284699072</c:v>
                </c:pt>
                <c:pt idx="46">
                  <c:v>46238.448296446761</c:v>
                </c:pt>
                <c:pt idx="47">
                  <c:v>46238.448308055558</c:v>
                </c:pt>
                <c:pt idx="48">
                  <c:v>46238.448319768519</c:v>
                </c:pt>
                <c:pt idx="49">
                  <c:v>46238.448331493048</c:v>
                </c:pt>
                <c:pt idx="50">
                  <c:v>46238.448343252312</c:v>
                </c:pt>
                <c:pt idx="51">
                  <c:v>46238.448355</c:v>
                </c:pt>
                <c:pt idx="52">
                  <c:v>46238.448366747682</c:v>
                </c:pt>
                <c:pt idx="53">
                  <c:v>46238.448378472232</c:v>
                </c:pt>
                <c:pt idx="54">
                  <c:v>46238.448390196761</c:v>
                </c:pt>
                <c:pt idx="55">
                  <c:v>46238.448401956019</c:v>
                </c:pt>
                <c:pt idx="56">
                  <c:v>46238.448413564824</c:v>
                </c:pt>
                <c:pt idx="57">
                  <c:v>46238.448425312497</c:v>
                </c:pt>
                <c:pt idx="58">
                  <c:v>46238.44843704861</c:v>
                </c:pt>
                <c:pt idx="59">
                  <c:v>46238.448448784722</c:v>
                </c:pt>
                <c:pt idx="60">
                  <c:v>46238.448460509258</c:v>
                </c:pt>
                <c:pt idx="61">
                  <c:v>46238.448472164353</c:v>
                </c:pt>
                <c:pt idx="62">
                  <c:v>46238.448483865737</c:v>
                </c:pt>
                <c:pt idx="63">
                  <c:v>46238.448495613433</c:v>
                </c:pt>
                <c:pt idx="64">
                  <c:v>46238.448507465277</c:v>
                </c:pt>
                <c:pt idx="65">
                  <c:v>46238.448519166668</c:v>
                </c:pt>
                <c:pt idx="66">
                  <c:v>46238.448530856484</c:v>
                </c:pt>
                <c:pt idx="67">
                  <c:v>46238.448542592603</c:v>
                </c:pt>
                <c:pt idx="68">
                  <c:v>46238.448554282397</c:v>
                </c:pt>
                <c:pt idx="69">
                  <c:v>46238.448566006948</c:v>
                </c:pt>
                <c:pt idx="70">
                  <c:v>46238.448577685187</c:v>
                </c:pt>
                <c:pt idx="71">
                  <c:v>46238.448589409723</c:v>
                </c:pt>
              </c:numCache>
            </c:numRef>
          </c:cat>
          <c:val>
            <c:numRef>
              <c:f>'차트 데이터'!$R$5:$R$76</c:f>
              <c:numCache>
                <c:formatCode>General</c:formatCode>
                <c:ptCount val="72"/>
                <c:pt idx="37" formatCode="0.00">
                  <c:v>4.2587368465642683</c:v>
                </c:pt>
                <c:pt idx="38" formatCode="0.00">
                  <c:v>4.232557061698536</c:v>
                </c:pt>
                <c:pt idx="39" formatCode="0.00">
                  <c:v>4.2431879093323746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EE43-4286-9785-A26771440B0E}"/>
            </c:ext>
          </c:extLst>
        </c:ser>
        <c:ser>
          <c:idx val="8"/>
          <c:order val="8"/>
          <c:tx>
            <c:strRef>
              <c:f>'차트 데이터'!$S$4</c:f>
              <c:strCache>
                <c:ptCount val="1"/>
                <c:pt idx="0">
                  <c:v>ForkJoinPool-5-worker-2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'차트 데이터'!$J$5:$J$76</c:f>
              <c:numCache>
                <c:formatCode>hh:mm:ss</c:formatCode>
                <c:ptCount val="72"/>
                <c:pt idx="0">
                  <c:v>46238.447757256938</c:v>
                </c:pt>
                <c:pt idx="1">
                  <c:v>46238.447769004633</c:v>
                </c:pt>
                <c:pt idx="2">
                  <c:v>46238.44778072917</c:v>
                </c:pt>
                <c:pt idx="3">
                  <c:v>46238.44779244213</c:v>
                </c:pt>
                <c:pt idx="4">
                  <c:v>46238.447804178242</c:v>
                </c:pt>
                <c:pt idx="5">
                  <c:v>46238.447815949083</c:v>
                </c:pt>
                <c:pt idx="6">
                  <c:v>46238.447827592587</c:v>
                </c:pt>
                <c:pt idx="7">
                  <c:v>46238.447839224536</c:v>
                </c:pt>
                <c:pt idx="8">
                  <c:v>46238.447850937497</c:v>
                </c:pt>
                <c:pt idx="9">
                  <c:v>46238.447862696761</c:v>
                </c:pt>
                <c:pt idx="10">
                  <c:v>46238.447874398153</c:v>
                </c:pt>
                <c:pt idx="11">
                  <c:v>46238.447886122682</c:v>
                </c:pt>
                <c:pt idx="12">
                  <c:v>46238.447897743063</c:v>
                </c:pt>
                <c:pt idx="13">
                  <c:v>46238.447909502313</c:v>
                </c:pt>
                <c:pt idx="14">
                  <c:v>46238.447921226849</c:v>
                </c:pt>
                <c:pt idx="15">
                  <c:v>46238.447932951392</c:v>
                </c:pt>
                <c:pt idx="16">
                  <c:v>46238.447944722233</c:v>
                </c:pt>
                <c:pt idx="17">
                  <c:v>46238.447956469907</c:v>
                </c:pt>
                <c:pt idx="18">
                  <c:v>46238.447968217602</c:v>
                </c:pt>
                <c:pt idx="19">
                  <c:v>46238.447979872682</c:v>
                </c:pt>
                <c:pt idx="20">
                  <c:v>46238.44799148148</c:v>
                </c:pt>
                <c:pt idx="21">
                  <c:v>46238.448003229169</c:v>
                </c:pt>
                <c:pt idx="22">
                  <c:v>46238.448014849528</c:v>
                </c:pt>
                <c:pt idx="23">
                  <c:v>46238.448026620368</c:v>
                </c:pt>
                <c:pt idx="24">
                  <c:v>46238.448038356481</c:v>
                </c:pt>
                <c:pt idx="25">
                  <c:v>46238.448049965278</c:v>
                </c:pt>
                <c:pt idx="26">
                  <c:v>46238.448061736111</c:v>
                </c:pt>
                <c:pt idx="27">
                  <c:v>46238.448073472216</c:v>
                </c:pt>
                <c:pt idx="28">
                  <c:v>46238.448085231481</c:v>
                </c:pt>
                <c:pt idx="29">
                  <c:v>46238.448097002307</c:v>
                </c:pt>
                <c:pt idx="30">
                  <c:v>46238.448108599543</c:v>
                </c:pt>
                <c:pt idx="31">
                  <c:v>46238.448120347217</c:v>
                </c:pt>
                <c:pt idx="32">
                  <c:v>46238.448132094913</c:v>
                </c:pt>
                <c:pt idx="33">
                  <c:v>46238.448143784721</c:v>
                </c:pt>
                <c:pt idx="34">
                  <c:v>46238.448155532409</c:v>
                </c:pt>
                <c:pt idx="35">
                  <c:v>46238.44816728009</c:v>
                </c:pt>
                <c:pt idx="36">
                  <c:v>46238.448179039347</c:v>
                </c:pt>
                <c:pt idx="37">
                  <c:v>46238.448190798612</c:v>
                </c:pt>
                <c:pt idx="38">
                  <c:v>46238.448202523148</c:v>
                </c:pt>
                <c:pt idx="39">
                  <c:v>46238.448214247677</c:v>
                </c:pt>
                <c:pt idx="40">
                  <c:v>46238.448225983797</c:v>
                </c:pt>
                <c:pt idx="41">
                  <c:v>46238.448237731478</c:v>
                </c:pt>
                <c:pt idx="42">
                  <c:v>46238.44824946759</c:v>
                </c:pt>
                <c:pt idx="43">
                  <c:v>46238.448261215279</c:v>
                </c:pt>
                <c:pt idx="44">
                  <c:v>46238.448272951391</c:v>
                </c:pt>
                <c:pt idx="45">
                  <c:v>46238.448284699072</c:v>
                </c:pt>
                <c:pt idx="46">
                  <c:v>46238.448296446761</c:v>
                </c:pt>
                <c:pt idx="47">
                  <c:v>46238.448308055558</c:v>
                </c:pt>
                <c:pt idx="48">
                  <c:v>46238.448319768519</c:v>
                </c:pt>
                <c:pt idx="49">
                  <c:v>46238.448331493048</c:v>
                </c:pt>
                <c:pt idx="50">
                  <c:v>46238.448343252312</c:v>
                </c:pt>
                <c:pt idx="51">
                  <c:v>46238.448355</c:v>
                </c:pt>
                <c:pt idx="52">
                  <c:v>46238.448366747682</c:v>
                </c:pt>
                <c:pt idx="53">
                  <c:v>46238.448378472232</c:v>
                </c:pt>
                <c:pt idx="54">
                  <c:v>46238.448390196761</c:v>
                </c:pt>
                <c:pt idx="55">
                  <c:v>46238.448401956019</c:v>
                </c:pt>
                <c:pt idx="56">
                  <c:v>46238.448413564824</c:v>
                </c:pt>
                <c:pt idx="57">
                  <c:v>46238.448425312497</c:v>
                </c:pt>
                <c:pt idx="58">
                  <c:v>46238.44843704861</c:v>
                </c:pt>
                <c:pt idx="59">
                  <c:v>46238.448448784722</c:v>
                </c:pt>
                <c:pt idx="60">
                  <c:v>46238.448460509258</c:v>
                </c:pt>
                <c:pt idx="61">
                  <c:v>46238.448472164353</c:v>
                </c:pt>
                <c:pt idx="62">
                  <c:v>46238.448483865737</c:v>
                </c:pt>
                <c:pt idx="63">
                  <c:v>46238.448495613433</c:v>
                </c:pt>
                <c:pt idx="64">
                  <c:v>46238.448507465277</c:v>
                </c:pt>
                <c:pt idx="65">
                  <c:v>46238.448519166668</c:v>
                </c:pt>
                <c:pt idx="66">
                  <c:v>46238.448530856484</c:v>
                </c:pt>
                <c:pt idx="67">
                  <c:v>46238.448542592603</c:v>
                </c:pt>
                <c:pt idx="68">
                  <c:v>46238.448554282397</c:v>
                </c:pt>
                <c:pt idx="69">
                  <c:v>46238.448566006948</c:v>
                </c:pt>
                <c:pt idx="70">
                  <c:v>46238.448577685187</c:v>
                </c:pt>
                <c:pt idx="71">
                  <c:v>46238.448589409723</c:v>
                </c:pt>
              </c:numCache>
            </c:numRef>
          </c:cat>
          <c:val>
            <c:numRef>
              <c:f>'차트 데이터'!$S$5:$S$76</c:f>
              <c:numCache>
                <c:formatCode>General</c:formatCode>
                <c:ptCount val="72"/>
                <c:pt idx="37" formatCode="0.00">
                  <c:v>4.2587368465642683</c:v>
                </c:pt>
                <c:pt idx="38" formatCode="0.00">
                  <c:v>4.232557061698536</c:v>
                </c:pt>
                <c:pt idx="39" formatCode="0.00">
                  <c:v>4.2431879093323746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EE43-4286-9785-A26771440B0E}"/>
            </c:ext>
          </c:extLst>
        </c:ser>
        <c:ser>
          <c:idx val="9"/>
          <c:order val="9"/>
          <c:tx>
            <c:strRef>
              <c:f>'차트 데이터'!$T$4</c:f>
              <c:strCache>
                <c:ptCount val="1"/>
                <c:pt idx="0">
                  <c:v>ForkJoinPool-6-worker-1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'차트 데이터'!$J$5:$J$76</c:f>
              <c:numCache>
                <c:formatCode>hh:mm:ss</c:formatCode>
                <c:ptCount val="72"/>
                <c:pt idx="0">
                  <c:v>46238.447757256938</c:v>
                </c:pt>
                <c:pt idx="1">
                  <c:v>46238.447769004633</c:v>
                </c:pt>
                <c:pt idx="2">
                  <c:v>46238.44778072917</c:v>
                </c:pt>
                <c:pt idx="3">
                  <c:v>46238.44779244213</c:v>
                </c:pt>
                <c:pt idx="4">
                  <c:v>46238.447804178242</c:v>
                </c:pt>
                <c:pt idx="5">
                  <c:v>46238.447815949083</c:v>
                </c:pt>
                <c:pt idx="6">
                  <c:v>46238.447827592587</c:v>
                </c:pt>
                <c:pt idx="7">
                  <c:v>46238.447839224536</c:v>
                </c:pt>
                <c:pt idx="8">
                  <c:v>46238.447850937497</c:v>
                </c:pt>
                <c:pt idx="9">
                  <c:v>46238.447862696761</c:v>
                </c:pt>
                <c:pt idx="10">
                  <c:v>46238.447874398153</c:v>
                </c:pt>
                <c:pt idx="11">
                  <c:v>46238.447886122682</c:v>
                </c:pt>
                <c:pt idx="12">
                  <c:v>46238.447897743063</c:v>
                </c:pt>
                <c:pt idx="13">
                  <c:v>46238.447909502313</c:v>
                </c:pt>
                <c:pt idx="14">
                  <c:v>46238.447921226849</c:v>
                </c:pt>
                <c:pt idx="15">
                  <c:v>46238.447932951392</c:v>
                </c:pt>
                <c:pt idx="16">
                  <c:v>46238.447944722233</c:v>
                </c:pt>
                <c:pt idx="17">
                  <c:v>46238.447956469907</c:v>
                </c:pt>
                <c:pt idx="18">
                  <c:v>46238.447968217602</c:v>
                </c:pt>
                <c:pt idx="19">
                  <c:v>46238.447979872682</c:v>
                </c:pt>
                <c:pt idx="20">
                  <c:v>46238.44799148148</c:v>
                </c:pt>
                <c:pt idx="21">
                  <c:v>46238.448003229169</c:v>
                </c:pt>
                <c:pt idx="22">
                  <c:v>46238.448014849528</c:v>
                </c:pt>
                <c:pt idx="23">
                  <c:v>46238.448026620368</c:v>
                </c:pt>
                <c:pt idx="24">
                  <c:v>46238.448038356481</c:v>
                </c:pt>
                <c:pt idx="25">
                  <c:v>46238.448049965278</c:v>
                </c:pt>
                <c:pt idx="26">
                  <c:v>46238.448061736111</c:v>
                </c:pt>
                <c:pt idx="27">
                  <c:v>46238.448073472216</c:v>
                </c:pt>
                <c:pt idx="28">
                  <c:v>46238.448085231481</c:v>
                </c:pt>
                <c:pt idx="29">
                  <c:v>46238.448097002307</c:v>
                </c:pt>
                <c:pt idx="30">
                  <c:v>46238.448108599543</c:v>
                </c:pt>
                <c:pt idx="31">
                  <c:v>46238.448120347217</c:v>
                </c:pt>
                <c:pt idx="32">
                  <c:v>46238.448132094913</c:v>
                </c:pt>
                <c:pt idx="33">
                  <c:v>46238.448143784721</c:v>
                </c:pt>
                <c:pt idx="34">
                  <c:v>46238.448155532409</c:v>
                </c:pt>
                <c:pt idx="35">
                  <c:v>46238.44816728009</c:v>
                </c:pt>
                <c:pt idx="36">
                  <c:v>46238.448179039347</c:v>
                </c:pt>
                <c:pt idx="37">
                  <c:v>46238.448190798612</c:v>
                </c:pt>
                <c:pt idx="38">
                  <c:v>46238.448202523148</c:v>
                </c:pt>
                <c:pt idx="39">
                  <c:v>46238.448214247677</c:v>
                </c:pt>
                <c:pt idx="40">
                  <c:v>46238.448225983797</c:v>
                </c:pt>
                <c:pt idx="41">
                  <c:v>46238.448237731478</c:v>
                </c:pt>
                <c:pt idx="42">
                  <c:v>46238.44824946759</c:v>
                </c:pt>
                <c:pt idx="43">
                  <c:v>46238.448261215279</c:v>
                </c:pt>
                <c:pt idx="44">
                  <c:v>46238.448272951391</c:v>
                </c:pt>
                <c:pt idx="45">
                  <c:v>46238.448284699072</c:v>
                </c:pt>
                <c:pt idx="46">
                  <c:v>46238.448296446761</c:v>
                </c:pt>
                <c:pt idx="47">
                  <c:v>46238.448308055558</c:v>
                </c:pt>
                <c:pt idx="48">
                  <c:v>46238.448319768519</c:v>
                </c:pt>
                <c:pt idx="49">
                  <c:v>46238.448331493048</c:v>
                </c:pt>
                <c:pt idx="50">
                  <c:v>46238.448343252312</c:v>
                </c:pt>
                <c:pt idx="51">
                  <c:v>46238.448355</c:v>
                </c:pt>
                <c:pt idx="52">
                  <c:v>46238.448366747682</c:v>
                </c:pt>
                <c:pt idx="53">
                  <c:v>46238.448378472232</c:v>
                </c:pt>
                <c:pt idx="54">
                  <c:v>46238.448390196761</c:v>
                </c:pt>
                <c:pt idx="55">
                  <c:v>46238.448401956019</c:v>
                </c:pt>
                <c:pt idx="56">
                  <c:v>46238.448413564824</c:v>
                </c:pt>
                <c:pt idx="57">
                  <c:v>46238.448425312497</c:v>
                </c:pt>
                <c:pt idx="58">
                  <c:v>46238.44843704861</c:v>
                </c:pt>
                <c:pt idx="59">
                  <c:v>46238.448448784722</c:v>
                </c:pt>
                <c:pt idx="60">
                  <c:v>46238.448460509258</c:v>
                </c:pt>
                <c:pt idx="61">
                  <c:v>46238.448472164353</c:v>
                </c:pt>
                <c:pt idx="62">
                  <c:v>46238.448483865737</c:v>
                </c:pt>
                <c:pt idx="63">
                  <c:v>46238.448495613433</c:v>
                </c:pt>
                <c:pt idx="64">
                  <c:v>46238.448507465277</c:v>
                </c:pt>
                <c:pt idx="65">
                  <c:v>46238.448519166668</c:v>
                </c:pt>
                <c:pt idx="66">
                  <c:v>46238.448530856484</c:v>
                </c:pt>
                <c:pt idx="67">
                  <c:v>46238.448542592603</c:v>
                </c:pt>
                <c:pt idx="68">
                  <c:v>46238.448554282397</c:v>
                </c:pt>
                <c:pt idx="69">
                  <c:v>46238.448566006948</c:v>
                </c:pt>
                <c:pt idx="70">
                  <c:v>46238.448577685187</c:v>
                </c:pt>
                <c:pt idx="71">
                  <c:v>46238.448589409723</c:v>
                </c:pt>
              </c:numCache>
            </c:numRef>
          </c:cat>
          <c:val>
            <c:numRef>
              <c:f>'차트 데이터'!$T$5:$T$76</c:f>
              <c:numCache>
                <c:formatCode>General</c:formatCode>
                <c:ptCount val="72"/>
                <c:pt idx="40" formatCode="0.00">
                  <c:v>4.2463316583663078</c:v>
                </c:pt>
                <c:pt idx="41" formatCode="0.00">
                  <c:v>4.2407088391165981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EE43-4286-9785-A26771440B0E}"/>
            </c:ext>
          </c:extLst>
        </c:ser>
        <c:ser>
          <c:idx val="10"/>
          <c:order val="10"/>
          <c:tx>
            <c:strRef>
              <c:f>'차트 데이터'!$U$4</c:f>
              <c:strCache>
                <c:ptCount val="1"/>
                <c:pt idx="0">
                  <c:v>ForkJoinPool-6-worker-2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'차트 데이터'!$J$5:$J$76</c:f>
              <c:numCache>
                <c:formatCode>hh:mm:ss</c:formatCode>
                <c:ptCount val="72"/>
                <c:pt idx="0">
                  <c:v>46238.447757256938</c:v>
                </c:pt>
                <c:pt idx="1">
                  <c:v>46238.447769004633</c:v>
                </c:pt>
                <c:pt idx="2">
                  <c:v>46238.44778072917</c:v>
                </c:pt>
                <c:pt idx="3">
                  <c:v>46238.44779244213</c:v>
                </c:pt>
                <c:pt idx="4">
                  <c:v>46238.447804178242</c:v>
                </c:pt>
                <c:pt idx="5">
                  <c:v>46238.447815949083</c:v>
                </c:pt>
                <c:pt idx="6">
                  <c:v>46238.447827592587</c:v>
                </c:pt>
                <c:pt idx="7">
                  <c:v>46238.447839224536</c:v>
                </c:pt>
                <c:pt idx="8">
                  <c:v>46238.447850937497</c:v>
                </c:pt>
                <c:pt idx="9">
                  <c:v>46238.447862696761</c:v>
                </c:pt>
                <c:pt idx="10">
                  <c:v>46238.447874398153</c:v>
                </c:pt>
                <c:pt idx="11">
                  <c:v>46238.447886122682</c:v>
                </c:pt>
                <c:pt idx="12">
                  <c:v>46238.447897743063</c:v>
                </c:pt>
                <c:pt idx="13">
                  <c:v>46238.447909502313</c:v>
                </c:pt>
                <c:pt idx="14">
                  <c:v>46238.447921226849</c:v>
                </c:pt>
                <c:pt idx="15">
                  <c:v>46238.447932951392</c:v>
                </c:pt>
                <c:pt idx="16">
                  <c:v>46238.447944722233</c:v>
                </c:pt>
                <c:pt idx="17">
                  <c:v>46238.447956469907</c:v>
                </c:pt>
                <c:pt idx="18">
                  <c:v>46238.447968217602</c:v>
                </c:pt>
                <c:pt idx="19">
                  <c:v>46238.447979872682</c:v>
                </c:pt>
                <c:pt idx="20">
                  <c:v>46238.44799148148</c:v>
                </c:pt>
                <c:pt idx="21">
                  <c:v>46238.448003229169</c:v>
                </c:pt>
                <c:pt idx="22">
                  <c:v>46238.448014849528</c:v>
                </c:pt>
                <c:pt idx="23">
                  <c:v>46238.448026620368</c:v>
                </c:pt>
                <c:pt idx="24">
                  <c:v>46238.448038356481</c:v>
                </c:pt>
                <c:pt idx="25">
                  <c:v>46238.448049965278</c:v>
                </c:pt>
                <c:pt idx="26">
                  <c:v>46238.448061736111</c:v>
                </c:pt>
                <c:pt idx="27">
                  <c:v>46238.448073472216</c:v>
                </c:pt>
                <c:pt idx="28">
                  <c:v>46238.448085231481</c:v>
                </c:pt>
                <c:pt idx="29">
                  <c:v>46238.448097002307</c:v>
                </c:pt>
                <c:pt idx="30">
                  <c:v>46238.448108599543</c:v>
                </c:pt>
                <c:pt idx="31">
                  <c:v>46238.448120347217</c:v>
                </c:pt>
                <c:pt idx="32">
                  <c:v>46238.448132094913</c:v>
                </c:pt>
                <c:pt idx="33">
                  <c:v>46238.448143784721</c:v>
                </c:pt>
                <c:pt idx="34">
                  <c:v>46238.448155532409</c:v>
                </c:pt>
                <c:pt idx="35">
                  <c:v>46238.44816728009</c:v>
                </c:pt>
                <c:pt idx="36">
                  <c:v>46238.448179039347</c:v>
                </c:pt>
                <c:pt idx="37">
                  <c:v>46238.448190798612</c:v>
                </c:pt>
                <c:pt idx="38">
                  <c:v>46238.448202523148</c:v>
                </c:pt>
                <c:pt idx="39">
                  <c:v>46238.448214247677</c:v>
                </c:pt>
                <c:pt idx="40">
                  <c:v>46238.448225983797</c:v>
                </c:pt>
                <c:pt idx="41">
                  <c:v>46238.448237731478</c:v>
                </c:pt>
                <c:pt idx="42">
                  <c:v>46238.44824946759</c:v>
                </c:pt>
                <c:pt idx="43">
                  <c:v>46238.448261215279</c:v>
                </c:pt>
                <c:pt idx="44">
                  <c:v>46238.448272951391</c:v>
                </c:pt>
                <c:pt idx="45">
                  <c:v>46238.448284699072</c:v>
                </c:pt>
                <c:pt idx="46">
                  <c:v>46238.448296446761</c:v>
                </c:pt>
                <c:pt idx="47">
                  <c:v>46238.448308055558</c:v>
                </c:pt>
                <c:pt idx="48">
                  <c:v>46238.448319768519</c:v>
                </c:pt>
                <c:pt idx="49">
                  <c:v>46238.448331493048</c:v>
                </c:pt>
                <c:pt idx="50">
                  <c:v>46238.448343252312</c:v>
                </c:pt>
                <c:pt idx="51">
                  <c:v>46238.448355</c:v>
                </c:pt>
                <c:pt idx="52">
                  <c:v>46238.448366747682</c:v>
                </c:pt>
                <c:pt idx="53">
                  <c:v>46238.448378472232</c:v>
                </c:pt>
                <c:pt idx="54">
                  <c:v>46238.448390196761</c:v>
                </c:pt>
                <c:pt idx="55">
                  <c:v>46238.448401956019</c:v>
                </c:pt>
                <c:pt idx="56">
                  <c:v>46238.448413564824</c:v>
                </c:pt>
                <c:pt idx="57">
                  <c:v>46238.448425312497</c:v>
                </c:pt>
                <c:pt idx="58">
                  <c:v>46238.44843704861</c:v>
                </c:pt>
                <c:pt idx="59">
                  <c:v>46238.448448784722</c:v>
                </c:pt>
                <c:pt idx="60">
                  <c:v>46238.448460509258</c:v>
                </c:pt>
                <c:pt idx="61">
                  <c:v>46238.448472164353</c:v>
                </c:pt>
                <c:pt idx="62">
                  <c:v>46238.448483865737</c:v>
                </c:pt>
                <c:pt idx="63">
                  <c:v>46238.448495613433</c:v>
                </c:pt>
                <c:pt idx="64">
                  <c:v>46238.448507465277</c:v>
                </c:pt>
                <c:pt idx="65">
                  <c:v>46238.448519166668</c:v>
                </c:pt>
                <c:pt idx="66">
                  <c:v>46238.448530856484</c:v>
                </c:pt>
                <c:pt idx="67">
                  <c:v>46238.448542592603</c:v>
                </c:pt>
                <c:pt idx="68">
                  <c:v>46238.448554282397</c:v>
                </c:pt>
                <c:pt idx="69">
                  <c:v>46238.448566006948</c:v>
                </c:pt>
                <c:pt idx="70">
                  <c:v>46238.448577685187</c:v>
                </c:pt>
                <c:pt idx="71">
                  <c:v>46238.448589409723</c:v>
                </c:pt>
              </c:numCache>
            </c:numRef>
          </c:cat>
          <c:val>
            <c:numRef>
              <c:f>'차트 데이터'!$U$5:$U$76</c:f>
              <c:numCache>
                <c:formatCode>General</c:formatCode>
                <c:ptCount val="72"/>
                <c:pt idx="40" formatCode="0.00">
                  <c:v>4.2463316583663078</c:v>
                </c:pt>
                <c:pt idx="41" formatCode="0.00">
                  <c:v>4.2407088391165981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EE43-4286-9785-A26771440B0E}"/>
            </c:ext>
          </c:extLst>
        </c:ser>
        <c:ser>
          <c:idx val="11"/>
          <c:order val="11"/>
          <c:tx>
            <c:strRef>
              <c:f>'차트 데이터'!$V$4</c:f>
              <c:strCache>
                <c:ptCount val="1"/>
                <c:pt idx="0">
                  <c:v>ForkJoinPool-7-worker-1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'차트 데이터'!$J$5:$J$76</c:f>
              <c:numCache>
                <c:formatCode>hh:mm:ss</c:formatCode>
                <c:ptCount val="72"/>
                <c:pt idx="0">
                  <c:v>46238.447757256938</c:v>
                </c:pt>
                <c:pt idx="1">
                  <c:v>46238.447769004633</c:v>
                </c:pt>
                <c:pt idx="2">
                  <c:v>46238.44778072917</c:v>
                </c:pt>
                <c:pt idx="3">
                  <c:v>46238.44779244213</c:v>
                </c:pt>
                <c:pt idx="4">
                  <c:v>46238.447804178242</c:v>
                </c:pt>
                <c:pt idx="5">
                  <c:v>46238.447815949083</c:v>
                </c:pt>
                <c:pt idx="6">
                  <c:v>46238.447827592587</c:v>
                </c:pt>
                <c:pt idx="7">
                  <c:v>46238.447839224536</c:v>
                </c:pt>
                <c:pt idx="8">
                  <c:v>46238.447850937497</c:v>
                </c:pt>
                <c:pt idx="9">
                  <c:v>46238.447862696761</c:v>
                </c:pt>
                <c:pt idx="10">
                  <c:v>46238.447874398153</c:v>
                </c:pt>
                <c:pt idx="11">
                  <c:v>46238.447886122682</c:v>
                </c:pt>
                <c:pt idx="12">
                  <c:v>46238.447897743063</c:v>
                </c:pt>
                <c:pt idx="13">
                  <c:v>46238.447909502313</c:v>
                </c:pt>
                <c:pt idx="14">
                  <c:v>46238.447921226849</c:v>
                </c:pt>
                <c:pt idx="15">
                  <c:v>46238.447932951392</c:v>
                </c:pt>
                <c:pt idx="16">
                  <c:v>46238.447944722233</c:v>
                </c:pt>
                <c:pt idx="17">
                  <c:v>46238.447956469907</c:v>
                </c:pt>
                <c:pt idx="18">
                  <c:v>46238.447968217602</c:v>
                </c:pt>
                <c:pt idx="19">
                  <c:v>46238.447979872682</c:v>
                </c:pt>
                <c:pt idx="20">
                  <c:v>46238.44799148148</c:v>
                </c:pt>
                <c:pt idx="21">
                  <c:v>46238.448003229169</c:v>
                </c:pt>
                <c:pt idx="22">
                  <c:v>46238.448014849528</c:v>
                </c:pt>
                <c:pt idx="23">
                  <c:v>46238.448026620368</c:v>
                </c:pt>
                <c:pt idx="24">
                  <c:v>46238.448038356481</c:v>
                </c:pt>
                <c:pt idx="25">
                  <c:v>46238.448049965278</c:v>
                </c:pt>
                <c:pt idx="26">
                  <c:v>46238.448061736111</c:v>
                </c:pt>
                <c:pt idx="27">
                  <c:v>46238.448073472216</c:v>
                </c:pt>
                <c:pt idx="28">
                  <c:v>46238.448085231481</c:v>
                </c:pt>
                <c:pt idx="29">
                  <c:v>46238.448097002307</c:v>
                </c:pt>
                <c:pt idx="30">
                  <c:v>46238.448108599543</c:v>
                </c:pt>
                <c:pt idx="31">
                  <c:v>46238.448120347217</c:v>
                </c:pt>
                <c:pt idx="32">
                  <c:v>46238.448132094913</c:v>
                </c:pt>
                <c:pt idx="33">
                  <c:v>46238.448143784721</c:v>
                </c:pt>
                <c:pt idx="34">
                  <c:v>46238.448155532409</c:v>
                </c:pt>
                <c:pt idx="35">
                  <c:v>46238.44816728009</c:v>
                </c:pt>
                <c:pt idx="36">
                  <c:v>46238.448179039347</c:v>
                </c:pt>
                <c:pt idx="37">
                  <c:v>46238.448190798612</c:v>
                </c:pt>
                <c:pt idx="38">
                  <c:v>46238.448202523148</c:v>
                </c:pt>
                <c:pt idx="39">
                  <c:v>46238.448214247677</c:v>
                </c:pt>
                <c:pt idx="40">
                  <c:v>46238.448225983797</c:v>
                </c:pt>
                <c:pt idx="41">
                  <c:v>46238.448237731478</c:v>
                </c:pt>
                <c:pt idx="42">
                  <c:v>46238.44824946759</c:v>
                </c:pt>
                <c:pt idx="43">
                  <c:v>46238.448261215279</c:v>
                </c:pt>
                <c:pt idx="44">
                  <c:v>46238.448272951391</c:v>
                </c:pt>
                <c:pt idx="45">
                  <c:v>46238.448284699072</c:v>
                </c:pt>
                <c:pt idx="46">
                  <c:v>46238.448296446761</c:v>
                </c:pt>
                <c:pt idx="47">
                  <c:v>46238.448308055558</c:v>
                </c:pt>
                <c:pt idx="48">
                  <c:v>46238.448319768519</c:v>
                </c:pt>
                <c:pt idx="49">
                  <c:v>46238.448331493048</c:v>
                </c:pt>
                <c:pt idx="50">
                  <c:v>46238.448343252312</c:v>
                </c:pt>
                <c:pt idx="51">
                  <c:v>46238.448355</c:v>
                </c:pt>
                <c:pt idx="52">
                  <c:v>46238.448366747682</c:v>
                </c:pt>
                <c:pt idx="53">
                  <c:v>46238.448378472232</c:v>
                </c:pt>
                <c:pt idx="54">
                  <c:v>46238.448390196761</c:v>
                </c:pt>
                <c:pt idx="55">
                  <c:v>46238.448401956019</c:v>
                </c:pt>
                <c:pt idx="56">
                  <c:v>46238.448413564824</c:v>
                </c:pt>
                <c:pt idx="57">
                  <c:v>46238.448425312497</c:v>
                </c:pt>
                <c:pt idx="58">
                  <c:v>46238.44843704861</c:v>
                </c:pt>
                <c:pt idx="59">
                  <c:v>46238.448448784722</c:v>
                </c:pt>
                <c:pt idx="60">
                  <c:v>46238.448460509258</c:v>
                </c:pt>
                <c:pt idx="61">
                  <c:v>46238.448472164353</c:v>
                </c:pt>
                <c:pt idx="62">
                  <c:v>46238.448483865737</c:v>
                </c:pt>
                <c:pt idx="63">
                  <c:v>46238.448495613433</c:v>
                </c:pt>
                <c:pt idx="64">
                  <c:v>46238.448507465277</c:v>
                </c:pt>
                <c:pt idx="65">
                  <c:v>46238.448519166668</c:v>
                </c:pt>
                <c:pt idx="66">
                  <c:v>46238.448530856484</c:v>
                </c:pt>
                <c:pt idx="67">
                  <c:v>46238.448542592603</c:v>
                </c:pt>
                <c:pt idx="68">
                  <c:v>46238.448554282397</c:v>
                </c:pt>
                <c:pt idx="69">
                  <c:v>46238.448566006948</c:v>
                </c:pt>
                <c:pt idx="70">
                  <c:v>46238.448577685187</c:v>
                </c:pt>
                <c:pt idx="71">
                  <c:v>46238.448589409723</c:v>
                </c:pt>
              </c:numCache>
            </c:numRef>
          </c:cat>
          <c:val>
            <c:numRef>
              <c:f>'차트 데이터'!$V$5:$V$76</c:f>
              <c:numCache>
                <c:formatCode>General</c:formatCode>
                <c:ptCount val="72"/>
                <c:pt idx="42" formatCode="0.00">
                  <c:v>4.2255423338758389</c:v>
                </c:pt>
                <c:pt idx="43" formatCode="0.00">
                  <c:v>4.2197828861053974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EE43-4286-9785-A26771440B0E}"/>
            </c:ext>
          </c:extLst>
        </c:ser>
        <c:ser>
          <c:idx val="12"/>
          <c:order val="12"/>
          <c:tx>
            <c:strRef>
              <c:f>'차트 데이터'!$W$4</c:f>
              <c:strCache>
                <c:ptCount val="1"/>
                <c:pt idx="0">
                  <c:v>ForkJoinPool-7-worker-2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'차트 데이터'!$J$5:$J$76</c:f>
              <c:numCache>
                <c:formatCode>hh:mm:ss</c:formatCode>
                <c:ptCount val="72"/>
                <c:pt idx="0">
                  <c:v>46238.447757256938</c:v>
                </c:pt>
                <c:pt idx="1">
                  <c:v>46238.447769004633</c:v>
                </c:pt>
                <c:pt idx="2">
                  <c:v>46238.44778072917</c:v>
                </c:pt>
                <c:pt idx="3">
                  <c:v>46238.44779244213</c:v>
                </c:pt>
                <c:pt idx="4">
                  <c:v>46238.447804178242</c:v>
                </c:pt>
                <c:pt idx="5">
                  <c:v>46238.447815949083</c:v>
                </c:pt>
                <c:pt idx="6">
                  <c:v>46238.447827592587</c:v>
                </c:pt>
                <c:pt idx="7">
                  <c:v>46238.447839224536</c:v>
                </c:pt>
                <c:pt idx="8">
                  <c:v>46238.447850937497</c:v>
                </c:pt>
                <c:pt idx="9">
                  <c:v>46238.447862696761</c:v>
                </c:pt>
                <c:pt idx="10">
                  <c:v>46238.447874398153</c:v>
                </c:pt>
                <c:pt idx="11">
                  <c:v>46238.447886122682</c:v>
                </c:pt>
                <c:pt idx="12">
                  <c:v>46238.447897743063</c:v>
                </c:pt>
                <c:pt idx="13">
                  <c:v>46238.447909502313</c:v>
                </c:pt>
                <c:pt idx="14">
                  <c:v>46238.447921226849</c:v>
                </c:pt>
                <c:pt idx="15">
                  <c:v>46238.447932951392</c:v>
                </c:pt>
                <c:pt idx="16">
                  <c:v>46238.447944722233</c:v>
                </c:pt>
                <c:pt idx="17">
                  <c:v>46238.447956469907</c:v>
                </c:pt>
                <c:pt idx="18">
                  <c:v>46238.447968217602</c:v>
                </c:pt>
                <c:pt idx="19">
                  <c:v>46238.447979872682</c:v>
                </c:pt>
                <c:pt idx="20">
                  <c:v>46238.44799148148</c:v>
                </c:pt>
                <c:pt idx="21">
                  <c:v>46238.448003229169</c:v>
                </c:pt>
                <c:pt idx="22">
                  <c:v>46238.448014849528</c:v>
                </c:pt>
                <c:pt idx="23">
                  <c:v>46238.448026620368</c:v>
                </c:pt>
                <c:pt idx="24">
                  <c:v>46238.448038356481</c:v>
                </c:pt>
                <c:pt idx="25">
                  <c:v>46238.448049965278</c:v>
                </c:pt>
                <c:pt idx="26">
                  <c:v>46238.448061736111</c:v>
                </c:pt>
                <c:pt idx="27">
                  <c:v>46238.448073472216</c:v>
                </c:pt>
                <c:pt idx="28">
                  <c:v>46238.448085231481</c:v>
                </c:pt>
                <c:pt idx="29">
                  <c:v>46238.448097002307</c:v>
                </c:pt>
                <c:pt idx="30">
                  <c:v>46238.448108599543</c:v>
                </c:pt>
                <c:pt idx="31">
                  <c:v>46238.448120347217</c:v>
                </c:pt>
                <c:pt idx="32">
                  <c:v>46238.448132094913</c:v>
                </c:pt>
                <c:pt idx="33">
                  <c:v>46238.448143784721</c:v>
                </c:pt>
                <c:pt idx="34">
                  <c:v>46238.448155532409</c:v>
                </c:pt>
                <c:pt idx="35">
                  <c:v>46238.44816728009</c:v>
                </c:pt>
                <c:pt idx="36">
                  <c:v>46238.448179039347</c:v>
                </c:pt>
                <c:pt idx="37">
                  <c:v>46238.448190798612</c:v>
                </c:pt>
                <c:pt idx="38">
                  <c:v>46238.448202523148</c:v>
                </c:pt>
                <c:pt idx="39">
                  <c:v>46238.448214247677</c:v>
                </c:pt>
                <c:pt idx="40">
                  <c:v>46238.448225983797</c:v>
                </c:pt>
                <c:pt idx="41">
                  <c:v>46238.448237731478</c:v>
                </c:pt>
                <c:pt idx="42">
                  <c:v>46238.44824946759</c:v>
                </c:pt>
                <c:pt idx="43">
                  <c:v>46238.448261215279</c:v>
                </c:pt>
                <c:pt idx="44">
                  <c:v>46238.448272951391</c:v>
                </c:pt>
                <c:pt idx="45">
                  <c:v>46238.448284699072</c:v>
                </c:pt>
                <c:pt idx="46">
                  <c:v>46238.448296446761</c:v>
                </c:pt>
                <c:pt idx="47">
                  <c:v>46238.448308055558</c:v>
                </c:pt>
                <c:pt idx="48">
                  <c:v>46238.448319768519</c:v>
                </c:pt>
                <c:pt idx="49">
                  <c:v>46238.448331493048</c:v>
                </c:pt>
                <c:pt idx="50">
                  <c:v>46238.448343252312</c:v>
                </c:pt>
                <c:pt idx="51">
                  <c:v>46238.448355</c:v>
                </c:pt>
                <c:pt idx="52">
                  <c:v>46238.448366747682</c:v>
                </c:pt>
                <c:pt idx="53">
                  <c:v>46238.448378472232</c:v>
                </c:pt>
                <c:pt idx="54">
                  <c:v>46238.448390196761</c:v>
                </c:pt>
                <c:pt idx="55">
                  <c:v>46238.448401956019</c:v>
                </c:pt>
                <c:pt idx="56">
                  <c:v>46238.448413564824</c:v>
                </c:pt>
                <c:pt idx="57">
                  <c:v>46238.448425312497</c:v>
                </c:pt>
                <c:pt idx="58">
                  <c:v>46238.44843704861</c:v>
                </c:pt>
                <c:pt idx="59">
                  <c:v>46238.448448784722</c:v>
                </c:pt>
                <c:pt idx="60">
                  <c:v>46238.448460509258</c:v>
                </c:pt>
                <c:pt idx="61">
                  <c:v>46238.448472164353</c:v>
                </c:pt>
                <c:pt idx="62">
                  <c:v>46238.448483865737</c:v>
                </c:pt>
                <c:pt idx="63">
                  <c:v>46238.448495613433</c:v>
                </c:pt>
                <c:pt idx="64">
                  <c:v>46238.448507465277</c:v>
                </c:pt>
                <c:pt idx="65">
                  <c:v>46238.448519166668</c:v>
                </c:pt>
                <c:pt idx="66">
                  <c:v>46238.448530856484</c:v>
                </c:pt>
                <c:pt idx="67">
                  <c:v>46238.448542592603</c:v>
                </c:pt>
                <c:pt idx="68">
                  <c:v>46238.448554282397</c:v>
                </c:pt>
                <c:pt idx="69">
                  <c:v>46238.448566006948</c:v>
                </c:pt>
                <c:pt idx="70">
                  <c:v>46238.448577685187</c:v>
                </c:pt>
                <c:pt idx="71">
                  <c:v>46238.448589409723</c:v>
                </c:pt>
              </c:numCache>
            </c:numRef>
          </c:cat>
          <c:val>
            <c:numRef>
              <c:f>'차트 데이터'!$W$5:$W$76</c:f>
              <c:numCache>
                <c:formatCode>General</c:formatCode>
                <c:ptCount val="72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EE43-4286-9785-A26771440B0E}"/>
            </c:ext>
          </c:extLst>
        </c:ser>
        <c:ser>
          <c:idx val="13"/>
          <c:order val="13"/>
          <c:tx>
            <c:strRef>
              <c:f>'차트 데이터'!$X$4</c:f>
              <c:strCache>
                <c:ptCount val="1"/>
                <c:pt idx="0">
                  <c:v>ForkJoinPool-7-worker-4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'차트 데이터'!$J$5:$J$76</c:f>
              <c:numCache>
                <c:formatCode>hh:mm:ss</c:formatCode>
                <c:ptCount val="72"/>
                <c:pt idx="0">
                  <c:v>46238.447757256938</c:v>
                </c:pt>
                <c:pt idx="1">
                  <c:v>46238.447769004633</c:v>
                </c:pt>
                <c:pt idx="2">
                  <c:v>46238.44778072917</c:v>
                </c:pt>
                <c:pt idx="3">
                  <c:v>46238.44779244213</c:v>
                </c:pt>
                <c:pt idx="4">
                  <c:v>46238.447804178242</c:v>
                </c:pt>
                <c:pt idx="5">
                  <c:v>46238.447815949083</c:v>
                </c:pt>
                <c:pt idx="6">
                  <c:v>46238.447827592587</c:v>
                </c:pt>
                <c:pt idx="7">
                  <c:v>46238.447839224536</c:v>
                </c:pt>
                <c:pt idx="8">
                  <c:v>46238.447850937497</c:v>
                </c:pt>
                <c:pt idx="9">
                  <c:v>46238.447862696761</c:v>
                </c:pt>
                <c:pt idx="10">
                  <c:v>46238.447874398153</c:v>
                </c:pt>
                <c:pt idx="11">
                  <c:v>46238.447886122682</c:v>
                </c:pt>
                <c:pt idx="12">
                  <c:v>46238.447897743063</c:v>
                </c:pt>
                <c:pt idx="13">
                  <c:v>46238.447909502313</c:v>
                </c:pt>
                <c:pt idx="14">
                  <c:v>46238.447921226849</c:v>
                </c:pt>
                <c:pt idx="15">
                  <c:v>46238.447932951392</c:v>
                </c:pt>
                <c:pt idx="16">
                  <c:v>46238.447944722233</c:v>
                </c:pt>
                <c:pt idx="17">
                  <c:v>46238.447956469907</c:v>
                </c:pt>
                <c:pt idx="18">
                  <c:v>46238.447968217602</c:v>
                </c:pt>
                <c:pt idx="19">
                  <c:v>46238.447979872682</c:v>
                </c:pt>
                <c:pt idx="20">
                  <c:v>46238.44799148148</c:v>
                </c:pt>
                <c:pt idx="21">
                  <c:v>46238.448003229169</c:v>
                </c:pt>
                <c:pt idx="22">
                  <c:v>46238.448014849528</c:v>
                </c:pt>
                <c:pt idx="23">
                  <c:v>46238.448026620368</c:v>
                </c:pt>
                <c:pt idx="24">
                  <c:v>46238.448038356481</c:v>
                </c:pt>
                <c:pt idx="25">
                  <c:v>46238.448049965278</c:v>
                </c:pt>
                <c:pt idx="26">
                  <c:v>46238.448061736111</c:v>
                </c:pt>
                <c:pt idx="27">
                  <c:v>46238.448073472216</c:v>
                </c:pt>
                <c:pt idx="28">
                  <c:v>46238.448085231481</c:v>
                </c:pt>
                <c:pt idx="29">
                  <c:v>46238.448097002307</c:v>
                </c:pt>
                <c:pt idx="30">
                  <c:v>46238.448108599543</c:v>
                </c:pt>
                <c:pt idx="31">
                  <c:v>46238.448120347217</c:v>
                </c:pt>
                <c:pt idx="32">
                  <c:v>46238.448132094913</c:v>
                </c:pt>
                <c:pt idx="33">
                  <c:v>46238.448143784721</c:v>
                </c:pt>
                <c:pt idx="34">
                  <c:v>46238.448155532409</c:v>
                </c:pt>
                <c:pt idx="35">
                  <c:v>46238.44816728009</c:v>
                </c:pt>
                <c:pt idx="36">
                  <c:v>46238.448179039347</c:v>
                </c:pt>
                <c:pt idx="37">
                  <c:v>46238.448190798612</c:v>
                </c:pt>
                <c:pt idx="38">
                  <c:v>46238.448202523148</c:v>
                </c:pt>
                <c:pt idx="39">
                  <c:v>46238.448214247677</c:v>
                </c:pt>
                <c:pt idx="40">
                  <c:v>46238.448225983797</c:v>
                </c:pt>
                <c:pt idx="41">
                  <c:v>46238.448237731478</c:v>
                </c:pt>
                <c:pt idx="42">
                  <c:v>46238.44824946759</c:v>
                </c:pt>
                <c:pt idx="43">
                  <c:v>46238.448261215279</c:v>
                </c:pt>
                <c:pt idx="44">
                  <c:v>46238.448272951391</c:v>
                </c:pt>
                <c:pt idx="45">
                  <c:v>46238.448284699072</c:v>
                </c:pt>
                <c:pt idx="46">
                  <c:v>46238.448296446761</c:v>
                </c:pt>
                <c:pt idx="47">
                  <c:v>46238.448308055558</c:v>
                </c:pt>
                <c:pt idx="48">
                  <c:v>46238.448319768519</c:v>
                </c:pt>
                <c:pt idx="49">
                  <c:v>46238.448331493048</c:v>
                </c:pt>
                <c:pt idx="50">
                  <c:v>46238.448343252312</c:v>
                </c:pt>
                <c:pt idx="51">
                  <c:v>46238.448355</c:v>
                </c:pt>
                <c:pt idx="52">
                  <c:v>46238.448366747682</c:v>
                </c:pt>
                <c:pt idx="53">
                  <c:v>46238.448378472232</c:v>
                </c:pt>
                <c:pt idx="54">
                  <c:v>46238.448390196761</c:v>
                </c:pt>
                <c:pt idx="55">
                  <c:v>46238.448401956019</c:v>
                </c:pt>
                <c:pt idx="56">
                  <c:v>46238.448413564824</c:v>
                </c:pt>
                <c:pt idx="57">
                  <c:v>46238.448425312497</c:v>
                </c:pt>
                <c:pt idx="58">
                  <c:v>46238.44843704861</c:v>
                </c:pt>
                <c:pt idx="59">
                  <c:v>46238.448448784722</c:v>
                </c:pt>
                <c:pt idx="60">
                  <c:v>46238.448460509258</c:v>
                </c:pt>
                <c:pt idx="61">
                  <c:v>46238.448472164353</c:v>
                </c:pt>
                <c:pt idx="62">
                  <c:v>46238.448483865737</c:v>
                </c:pt>
                <c:pt idx="63">
                  <c:v>46238.448495613433</c:v>
                </c:pt>
                <c:pt idx="64">
                  <c:v>46238.448507465277</c:v>
                </c:pt>
                <c:pt idx="65">
                  <c:v>46238.448519166668</c:v>
                </c:pt>
                <c:pt idx="66">
                  <c:v>46238.448530856484</c:v>
                </c:pt>
                <c:pt idx="67">
                  <c:v>46238.448542592603</c:v>
                </c:pt>
                <c:pt idx="68">
                  <c:v>46238.448554282397</c:v>
                </c:pt>
                <c:pt idx="69">
                  <c:v>46238.448566006948</c:v>
                </c:pt>
                <c:pt idx="70">
                  <c:v>46238.448577685187</c:v>
                </c:pt>
                <c:pt idx="71">
                  <c:v>46238.448589409723</c:v>
                </c:pt>
              </c:numCache>
            </c:numRef>
          </c:cat>
          <c:val>
            <c:numRef>
              <c:f>'차트 데이터'!$X$5:$X$76</c:f>
              <c:numCache>
                <c:formatCode>General</c:formatCode>
                <c:ptCount val="72"/>
                <c:pt idx="42" formatCode="0.00">
                  <c:v>4.2255423338758389</c:v>
                </c:pt>
                <c:pt idx="43" formatCode="0.00">
                  <c:v>4.2197828861053974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EE43-4286-9785-A26771440B0E}"/>
            </c:ext>
          </c:extLst>
        </c:ser>
        <c:ser>
          <c:idx val="14"/>
          <c:order val="14"/>
          <c:tx>
            <c:strRef>
              <c:f>'차트 데이터'!$Y$4</c:f>
              <c:strCache>
                <c:ptCount val="1"/>
                <c:pt idx="0">
                  <c:v>ForkJoinPool-11-worker-1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'차트 데이터'!$J$5:$J$76</c:f>
              <c:numCache>
                <c:formatCode>hh:mm:ss</c:formatCode>
                <c:ptCount val="72"/>
                <c:pt idx="0">
                  <c:v>46238.447757256938</c:v>
                </c:pt>
                <c:pt idx="1">
                  <c:v>46238.447769004633</c:v>
                </c:pt>
                <c:pt idx="2">
                  <c:v>46238.44778072917</c:v>
                </c:pt>
                <c:pt idx="3">
                  <c:v>46238.44779244213</c:v>
                </c:pt>
                <c:pt idx="4">
                  <c:v>46238.447804178242</c:v>
                </c:pt>
                <c:pt idx="5">
                  <c:v>46238.447815949083</c:v>
                </c:pt>
                <c:pt idx="6">
                  <c:v>46238.447827592587</c:v>
                </c:pt>
                <c:pt idx="7">
                  <c:v>46238.447839224536</c:v>
                </c:pt>
                <c:pt idx="8">
                  <c:v>46238.447850937497</c:v>
                </c:pt>
                <c:pt idx="9">
                  <c:v>46238.447862696761</c:v>
                </c:pt>
                <c:pt idx="10">
                  <c:v>46238.447874398153</c:v>
                </c:pt>
                <c:pt idx="11">
                  <c:v>46238.447886122682</c:v>
                </c:pt>
                <c:pt idx="12">
                  <c:v>46238.447897743063</c:v>
                </c:pt>
                <c:pt idx="13">
                  <c:v>46238.447909502313</c:v>
                </c:pt>
                <c:pt idx="14">
                  <c:v>46238.447921226849</c:v>
                </c:pt>
                <c:pt idx="15">
                  <c:v>46238.447932951392</c:v>
                </c:pt>
                <c:pt idx="16">
                  <c:v>46238.447944722233</c:v>
                </c:pt>
                <c:pt idx="17">
                  <c:v>46238.447956469907</c:v>
                </c:pt>
                <c:pt idx="18">
                  <c:v>46238.447968217602</c:v>
                </c:pt>
                <c:pt idx="19">
                  <c:v>46238.447979872682</c:v>
                </c:pt>
                <c:pt idx="20">
                  <c:v>46238.44799148148</c:v>
                </c:pt>
                <c:pt idx="21">
                  <c:v>46238.448003229169</c:v>
                </c:pt>
                <c:pt idx="22">
                  <c:v>46238.448014849528</c:v>
                </c:pt>
                <c:pt idx="23">
                  <c:v>46238.448026620368</c:v>
                </c:pt>
                <c:pt idx="24">
                  <c:v>46238.448038356481</c:v>
                </c:pt>
                <c:pt idx="25">
                  <c:v>46238.448049965278</c:v>
                </c:pt>
                <c:pt idx="26">
                  <c:v>46238.448061736111</c:v>
                </c:pt>
                <c:pt idx="27">
                  <c:v>46238.448073472216</c:v>
                </c:pt>
                <c:pt idx="28">
                  <c:v>46238.448085231481</c:v>
                </c:pt>
                <c:pt idx="29">
                  <c:v>46238.448097002307</c:v>
                </c:pt>
                <c:pt idx="30">
                  <c:v>46238.448108599543</c:v>
                </c:pt>
                <c:pt idx="31">
                  <c:v>46238.448120347217</c:v>
                </c:pt>
                <c:pt idx="32">
                  <c:v>46238.448132094913</c:v>
                </c:pt>
                <c:pt idx="33">
                  <c:v>46238.448143784721</c:v>
                </c:pt>
                <c:pt idx="34">
                  <c:v>46238.448155532409</c:v>
                </c:pt>
                <c:pt idx="35">
                  <c:v>46238.44816728009</c:v>
                </c:pt>
                <c:pt idx="36">
                  <c:v>46238.448179039347</c:v>
                </c:pt>
                <c:pt idx="37">
                  <c:v>46238.448190798612</c:v>
                </c:pt>
                <c:pt idx="38">
                  <c:v>46238.448202523148</c:v>
                </c:pt>
                <c:pt idx="39">
                  <c:v>46238.448214247677</c:v>
                </c:pt>
                <c:pt idx="40">
                  <c:v>46238.448225983797</c:v>
                </c:pt>
                <c:pt idx="41">
                  <c:v>46238.448237731478</c:v>
                </c:pt>
                <c:pt idx="42">
                  <c:v>46238.44824946759</c:v>
                </c:pt>
                <c:pt idx="43">
                  <c:v>46238.448261215279</c:v>
                </c:pt>
                <c:pt idx="44">
                  <c:v>46238.448272951391</c:v>
                </c:pt>
                <c:pt idx="45">
                  <c:v>46238.448284699072</c:v>
                </c:pt>
                <c:pt idx="46">
                  <c:v>46238.448296446761</c:v>
                </c:pt>
                <c:pt idx="47">
                  <c:v>46238.448308055558</c:v>
                </c:pt>
                <c:pt idx="48">
                  <c:v>46238.448319768519</c:v>
                </c:pt>
                <c:pt idx="49">
                  <c:v>46238.448331493048</c:v>
                </c:pt>
                <c:pt idx="50">
                  <c:v>46238.448343252312</c:v>
                </c:pt>
                <c:pt idx="51">
                  <c:v>46238.448355</c:v>
                </c:pt>
                <c:pt idx="52">
                  <c:v>46238.448366747682</c:v>
                </c:pt>
                <c:pt idx="53">
                  <c:v>46238.448378472232</c:v>
                </c:pt>
                <c:pt idx="54">
                  <c:v>46238.448390196761</c:v>
                </c:pt>
                <c:pt idx="55">
                  <c:v>46238.448401956019</c:v>
                </c:pt>
                <c:pt idx="56">
                  <c:v>46238.448413564824</c:v>
                </c:pt>
                <c:pt idx="57">
                  <c:v>46238.448425312497</c:v>
                </c:pt>
                <c:pt idx="58">
                  <c:v>46238.44843704861</c:v>
                </c:pt>
                <c:pt idx="59">
                  <c:v>46238.448448784722</c:v>
                </c:pt>
                <c:pt idx="60">
                  <c:v>46238.448460509258</c:v>
                </c:pt>
                <c:pt idx="61">
                  <c:v>46238.448472164353</c:v>
                </c:pt>
                <c:pt idx="62">
                  <c:v>46238.448483865737</c:v>
                </c:pt>
                <c:pt idx="63">
                  <c:v>46238.448495613433</c:v>
                </c:pt>
                <c:pt idx="64">
                  <c:v>46238.448507465277</c:v>
                </c:pt>
                <c:pt idx="65">
                  <c:v>46238.448519166668</c:v>
                </c:pt>
                <c:pt idx="66">
                  <c:v>46238.448530856484</c:v>
                </c:pt>
                <c:pt idx="67">
                  <c:v>46238.448542592603</c:v>
                </c:pt>
                <c:pt idx="68">
                  <c:v>46238.448554282397</c:v>
                </c:pt>
                <c:pt idx="69">
                  <c:v>46238.448566006948</c:v>
                </c:pt>
                <c:pt idx="70">
                  <c:v>46238.448577685187</c:v>
                </c:pt>
                <c:pt idx="71">
                  <c:v>46238.448589409723</c:v>
                </c:pt>
              </c:numCache>
            </c:numRef>
          </c:cat>
          <c:val>
            <c:numRef>
              <c:f>'차트 데이터'!$Y$5:$Y$76</c:f>
              <c:numCache>
                <c:formatCode>General</c:formatCode>
                <c:ptCount val="72"/>
                <c:pt idx="50" formatCode="0.00">
                  <c:v>4.2323963987300779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E-EE43-4286-9785-A26771440B0E}"/>
            </c:ext>
          </c:extLst>
        </c:ser>
        <c:ser>
          <c:idx val="15"/>
          <c:order val="15"/>
          <c:tx>
            <c:strRef>
              <c:f>'차트 데이터'!$Z$4</c:f>
              <c:strCache>
                <c:ptCount val="1"/>
                <c:pt idx="0">
                  <c:v>ForkJoinPool-11-worker-2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'차트 데이터'!$J$5:$J$76</c:f>
              <c:numCache>
                <c:formatCode>hh:mm:ss</c:formatCode>
                <c:ptCount val="72"/>
                <c:pt idx="0">
                  <c:v>46238.447757256938</c:v>
                </c:pt>
                <c:pt idx="1">
                  <c:v>46238.447769004633</c:v>
                </c:pt>
                <c:pt idx="2">
                  <c:v>46238.44778072917</c:v>
                </c:pt>
                <c:pt idx="3">
                  <c:v>46238.44779244213</c:v>
                </c:pt>
                <c:pt idx="4">
                  <c:v>46238.447804178242</c:v>
                </c:pt>
                <c:pt idx="5">
                  <c:v>46238.447815949083</c:v>
                </c:pt>
                <c:pt idx="6">
                  <c:v>46238.447827592587</c:v>
                </c:pt>
                <c:pt idx="7">
                  <c:v>46238.447839224536</c:v>
                </c:pt>
                <c:pt idx="8">
                  <c:v>46238.447850937497</c:v>
                </c:pt>
                <c:pt idx="9">
                  <c:v>46238.447862696761</c:v>
                </c:pt>
                <c:pt idx="10">
                  <c:v>46238.447874398153</c:v>
                </c:pt>
                <c:pt idx="11">
                  <c:v>46238.447886122682</c:v>
                </c:pt>
                <c:pt idx="12">
                  <c:v>46238.447897743063</c:v>
                </c:pt>
                <c:pt idx="13">
                  <c:v>46238.447909502313</c:v>
                </c:pt>
                <c:pt idx="14">
                  <c:v>46238.447921226849</c:v>
                </c:pt>
                <c:pt idx="15">
                  <c:v>46238.447932951392</c:v>
                </c:pt>
                <c:pt idx="16">
                  <c:v>46238.447944722233</c:v>
                </c:pt>
                <c:pt idx="17">
                  <c:v>46238.447956469907</c:v>
                </c:pt>
                <c:pt idx="18">
                  <c:v>46238.447968217602</c:v>
                </c:pt>
                <c:pt idx="19">
                  <c:v>46238.447979872682</c:v>
                </c:pt>
                <c:pt idx="20">
                  <c:v>46238.44799148148</c:v>
                </c:pt>
                <c:pt idx="21">
                  <c:v>46238.448003229169</c:v>
                </c:pt>
                <c:pt idx="22">
                  <c:v>46238.448014849528</c:v>
                </c:pt>
                <c:pt idx="23">
                  <c:v>46238.448026620368</c:v>
                </c:pt>
                <c:pt idx="24">
                  <c:v>46238.448038356481</c:v>
                </c:pt>
                <c:pt idx="25">
                  <c:v>46238.448049965278</c:v>
                </c:pt>
                <c:pt idx="26">
                  <c:v>46238.448061736111</c:v>
                </c:pt>
                <c:pt idx="27">
                  <c:v>46238.448073472216</c:v>
                </c:pt>
                <c:pt idx="28">
                  <c:v>46238.448085231481</c:v>
                </c:pt>
                <c:pt idx="29">
                  <c:v>46238.448097002307</c:v>
                </c:pt>
                <c:pt idx="30">
                  <c:v>46238.448108599543</c:v>
                </c:pt>
                <c:pt idx="31">
                  <c:v>46238.448120347217</c:v>
                </c:pt>
                <c:pt idx="32">
                  <c:v>46238.448132094913</c:v>
                </c:pt>
                <c:pt idx="33">
                  <c:v>46238.448143784721</c:v>
                </c:pt>
                <c:pt idx="34">
                  <c:v>46238.448155532409</c:v>
                </c:pt>
                <c:pt idx="35">
                  <c:v>46238.44816728009</c:v>
                </c:pt>
                <c:pt idx="36">
                  <c:v>46238.448179039347</c:v>
                </c:pt>
                <c:pt idx="37">
                  <c:v>46238.448190798612</c:v>
                </c:pt>
                <c:pt idx="38">
                  <c:v>46238.448202523148</c:v>
                </c:pt>
                <c:pt idx="39">
                  <c:v>46238.448214247677</c:v>
                </c:pt>
                <c:pt idx="40">
                  <c:v>46238.448225983797</c:v>
                </c:pt>
                <c:pt idx="41">
                  <c:v>46238.448237731478</c:v>
                </c:pt>
                <c:pt idx="42">
                  <c:v>46238.44824946759</c:v>
                </c:pt>
                <c:pt idx="43">
                  <c:v>46238.448261215279</c:v>
                </c:pt>
                <c:pt idx="44">
                  <c:v>46238.448272951391</c:v>
                </c:pt>
                <c:pt idx="45">
                  <c:v>46238.448284699072</c:v>
                </c:pt>
                <c:pt idx="46">
                  <c:v>46238.448296446761</c:v>
                </c:pt>
                <c:pt idx="47">
                  <c:v>46238.448308055558</c:v>
                </c:pt>
                <c:pt idx="48">
                  <c:v>46238.448319768519</c:v>
                </c:pt>
                <c:pt idx="49">
                  <c:v>46238.448331493048</c:v>
                </c:pt>
                <c:pt idx="50">
                  <c:v>46238.448343252312</c:v>
                </c:pt>
                <c:pt idx="51">
                  <c:v>46238.448355</c:v>
                </c:pt>
                <c:pt idx="52">
                  <c:v>46238.448366747682</c:v>
                </c:pt>
                <c:pt idx="53">
                  <c:v>46238.448378472232</c:v>
                </c:pt>
                <c:pt idx="54">
                  <c:v>46238.448390196761</c:v>
                </c:pt>
                <c:pt idx="55">
                  <c:v>46238.448401956019</c:v>
                </c:pt>
                <c:pt idx="56">
                  <c:v>46238.448413564824</c:v>
                </c:pt>
                <c:pt idx="57">
                  <c:v>46238.448425312497</c:v>
                </c:pt>
                <c:pt idx="58">
                  <c:v>46238.44843704861</c:v>
                </c:pt>
                <c:pt idx="59">
                  <c:v>46238.448448784722</c:v>
                </c:pt>
                <c:pt idx="60">
                  <c:v>46238.448460509258</c:v>
                </c:pt>
                <c:pt idx="61">
                  <c:v>46238.448472164353</c:v>
                </c:pt>
                <c:pt idx="62">
                  <c:v>46238.448483865737</c:v>
                </c:pt>
                <c:pt idx="63">
                  <c:v>46238.448495613433</c:v>
                </c:pt>
                <c:pt idx="64">
                  <c:v>46238.448507465277</c:v>
                </c:pt>
                <c:pt idx="65">
                  <c:v>46238.448519166668</c:v>
                </c:pt>
                <c:pt idx="66">
                  <c:v>46238.448530856484</c:v>
                </c:pt>
                <c:pt idx="67">
                  <c:v>46238.448542592603</c:v>
                </c:pt>
                <c:pt idx="68">
                  <c:v>46238.448554282397</c:v>
                </c:pt>
                <c:pt idx="69">
                  <c:v>46238.448566006948</c:v>
                </c:pt>
                <c:pt idx="70">
                  <c:v>46238.448577685187</c:v>
                </c:pt>
                <c:pt idx="71">
                  <c:v>46238.448589409723</c:v>
                </c:pt>
              </c:numCache>
            </c:numRef>
          </c:cat>
          <c:val>
            <c:numRef>
              <c:f>'차트 데이터'!$Z$5:$Z$76</c:f>
              <c:numCache>
                <c:formatCode>General</c:formatCode>
                <c:ptCount val="72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F-EE43-4286-9785-A26771440B0E}"/>
            </c:ext>
          </c:extLst>
        </c:ser>
        <c:ser>
          <c:idx val="16"/>
          <c:order val="16"/>
          <c:tx>
            <c:strRef>
              <c:f>'차트 데이터'!$AA$4</c:f>
              <c:strCache>
                <c:ptCount val="1"/>
                <c:pt idx="0">
                  <c:v>ForkJoinPool-11-worker-3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'차트 데이터'!$J$5:$J$76</c:f>
              <c:numCache>
                <c:formatCode>hh:mm:ss</c:formatCode>
                <c:ptCount val="72"/>
                <c:pt idx="0">
                  <c:v>46238.447757256938</c:v>
                </c:pt>
                <c:pt idx="1">
                  <c:v>46238.447769004633</c:v>
                </c:pt>
                <c:pt idx="2">
                  <c:v>46238.44778072917</c:v>
                </c:pt>
                <c:pt idx="3">
                  <c:v>46238.44779244213</c:v>
                </c:pt>
                <c:pt idx="4">
                  <c:v>46238.447804178242</c:v>
                </c:pt>
                <c:pt idx="5">
                  <c:v>46238.447815949083</c:v>
                </c:pt>
                <c:pt idx="6">
                  <c:v>46238.447827592587</c:v>
                </c:pt>
                <c:pt idx="7">
                  <c:v>46238.447839224536</c:v>
                </c:pt>
                <c:pt idx="8">
                  <c:v>46238.447850937497</c:v>
                </c:pt>
                <c:pt idx="9">
                  <c:v>46238.447862696761</c:v>
                </c:pt>
                <c:pt idx="10">
                  <c:v>46238.447874398153</c:v>
                </c:pt>
                <c:pt idx="11">
                  <c:v>46238.447886122682</c:v>
                </c:pt>
                <c:pt idx="12">
                  <c:v>46238.447897743063</c:v>
                </c:pt>
                <c:pt idx="13">
                  <c:v>46238.447909502313</c:v>
                </c:pt>
                <c:pt idx="14">
                  <c:v>46238.447921226849</c:v>
                </c:pt>
                <c:pt idx="15">
                  <c:v>46238.447932951392</c:v>
                </c:pt>
                <c:pt idx="16">
                  <c:v>46238.447944722233</c:v>
                </c:pt>
                <c:pt idx="17">
                  <c:v>46238.447956469907</c:v>
                </c:pt>
                <c:pt idx="18">
                  <c:v>46238.447968217602</c:v>
                </c:pt>
                <c:pt idx="19">
                  <c:v>46238.447979872682</c:v>
                </c:pt>
                <c:pt idx="20">
                  <c:v>46238.44799148148</c:v>
                </c:pt>
                <c:pt idx="21">
                  <c:v>46238.448003229169</c:v>
                </c:pt>
                <c:pt idx="22">
                  <c:v>46238.448014849528</c:v>
                </c:pt>
                <c:pt idx="23">
                  <c:v>46238.448026620368</c:v>
                </c:pt>
                <c:pt idx="24">
                  <c:v>46238.448038356481</c:v>
                </c:pt>
                <c:pt idx="25">
                  <c:v>46238.448049965278</c:v>
                </c:pt>
                <c:pt idx="26">
                  <c:v>46238.448061736111</c:v>
                </c:pt>
                <c:pt idx="27">
                  <c:v>46238.448073472216</c:v>
                </c:pt>
                <c:pt idx="28">
                  <c:v>46238.448085231481</c:v>
                </c:pt>
                <c:pt idx="29">
                  <c:v>46238.448097002307</c:v>
                </c:pt>
                <c:pt idx="30">
                  <c:v>46238.448108599543</c:v>
                </c:pt>
                <c:pt idx="31">
                  <c:v>46238.448120347217</c:v>
                </c:pt>
                <c:pt idx="32">
                  <c:v>46238.448132094913</c:v>
                </c:pt>
                <c:pt idx="33">
                  <c:v>46238.448143784721</c:v>
                </c:pt>
                <c:pt idx="34">
                  <c:v>46238.448155532409</c:v>
                </c:pt>
                <c:pt idx="35">
                  <c:v>46238.44816728009</c:v>
                </c:pt>
                <c:pt idx="36">
                  <c:v>46238.448179039347</c:v>
                </c:pt>
                <c:pt idx="37">
                  <c:v>46238.448190798612</c:v>
                </c:pt>
                <c:pt idx="38">
                  <c:v>46238.448202523148</c:v>
                </c:pt>
                <c:pt idx="39">
                  <c:v>46238.448214247677</c:v>
                </c:pt>
                <c:pt idx="40">
                  <c:v>46238.448225983797</c:v>
                </c:pt>
                <c:pt idx="41">
                  <c:v>46238.448237731478</c:v>
                </c:pt>
                <c:pt idx="42">
                  <c:v>46238.44824946759</c:v>
                </c:pt>
                <c:pt idx="43">
                  <c:v>46238.448261215279</c:v>
                </c:pt>
                <c:pt idx="44">
                  <c:v>46238.448272951391</c:v>
                </c:pt>
                <c:pt idx="45">
                  <c:v>46238.448284699072</c:v>
                </c:pt>
                <c:pt idx="46">
                  <c:v>46238.448296446761</c:v>
                </c:pt>
                <c:pt idx="47">
                  <c:v>46238.448308055558</c:v>
                </c:pt>
                <c:pt idx="48">
                  <c:v>46238.448319768519</c:v>
                </c:pt>
                <c:pt idx="49">
                  <c:v>46238.448331493048</c:v>
                </c:pt>
                <c:pt idx="50">
                  <c:v>46238.448343252312</c:v>
                </c:pt>
                <c:pt idx="51">
                  <c:v>46238.448355</c:v>
                </c:pt>
                <c:pt idx="52">
                  <c:v>46238.448366747682</c:v>
                </c:pt>
                <c:pt idx="53">
                  <c:v>46238.448378472232</c:v>
                </c:pt>
                <c:pt idx="54">
                  <c:v>46238.448390196761</c:v>
                </c:pt>
                <c:pt idx="55">
                  <c:v>46238.448401956019</c:v>
                </c:pt>
                <c:pt idx="56">
                  <c:v>46238.448413564824</c:v>
                </c:pt>
                <c:pt idx="57">
                  <c:v>46238.448425312497</c:v>
                </c:pt>
                <c:pt idx="58">
                  <c:v>46238.44843704861</c:v>
                </c:pt>
                <c:pt idx="59">
                  <c:v>46238.448448784722</c:v>
                </c:pt>
                <c:pt idx="60">
                  <c:v>46238.448460509258</c:v>
                </c:pt>
                <c:pt idx="61">
                  <c:v>46238.448472164353</c:v>
                </c:pt>
                <c:pt idx="62">
                  <c:v>46238.448483865737</c:v>
                </c:pt>
                <c:pt idx="63">
                  <c:v>46238.448495613433</c:v>
                </c:pt>
                <c:pt idx="64">
                  <c:v>46238.448507465277</c:v>
                </c:pt>
                <c:pt idx="65">
                  <c:v>46238.448519166668</c:v>
                </c:pt>
                <c:pt idx="66">
                  <c:v>46238.448530856484</c:v>
                </c:pt>
                <c:pt idx="67">
                  <c:v>46238.448542592603</c:v>
                </c:pt>
                <c:pt idx="68">
                  <c:v>46238.448554282397</c:v>
                </c:pt>
                <c:pt idx="69">
                  <c:v>46238.448566006948</c:v>
                </c:pt>
                <c:pt idx="70">
                  <c:v>46238.448577685187</c:v>
                </c:pt>
                <c:pt idx="71">
                  <c:v>46238.448589409723</c:v>
                </c:pt>
              </c:numCache>
            </c:numRef>
          </c:cat>
          <c:val>
            <c:numRef>
              <c:f>'차트 데이터'!$AA$5:$AA$76</c:f>
              <c:numCache>
                <c:formatCode>General</c:formatCode>
                <c:ptCount val="72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0-EE43-4286-9785-A26771440B0E}"/>
            </c:ext>
          </c:extLst>
        </c:ser>
        <c:ser>
          <c:idx val="17"/>
          <c:order val="17"/>
          <c:tx>
            <c:strRef>
              <c:f>'차트 데이터'!$AB$4</c:f>
              <c:strCache>
                <c:ptCount val="1"/>
                <c:pt idx="0">
                  <c:v>ForkJoinPool-11-worker-4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'차트 데이터'!$J$5:$J$76</c:f>
              <c:numCache>
                <c:formatCode>hh:mm:ss</c:formatCode>
                <c:ptCount val="72"/>
                <c:pt idx="0">
                  <c:v>46238.447757256938</c:v>
                </c:pt>
                <c:pt idx="1">
                  <c:v>46238.447769004633</c:v>
                </c:pt>
                <c:pt idx="2">
                  <c:v>46238.44778072917</c:v>
                </c:pt>
                <c:pt idx="3">
                  <c:v>46238.44779244213</c:v>
                </c:pt>
                <c:pt idx="4">
                  <c:v>46238.447804178242</c:v>
                </c:pt>
                <c:pt idx="5">
                  <c:v>46238.447815949083</c:v>
                </c:pt>
                <c:pt idx="6">
                  <c:v>46238.447827592587</c:v>
                </c:pt>
                <c:pt idx="7">
                  <c:v>46238.447839224536</c:v>
                </c:pt>
                <c:pt idx="8">
                  <c:v>46238.447850937497</c:v>
                </c:pt>
                <c:pt idx="9">
                  <c:v>46238.447862696761</c:v>
                </c:pt>
                <c:pt idx="10">
                  <c:v>46238.447874398153</c:v>
                </c:pt>
                <c:pt idx="11">
                  <c:v>46238.447886122682</c:v>
                </c:pt>
                <c:pt idx="12">
                  <c:v>46238.447897743063</c:v>
                </c:pt>
                <c:pt idx="13">
                  <c:v>46238.447909502313</c:v>
                </c:pt>
                <c:pt idx="14">
                  <c:v>46238.447921226849</c:v>
                </c:pt>
                <c:pt idx="15">
                  <c:v>46238.447932951392</c:v>
                </c:pt>
                <c:pt idx="16">
                  <c:v>46238.447944722233</c:v>
                </c:pt>
                <c:pt idx="17">
                  <c:v>46238.447956469907</c:v>
                </c:pt>
                <c:pt idx="18">
                  <c:v>46238.447968217602</c:v>
                </c:pt>
                <c:pt idx="19">
                  <c:v>46238.447979872682</c:v>
                </c:pt>
                <c:pt idx="20">
                  <c:v>46238.44799148148</c:v>
                </c:pt>
                <c:pt idx="21">
                  <c:v>46238.448003229169</c:v>
                </c:pt>
                <c:pt idx="22">
                  <c:v>46238.448014849528</c:v>
                </c:pt>
                <c:pt idx="23">
                  <c:v>46238.448026620368</c:v>
                </c:pt>
                <c:pt idx="24">
                  <c:v>46238.448038356481</c:v>
                </c:pt>
                <c:pt idx="25">
                  <c:v>46238.448049965278</c:v>
                </c:pt>
                <c:pt idx="26">
                  <c:v>46238.448061736111</c:v>
                </c:pt>
                <c:pt idx="27">
                  <c:v>46238.448073472216</c:v>
                </c:pt>
                <c:pt idx="28">
                  <c:v>46238.448085231481</c:v>
                </c:pt>
                <c:pt idx="29">
                  <c:v>46238.448097002307</c:v>
                </c:pt>
                <c:pt idx="30">
                  <c:v>46238.448108599543</c:v>
                </c:pt>
                <c:pt idx="31">
                  <c:v>46238.448120347217</c:v>
                </c:pt>
                <c:pt idx="32">
                  <c:v>46238.448132094913</c:v>
                </c:pt>
                <c:pt idx="33">
                  <c:v>46238.448143784721</c:v>
                </c:pt>
                <c:pt idx="34">
                  <c:v>46238.448155532409</c:v>
                </c:pt>
                <c:pt idx="35">
                  <c:v>46238.44816728009</c:v>
                </c:pt>
                <c:pt idx="36">
                  <c:v>46238.448179039347</c:v>
                </c:pt>
                <c:pt idx="37">
                  <c:v>46238.448190798612</c:v>
                </c:pt>
                <c:pt idx="38">
                  <c:v>46238.448202523148</c:v>
                </c:pt>
                <c:pt idx="39">
                  <c:v>46238.448214247677</c:v>
                </c:pt>
                <c:pt idx="40">
                  <c:v>46238.448225983797</c:v>
                </c:pt>
                <c:pt idx="41">
                  <c:v>46238.448237731478</c:v>
                </c:pt>
                <c:pt idx="42">
                  <c:v>46238.44824946759</c:v>
                </c:pt>
                <c:pt idx="43">
                  <c:v>46238.448261215279</c:v>
                </c:pt>
                <c:pt idx="44">
                  <c:v>46238.448272951391</c:v>
                </c:pt>
                <c:pt idx="45">
                  <c:v>46238.448284699072</c:v>
                </c:pt>
                <c:pt idx="46">
                  <c:v>46238.448296446761</c:v>
                </c:pt>
                <c:pt idx="47">
                  <c:v>46238.448308055558</c:v>
                </c:pt>
                <c:pt idx="48">
                  <c:v>46238.448319768519</c:v>
                </c:pt>
                <c:pt idx="49">
                  <c:v>46238.448331493048</c:v>
                </c:pt>
                <c:pt idx="50">
                  <c:v>46238.448343252312</c:v>
                </c:pt>
                <c:pt idx="51">
                  <c:v>46238.448355</c:v>
                </c:pt>
                <c:pt idx="52">
                  <c:v>46238.448366747682</c:v>
                </c:pt>
                <c:pt idx="53">
                  <c:v>46238.448378472232</c:v>
                </c:pt>
                <c:pt idx="54">
                  <c:v>46238.448390196761</c:v>
                </c:pt>
                <c:pt idx="55">
                  <c:v>46238.448401956019</c:v>
                </c:pt>
                <c:pt idx="56">
                  <c:v>46238.448413564824</c:v>
                </c:pt>
                <c:pt idx="57">
                  <c:v>46238.448425312497</c:v>
                </c:pt>
                <c:pt idx="58">
                  <c:v>46238.44843704861</c:v>
                </c:pt>
                <c:pt idx="59">
                  <c:v>46238.448448784722</c:v>
                </c:pt>
                <c:pt idx="60">
                  <c:v>46238.448460509258</c:v>
                </c:pt>
                <c:pt idx="61">
                  <c:v>46238.448472164353</c:v>
                </c:pt>
                <c:pt idx="62">
                  <c:v>46238.448483865737</c:v>
                </c:pt>
                <c:pt idx="63">
                  <c:v>46238.448495613433</c:v>
                </c:pt>
                <c:pt idx="64">
                  <c:v>46238.448507465277</c:v>
                </c:pt>
                <c:pt idx="65">
                  <c:v>46238.448519166668</c:v>
                </c:pt>
                <c:pt idx="66">
                  <c:v>46238.448530856484</c:v>
                </c:pt>
                <c:pt idx="67">
                  <c:v>46238.448542592603</c:v>
                </c:pt>
                <c:pt idx="68">
                  <c:v>46238.448554282397</c:v>
                </c:pt>
                <c:pt idx="69">
                  <c:v>46238.448566006948</c:v>
                </c:pt>
                <c:pt idx="70">
                  <c:v>46238.448577685187</c:v>
                </c:pt>
                <c:pt idx="71">
                  <c:v>46238.448589409723</c:v>
                </c:pt>
              </c:numCache>
            </c:numRef>
          </c:cat>
          <c:val>
            <c:numRef>
              <c:f>'차트 데이터'!$AB$5:$AB$76</c:f>
              <c:numCache>
                <c:formatCode>General</c:formatCode>
                <c:ptCount val="72"/>
                <c:pt idx="50" formatCode="0.00">
                  <c:v>4.2323963987300779</c:v>
                </c:pt>
                <c:pt idx="51" formatCode="0.00">
                  <c:v>4.2159846933454563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1-EE43-4286-9785-A26771440B0E}"/>
            </c:ext>
          </c:extLst>
        </c:ser>
        <c:ser>
          <c:idx val="18"/>
          <c:order val="18"/>
          <c:tx>
            <c:strRef>
              <c:f>'차트 데이터'!$AC$4</c:f>
              <c:strCache>
                <c:ptCount val="1"/>
                <c:pt idx="0">
                  <c:v>ForkJoinPool-11-worker-6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'차트 데이터'!$J$5:$J$76</c:f>
              <c:numCache>
                <c:formatCode>hh:mm:ss</c:formatCode>
                <c:ptCount val="72"/>
                <c:pt idx="0">
                  <c:v>46238.447757256938</c:v>
                </c:pt>
                <c:pt idx="1">
                  <c:v>46238.447769004633</c:v>
                </c:pt>
                <c:pt idx="2">
                  <c:v>46238.44778072917</c:v>
                </c:pt>
                <c:pt idx="3">
                  <c:v>46238.44779244213</c:v>
                </c:pt>
                <c:pt idx="4">
                  <c:v>46238.447804178242</c:v>
                </c:pt>
                <c:pt idx="5">
                  <c:v>46238.447815949083</c:v>
                </c:pt>
                <c:pt idx="6">
                  <c:v>46238.447827592587</c:v>
                </c:pt>
                <c:pt idx="7">
                  <c:v>46238.447839224536</c:v>
                </c:pt>
                <c:pt idx="8">
                  <c:v>46238.447850937497</c:v>
                </c:pt>
                <c:pt idx="9">
                  <c:v>46238.447862696761</c:v>
                </c:pt>
                <c:pt idx="10">
                  <c:v>46238.447874398153</c:v>
                </c:pt>
                <c:pt idx="11">
                  <c:v>46238.447886122682</c:v>
                </c:pt>
                <c:pt idx="12">
                  <c:v>46238.447897743063</c:v>
                </c:pt>
                <c:pt idx="13">
                  <c:v>46238.447909502313</c:v>
                </c:pt>
                <c:pt idx="14">
                  <c:v>46238.447921226849</c:v>
                </c:pt>
                <c:pt idx="15">
                  <c:v>46238.447932951392</c:v>
                </c:pt>
                <c:pt idx="16">
                  <c:v>46238.447944722233</c:v>
                </c:pt>
                <c:pt idx="17">
                  <c:v>46238.447956469907</c:v>
                </c:pt>
                <c:pt idx="18">
                  <c:v>46238.447968217602</c:v>
                </c:pt>
                <c:pt idx="19">
                  <c:v>46238.447979872682</c:v>
                </c:pt>
                <c:pt idx="20">
                  <c:v>46238.44799148148</c:v>
                </c:pt>
                <c:pt idx="21">
                  <c:v>46238.448003229169</c:v>
                </c:pt>
                <c:pt idx="22">
                  <c:v>46238.448014849528</c:v>
                </c:pt>
                <c:pt idx="23">
                  <c:v>46238.448026620368</c:v>
                </c:pt>
                <c:pt idx="24">
                  <c:v>46238.448038356481</c:v>
                </c:pt>
                <c:pt idx="25">
                  <c:v>46238.448049965278</c:v>
                </c:pt>
                <c:pt idx="26">
                  <c:v>46238.448061736111</c:v>
                </c:pt>
                <c:pt idx="27">
                  <c:v>46238.448073472216</c:v>
                </c:pt>
                <c:pt idx="28">
                  <c:v>46238.448085231481</c:v>
                </c:pt>
                <c:pt idx="29">
                  <c:v>46238.448097002307</c:v>
                </c:pt>
                <c:pt idx="30">
                  <c:v>46238.448108599543</c:v>
                </c:pt>
                <c:pt idx="31">
                  <c:v>46238.448120347217</c:v>
                </c:pt>
                <c:pt idx="32">
                  <c:v>46238.448132094913</c:v>
                </c:pt>
                <c:pt idx="33">
                  <c:v>46238.448143784721</c:v>
                </c:pt>
                <c:pt idx="34">
                  <c:v>46238.448155532409</c:v>
                </c:pt>
                <c:pt idx="35">
                  <c:v>46238.44816728009</c:v>
                </c:pt>
                <c:pt idx="36">
                  <c:v>46238.448179039347</c:v>
                </c:pt>
                <c:pt idx="37">
                  <c:v>46238.448190798612</c:v>
                </c:pt>
                <c:pt idx="38">
                  <c:v>46238.448202523148</c:v>
                </c:pt>
                <c:pt idx="39">
                  <c:v>46238.448214247677</c:v>
                </c:pt>
                <c:pt idx="40">
                  <c:v>46238.448225983797</c:v>
                </c:pt>
                <c:pt idx="41">
                  <c:v>46238.448237731478</c:v>
                </c:pt>
                <c:pt idx="42">
                  <c:v>46238.44824946759</c:v>
                </c:pt>
                <c:pt idx="43">
                  <c:v>46238.448261215279</c:v>
                </c:pt>
                <c:pt idx="44">
                  <c:v>46238.448272951391</c:v>
                </c:pt>
                <c:pt idx="45">
                  <c:v>46238.448284699072</c:v>
                </c:pt>
                <c:pt idx="46">
                  <c:v>46238.448296446761</c:v>
                </c:pt>
                <c:pt idx="47">
                  <c:v>46238.448308055558</c:v>
                </c:pt>
                <c:pt idx="48">
                  <c:v>46238.448319768519</c:v>
                </c:pt>
                <c:pt idx="49">
                  <c:v>46238.448331493048</c:v>
                </c:pt>
                <c:pt idx="50">
                  <c:v>46238.448343252312</c:v>
                </c:pt>
                <c:pt idx="51">
                  <c:v>46238.448355</c:v>
                </c:pt>
                <c:pt idx="52">
                  <c:v>46238.448366747682</c:v>
                </c:pt>
                <c:pt idx="53">
                  <c:v>46238.448378472232</c:v>
                </c:pt>
                <c:pt idx="54">
                  <c:v>46238.448390196761</c:v>
                </c:pt>
                <c:pt idx="55">
                  <c:v>46238.448401956019</c:v>
                </c:pt>
                <c:pt idx="56">
                  <c:v>46238.448413564824</c:v>
                </c:pt>
                <c:pt idx="57">
                  <c:v>46238.448425312497</c:v>
                </c:pt>
                <c:pt idx="58">
                  <c:v>46238.44843704861</c:v>
                </c:pt>
                <c:pt idx="59">
                  <c:v>46238.448448784722</c:v>
                </c:pt>
                <c:pt idx="60">
                  <c:v>46238.448460509258</c:v>
                </c:pt>
                <c:pt idx="61">
                  <c:v>46238.448472164353</c:v>
                </c:pt>
                <c:pt idx="62">
                  <c:v>46238.448483865737</c:v>
                </c:pt>
                <c:pt idx="63">
                  <c:v>46238.448495613433</c:v>
                </c:pt>
                <c:pt idx="64">
                  <c:v>46238.448507465277</c:v>
                </c:pt>
                <c:pt idx="65">
                  <c:v>46238.448519166668</c:v>
                </c:pt>
                <c:pt idx="66">
                  <c:v>46238.448530856484</c:v>
                </c:pt>
                <c:pt idx="67">
                  <c:v>46238.448542592603</c:v>
                </c:pt>
                <c:pt idx="68">
                  <c:v>46238.448554282397</c:v>
                </c:pt>
                <c:pt idx="69">
                  <c:v>46238.448566006948</c:v>
                </c:pt>
                <c:pt idx="70">
                  <c:v>46238.448577685187</c:v>
                </c:pt>
                <c:pt idx="71">
                  <c:v>46238.448589409723</c:v>
                </c:pt>
              </c:numCache>
            </c:numRef>
          </c:cat>
          <c:val>
            <c:numRef>
              <c:f>'차트 데이터'!$AC$5:$AC$76</c:f>
              <c:numCache>
                <c:formatCode>General</c:formatCode>
                <c:ptCount val="72"/>
                <c:pt idx="51" formatCode="0.00">
                  <c:v>4.2159846933454563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2-EE43-4286-9785-A26771440B0E}"/>
            </c:ext>
          </c:extLst>
        </c:ser>
        <c:ser>
          <c:idx val="19"/>
          <c:order val="19"/>
          <c:tx>
            <c:strRef>
              <c:f>'차트 데이터'!$AD$4</c:f>
              <c:strCache>
                <c:ptCount val="1"/>
                <c:pt idx="0">
                  <c:v>ForkJoinPool-12-worker-1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'차트 데이터'!$J$5:$J$76</c:f>
              <c:numCache>
                <c:formatCode>hh:mm:ss</c:formatCode>
                <c:ptCount val="72"/>
                <c:pt idx="0">
                  <c:v>46238.447757256938</c:v>
                </c:pt>
                <c:pt idx="1">
                  <c:v>46238.447769004633</c:v>
                </c:pt>
                <c:pt idx="2">
                  <c:v>46238.44778072917</c:v>
                </c:pt>
                <c:pt idx="3">
                  <c:v>46238.44779244213</c:v>
                </c:pt>
                <c:pt idx="4">
                  <c:v>46238.447804178242</c:v>
                </c:pt>
                <c:pt idx="5">
                  <c:v>46238.447815949083</c:v>
                </c:pt>
                <c:pt idx="6">
                  <c:v>46238.447827592587</c:v>
                </c:pt>
                <c:pt idx="7">
                  <c:v>46238.447839224536</c:v>
                </c:pt>
                <c:pt idx="8">
                  <c:v>46238.447850937497</c:v>
                </c:pt>
                <c:pt idx="9">
                  <c:v>46238.447862696761</c:v>
                </c:pt>
                <c:pt idx="10">
                  <c:v>46238.447874398153</c:v>
                </c:pt>
                <c:pt idx="11">
                  <c:v>46238.447886122682</c:v>
                </c:pt>
                <c:pt idx="12">
                  <c:v>46238.447897743063</c:v>
                </c:pt>
                <c:pt idx="13">
                  <c:v>46238.447909502313</c:v>
                </c:pt>
                <c:pt idx="14">
                  <c:v>46238.447921226849</c:v>
                </c:pt>
                <c:pt idx="15">
                  <c:v>46238.447932951392</c:v>
                </c:pt>
                <c:pt idx="16">
                  <c:v>46238.447944722233</c:v>
                </c:pt>
                <c:pt idx="17">
                  <c:v>46238.447956469907</c:v>
                </c:pt>
                <c:pt idx="18">
                  <c:v>46238.447968217602</c:v>
                </c:pt>
                <c:pt idx="19">
                  <c:v>46238.447979872682</c:v>
                </c:pt>
                <c:pt idx="20">
                  <c:v>46238.44799148148</c:v>
                </c:pt>
                <c:pt idx="21">
                  <c:v>46238.448003229169</c:v>
                </c:pt>
                <c:pt idx="22">
                  <c:v>46238.448014849528</c:v>
                </c:pt>
                <c:pt idx="23">
                  <c:v>46238.448026620368</c:v>
                </c:pt>
                <c:pt idx="24">
                  <c:v>46238.448038356481</c:v>
                </c:pt>
                <c:pt idx="25">
                  <c:v>46238.448049965278</c:v>
                </c:pt>
                <c:pt idx="26">
                  <c:v>46238.448061736111</c:v>
                </c:pt>
                <c:pt idx="27">
                  <c:v>46238.448073472216</c:v>
                </c:pt>
                <c:pt idx="28">
                  <c:v>46238.448085231481</c:v>
                </c:pt>
                <c:pt idx="29">
                  <c:v>46238.448097002307</c:v>
                </c:pt>
                <c:pt idx="30">
                  <c:v>46238.448108599543</c:v>
                </c:pt>
                <c:pt idx="31">
                  <c:v>46238.448120347217</c:v>
                </c:pt>
                <c:pt idx="32">
                  <c:v>46238.448132094913</c:v>
                </c:pt>
                <c:pt idx="33">
                  <c:v>46238.448143784721</c:v>
                </c:pt>
                <c:pt idx="34">
                  <c:v>46238.448155532409</c:v>
                </c:pt>
                <c:pt idx="35">
                  <c:v>46238.44816728009</c:v>
                </c:pt>
                <c:pt idx="36">
                  <c:v>46238.448179039347</c:v>
                </c:pt>
                <c:pt idx="37">
                  <c:v>46238.448190798612</c:v>
                </c:pt>
                <c:pt idx="38">
                  <c:v>46238.448202523148</c:v>
                </c:pt>
                <c:pt idx="39">
                  <c:v>46238.448214247677</c:v>
                </c:pt>
                <c:pt idx="40">
                  <c:v>46238.448225983797</c:v>
                </c:pt>
                <c:pt idx="41">
                  <c:v>46238.448237731478</c:v>
                </c:pt>
                <c:pt idx="42">
                  <c:v>46238.44824946759</c:v>
                </c:pt>
                <c:pt idx="43">
                  <c:v>46238.448261215279</c:v>
                </c:pt>
                <c:pt idx="44">
                  <c:v>46238.448272951391</c:v>
                </c:pt>
                <c:pt idx="45">
                  <c:v>46238.448284699072</c:v>
                </c:pt>
                <c:pt idx="46">
                  <c:v>46238.448296446761</c:v>
                </c:pt>
                <c:pt idx="47">
                  <c:v>46238.448308055558</c:v>
                </c:pt>
                <c:pt idx="48">
                  <c:v>46238.448319768519</c:v>
                </c:pt>
                <c:pt idx="49">
                  <c:v>46238.448331493048</c:v>
                </c:pt>
                <c:pt idx="50">
                  <c:v>46238.448343252312</c:v>
                </c:pt>
                <c:pt idx="51">
                  <c:v>46238.448355</c:v>
                </c:pt>
                <c:pt idx="52">
                  <c:v>46238.448366747682</c:v>
                </c:pt>
                <c:pt idx="53">
                  <c:v>46238.448378472232</c:v>
                </c:pt>
                <c:pt idx="54">
                  <c:v>46238.448390196761</c:v>
                </c:pt>
                <c:pt idx="55">
                  <c:v>46238.448401956019</c:v>
                </c:pt>
                <c:pt idx="56">
                  <c:v>46238.448413564824</c:v>
                </c:pt>
                <c:pt idx="57">
                  <c:v>46238.448425312497</c:v>
                </c:pt>
                <c:pt idx="58">
                  <c:v>46238.44843704861</c:v>
                </c:pt>
                <c:pt idx="59">
                  <c:v>46238.448448784722</c:v>
                </c:pt>
                <c:pt idx="60">
                  <c:v>46238.448460509258</c:v>
                </c:pt>
                <c:pt idx="61">
                  <c:v>46238.448472164353</c:v>
                </c:pt>
                <c:pt idx="62">
                  <c:v>46238.448483865737</c:v>
                </c:pt>
                <c:pt idx="63">
                  <c:v>46238.448495613433</c:v>
                </c:pt>
                <c:pt idx="64">
                  <c:v>46238.448507465277</c:v>
                </c:pt>
                <c:pt idx="65">
                  <c:v>46238.448519166668</c:v>
                </c:pt>
                <c:pt idx="66">
                  <c:v>46238.448530856484</c:v>
                </c:pt>
                <c:pt idx="67">
                  <c:v>46238.448542592603</c:v>
                </c:pt>
                <c:pt idx="68">
                  <c:v>46238.448554282397</c:v>
                </c:pt>
                <c:pt idx="69">
                  <c:v>46238.448566006948</c:v>
                </c:pt>
                <c:pt idx="70">
                  <c:v>46238.448577685187</c:v>
                </c:pt>
                <c:pt idx="71">
                  <c:v>46238.448589409723</c:v>
                </c:pt>
              </c:numCache>
            </c:numRef>
          </c:cat>
          <c:val>
            <c:numRef>
              <c:f>'차트 데이터'!$AD$5:$AD$76</c:f>
              <c:numCache>
                <c:formatCode>General</c:formatCode>
                <c:ptCount val="72"/>
                <c:pt idx="52" formatCode="0.00">
                  <c:v>4.2553699726160206</c:v>
                </c:pt>
                <c:pt idx="53" formatCode="0.00">
                  <c:v>4.2655001099390102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3-EE43-4286-9785-A26771440B0E}"/>
            </c:ext>
          </c:extLst>
        </c:ser>
        <c:ser>
          <c:idx val="20"/>
          <c:order val="20"/>
          <c:tx>
            <c:strRef>
              <c:f>'차트 데이터'!$AE$4</c:f>
              <c:strCache>
                <c:ptCount val="1"/>
                <c:pt idx="0">
                  <c:v>ForkJoinPool-12-worker-2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'차트 데이터'!$J$5:$J$76</c:f>
              <c:numCache>
                <c:formatCode>hh:mm:ss</c:formatCode>
                <c:ptCount val="72"/>
                <c:pt idx="0">
                  <c:v>46238.447757256938</c:v>
                </c:pt>
                <c:pt idx="1">
                  <c:v>46238.447769004633</c:v>
                </c:pt>
                <c:pt idx="2">
                  <c:v>46238.44778072917</c:v>
                </c:pt>
                <c:pt idx="3">
                  <c:v>46238.44779244213</c:v>
                </c:pt>
                <c:pt idx="4">
                  <c:v>46238.447804178242</c:v>
                </c:pt>
                <c:pt idx="5">
                  <c:v>46238.447815949083</c:v>
                </c:pt>
                <c:pt idx="6">
                  <c:v>46238.447827592587</c:v>
                </c:pt>
                <c:pt idx="7">
                  <c:v>46238.447839224536</c:v>
                </c:pt>
                <c:pt idx="8">
                  <c:v>46238.447850937497</c:v>
                </c:pt>
                <c:pt idx="9">
                  <c:v>46238.447862696761</c:v>
                </c:pt>
                <c:pt idx="10">
                  <c:v>46238.447874398153</c:v>
                </c:pt>
                <c:pt idx="11">
                  <c:v>46238.447886122682</c:v>
                </c:pt>
                <c:pt idx="12">
                  <c:v>46238.447897743063</c:v>
                </c:pt>
                <c:pt idx="13">
                  <c:v>46238.447909502313</c:v>
                </c:pt>
                <c:pt idx="14">
                  <c:v>46238.447921226849</c:v>
                </c:pt>
                <c:pt idx="15">
                  <c:v>46238.447932951392</c:v>
                </c:pt>
                <c:pt idx="16">
                  <c:v>46238.447944722233</c:v>
                </c:pt>
                <c:pt idx="17">
                  <c:v>46238.447956469907</c:v>
                </c:pt>
                <c:pt idx="18">
                  <c:v>46238.447968217602</c:v>
                </c:pt>
                <c:pt idx="19">
                  <c:v>46238.447979872682</c:v>
                </c:pt>
                <c:pt idx="20">
                  <c:v>46238.44799148148</c:v>
                </c:pt>
                <c:pt idx="21">
                  <c:v>46238.448003229169</c:v>
                </c:pt>
                <c:pt idx="22">
                  <c:v>46238.448014849528</c:v>
                </c:pt>
                <c:pt idx="23">
                  <c:v>46238.448026620368</c:v>
                </c:pt>
                <c:pt idx="24">
                  <c:v>46238.448038356481</c:v>
                </c:pt>
                <c:pt idx="25">
                  <c:v>46238.448049965278</c:v>
                </c:pt>
                <c:pt idx="26">
                  <c:v>46238.448061736111</c:v>
                </c:pt>
                <c:pt idx="27">
                  <c:v>46238.448073472216</c:v>
                </c:pt>
                <c:pt idx="28">
                  <c:v>46238.448085231481</c:v>
                </c:pt>
                <c:pt idx="29">
                  <c:v>46238.448097002307</c:v>
                </c:pt>
                <c:pt idx="30">
                  <c:v>46238.448108599543</c:v>
                </c:pt>
                <c:pt idx="31">
                  <c:v>46238.448120347217</c:v>
                </c:pt>
                <c:pt idx="32">
                  <c:v>46238.448132094913</c:v>
                </c:pt>
                <c:pt idx="33">
                  <c:v>46238.448143784721</c:v>
                </c:pt>
                <c:pt idx="34">
                  <c:v>46238.448155532409</c:v>
                </c:pt>
                <c:pt idx="35">
                  <c:v>46238.44816728009</c:v>
                </c:pt>
                <c:pt idx="36">
                  <c:v>46238.448179039347</c:v>
                </c:pt>
                <c:pt idx="37">
                  <c:v>46238.448190798612</c:v>
                </c:pt>
                <c:pt idx="38">
                  <c:v>46238.448202523148</c:v>
                </c:pt>
                <c:pt idx="39">
                  <c:v>46238.448214247677</c:v>
                </c:pt>
                <c:pt idx="40">
                  <c:v>46238.448225983797</c:v>
                </c:pt>
                <c:pt idx="41">
                  <c:v>46238.448237731478</c:v>
                </c:pt>
                <c:pt idx="42">
                  <c:v>46238.44824946759</c:v>
                </c:pt>
                <c:pt idx="43">
                  <c:v>46238.448261215279</c:v>
                </c:pt>
                <c:pt idx="44">
                  <c:v>46238.448272951391</c:v>
                </c:pt>
                <c:pt idx="45">
                  <c:v>46238.448284699072</c:v>
                </c:pt>
                <c:pt idx="46">
                  <c:v>46238.448296446761</c:v>
                </c:pt>
                <c:pt idx="47">
                  <c:v>46238.448308055558</c:v>
                </c:pt>
                <c:pt idx="48">
                  <c:v>46238.448319768519</c:v>
                </c:pt>
                <c:pt idx="49">
                  <c:v>46238.448331493048</c:v>
                </c:pt>
                <c:pt idx="50">
                  <c:v>46238.448343252312</c:v>
                </c:pt>
                <c:pt idx="51">
                  <c:v>46238.448355</c:v>
                </c:pt>
                <c:pt idx="52">
                  <c:v>46238.448366747682</c:v>
                </c:pt>
                <c:pt idx="53">
                  <c:v>46238.448378472232</c:v>
                </c:pt>
                <c:pt idx="54">
                  <c:v>46238.448390196761</c:v>
                </c:pt>
                <c:pt idx="55">
                  <c:v>46238.448401956019</c:v>
                </c:pt>
                <c:pt idx="56">
                  <c:v>46238.448413564824</c:v>
                </c:pt>
                <c:pt idx="57">
                  <c:v>46238.448425312497</c:v>
                </c:pt>
                <c:pt idx="58">
                  <c:v>46238.44843704861</c:v>
                </c:pt>
                <c:pt idx="59">
                  <c:v>46238.448448784722</c:v>
                </c:pt>
                <c:pt idx="60">
                  <c:v>46238.448460509258</c:v>
                </c:pt>
                <c:pt idx="61">
                  <c:v>46238.448472164353</c:v>
                </c:pt>
                <c:pt idx="62">
                  <c:v>46238.448483865737</c:v>
                </c:pt>
                <c:pt idx="63">
                  <c:v>46238.448495613433</c:v>
                </c:pt>
                <c:pt idx="64">
                  <c:v>46238.448507465277</c:v>
                </c:pt>
                <c:pt idx="65">
                  <c:v>46238.448519166668</c:v>
                </c:pt>
                <c:pt idx="66">
                  <c:v>46238.448530856484</c:v>
                </c:pt>
                <c:pt idx="67">
                  <c:v>46238.448542592603</c:v>
                </c:pt>
                <c:pt idx="68">
                  <c:v>46238.448554282397</c:v>
                </c:pt>
                <c:pt idx="69">
                  <c:v>46238.448566006948</c:v>
                </c:pt>
                <c:pt idx="70">
                  <c:v>46238.448577685187</c:v>
                </c:pt>
                <c:pt idx="71">
                  <c:v>46238.448589409723</c:v>
                </c:pt>
              </c:numCache>
            </c:numRef>
          </c:cat>
          <c:val>
            <c:numRef>
              <c:f>'차트 데이터'!$AE$5:$AE$76</c:f>
              <c:numCache>
                <c:formatCode>General</c:formatCode>
                <c:ptCount val="72"/>
                <c:pt idx="52" formatCode="0.00">
                  <c:v>4.2553699726160206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4-EE43-4286-9785-A26771440B0E}"/>
            </c:ext>
          </c:extLst>
        </c:ser>
        <c:ser>
          <c:idx val="21"/>
          <c:order val="21"/>
          <c:tx>
            <c:strRef>
              <c:f>'차트 데이터'!$AF$4</c:f>
              <c:strCache>
                <c:ptCount val="1"/>
                <c:pt idx="0">
                  <c:v>ForkJoinPool-12-worker-8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'차트 데이터'!$J$5:$J$76</c:f>
              <c:numCache>
                <c:formatCode>hh:mm:ss</c:formatCode>
                <c:ptCount val="72"/>
                <c:pt idx="0">
                  <c:v>46238.447757256938</c:v>
                </c:pt>
                <c:pt idx="1">
                  <c:v>46238.447769004633</c:v>
                </c:pt>
                <c:pt idx="2">
                  <c:v>46238.44778072917</c:v>
                </c:pt>
                <c:pt idx="3">
                  <c:v>46238.44779244213</c:v>
                </c:pt>
                <c:pt idx="4">
                  <c:v>46238.447804178242</c:v>
                </c:pt>
                <c:pt idx="5">
                  <c:v>46238.447815949083</c:v>
                </c:pt>
                <c:pt idx="6">
                  <c:v>46238.447827592587</c:v>
                </c:pt>
                <c:pt idx="7">
                  <c:v>46238.447839224536</c:v>
                </c:pt>
                <c:pt idx="8">
                  <c:v>46238.447850937497</c:v>
                </c:pt>
                <c:pt idx="9">
                  <c:v>46238.447862696761</c:v>
                </c:pt>
                <c:pt idx="10">
                  <c:v>46238.447874398153</c:v>
                </c:pt>
                <c:pt idx="11">
                  <c:v>46238.447886122682</c:v>
                </c:pt>
                <c:pt idx="12">
                  <c:v>46238.447897743063</c:v>
                </c:pt>
                <c:pt idx="13">
                  <c:v>46238.447909502313</c:v>
                </c:pt>
                <c:pt idx="14">
                  <c:v>46238.447921226849</c:v>
                </c:pt>
                <c:pt idx="15">
                  <c:v>46238.447932951392</c:v>
                </c:pt>
                <c:pt idx="16">
                  <c:v>46238.447944722233</c:v>
                </c:pt>
                <c:pt idx="17">
                  <c:v>46238.447956469907</c:v>
                </c:pt>
                <c:pt idx="18">
                  <c:v>46238.447968217602</c:v>
                </c:pt>
                <c:pt idx="19">
                  <c:v>46238.447979872682</c:v>
                </c:pt>
                <c:pt idx="20">
                  <c:v>46238.44799148148</c:v>
                </c:pt>
                <c:pt idx="21">
                  <c:v>46238.448003229169</c:v>
                </c:pt>
                <c:pt idx="22">
                  <c:v>46238.448014849528</c:v>
                </c:pt>
                <c:pt idx="23">
                  <c:v>46238.448026620368</c:v>
                </c:pt>
                <c:pt idx="24">
                  <c:v>46238.448038356481</c:v>
                </c:pt>
                <c:pt idx="25">
                  <c:v>46238.448049965278</c:v>
                </c:pt>
                <c:pt idx="26">
                  <c:v>46238.448061736111</c:v>
                </c:pt>
                <c:pt idx="27">
                  <c:v>46238.448073472216</c:v>
                </c:pt>
                <c:pt idx="28">
                  <c:v>46238.448085231481</c:v>
                </c:pt>
                <c:pt idx="29">
                  <c:v>46238.448097002307</c:v>
                </c:pt>
                <c:pt idx="30">
                  <c:v>46238.448108599543</c:v>
                </c:pt>
                <c:pt idx="31">
                  <c:v>46238.448120347217</c:v>
                </c:pt>
                <c:pt idx="32">
                  <c:v>46238.448132094913</c:v>
                </c:pt>
                <c:pt idx="33">
                  <c:v>46238.448143784721</c:v>
                </c:pt>
                <c:pt idx="34">
                  <c:v>46238.448155532409</c:v>
                </c:pt>
                <c:pt idx="35">
                  <c:v>46238.44816728009</c:v>
                </c:pt>
                <c:pt idx="36">
                  <c:v>46238.448179039347</c:v>
                </c:pt>
                <c:pt idx="37">
                  <c:v>46238.448190798612</c:v>
                </c:pt>
                <c:pt idx="38">
                  <c:v>46238.448202523148</c:v>
                </c:pt>
                <c:pt idx="39">
                  <c:v>46238.448214247677</c:v>
                </c:pt>
                <c:pt idx="40">
                  <c:v>46238.448225983797</c:v>
                </c:pt>
                <c:pt idx="41">
                  <c:v>46238.448237731478</c:v>
                </c:pt>
                <c:pt idx="42">
                  <c:v>46238.44824946759</c:v>
                </c:pt>
                <c:pt idx="43">
                  <c:v>46238.448261215279</c:v>
                </c:pt>
                <c:pt idx="44">
                  <c:v>46238.448272951391</c:v>
                </c:pt>
                <c:pt idx="45">
                  <c:v>46238.448284699072</c:v>
                </c:pt>
                <c:pt idx="46">
                  <c:v>46238.448296446761</c:v>
                </c:pt>
                <c:pt idx="47">
                  <c:v>46238.448308055558</c:v>
                </c:pt>
                <c:pt idx="48">
                  <c:v>46238.448319768519</c:v>
                </c:pt>
                <c:pt idx="49">
                  <c:v>46238.448331493048</c:v>
                </c:pt>
                <c:pt idx="50">
                  <c:v>46238.448343252312</c:v>
                </c:pt>
                <c:pt idx="51">
                  <c:v>46238.448355</c:v>
                </c:pt>
                <c:pt idx="52">
                  <c:v>46238.448366747682</c:v>
                </c:pt>
                <c:pt idx="53">
                  <c:v>46238.448378472232</c:v>
                </c:pt>
                <c:pt idx="54">
                  <c:v>46238.448390196761</c:v>
                </c:pt>
                <c:pt idx="55">
                  <c:v>46238.448401956019</c:v>
                </c:pt>
                <c:pt idx="56">
                  <c:v>46238.448413564824</c:v>
                </c:pt>
                <c:pt idx="57">
                  <c:v>46238.448425312497</c:v>
                </c:pt>
                <c:pt idx="58">
                  <c:v>46238.44843704861</c:v>
                </c:pt>
                <c:pt idx="59">
                  <c:v>46238.448448784722</c:v>
                </c:pt>
                <c:pt idx="60">
                  <c:v>46238.448460509258</c:v>
                </c:pt>
                <c:pt idx="61">
                  <c:v>46238.448472164353</c:v>
                </c:pt>
                <c:pt idx="62">
                  <c:v>46238.448483865737</c:v>
                </c:pt>
                <c:pt idx="63">
                  <c:v>46238.448495613433</c:v>
                </c:pt>
                <c:pt idx="64">
                  <c:v>46238.448507465277</c:v>
                </c:pt>
                <c:pt idx="65">
                  <c:v>46238.448519166668</c:v>
                </c:pt>
                <c:pt idx="66">
                  <c:v>46238.448530856484</c:v>
                </c:pt>
                <c:pt idx="67">
                  <c:v>46238.448542592603</c:v>
                </c:pt>
                <c:pt idx="68">
                  <c:v>46238.448554282397</c:v>
                </c:pt>
                <c:pt idx="69">
                  <c:v>46238.448566006948</c:v>
                </c:pt>
                <c:pt idx="70">
                  <c:v>46238.448577685187</c:v>
                </c:pt>
                <c:pt idx="71">
                  <c:v>46238.448589409723</c:v>
                </c:pt>
              </c:numCache>
            </c:numRef>
          </c:cat>
          <c:val>
            <c:numRef>
              <c:f>'차트 데이터'!$AF$5:$AF$76</c:f>
              <c:numCache>
                <c:formatCode>General</c:formatCode>
                <c:ptCount val="72"/>
                <c:pt idx="53" formatCode="0.00">
                  <c:v>4.2655001099390102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5-EE43-4286-9785-A26771440B0E}"/>
            </c:ext>
          </c:extLst>
        </c:ser>
        <c:ser>
          <c:idx val="22"/>
          <c:order val="22"/>
          <c:tx>
            <c:strRef>
              <c:f>'차트 데이터'!$AG$4</c:f>
              <c:strCache>
                <c:ptCount val="1"/>
                <c:pt idx="0">
                  <c:v>ForkJoinPool-13-worker-1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'차트 데이터'!$J$5:$J$76</c:f>
              <c:numCache>
                <c:formatCode>hh:mm:ss</c:formatCode>
                <c:ptCount val="72"/>
                <c:pt idx="0">
                  <c:v>46238.447757256938</c:v>
                </c:pt>
                <c:pt idx="1">
                  <c:v>46238.447769004633</c:v>
                </c:pt>
                <c:pt idx="2">
                  <c:v>46238.44778072917</c:v>
                </c:pt>
                <c:pt idx="3">
                  <c:v>46238.44779244213</c:v>
                </c:pt>
                <c:pt idx="4">
                  <c:v>46238.447804178242</c:v>
                </c:pt>
                <c:pt idx="5">
                  <c:v>46238.447815949083</c:v>
                </c:pt>
                <c:pt idx="6">
                  <c:v>46238.447827592587</c:v>
                </c:pt>
                <c:pt idx="7">
                  <c:v>46238.447839224536</c:v>
                </c:pt>
                <c:pt idx="8">
                  <c:v>46238.447850937497</c:v>
                </c:pt>
                <c:pt idx="9">
                  <c:v>46238.447862696761</c:v>
                </c:pt>
                <c:pt idx="10">
                  <c:v>46238.447874398153</c:v>
                </c:pt>
                <c:pt idx="11">
                  <c:v>46238.447886122682</c:v>
                </c:pt>
                <c:pt idx="12">
                  <c:v>46238.447897743063</c:v>
                </c:pt>
                <c:pt idx="13">
                  <c:v>46238.447909502313</c:v>
                </c:pt>
                <c:pt idx="14">
                  <c:v>46238.447921226849</c:v>
                </c:pt>
                <c:pt idx="15">
                  <c:v>46238.447932951392</c:v>
                </c:pt>
                <c:pt idx="16">
                  <c:v>46238.447944722233</c:v>
                </c:pt>
                <c:pt idx="17">
                  <c:v>46238.447956469907</c:v>
                </c:pt>
                <c:pt idx="18">
                  <c:v>46238.447968217602</c:v>
                </c:pt>
                <c:pt idx="19">
                  <c:v>46238.447979872682</c:v>
                </c:pt>
                <c:pt idx="20">
                  <c:v>46238.44799148148</c:v>
                </c:pt>
                <c:pt idx="21">
                  <c:v>46238.448003229169</c:v>
                </c:pt>
                <c:pt idx="22">
                  <c:v>46238.448014849528</c:v>
                </c:pt>
                <c:pt idx="23">
                  <c:v>46238.448026620368</c:v>
                </c:pt>
                <c:pt idx="24">
                  <c:v>46238.448038356481</c:v>
                </c:pt>
                <c:pt idx="25">
                  <c:v>46238.448049965278</c:v>
                </c:pt>
                <c:pt idx="26">
                  <c:v>46238.448061736111</c:v>
                </c:pt>
                <c:pt idx="27">
                  <c:v>46238.448073472216</c:v>
                </c:pt>
                <c:pt idx="28">
                  <c:v>46238.448085231481</c:v>
                </c:pt>
                <c:pt idx="29">
                  <c:v>46238.448097002307</c:v>
                </c:pt>
                <c:pt idx="30">
                  <c:v>46238.448108599543</c:v>
                </c:pt>
                <c:pt idx="31">
                  <c:v>46238.448120347217</c:v>
                </c:pt>
                <c:pt idx="32">
                  <c:v>46238.448132094913</c:v>
                </c:pt>
                <c:pt idx="33">
                  <c:v>46238.448143784721</c:v>
                </c:pt>
                <c:pt idx="34">
                  <c:v>46238.448155532409</c:v>
                </c:pt>
                <c:pt idx="35">
                  <c:v>46238.44816728009</c:v>
                </c:pt>
                <c:pt idx="36">
                  <c:v>46238.448179039347</c:v>
                </c:pt>
                <c:pt idx="37">
                  <c:v>46238.448190798612</c:v>
                </c:pt>
                <c:pt idx="38">
                  <c:v>46238.448202523148</c:v>
                </c:pt>
                <c:pt idx="39">
                  <c:v>46238.448214247677</c:v>
                </c:pt>
                <c:pt idx="40">
                  <c:v>46238.448225983797</c:v>
                </c:pt>
                <c:pt idx="41">
                  <c:v>46238.448237731478</c:v>
                </c:pt>
                <c:pt idx="42">
                  <c:v>46238.44824946759</c:v>
                </c:pt>
                <c:pt idx="43">
                  <c:v>46238.448261215279</c:v>
                </c:pt>
                <c:pt idx="44">
                  <c:v>46238.448272951391</c:v>
                </c:pt>
                <c:pt idx="45">
                  <c:v>46238.448284699072</c:v>
                </c:pt>
                <c:pt idx="46">
                  <c:v>46238.448296446761</c:v>
                </c:pt>
                <c:pt idx="47">
                  <c:v>46238.448308055558</c:v>
                </c:pt>
                <c:pt idx="48">
                  <c:v>46238.448319768519</c:v>
                </c:pt>
                <c:pt idx="49">
                  <c:v>46238.448331493048</c:v>
                </c:pt>
                <c:pt idx="50">
                  <c:v>46238.448343252312</c:v>
                </c:pt>
                <c:pt idx="51">
                  <c:v>46238.448355</c:v>
                </c:pt>
                <c:pt idx="52">
                  <c:v>46238.448366747682</c:v>
                </c:pt>
                <c:pt idx="53">
                  <c:v>46238.448378472232</c:v>
                </c:pt>
                <c:pt idx="54">
                  <c:v>46238.448390196761</c:v>
                </c:pt>
                <c:pt idx="55">
                  <c:v>46238.448401956019</c:v>
                </c:pt>
                <c:pt idx="56">
                  <c:v>46238.448413564824</c:v>
                </c:pt>
                <c:pt idx="57">
                  <c:v>46238.448425312497</c:v>
                </c:pt>
                <c:pt idx="58">
                  <c:v>46238.44843704861</c:v>
                </c:pt>
                <c:pt idx="59">
                  <c:v>46238.448448784722</c:v>
                </c:pt>
                <c:pt idx="60">
                  <c:v>46238.448460509258</c:v>
                </c:pt>
                <c:pt idx="61">
                  <c:v>46238.448472164353</c:v>
                </c:pt>
                <c:pt idx="62">
                  <c:v>46238.448483865737</c:v>
                </c:pt>
                <c:pt idx="63">
                  <c:v>46238.448495613433</c:v>
                </c:pt>
                <c:pt idx="64">
                  <c:v>46238.448507465277</c:v>
                </c:pt>
                <c:pt idx="65">
                  <c:v>46238.448519166668</c:v>
                </c:pt>
                <c:pt idx="66">
                  <c:v>46238.448530856484</c:v>
                </c:pt>
                <c:pt idx="67">
                  <c:v>46238.448542592603</c:v>
                </c:pt>
                <c:pt idx="68">
                  <c:v>46238.448554282397</c:v>
                </c:pt>
                <c:pt idx="69">
                  <c:v>46238.448566006948</c:v>
                </c:pt>
                <c:pt idx="70">
                  <c:v>46238.448577685187</c:v>
                </c:pt>
                <c:pt idx="71">
                  <c:v>46238.448589409723</c:v>
                </c:pt>
              </c:numCache>
            </c:numRef>
          </c:cat>
          <c:val>
            <c:numRef>
              <c:f>'차트 데이터'!$AG$5:$AG$76</c:f>
              <c:numCache>
                <c:formatCode>General</c:formatCode>
                <c:ptCount val="72"/>
                <c:pt idx="54" formatCode="0.00">
                  <c:v>4.2473993532147656</c:v>
                </c:pt>
                <c:pt idx="55" formatCode="0.00">
                  <c:v>4.2575302839606879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6-EE43-4286-9785-A26771440B0E}"/>
            </c:ext>
          </c:extLst>
        </c:ser>
        <c:ser>
          <c:idx val="23"/>
          <c:order val="23"/>
          <c:tx>
            <c:strRef>
              <c:f>'차트 데이터'!$AH$4</c:f>
              <c:strCache>
                <c:ptCount val="1"/>
                <c:pt idx="0">
                  <c:v>ForkJoinPool-13-worker-11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'차트 데이터'!$J$5:$J$76</c:f>
              <c:numCache>
                <c:formatCode>hh:mm:ss</c:formatCode>
                <c:ptCount val="72"/>
                <c:pt idx="0">
                  <c:v>46238.447757256938</c:v>
                </c:pt>
                <c:pt idx="1">
                  <c:v>46238.447769004633</c:v>
                </c:pt>
                <c:pt idx="2">
                  <c:v>46238.44778072917</c:v>
                </c:pt>
                <c:pt idx="3">
                  <c:v>46238.44779244213</c:v>
                </c:pt>
                <c:pt idx="4">
                  <c:v>46238.447804178242</c:v>
                </c:pt>
                <c:pt idx="5">
                  <c:v>46238.447815949083</c:v>
                </c:pt>
                <c:pt idx="6">
                  <c:v>46238.447827592587</c:v>
                </c:pt>
                <c:pt idx="7">
                  <c:v>46238.447839224536</c:v>
                </c:pt>
                <c:pt idx="8">
                  <c:v>46238.447850937497</c:v>
                </c:pt>
                <c:pt idx="9">
                  <c:v>46238.447862696761</c:v>
                </c:pt>
                <c:pt idx="10">
                  <c:v>46238.447874398153</c:v>
                </c:pt>
                <c:pt idx="11">
                  <c:v>46238.447886122682</c:v>
                </c:pt>
                <c:pt idx="12">
                  <c:v>46238.447897743063</c:v>
                </c:pt>
                <c:pt idx="13">
                  <c:v>46238.447909502313</c:v>
                </c:pt>
                <c:pt idx="14">
                  <c:v>46238.447921226849</c:v>
                </c:pt>
                <c:pt idx="15">
                  <c:v>46238.447932951392</c:v>
                </c:pt>
                <c:pt idx="16">
                  <c:v>46238.447944722233</c:v>
                </c:pt>
                <c:pt idx="17">
                  <c:v>46238.447956469907</c:v>
                </c:pt>
                <c:pt idx="18">
                  <c:v>46238.447968217602</c:v>
                </c:pt>
                <c:pt idx="19">
                  <c:v>46238.447979872682</c:v>
                </c:pt>
                <c:pt idx="20">
                  <c:v>46238.44799148148</c:v>
                </c:pt>
                <c:pt idx="21">
                  <c:v>46238.448003229169</c:v>
                </c:pt>
                <c:pt idx="22">
                  <c:v>46238.448014849528</c:v>
                </c:pt>
                <c:pt idx="23">
                  <c:v>46238.448026620368</c:v>
                </c:pt>
                <c:pt idx="24">
                  <c:v>46238.448038356481</c:v>
                </c:pt>
                <c:pt idx="25">
                  <c:v>46238.448049965278</c:v>
                </c:pt>
                <c:pt idx="26">
                  <c:v>46238.448061736111</c:v>
                </c:pt>
                <c:pt idx="27">
                  <c:v>46238.448073472216</c:v>
                </c:pt>
                <c:pt idx="28">
                  <c:v>46238.448085231481</c:v>
                </c:pt>
                <c:pt idx="29">
                  <c:v>46238.448097002307</c:v>
                </c:pt>
                <c:pt idx="30">
                  <c:v>46238.448108599543</c:v>
                </c:pt>
                <c:pt idx="31">
                  <c:v>46238.448120347217</c:v>
                </c:pt>
                <c:pt idx="32">
                  <c:v>46238.448132094913</c:v>
                </c:pt>
                <c:pt idx="33">
                  <c:v>46238.448143784721</c:v>
                </c:pt>
                <c:pt idx="34">
                  <c:v>46238.448155532409</c:v>
                </c:pt>
                <c:pt idx="35">
                  <c:v>46238.44816728009</c:v>
                </c:pt>
                <c:pt idx="36">
                  <c:v>46238.448179039347</c:v>
                </c:pt>
                <c:pt idx="37">
                  <c:v>46238.448190798612</c:v>
                </c:pt>
                <c:pt idx="38">
                  <c:v>46238.448202523148</c:v>
                </c:pt>
                <c:pt idx="39">
                  <c:v>46238.448214247677</c:v>
                </c:pt>
                <c:pt idx="40">
                  <c:v>46238.448225983797</c:v>
                </c:pt>
                <c:pt idx="41">
                  <c:v>46238.448237731478</c:v>
                </c:pt>
                <c:pt idx="42">
                  <c:v>46238.44824946759</c:v>
                </c:pt>
                <c:pt idx="43">
                  <c:v>46238.448261215279</c:v>
                </c:pt>
                <c:pt idx="44">
                  <c:v>46238.448272951391</c:v>
                </c:pt>
                <c:pt idx="45">
                  <c:v>46238.448284699072</c:v>
                </c:pt>
                <c:pt idx="46">
                  <c:v>46238.448296446761</c:v>
                </c:pt>
                <c:pt idx="47">
                  <c:v>46238.448308055558</c:v>
                </c:pt>
                <c:pt idx="48">
                  <c:v>46238.448319768519</c:v>
                </c:pt>
                <c:pt idx="49">
                  <c:v>46238.448331493048</c:v>
                </c:pt>
                <c:pt idx="50">
                  <c:v>46238.448343252312</c:v>
                </c:pt>
                <c:pt idx="51">
                  <c:v>46238.448355</c:v>
                </c:pt>
                <c:pt idx="52">
                  <c:v>46238.448366747682</c:v>
                </c:pt>
                <c:pt idx="53">
                  <c:v>46238.448378472232</c:v>
                </c:pt>
                <c:pt idx="54">
                  <c:v>46238.448390196761</c:v>
                </c:pt>
                <c:pt idx="55">
                  <c:v>46238.448401956019</c:v>
                </c:pt>
                <c:pt idx="56">
                  <c:v>46238.448413564824</c:v>
                </c:pt>
                <c:pt idx="57">
                  <c:v>46238.448425312497</c:v>
                </c:pt>
                <c:pt idx="58">
                  <c:v>46238.44843704861</c:v>
                </c:pt>
                <c:pt idx="59">
                  <c:v>46238.448448784722</c:v>
                </c:pt>
                <c:pt idx="60">
                  <c:v>46238.448460509258</c:v>
                </c:pt>
                <c:pt idx="61">
                  <c:v>46238.448472164353</c:v>
                </c:pt>
                <c:pt idx="62">
                  <c:v>46238.448483865737</c:v>
                </c:pt>
                <c:pt idx="63">
                  <c:v>46238.448495613433</c:v>
                </c:pt>
                <c:pt idx="64">
                  <c:v>46238.448507465277</c:v>
                </c:pt>
                <c:pt idx="65">
                  <c:v>46238.448519166668</c:v>
                </c:pt>
                <c:pt idx="66">
                  <c:v>46238.448530856484</c:v>
                </c:pt>
                <c:pt idx="67">
                  <c:v>46238.448542592603</c:v>
                </c:pt>
                <c:pt idx="68">
                  <c:v>46238.448554282397</c:v>
                </c:pt>
                <c:pt idx="69">
                  <c:v>46238.448566006948</c:v>
                </c:pt>
                <c:pt idx="70">
                  <c:v>46238.448577685187</c:v>
                </c:pt>
                <c:pt idx="71">
                  <c:v>46238.448589409723</c:v>
                </c:pt>
              </c:numCache>
            </c:numRef>
          </c:cat>
          <c:val>
            <c:numRef>
              <c:f>'차트 데이터'!$AH$5:$AH$76</c:f>
              <c:numCache>
                <c:formatCode>General</c:formatCode>
                <c:ptCount val="72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7-EE43-4286-9785-A26771440B0E}"/>
            </c:ext>
          </c:extLst>
        </c:ser>
        <c:ser>
          <c:idx val="24"/>
          <c:order val="24"/>
          <c:tx>
            <c:strRef>
              <c:f>'차트 데이터'!$AI$4</c:f>
              <c:strCache>
                <c:ptCount val="1"/>
                <c:pt idx="0">
                  <c:v>ForkJoinPool-13-worker-2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'차트 데이터'!$J$5:$J$76</c:f>
              <c:numCache>
                <c:formatCode>hh:mm:ss</c:formatCode>
                <c:ptCount val="72"/>
                <c:pt idx="0">
                  <c:v>46238.447757256938</c:v>
                </c:pt>
                <c:pt idx="1">
                  <c:v>46238.447769004633</c:v>
                </c:pt>
                <c:pt idx="2">
                  <c:v>46238.44778072917</c:v>
                </c:pt>
                <c:pt idx="3">
                  <c:v>46238.44779244213</c:v>
                </c:pt>
                <c:pt idx="4">
                  <c:v>46238.447804178242</c:v>
                </c:pt>
                <c:pt idx="5">
                  <c:v>46238.447815949083</c:v>
                </c:pt>
                <c:pt idx="6">
                  <c:v>46238.447827592587</c:v>
                </c:pt>
                <c:pt idx="7">
                  <c:v>46238.447839224536</c:v>
                </c:pt>
                <c:pt idx="8">
                  <c:v>46238.447850937497</c:v>
                </c:pt>
                <c:pt idx="9">
                  <c:v>46238.447862696761</c:v>
                </c:pt>
                <c:pt idx="10">
                  <c:v>46238.447874398153</c:v>
                </c:pt>
                <c:pt idx="11">
                  <c:v>46238.447886122682</c:v>
                </c:pt>
                <c:pt idx="12">
                  <c:v>46238.447897743063</c:v>
                </c:pt>
                <c:pt idx="13">
                  <c:v>46238.447909502313</c:v>
                </c:pt>
                <c:pt idx="14">
                  <c:v>46238.447921226849</c:v>
                </c:pt>
                <c:pt idx="15">
                  <c:v>46238.447932951392</c:v>
                </c:pt>
                <c:pt idx="16">
                  <c:v>46238.447944722233</c:v>
                </c:pt>
                <c:pt idx="17">
                  <c:v>46238.447956469907</c:v>
                </c:pt>
                <c:pt idx="18">
                  <c:v>46238.447968217602</c:v>
                </c:pt>
                <c:pt idx="19">
                  <c:v>46238.447979872682</c:v>
                </c:pt>
                <c:pt idx="20">
                  <c:v>46238.44799148148</c:v>
                </c:pt>
                <c:pt idx="21">
                  <c:v>46238.448003229169</c:v>
                </c:pt>
                <c:pt idx="22">
                  <c:v>46238.448014849528</c:v>
                </c:pt>
                <c:pt idx="23">
                  <c:v>46238.448026620368</c:v>
                </c:pt>
                <c:pt idx="24">
                  <c:v>46238.448038356481</c:v>
                </c:pt>
                <c:pt idx="25">
                  <c:v>46238.448049965278</c:v>
                </c:pt>
                <c:pt idx="26">
                  <c:v>46238.448061736111</c:v>
                </c:pt>
                <c:pt idx="27">
                  <c:v>46238.448073472216</c:v>
                </c:pt>
                <c:pt idx="28">
                  <c:v>46238.448085231481</c:v>
                </c:pt>
                <c:pt idx="29">
                  <c:v>46238.448097002307</c:v>
                </c:pt>
                <c:pt idx="30">
                  <c:v>46238.448108599543</c:v>
                </c:pt>
                <c:pt idx="31">
                  <c:v>46238.448120347217</c:v>
                </c:pt>
                <c:pt idx="32">
                  <c:v>46238.448132094913</c:v>
                </c:pt>
                <c:pt idx="33">
                  <c:v>46238.448143784721</c:v>
                </c:pt>
                <c:pt idx="34">
                  <c:v>46238.448155532409</c:v>
                </c:pt>
                <c:pt idx="35">
                  <c:v>46238.44816728009</c:v>
                </c:pt>
                <c:pt idx="36">
                  <c:v>46238.448179039347</c:v>
                </c:pt>
                <c:pt idx="37">
                  <c:v>46238.448190798612</c:v>
                </c:pt>
                <c:pt idx="38">
                  <c:v>46238.448202523148</c:v>
                </c:pt>
                <c:pt idx="39">
                  <c:v>46238.448214247677</c:v>
                </c:pt>
                <c:pt idx="40">
                  <c:v>46238.448225983797</c:v>
                </c:pt>
                <c:pt idx="41">
                  <c:v>46238.448237731478</c:v>
                </c:pt>
                <c:pt idx="42">
                  <c:v>46238.44824946759</c:v>
                </c:pt>
                <c:pt idx="43">
                  <c:v>46238.448261215279</c:v>
                </c:pt>
                <c:pt idx="44">
                  <c:v>46238.448272951391</c:v>
                </c:pt>
                <c:pt idx="45">
                  <c:v>46238.448284699072</c:v>
                </c:pt>
                <c:pt idx="46">
                  <c:v>46238.448296446761</c:v>
                </c:pt>
                <c:pt idx="47">
                  <c:v>46238.448308055558</c:v>
                </c:pt>
                <c:pt idx="48">
                  <c:v>46238.448319768519</c:v>
                </c:pt>
                <c:pt idx="49">
                  <c:v>46238.448331493048</c:v>
                </c:pt>
                <c:pt idx="50">
                  <c:v>46238.448343252312</c:v>
                </c:pt>
                <c:pt idx="51">
                  <c:v>46238.448355</c:v>
                </c:pt>
                <c:pt idx="52">
                  <c:v>46238.448366747682</c:v>
                </c:pt>
                <c:pt idx="53">
                  <c:v>46238.448378472232</c:v>
                </c:pt>
                <c:pt idx="54">
                  <c:v>46238.448390196761</c:v>
                </c:pt>
                <c:pt idx="55">
                  <c:v>46238.448401956019</c:v>
                </c:pt>
                <c:pt idx="56">
                  <c:v>46238.448413564824</c:v>
                </c:pt>
                <c:pt idx="57">
                  <c:v>46238.448425312497</c:v>
                </c:pt>
                <c:pt idx="58">
                  <c:v>46238.44843704861</c:v>
                </c:pt>
                <c:pt idx="59">
                  <c:v>46238.448448784722</c:v>
                </c:pt>
                <c:pt idx="60">
                  <c:v>46238.448460509258</c:v>
                </c:pt>
                <c:pt idx="61">
                  <c:v>46238.448472164353</c:v>
                </c:pt>
                <c:pt idx="62">
                  <c:v>46238.448483865737</c:v>
                </c:pt>
                <c:pt idx="63">
                  <c:v>46238.448495613433</c:v>
                </c:pt>
                <c:pt idx="64">
                  <c:v>46238.448507465277</c:v>
                </c:pt>
                <c:pt idx="65">
                  <c:v>46238.448519166668</c:v>
                </c:pt>
                <c:pt idx="66">
                  <c:v>46238.448530856484</c:v>
                </c:pt>
                <c:pt idx="67">
                  <c:v>46238.448542592603</c:v>
                </c:pt>
                <c:pt idx="68">
                  <c:v>46238.448554282397</c:v>
                </c:pt>
                <c:pt idx="69">
                  <c:v>46238.448566006948</c:v>
                </c:pt>
                <c:pt idx="70">
                  <c:v>46238.448577685187</c:v>
                </c:pt>
                <c:pt idx="71">
                  <c:v>46238.448589409723</c:v>
                </c:pt>
              </c:numCache>
            </c:numRef>
          </c:cat>
          <c:val>
            <c:numRef>
              <c:f>'차트 데이터'!$AI$5:$AI$76</c:f>
              <c:numCache>
                <c:formatCode>General</c:formatCode>
                <c:ptCount val="72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8-EE43-4286-9785-A26771440B0E}"/>
            </c:ext>
          </c:extLst>
        </c:ser>
        <c:ser>
          <c:idx val="25"/>
          <c:order val="25"/>
          <c:tx>
            <c:strRef>
              <c:f>'차트 데이터'!$AJ$4</c:f>
              <c:strCache>
                <c:ptCount val="1"/>
                <c:pt idx="0">
                  <c:v>ForkJoinPool-13-worker-4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'차트 데이터'!$J$5:$J$76</c:f>
              <c:numCache>
                <c:formatCode>hh:mm:ss</c:formatCode>
                <c:ptCount val="72"/>
                <c:pt idx="0">
                  <c:v>46238.447757256938</c:v>
                </c:pt>
                <c:pt idx="1">
                  <c:v>46238.447769004633</c:v>
                </c:pt>
                <c:pt idx="2">
                  <c:v>46238.44778072917</c:v>
                </c:pt>
                <c:pt idx="3">
                  <c:v>46238.44779244213</c:v>
                </c:pt>
                <c:pt idx="4">
                  <c:v>46238.447804178242</c:v>
                </c:pt>
                <c:pt idx="5">
                  <c:v>46238.447815949083</c:v>
                </c:pt>
                <c:pt idx="6">
                  <c:v>46238.447827592587</c:v>
                </c:pt>
                <c:pt idx="7">
                  <c:v>46238.447839224536</c:v>
                </c:pt>
                <c:pt idx="8">
                  <c:v>46238.447850937497</c:v>
                </c:pt>
                <c:pt idx="9">
                  <c:v>46238.447862696761</c:v>
                </c:pt>
                <c:pt idx="10">
                  <c:v>46238.447874398153</c:v>
                </c:pt>
                <c:pt idx="11">
                  <c:v>46238.447886122682</c:v>
                </c:pt>
                <c:pt idx="12">
                  <c:v>46238.447897743063</c:v>
                </c:pt>
                <c:pt idx="13">
                  <c:v>46238.447909502313</c:v>
                </c:pt>
                <c:pt idx="14">
                  <c:v>46238.447921226849</c:v>
                </c:pt>
                <c:pt idx="15">
                  <c:v>46238.447932951392</c:v>
                </c:pt>
                <c:pt idx="16">
                  <c:v>46238.447944722233</c:v>
                </c:pt>
                <c:pt idx="17">
                  <c:v>46238.447956469907</c:v>
                </c:pt>
                <c:pt idx="18">
                  <c:v>46238.447968217602</c:v>
                </c:pt>
                <c:pt idx="19">
                  <c:v>46238.447979872682</c:v>
                </c:pt>
                <c:pt idx="20">
                  <c:v>46238.44799148148</c:v>
                </c:pt>
                <c:pt idx="21">
                  <c:v>46238.448003229169</c:v>
                </c:pt>
                <c:pt idx="22">
                  <c:v>46238.448014849528</c:v>
                </c:pt>
                <c:pt idx="23">
                  <c:v>46238.448026620368</c:v>
                </c:pt>
                <c:pt idx="24">
                  <c:v>46238.448038356481</c:v>
                </c:pt>
                <c:pt idx="25">
                  <c:v>46238.448049965278</c:v>
                </c:pt>
                <c:pt idx="26">
                  <c:v>46238.448061736111</c:v>
                </c:pt>
                <c:pt idx="27">
                  <c:v>46238.448073472216</c:v>
                </c:pt>
                <c:pt idx="28">
                  <c:v>46238.448085231481</c:v>
                </c:pt>
                <c:pt idx="29">
                  <c:v>46238.448097002307</c:v>
                </c:pt>
                <c:pt idx="30">
                  <c:v>46238.448108599543</c:v>
                </c:pt>
                <c:pt idx="31">
                  <c:v>46238.448120347217</c:v>
                </c:pt>
                <c:pt idx="32">
                  <c:v>46238.448132094913</c:v>
                </c:pt>
                <c:pt idx="33">
                  <c:v>46238.448143784721</c:v>
                </c:pt>
                <c:pt idx="34">
                  <c:v>46238.448155532409</c:v>
                </c:pt>
                <c:pt idx="35">
                  <c:v>46238.44816728009</c:v>
                </c:pt>
                <c:pt idx="36">
                  <c:v>46238.448179039347</c:v>
                </c:pt>
                <c:pt idx="37">
                  <c:v>46238.448190798612</c:v>
                </c:pt>
                <c:pt idx="38">
                  <c:v>46238.448202523148</c:v>
                </c:pt>
                <c:pt idx="39">
                  <c:v>46238.448214247677</c:v>
                </c:pt>
                <c:pt idx="40">
                  <c:v>46238.448225983797</c:v>
                </c:pt>
                <c:pt idx="41">
                  <c:v>46238.448237731478</c:v>
                </c:pt>
                <c:pt idx="42">
                  <c:v>46238.44824946759</c:v>
                </c:pt>
                <c:pt idx="43">
                  <c:v>46238.448261215279</c:v>
                </c:pt>
                <c:pt idx="44">
                  <c:v>46238.448272951391</c:v>
                </c:pt>
                <c:pt idx="45">
                  <c:v>46238.448284699072</c:v>
                </c:pt>
                <c:pt idx="46">
                  <c:v>46238.448296446761</c:v>
                </c:pt>
                <c:pt idx="47">
                  <c:v>46238.448308055558</c:v>
                </c:pt>
                <c:pt idx="48">
                  <c:v>46238.448319768519</c:v>
                </c:pt>
                <c:pt idx="49">
                  <c:v>46238.448331493048</c:v>
                </c:pt>
                <c:pt idx="50">
                  <c:v>46238.448343252312</c:v>
                </c:pt>
                <c:pt idx="51">
                  <c:v>46238.448355</c:v>
                </c:pt>
                <c:pt idx="52">
                  <c:v>46238.448366747682</c:v>
                </c:pt>
                <c:pt idx="53">
                  <c:v>46238.448378472232</c:v>
                </c:pt>
                <c:pt idx="54">
                  <c:v>46238.448390196761</c:v>
                </c:pt>
                <c:pt idx="55">
                  <c:v>46238.448401956019</c:v>
                </c:pt>
                <c:pt idx="56">
                  <c:v>46238.448413564824</c:v>
                </c:pt>
                <c:pt idx="57">
                  <c:v>46238.448425312497</c:v>
                </c:pt>
                <c:pt idx="58">
                  <c:v>46238.44843704861</c:v>
                </c:pt>
                <c:pt idx="59">
                  <c:v>46238.448448784722</c:v>
                </c:pt>
                <c:pt idx="60">
                  <c:v>46238.448460509258</c:v>
                </c:pt>
                <c:pt idx="61">
                  <c:v>46238.448472164353</c:v>
                </c:pt>
                <c:pt idx="62">
                  <c:v>46238.448483865737</c:v>
                </c:pt>
                <c:pt idx="63">
                  <c:v>46238.448495613433</c:v>
                </c:pt>
                <c:pt idx="64">
                  <c:v>46238.448507465277</c:v>
                </c:pt>
                <c:pt idx="65">
                  <c:v>46238.448519166668</c:v>
                </c:pt>
                <c:pt idx="66">
                  <c:v>46238.448530856484</c:v>
                </c:pt>
                <c:pt idx="67">
                  <c:v>46238.448542592603</c:v>
                </c:pt>
                <c:pt idx="68">
                  <c:v>46238.448554282397</c:v>
                </c:pt>
                <c:pt idx="69">
                  <c:v>46238.448566006948</c:v>
                </c:pt>
                <c:pt idx="70">
                  <c:v>46238.448577685187</c:v>
                </c:pt>
                <c:pt idx="71">
                  <c:v>46238.448589409723</c:v>
                </c:pt>
              </c:numCache>
            </c:numRef>
          </c:cat>
          <c:val>
            <c:numRef>
              <c:f>'차트 데이터'!$AJ$5:$AJ$76</c:f>
              <c:numCache>
                <c:formatCode>General</c:formatCode>
                <c:ptCount val="72"/>
                <c:pt idx="54" formatCode="0.00">
                  <c:v>4.2473993532147656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9-EE43-4286-9785-A26771440B0E}"/>
            </c:ext>
          </c:extLst>
        </c:ser>
        <c:ser>
          <c:idx val="26"/>
          <c:order val="26"/>
          <c:tx>
            <c:strRef>
              <c:f>'차트 데이터'!$AK$4</c:f>
              <c:strCache>
                <c:ptCount val="1"/>
                <c:pt idx="0">
                  <c:v>ForkJoinPool-13-worker-8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'차트 데이터'!$J$5:$J$76</c:f>
              <c:numCache>
                <c:formatCode>hh:mm:ss</c:formatCode>
                <c:ptCount val="72"/>
                <c:pt idx="0">
                  <c:v>46238.447757256938</c:v>
                </c:pt>
                <c:pt idx="1">
                  <c:v>46238.447769004633</c:v>
                </c:pt>
                <c:pt idx="2">
                  <c:v>46238.44778072917</c:v>
                </c:pt>
                <c:pt idx="3">
                  <c:v>46238.44779244213</c:v>
                </c:pt>
                <c:pt idx="4">
                  <c:v>46238.447804178242</c:v>
                </c:pt>
                <c:pt idx="5">
                  <c:v>46238.447815949083</c:v>
                </c:pt>
                <c:pt idx="6">
                  <c:v>46238.447827592587</c:v>
                </c:pt>
                <c:pt idx="7">
                  <c:v>46238.447839224536</c:v>
                </c:pt>
                <c:pt idx="8">
                  <c:v>46238.447850937497</c:v>
                </c:pt>
                <c:pt idx="9">
                  <c:v>46238.447862696761</c:v>
                </c:pt>
                <c:pt idx="10">
                  <c:v>46238.447874398153</c:v>
                </c:pt>
                <c:pt idx="11">
                  <c:v>46238.447886122682</c:v>
                </c:pt>
                <c:pt idx="12">
                  <c:v>46238.447897743063</c:v>
                </c:pt>
                <c:pt idx="13">
                  <c:v>46238.447909502313</c:v>
                </c:pt>
                <c:pt idx="14">
                  <c:v>46238.447921226849</c:v>
                </c:pt>
                <c:pt idx="15">
                  <c:v>46238.447932951392</c:v>
                </c:pt>
                <c:pt idx="16">
                  <c:v>46238.447944722233</c:v>
                </c:pt>
                <c:pt idx="17">
                  <c:v>46238.447956469907</c:v>
                </c:pt>
                <c:pt idx="18">
                  <c:v>46238.447968217602</c:v>
                </c:pt>
                <c:pt idx="19">
                  <c:v>46238.447979872682</c:v>
                </c:pt>
                <c:pt idx="20">
                  <c:v>46238.44799148148</c:v>
                </c:pt>
                <c:pt idx="21">
                  <c:v>46238.448003229169</c:v>
                </c:pt>
                <c:pt idx="22">
                  <c:v>46238.448014849528</c:v>
                </c:pt>
                <c:pt idx="23">
                  <c:v>46238.448026620368</c:v>
                </c:pt>
                <c:pt idx="24">
                  <c:v>46238.448038356481</c:v>
                </c:pt>
                <c:pt idx="25">
                  <c:v>46238.448049965278</c:v>
                </c:pt>
                <c:pt idx="26">
                  <c:v>46238.448061736111</c:v>
                </c:pt>
                <c:pt idx="27">
                  <c:v>46238.448073472216</c:v>
                </c:pt>
                <c:pt idx="28">
                  <c:v>46238.448085231481</c:v>
                </c:pt>
                <c:pt idx="29">
                  <c:v>46238.448097002307</c:v>
                </c:pt>
                <c:pt idx="30">
                  <c:v>46238.448108599543</c:v>
                </c:pt>
                <c:pt idx="31">
                  <c:v>46238.448120347217</c:v>
                </c:pt>
                <c:pt idx="32">
                  <c:v>46238.448132094913</c:v>
                </c:pt>
                <c:pt idx="33">
                  <c:v>46238.448143784721</c:v>
                </c:pt>
                <c:pt idx="34">
                  <c:v>46238.448155532409</c:v>
                </c:pt>
                <c:pt idx="35">
                  <c:v>46238.44816728009</c:v>
                </c:pt>
                <c:pt idx="36">
                  <c:v>46238.448179039347</c:v>
                </c:pt>
                <c:pt idx="37">
                  <c:v>46238.448190798612</c:v>
                </c:pt>
                <c:pt idx="38">
                  <c:v>46238.448202523148</c:v>
                </c:pt>
                <c:pt idx="39">
                  <c:v>46238.448214247677</c:v>
                </c:pt>
                <c:pt idx="40">
                  <c:v>46238.448225983797</c:v>
                </c:pt>
                <c:pt idx="41">
                  <c:v>46238.448237731478</c:v>
                </c:pt>
                <c:pt idx="42">
                  <c:v>46238.44824946759</c:v>
                </c:pt>
                <c:pt idx="43">
                  <c:v>46238.448261215279</c:v>
                </c:pt>
                <c:pt idx="44">
                  <c:v>46238.448272951391</c:v>
                </c:pt>
                <c:pt idx="45">
                  <c:v>46238.448284699072</c:v>
                </c:pt>
                <c:pt idx="46">
                  <c:v>46238.448296446761</c:v>
                </c:pt>
                <c:pt idx="47">
                  <c:v>46238.448308055558</c:v>
                </c:pt>
                <c:pt idx="48">
                  <c:v>46238.448319768519</c:v>
                </c:pt>
                <c:pt idx="49">
                  <c:v>46238.448331493048</c:v>
                </c:pt>
                <c:pt idx="50">
                  <c:v>46238.448343252312</c:v>
                </c:pt>
                <c:pt idx="51">
                  <c:v>46238.448355</c:v>
                </c:pt>
                <c:pt idx="52">
                  <c:v>46238.448366747682</c:v>
                </c:pt>
                <c:pt idx="53">
                  <c:v>46238.448378472232</c:v>
                </c:pt>
                <c:pt idx="54">
                  <c:v>46238.448390196761</c:v>
                </c:pt>
                <c:pt idx="55">
                  <c:v>46238.448401956019</c:v>
                </c:pt>
                <c:pt idx="56">
                  <c:v>46238.448413564824</c:v>
                </c:pt>
                <c:pt idx="57">
                  <c:v>46238.448425312497</c:v>
                </c:pt>
                <c:pt idx="58">
                  <c:v>46238.44843704861</c:v>
                </c:pt>
                <c:pt idx="59">
                  <c:v>46238.448448784722</c:v>
                </c:pt>
                <c:pt idx="60">
                  <c:v>46238.448460509258</c:v>
                </c:pt>
                <c:pt idx="61">
                  <c:v>46238.448472164353</c:v>
                </c:pt>
                <c:pt idx="62">
                  <c:v>46238.448483865737</c:v>
                </c:pt>
                <c:pt idx="63">
                  <c:v>46238.448495613433</c:v>
                </c:pt>
                <c:pt idx="64">
                  <c:v>46238.448507465277</c:v>
                </c:pt>
                <c:pt idx="65">
                  <c:v>46238.448519166668</c:v>
                </c:pt>
                <c:pt idx="66">
                  <c:v>46238.448530856484</c:v>
                </c:pt>
                <c:pt idx="67">
                  <c:v>46238.448542592603</c:v>
                </c:pt>
                <c:pt idx="68">
                  <c:v>46238.448554282397</c:v>
                </c:pt>
                <c:pt idx="69">
                  <c:v>46238.448566006948</c:v>
                </c:pt>
                <c:pt idx="70">
                  <c:v>46238.448577685187</c:v>
                </c:pt>
                <c:pt idx="71">
                  <c:v>46238.448589409723</c:v>
                </c:pt>
              </c:numCache>
            </c:numRef>
          </c:cat>
          <c:val>
            <c:numRef>
              <c:f>'차트 데이터'!$AK$5:$AK$76</c:f>
              <c:numCache>
                <c:formatCode>General</c:formatCode>
                <c:ptCount val="72"/>
                <c:pt idx="55" formatCode="0.00">
                  <c:v>4.2575302839606879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A-EE43-4286-9785-A26771440B0E}"/>
            </c:ext>
          </c:extLst>
        </c:ser>
        <c:ser>
          <c:idx val="27"/>
          <c:order val="27"/>
          <c:tx>
            <c:strRef>
              <c:f>'차트 데이터'!$AL$4</c:f>
              <c:strCache>
                <c:ptCount val="1"/>
                <c:pt idx="0">
                  <c:v>ForkJoinPool-14-worker-1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'차트 데이터'!$J$5:$J$76</c:f>
              <c:numCache>
                <c:formatCode>hh:mm:ss</c:formatCode>
                <c:ptCount val="72"/>
                <c:pt idx="0">
                  <c:v>46238.447757256938</c:v>
                </c:pt>
                <c:pt idx="1">
                  <c:v>46238.447769004633</c:v>
                </c:pt>
                <c:pt idx="2">
                  <c:v>46238.44778072917</c:v>
                </c:pt>
                <c:pt idx="3">
                  <c:v>46238.44779244213</c:v>
                </c:pt>
                <c:pt idx="4">
                  <c:v>46238.447804178242</c:v>
                </c:pt>
                <c:pt idx="5">
                  <c:v>46238.447815949083</c:v>
                </c:pt>
                <c:pt idx="6">
                  <c:v>46238.447827592587</c:v>
                </c:pt>
                <c:pt idx="7">
                  <c:v>46238.447839224536</c:v>
                </c:pt>
                <c:pt idx="8">
                  <c:v>46238.447850937497</c:v>
                </c:pt>
                <c:pt idx="9">
                  <c:v>46238.447862696761</c:v>
                </c:pt>
                <c:pt idx="10">
                  <c:v>46238.447874398153</c:v>
                </c:pt>
                <c:pt idx="11">
                  <c:v>46238.447886122682</c:v>
                </c:pt>
                <c:pt idx="12">
                  <c:v>46238.447897743063</c:v>
                </c:pt>
                <c:pt idx="13">
                  <c:v>46238.447909502313</c:v>
                </c:pt>
                <c:pt idx="14">
                  <c:v>46238.447921226849</c:v>
                </c:pt>
                <c:pt idx="15">
                  <c:v>46238.447932951392</c:v>
                </c:pt>
                <c:pt idx="16">
                  <c:v>46238.447944722233</c:v>
                </c:pt>
                <c:pt idx="17">
                  <c:v>46238.447956469907</c:v>
                </c:pt>
                <c:pt idx="18">
                  <c:v>46238.447968217602</c:v>
                </c:pt>
                <c:pt idx="19">
                  <c:v>46238.447979872682</c:v>
                </c:pt>
                <c:pt idx="20">
                  <c:v>46238.44799148148</c:v>
                </c:pt>
                <c:pt idx="21">
                  <c:v>46238.448003229169</c:v>
                </c:pt>
                <c:pt idx="22">
                  <c:v>46238.448014849528</c:v>
                </c:pt>
                <c:pt idx="23">
                  <c:v>46238.448026620368</c:v>
                </c:pt>
                <c:pt idx="24">
                  <c:v>46238.448038356481</c:v>
                </c:pt>
                <c:pt idx="25">
                  <c:v>46238.448049965278</c:v>
                </c:pt>
                <c:pt idx="26">
                  <c:v>46238.448061736111</c:v>
                </c:pt>
                <c:pt idx="27">
                  <c:v>46238.448073472216</c:v>
                </c:pt>
                <c:pt idx="28">
                  <c:v>46238.448085231481</c:v>
                </c:pt>
                <c:pt idx="29">
                  <c:v>46238.448097002307</c:v>
                </c:pt>
                <c:pt idx="30">
                  <c:v>46238.448108599543</c:v>
                </c:pt>
                <c:pt idx="31">
                  <c:v>46238.448120347217</c:v>
                </c:pt>
                <c:pt idx="32">
                  <c:v>46238.448132094913</c:v>
                </c:pt>
                <c:pt idx="33">
                  <c:v>46238.448143784721</c:v>
                </c:pt>
                <c:pt idx="34">
                  <c:v>46238.448155532409</c:v>
                </c:pt>
                <c:pt idx="35">
                  <c:v>46238.44816728009</c:v>
                </c:pt>
                <c:pt idx="36">
                  <c:v>46238.448179039347</c:v>
                </c:pt>
                <c:pt idx="37">
                  <c:v>46238.448190798612</c:v>
                </c:pt>
                <c:pt idx="38">
                  <c:v>46238.448202523148</c:v>
                </c:pt>
                <c:pt idx="39">
                  <c:v>46238.448214247677</c:v>
                </c:pt>
                <c:pt idx="40">
                  <c:v>46238.448225983797</c:v>
                </c:pt>
                <c:pt idx="41">
                  <c:v>46238.448237731478</c:v>
                </c:pt>
                <c:pt idx="42">
                  <c:v>46238.44824946759</c:v>
                </c:pt>
                <c:pt idx="43">
                  <c:v>46238.448261215279</c:v>
                </c:pt>
                <c:pt idx="44">
                  <c:v>46238.448272951391</c:v>
                </c:pt>
                <c:pt idx="45">
                  <c:v>46238.448284699072</c:v>
                </c:pt>
                <c:pt idx="46">
                  <c:v>46238.448296446761</c:v>
                </c:pt>
                <c:pt idx="47">
                  <c:v>46238.448308055558</c:v>
                </c:pt>
                <c:pt idx="48">
                  <c:v>46238.448319768519</c:v>
                </c:pt>
                <c:pt idx="49">
                  <c:v>46238.448331493048</c:v>
                </c:pt>
                <c:pt idx="50">
                  <c:v>46238.448343252312</c:v>
                </c:pt>
                <c:pt idx="51">
                  <c:v>46238.448355</c:v>
                </c:pt>
                <c:pt idx="52">
                  <c:v>46238.448366747682</c:v>
                </c:pt>
                <c:pt idx="53">
                  <c:v>46238.448378472232</c:v>
                </c:pt>
                <c:pt idx="54">
                  <c:v>46238.448390196761</c:v>
                </c:pt>
                <c:pt idx="55">
                  <c:v>46238.448401956019</c:v>
                </c:pt>
                <c:pt idx="56">
                  <c:v>46238.448413564824</c:v>
                </c:pt>
                <c:pt idx="57">
                  <c:v>46238.448425312497</c:v>
                </c:pt>
                <c:pt idx="58">
                  <c:v>46238.44843704861</c:v>
                </c:pt>
                <c:pt idx="59">
                  <c:v>46238.448448784722</c:v>
                </c:pt>
                <c:pt idx="60">
                  <c:v>46238.448460509258</c:v>
                </c:pt>
                <c:pt idx="61">
                  <c:v>46238.448472164353</c:v>
                </c:pt>
                <c:pt idx="62">
                  <c:v>46238.448483865737</c:v>
                </c:pt>
                <c:pt idx="63">
                  <c:v>46238.448495613433</c:v>
                </c:pt>
                <c:pt idx="64">
                  <c:v>46238.448507465277</c:v>
                </c:pt>
                <c:pt idx="65">
                  <c:v>46238.448519166668</c:v>
                </c:pt>
                <c:pt idx="66">
                  <c:v>46238.448530856484</c:v>
                </c:pt>
                <c:pt idx="67">
                  <c:v>46238.448542592603</c:v>
                </c:pt>
                <c:pt idx="68">
                  <c:v>46238.448554282397</c:v>
                </c:pt>
                <c:pt idx="69">
                  <c:v>46238.448566006948</c:v>
                </c:pt>
                <c:pt idx="70">
                  <c:v>46238.448577685187</c:v>
                </c:pt>
                <c:pt idx="71">
                  <c:v>46238.448589409723</c:v>
                </c:pt>
              </c:numCache>
            </c:numRef>
          </c:cat>
          <c:val>
            <c:numRef>
              <c:f>'차트 데이터'!$AL$5:$AL$76</c:f>
              <c:numCache>
                <c:formatCode>General</c:formatCode>
                <c:ptCount val="72"/>
                <c:pt idx="56" formatCode="0.00">
                  <c:v>4.2662261341538139</c:v>
                </c:pt>
                <c:pt idx="57" formatCode="0.00">
                  <c:v>4.246641610153131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B-EE43-4286-9785-A26771440B0E}"/>
            </c:ext>
          </c:extLst>
        </c:ser>
        <c:ser>
          <c:idx val="28"/>
          <c:order val="28"/>
          <c:tx>
            <c:strRef>
              <c:f>'차트 데이터'!$AM$4</c:f>
              <c:strCache>
                <c:ptCount val="1"/>
                <c:pt idx="0">
                  <c:v>ForkJoinPool-14-worker-2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'차트 데이터'!$J$5:$J$76</c:f>
              <c:numCache>
                <c:formatCode>hh:mm:ss</c:formatCode>
                <c:ptCount val="72"/>
                <c:pt idx="0">
                  <c:v>46238.447757256938</c:v>
                </c:pt>
                <c:pt idx="1">
                  <c:v>46238.447769004633</c:v>
                </c:pt>
                <c:pt idx="2">
                  <c:v>46238.44778072917</c:v>
                </c:pt>
                <c:pt idx="3">
                  <c:v>46238.44779244213</c:v>
                </c:pt>
                <c:pt idx="4">
                  <c:v>46238.447804178242</c:v>
                </c:pt>
                <c:pt idx="5">
                  <c:v>46238.447815949083</c:v>
                </c:pt>
                <c:pt idx="6">
                  <c:v>46238.447827592587</c:v>
                </c:pt>
                <c:pt idx="7">
                  <c:v>46238.447839224536</c:v>
                </c:pt>
                <c:pt idx="8">
                  <c:v>46238.447850937497</c:v>
                </c:pt>
                <c:pt idx="9">
                  <c:v>46238.447862696761</c:v>
                </c:pt>
                <c:pt idx="10">
                  <c:v>46238.447874398153</c:v>
                </c:pt>
                <c:pt idx="11">
                  <c:v>46238.447886122682</c:v>
                </c:pt>
                <c:pt idx="12">
                  <c:v>46238.447897743063</c:v>
                </c:pt>
                <c:pt idx="13">
                  <c:v>46238.447909502313</c:v>
                </c:pt>
                <c:pt idx="14">
                  <c:v>46238.447921226849</c:v>
                </c:pt>
                <c:pt idx="15">
                  <c:v>46238.447932951392</c:v>
                </c:pt>
                <c:pt idx="16">
                  <c:v>46238.447944722233</c:v>
                </c:pt>
                <c:pt idx="17">
                  <c:v>46238.447956469907</c:v>
                </c:pt>
                <c:pt idx="18">
                  <c:v>46238.447968217602</c:v>
                </c:pt>
                <c:pt idx="19">
                  <c:v>46238.447979872682</c:v>
                </c:pt>
                <c:pt idx="20">
                  <c:v>46238.44799148148</c:v>
                </c:pt>
                <c:pt idx="21">
                  <c:v>46238.448003229169</c:v>
                </c:pt>
                <c:pt idx="22">
                  <c:v>46238.448014849528</c:v>
                </c:pt>
                <c:pt idx="23">
                  <c:v>46238.448026620368</c:v>
                </c:pt>
                <c:pt idx="24">
                  <c:v>46238.448038356481</c:v>
                </c:pt>
                <c:pt idx="25">
                  <c:v>46238.448049965278</c:v>
                </c:pt>
                <c:pt idx="26">
                  <c:v>46238.448061736111</c:v>
                </c:pt>
                <c:pt idx="27">
                  <c:v>46238.448073472216</c:v>
                </c:pt>
                <c:pt idx="28">
                  <c:v>46238.448085231481</c:v>
                </c:pt>
                <c:pt idx="29">
                  <c:v>46238.448097002307</c:v>
                </c:pt>
                <c:pt idx="30">
                  <c:v>46238.448108599543</c:v>
                </c:pt>
                <c:pt idx="31">
                  <c:v>46238.448120347217</c:v>
                </c:pt>
                <c:pt idx="32">
                  <c:v>46238.448132094913</c:v>
                </c:pt>
                <c:pt idx="33">
                  <c:v>46238.448143784721</c:v>
                </c:pt>
                <c:pt idx="34">
                  <c:v>46238.448155532409</c:v>
                </c:pt>
                <c:pt idx="35">
                  <c:v>46238.44816728009</c:v>
                </c:pt>
                <c:pt idx="36">
                  <c:v>46238.448179039347</c:v>
                </c:pt>
                <c:pt idx="37">
                  <c:v>46238.448190798612</c:v>
                </c:pt>
                <c:pt idx="38">
                  <c:v>46238.448202523148</c:v>
                </c:pt>
                <c:pt idx="39">
                  <c:v>46238.448214247677</c:v>
                </c:pt>
                <c:pt idx="40">
                  <c:v>46238.448225983797</c:v>
                </c:pt>
                <c:pt idx="41">
                  <c:v>46238.448237731478</c:v>
                </c:pt>
                <c:pt idx="42">
                  <c:v>46238.44824946759</c:v>
                </c:pt>
                <c:pt idx="43">
                  <c:v>46238.448261215279</c:v>
                </c:pt>
                <c:pt idx="44">
                  <c:v>46238.448272951391</c:v>
                </c:pt>
                <c:pt idx="45">
                  <c:v>46238.448284699072</c:v>
                </c:pt>
                <c:pt idx="46">
                  <c:v>46238.448296446761</c:v>
                </c:pt>
                <c:pt idx="47">
                  <c:v>46238.448308055558</c:v>
                </c:pt>
                <c:pt idx="48">
                  <c:v>46238.448319768519</c:v>
                </c:pt>
                <c:pt idx="49">
                  <c:v>46238.448331493048</c:v>
                </c:pt>
                <c:pt idx="50">
                  <c:v>46238.448343252312</c:v>
                </c:pt>
                <c:pt idx="51">
                  <c:v>46238.448355</c:v>
                </c:pt>
                <c:pt idx="52">
                  <c:v>46238.448366747682</c:v>
                </c:pt>
                <c:pt idx="53">
                  <c:v>46238.448378472232</c:v>
                </c:pt>
                <c:pt idx="54">
                  <c:v>46238.448390196761</c:v>
                </c:pt>
                <c:pt idx="55">
                  <c:v>46238.448401956019</c:v>
                </c:pt>
                <c:pt idx="56">
                  <c:v>46238.448413564824</c:v>
                </c:pt>
                <c:pt idx="57">
                  <c:v>46238.448425312497</c:v>
                </c:pt>
                <c:pt idx="58">
                  <c:v>46238.44843704861</c:v>
                </c:pt>
                <c:pt idx="59">
                  <c:v>46238.448448784722</c:v>
                </c:pt>
                <c:pt idx="60">
                  <c:v>46238.448460509258</c:v>
                </c:pt>
                <c:pt idx="61">
                  <c:v>46238.448472164353</c:v>
                </c:pt>
                <c:pt idx="62">
                  <c:v>46238.448483865737</c:v>
                </c:pt>
                <c:pt idx="63">
                  <c:v>46238.448495613433</c:v>
                </c:pt>
                <c:pt idx="64">
                  <c:v>46238.448507465277</c:v>
                </c:pt>
                <c:pt idx="65">
                  <c:v>46238.448519166668</c:v>
                </c:pt>
                <c:pt idx="66">
                  <c:v>46238.448530856484</c:v>
                </c:pt>
                <c:pt idx="67">
                  <c:v>46238.448542592603</c:v>
                </c:pt>
                <c:pt idx="68">
                  <c:v>46238.448554282397</c:v>
                </c:pt>
                <c:pt idx="69">
                  <c:v>46238.448566006948</c:v>
                </c:pt>
                <c:pt idx="70">
                  <c:v>46238.448577685187</c:v>
                </c:pt>
                <c:pt idx="71">
                  <c:v>46238.448589409723</c:v>
                </c:pt>
              </c:numCache>
            </c:numRef>
          </c:cat>
          <c:val>
            <c:numRef>
              <c:f>'차트 데이터'!$AM$5:$AM$76</c:f>
              <c:numCache>
                <c:formatCode>General</c:formatCode>
                <c:ptCount val="72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C-EE43-4286-9785-A26771440B0E}"/>
            </c:ext>
          </c:extLst>
        </c:ser>
        <c:ser>
          <c:idx val="29"/>
          <c:order val="29"/>
          <c:tx>
            <c:strRef>
              <c:f>'차트 데이터'!$AN$4</c:f>
              <c:strCache>
                <c:ptCount val="1"/>
                <c:pt idx="0">
                  <c:v>ForkJoinPool-14-worker-3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'차트 데이터'!$J$5:$J$76</c:f>
              <c:numCache>
                <c:formatCode>hh:mm:ss</c:formatCode>
                <c:ptCount val="72"/>
                <c:pt idx="0">
                  <c:v>46238.447757256938</c:v>
                </c:pt>
                <c:pt idx="1">
                  <c:v>46238.447769004633</c:v>
                </c:pt>
                <c:pt idx="2">
                  <c:v>46238.44778072917</c:v>
                </c:pt>
                <c:pt idx="3">
                  <c:v>46238.44779244213</c:v>
                </c:pt>
                <c:pt idx="4">
                  <c:v>46238.447804178242</c:v>
                </c:pt>
                <c:pt idx="5">
                  <c:v>46238.447815949083</c:v>
                </c:pt>
                <c:pt idx="6">
                  <c:v>46238.447827592587</c:v>
                </c:pt>
                <c:pt idx="7">
                  <c:v>46238.447839224536</c:v>
                </c:pt>
                <c:pt idx="8">
                  <c:v>46238.447850937497</c:v>
                </c:pt>
                <c:pt idx="9">
                  <c:v>46238.447862696761</c:v>
                </c:pt>
                <c:pt idx="10">
                  <c:v>46238.447874398153</c:v>
                </c:pt>
                <c:pt idx="11">
                  <c:v>46238.447886122682</c:v>
                </c:pt>
                <c:pt idx="12">
                  <c:v>46238.447897743063</c:v>
                </c:pt>
                <c:pt idx="13">
                  <c:v>46238.447909502313</c:v>
                </c:pt>
                <c:pt idx="14">
                  <c:v>46238.447921226849</c:v>
                </c:pt>
                <c:pt idx="15">
                  <c:v>46238.447932951392</c:v>
                </c:pt>
                <c:pt idx="16">
                  <c:v>46238.447944722233</c:v>
                </c:pt>
                <c:pt idx="17">
                  <c:v>46238.447956469907</c:v>
                </c:pt>
                <c:pt idx="18">
                  <c:v>46238.447968217602</c:v>
                </c:pt>
                <c:pt idx="19">
                  <c:v>46238.447979872682</c:v>
                </c:pt>
                <c:pt idx="20">
                  <c:v>46238.44799148148</c:v>
                </c:pt>
                <c:pt idx="21">
                  <c:v>46238.448003229169</c:v>
                </c:pt>
                <c:pt idx="22">
                  <c:v>46238.448014849528</c:v>
                </c:pt>
                <c:pt idx="23">
                  <c:v>46238.448026620368</c:v>
                </c:pt>
                <c:pt idx="24">
                  <c:v>46238.448038356481</c:v>
                </c:pt>
                <c:pt idx="25">
                  <c:v>46238.448049965278</c:v>
                </c:pt>
                <c:pt idx="26">
                  <c:v>46238.448061736111</c:v>
                </c:pt>
                <c:pt idx="27">
                  <c:v>46238.448073472216</c:v>
                </c:pt>
                <c:pt idx="28">
                  <c:v>46238.448085231481</c:v>
                </c:pt>
                <c:pt idx="29">
                  <c:v>46238.448097002307</c:v>
                </c:pt>
                <c:pt idx="30">
                  <c:v>46238.448108599543</c:v>
                </c:pt>
                <c:pt idx="31">
                  <c:v>46238.448120347217</c:v>
                </c:pt>
                <c:pt idx="32">
                  <c:v>46238.448132094913</c:v>
                </c:pt>
                <c:pt idx="33">
                  <c:v>46238.448143784721</c:v>
                </c:pt>
                <c:pt idx="34">
                  <c:v>46238.448155532409</c:v>
                </c:pt>
                <c:pt idx="35">
                  <c:v>46238.44816728009</c:v>
                </c:pt>
                <c:pt idx="36">
                  <c:v>46238.448179039347</c:v>
                </c:pt>
                <c:pt idx="37">
                  <c:v>46238.448190798612</c:v>
                </c:pt>
                <c:pt idx="38">
                  <c:v>46238.448202523148</c:v>
                </c:pt>
                <c:pt idx="39">
                  <c:v>46238.448214247677</c:v>
                </c:pt>
                <c:pt idx="40">
                  <c:v>46238.448225983797</c:v>
                </c:pt>
                <c:pt idx="41">
                  <c:v>46238.448237731478</c:v>
                </c:pt>
                <c:pt idx="42">
                  <c:v>46238.44824946759</c:v>
                </c:pt>
                <c:pt idx="43">
                  <c:v>46238.448261215279</c:v>
                </c:pt>
                <c:pt idx="44">
                  <c:v>46238.448272951391</c:v>
                </c:pt>
                <c:pt idx="45">
                  <c:v>46238.448284699072</c:v>
                </c:pt>
                <c:pt idx="46">
                  <c:v>46238.448296446761</c:v>
                </c:pt>
                <c:pt idx="47">
                  <c:v>46238.448308055558</c:v>
                </c:pt>
                <c:pt idx="48">
                  <c:v>46238.448319768519</c:v>
                </c:pt>
                <c:pt idx="49">
                  <c:v>46238.448331493048</c:v>
                </c:pt>
                <c:pt idx="50">
                  <c:v>46238.448343252312</c:v>
                </c:pt>
                <c:pt idx="51">
                  <c:v>46238.448355</c:v>
                </c:pt>
                <c:pt idx="52">
                  <c:v>46238.448366747682</c:v>
                </c:pt>
                <c:pt idx="53">
                  <c:v>46238.448378472232</c:v>
                </c:pt>
                <c:pt idx="54">
                  <c:v>46238.448390196761</c:v>
                </c:pt>
                <c:pt idx="55">
                  <c:v>46238.448401956019</c:v>
                </c:pt>
                <c:pt idx="56">
                  <c:v>46238.448413564824</c:v>
                </c:pt>
                <c:pt idx="57">
                  <c:v>46238.448425312497</c:v>
                </c:pt>
                <c:pt idx="58">
                  <c:v>46238.44843704861</c:v>
                </c:pt>
                <c:pt idx="59">
                  <c:v>46238.448448784722</c:v>
                </c:pt>
                <c:pt idx="60">
                  <c:v>46238.448460509258</c:v>
                </c:pt>
                <c:pt idx="61">
                  <c:v>46238.448472164353</c:v>
                </c:pt>
                <c:pt idx="62">
                  <c:v>46238.448483865737</c:v>
                </c:pt>
                <c:pt idx="63">
                  <c:v>46238.448495613433</c:v>
                </c:pt>
                <c:pt idx="64">
                  <c:v>46238.448507465277</c:v>
                </c:pt>
                <c:pt idx="65">
                  <c:v>46238.448519166668</c:v>
                </c:pt>
                <c:pt idx="66">
                  <c:v>46238.448530856484</c:v>
                </c:pt>
                <c:pt idx="67">
                  <c:v>46238.448542592603</c:v>
                </c:pt>
                <c:pt idx="68">
                  <c:v>46238.448554282397</c:v>
                </c:pt>
                <c:pt idx="69">
                  <c:v>46238.448566006948</c:v>
                </c:pt>
                <c:pt idx="70">
                  <c:v>46238.448577685187</c:v>
                </c:pt>
                <c:pt idx="71">
                  <c:v>46238.448589409723</c:v>
                </c:pt>
              </c:numCache>
            </c:numRef>
          </c:cat>
          <c:val>
            <c:numRef>
              <c:f>'차트 데이터'!$AN$5:$AN$76</c:f>
              <c:numCache>
                <c:formatCode>General</c:formatCode>
                <c:ptCount val="72"/>
                <c:pt idx="56" formatCode="0.00">
                  <c:v>4.2662261341538139</c:v>
                </c:pt>
                <c:pt idx="57" formatCode="0.00">
                  <c:v>4.246641610153131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D-EE43-4286-9785-A26771440B0E}"/>
            </c:ext>
          </c:extLst>
        </c:ser>
        <c:ser>
          <c:idx val="30"/>
          <c:order val="30"/>
          <c:tx>
            <c:strRef>
              <c:f>'차트 데이터'!$AO$4</c:f>
              <c:strCache>
                <c:ptCount val="1"/>
                <c:pt idx="0">
                  <c:v>ForkJoinPool-14-worker-7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'차트 데이터'!$J$5:$J$76</c:f>
              <c:numCache>
                <c:formatCode>hh:mm:ss</c:formatCode>
                <c:ptCount val="72"/>
                <c:pt idx="0">
                  <c:v>46238.447757256938</c:v>
                </c:pt>
                <c:pt idx="1">
                  <c:v>46238.447769004633</c:v>
                </c:pt>
                <c:pt idx="2">
                  <c:v>46238.44778072917</c:v>
                </c:pt>
                <c:pt idx="3">
                  <c:v>46238.44779244213</c:v>
                </c:pt>
                <c:pt idx="4">
                  <c:v>46238.447804178242</c:v>
                </c:pt>
                <c:pt idx="5">
                  <c:v>46238.447815949083</c:v>
                </c:pt>
                <c:pt idx="6">
                  <c:v>46238.447827592587</c:v>
                </c:pt>
                <c:pt idx="7">
                  <c:v>46238.447839224536</c:v>
                </c:pt>
                <c:pt idx="8">
                  <c:v>46238.447850937497</c:v>
                </c:pt>
                <c:pt idx="9">
                  <c:v>46238.447862696761</c:v>
                </c:pt>
                <c:pt idx="10">
                  <c:v>46238.447874398153</c:v>
                </c:pt>
                <c:pt idx="11">
                  <c:v>46238.447886122682</c:v>
                </c:pt>
                <c:pt idx="12">
                  <c:v>46238.447897743063</c:v>
                </c:pt>
                <c:pt idx="13">
                  <c:v>46238.447909502313</c:v>
                </c:pt>
                <c:pt idx="14">
                  <c:v>46238.447921226849</c:v>
                </c:pt>
                <c:pt idx="15">
                  <c:v>46238.447932951392</c:v>
                </c:pt>
                <c:pt idx="16">
                  <c:v>46238.447944722233</c:v>
                </c:pt>
                <c:pt idx="17">
                  <c:v>46238.447956469907</c:v>
                </c:pt>
                <c:pt idx="18">
                  <c:v>46238.447968217602</c:v>
                </c:pt>
                <c:pt idx="19">
                  <c:v>46238.447979872682</c:v>
                </c:pt>
                <c:pt idx="20">
                  <c:v>46238.44799148148</c:v>
                </c:pt>
                <c:pt idx="21">
                  <c:v>46238.448003229169</c:v>
                </c:pt>
                <c:pt idx="22">
                  <c:v>46238.448014849528</c:v>
                </c:pt>
                <c:pt idx="23">
                  <c:v>46238.448026620368</c:v>
                </c:pt>
                <c:pt idx="24">
                  <c:v>46238.448038356481</c:v>
                </c:pt>
                <c:pt idx="25">
                  <c:v>46238.448049965278</c:v>
                </c:pt>
                <c:pt idx="26">
                  <c:v>46238.448061736111</c:v>
                </c:pt>
                <c:pt idx="27">
                  <c:v>46238.448073472216</c:v>
                </c:pt>
                <c:pt idx="28">
                  <c:v>46238.448085231481</c:v>
                </c:pt>
                <c:pt idx="29">
                  <c:v>46238.448097002307</c:v>
                </c:pt>
                <c:pt idx="30">
                  <c:v>46238.448108599543</c:v>
                </c:pt>
                <c:pt idx="31">
                  <c:v>46238.448120347217</c:v>
                </c:pt>
                <c:pt idx="32">
                  <c:v>46238.448132094913</c:v>
                </c:pt>
                <c:pt idx="33">
                  <c:v>46238.448143784721</c:v>
                </c:pt>
                <c:pt idx="34">
                  <c:v>46238.448155532409</c:v>
                </c:pt>
                <c:pt idx="35">
                  <c:v>46238.44816728009</c:v>
                </c:pt>
                <c:pt idx="36">
                  <c:v>46238.448179039347</c:v>
                </c:pt>
                <c:pt idx="37">
                  <c:v>46238.448190798612</c:v>
                </c:pt>
                <c:pt idx="38">
                  <c:v>46238.448202523148</c:v>
                </c:pt>
                <c:pt idx="39">
                  <c:v>46238.448214247677</c:v>
                </c:pt>
                <c:pt idx="40">
                  <c:v>46238.448225983797</c:v>
                </c:pt>
                <c:pt idx="41">
                  <c:v>46238.448237731478</c:v>
                </c:pt>
                <c:pt idx="42">
                  <c:v>46238.44824946759</c:v>
                </c:pt>
                <c:pt idx="43">
                  <c:v>46238.448261215279</c:v>
                </c:pt>
                <c:pt idx="44">
                  <c:v>46238.448272951391</c:v>
                </c:pt>
                <c:pt idx="45">
                  <c:v>46238.448284699072</c:v>
                </c:pt>
                <c:pt idx="46">
                  <c:v>46238.448296446761</c:v>
                </c:pt>
                <c:pt idx="47">
                  <c:v>46238.448308055558</c:v>
                </c:pt>
                <c:pt idx="48">
                  <c:v>46238.448319768519</c:v>
                </c:pt>
                <c:pt idx="49">
                  <c:v>46238.448331493048</c:v>
                </c:pt>
                <c:pt idx="50">
                  <c:v>46238.448343252312</c:v>
                </c:pt>
                <c:pt idx="51">
                  <c:v>46238.448355</c:v>
                </c:pt>
                <c:pt idx="52">
                  <c:v>46238.448366747682</c:v>
                </c:pt>
                <c:pt idx="53">
                  <c:v>46238.448378472232</c:v>
                </c:pt>
                <c:pt idx="54">
                  <c:v>46238.448390196761</c:v>
                </c:pt>
                <c:pt idx="55">
                  <c:v>46238.448401956019</c:v>
                </c:pt>
                <c:pt idx="56">
                  <c:v>46238.448413564824</c:v>
                </c:pt>
                <c:pt idx="57">
                  <c:v>46238.448425312497</c:v>
                </c:pt>
                <c:pt idx="58">
                  <c:v>46238.44843704861</c:v>
                </c:pt>
                <c:pt idx="59">
                  <c:v>46238.448448784722</c:v>
                </c:pt>
                <c:pt idx="60">
                  <c:v>46238.448460509258</c:v>
                </c:pt>
                <c:pt idx="61">
                  <c:v>46238.448472164353</c:v>
                </c:pt>
                <c:pt idx="62">
                  <c:v>46238.448483865737</c:v>
                </c:pt>
                <c:pt idx="63">
                  <c:v>46238.448495613433</c:v>
                </c:pt>
                <c:pt idx="64">
                  <c:v>46238.448507465277</c:v>
                </c:pt>
                <c:pt idx="65">
                  <c:v>46238.448519166668</c:v>
                </c:pt>
                <c:pt idx="66">
                  <c:v>46238.448530856484</c:v>
                </c:pt>
                <c:pt idx="67">
                  <c:v>46238.448542592603</c:v>
                </c:pt>
                <c:pt idx="68">
                  <c:v>46238.448554282397</c:v>
                </c:pt>
                <c:pt idx="69">
                  <c:v>46238.448566006948</c:v>
                </c:pt>
                <c:pt idx="70">
                  <c:v>46238.448577685187</c:v>
                </c:pt>
                <c:pt idx="71">
                  <c:v>46238.448589409723</c:v>
                </c:pt>
              </c:numCache>
            </c:numRef>
          </c:cat>
          <c:val>
            <c:numRef>
              <c:f>'차트 데이터'!$AO$5:$AO$76</c:f>
              <c:numCache>
                <c:formatCode>General</c:formatCode>
                <c:ptCount val="72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E-EE43-4286-9785-A26771440B0E}"/>
            </c:ext>
          </c:extLst>
        </c:ser>
        <c:ser>
          <c:idx val="31"/>
          <c:order val="31"/>
          <c:tx>
            <c:strRef>
              <c:f>'차트 데이터'!$AP$4</c:f>
              <c:strCache>
                <c:ptCount val="1"/>
                <c:pt idx="0">
                  <c:v>ForkJoinPool-15-worker-1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'차트 데이터'!$J$5:$J$76</c:f>
              <c:numCache>
                <c:formatCode>hh:mm:ss</c:formatCode>
                <c:ptCount val="72"/>
                <c:pt idx="0">
                  <c:v>46238.447757256938</c:v>
                </c:pt>
                <c:pt idx="1">
                  <c:v>46238.447769004633</c:v>
                </c:pt>
                <c:pt idx="2">
                  <c:v>46238.44778072917</c:v>
                </c:pt>
                <c:pt idx="3">
                  <c:v>46238.44779244213</c:v>
                </c:pt>
                <c:pt idx="4">
                  <c:v>46238.447804178242</c:v>
                </c:pt>
                <c:pt idx="5">
                  <c:v>46238.447815949083</c:v>
                </c:pt>
                <c:pt idx="6">
                  <c:v>46238.447827592587</c:v>
                </c:pt>
                <c:pt idx="7">
                  <c:v>46238.447839224536</c:v>
                </c:pt>
                <c:pt idx="8">
                  <c:v>46238.447850937497</c:v>
                </c:pt>
                <c:pt idx="9">
                  <c:v>46238.447862696761</c:v>
                </c:pt>
                <c:pt idx="10">
                  <c:v>46238.447874398153</c:v>
                </c:pt>
                <c:pt idx="11">
                  <c:v>46238.447886122682</c:v>
                </c:pt>
                <c:pt idx="12">
                  <c:v>46238.447897743063</c:v>
                </c:pt>
                <c:pt idx="13">
                  <c:v>46238.447909502313</c:v>
                </c:pt>
                <c:pt idx="14">
                  <c:v>46238.447921226849</c:v>
                </c:pt>
                <c:pt idx="15">
                  <c:v>46238.447932951392</c:v>
                </c:pt>
                <c:pt idx="16">
                  <c:v>46238.447944722233</c:v>
                </c:pt>
                <c:pt idx="17">
                  <c:v>46238.447956469907</c:v>
                </c:pt>
                <c:pt idx="18">
                  <c:v>46238.447968217602</c:v>
                </c:pt>
                <c:pt idx="19">
                  <c:v>46238.447979872682</c:v>
                </c:pt>
                <c:pt idx="20">
                  <c:v>46238.44799148148</c:v>
                </c:pt>
                <c:pt idx="21">
                  <c:v>46238.448003229169</c:v>
                </c:pt>
                <c:pt idx="22">
                  <c:v>46238.448014849528</c:v>
                </c:pt>
                <c:pt idx="23">
                  <c:v>46238.448026620368</c:v>
                </c:pt>
                <c:pt idx="24">
                  <c:v>46238.448038356481</c:v>
                </c:pt>
                <c:pt idx="25">
                  <c:v>46238.448049965278</c:v>
                </c:pt>
                <c:pt idx="26">
                  <c:v>46238.448061736111</c:v>
                </c:pt>
                <c:pt idx="27">
                  <c:v>46238.448073472216</c:v>
                </c:pt>
                <c:pt idx="28">
                  <c:v>46238.448085231481</c:v>
                </c:pt>
                <c:pt idx="29">
                  <c:v>46238.448097002307</c:v>
                </c:pt>
                <c:pt idx="30">
                  <c:v>46238.448108599543</c:v>
                </c:pt>
                <c:pt idx="31">
                  <c:v>46238.448120347217</c:v>
                </c:pt>
                <c:pt idx="32">
                  <c:v>46238.448132094913</c:v>
                </c:pt>
                <c:pt idx="33">
                  <c:v>46238.448143784721</c:v>
                </c:pt>
                <c:pt idx="34">
                  <c:v>46238.448155532409</c:v>
                </c:pt>
                <c:pt idx="35">
                  <c:v>46238.44816728009</c:v>
                </c:pt>
                <c:pt idx="36">
                  <c:v>46238.448179039347</c:v>
                </c:pt>
                <c:pt idx="37">
                  <c:v>46238.448190798612</c:v>
                </c:pt>
                <c:pt idx="38">
                  <c:v>46238.448202523148</c:v>
                </c:pt>
                <c:pt idx="39">
                  <c:v>46238.448214247677</c:v>
                </c:pt>
                <c:pt idx="40">
                  <c:v>46238.448225983797</c:v>
                </c:pt>
                <c:pt idx="41">
                  <c:v>46238.448237731478</c:v>
                </c:pt>
                <c:pt idx="42">
                  <c:v>46238.44824946759</c:v>
                </c:pt>
                <c:pt idx="43">
                  <c:v>46238.448261215279</c:v>
                </c:pt>
                <c:pt idx="44">
                  <c:v>46238.448272951391</c:v>
                </c:pt>
                <c:pt idx="45">
                  <c:v>46238.448284699072</c:v>
                </c:pt>
                <c:pt idx="46">
                  <c:v>46238.448296446761</c:v>
                </c:pt>
                <c:pt idx="47">
                  <c:v>46238.448308055558</c:v>
                </c:pt>
                <c:pt idx="48">
                  <c:v>46238.448319768519</c:v>
                </c:pt>
                <c:pt idx="49">
                  <c:v>46238.448331493048</c:v>
                </c:pt>
                <c:pt idx="50">
                  <c:v>46238.448343252312</c:v>
                </c:pt>
                <c:pt idx="51">
                  <c:v>46238.448355</c:v>
                </c:pt>
                <c:pt idx="52">
                  <c:v>46238.448366747682</c:v>
                </c:pt>
                <c:pt idx="53">
                  <c:v>46238.448378472232</c:v>
                </c:pt>
                <c:pt idx="54">
                  <c:v>46238.448390196761</c:v>
                </c:pt>
                <c:pt idx="55">
                  <c:v>46238.448401956019</c:v>
                </c:pt>
                <c:pt idx="56">
                  <c:v>46238.448413564824</c:v>
                </c:pt>
                <c:pt idx="57">
                  <c:v>46238.448425312497</c:v>
                </c:pt>
                <c:pt idx="58">
                  <c:v>46238.44843704861</c:v>
                </c:pt>
                <c:pt idx="59">
                  <c:v>46238.448448784722</c:v>
                </c:pt>
                <c:pt idx="60">
                  <c:v>46238.448460509258</c:v>
                </c:pt>
                <c:pt idx="61">
                  <c:v>46238.448472164353</c:v>
                </c:pt>
                <c:pt idx="62">
                  <c:v>46238.448483865737</c:v>
                </c:pt>
                <c:pt idx="63">
                  <c:v>46238.448495613433</c:v>
                </c:pt>
                <c:pt idx="64">
                  <c:v>46238.448507465277</c:v>
                </c:pt>
                <c:pt idx="65">
                  <c:v>46238.448519166668</c:v>
                </c:pt>
                <c:pt idx="66">
                  <c:v>46238.448530856484</c:v>
                </c:pt>
                <c:pt idx="67">
                  <c:v>46238.448542592603</c:v>
                </c:pt>
                <c:pt idx="68">
                  <c:v>46238.448554282397</c:v>
                </c:pt>
                <c:pt idx="69">
                  <c:v>46238.448566006948</c:v>
                </c:pt>
                <c:pt idx="70">
                  <c:v>46238.448577685187</c:v>
                </c:pt>
                <c:pt idx="71">
                  <c:v>46238.448589409723</c:v>
                </c:pt>
              </c:numCache>
            </c:numRef>
          </c:cat>
          <c:val>
            <c:numRef>
              <c:f>'차트 데이터'!$AP$5:$AP$76</c:f>
              <c:numCache>
                <c:formatCode>General</c:formatCode>
                <c:ptCount val="72"/>
                <c:pt idx="58" formatCode="0.00">
                  <c:v>4.247036821133503</c:v>
                </c:pt>
                <c:pt idx="59" formatCode="0.00">
                  <c:v>4.2352709826877408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1F-EE43-4286-9785-A26771440B0E}"/>
            </c:ext>
          </c:extLst>
        </c:ser>
        <c:ser>
          <c:idx val="32"/>
          <c:order val="32"/>
          <c:tx>
            <c:strRef>
              <c:f>'차트 데이터'!$AQ$4</c:f>
              <c:strCache>
                <c:ptCount val="1"/>
                <c:pt idx="0">
                  <c:v>ForkJoinPool-15-worker-10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'차트 데이터'!$J$5:$J$76</c:f>
              <c:numCache>
                <c:formatCode>hh:mm:ss</c:formatCode>
                <c:ptCount val="72"/>
                <c:pt idx="0">
                  <c:v>46238.447757256938</c:v>
                </c:pt>
                <c:pt idx="1">
                  <c:v>46238.447769004633</c:v>
                </c:pt>
                <c:pt idx="2">
                  <c:v>46238.44778072917</c:v>
                </c:pt>
                <c:pt idx="3">
                  <c:v>46238.44779244213</c:v>
                </c:pt>
                <c:pt idx="4">
                  <c:v>46238.447804178242</c:v>
                </c:pt>
                <c:pt idx="5">
                  <c:v>46238.447815949083</c:v>
                </c:pt>
                <c:pt idx="6">
                  <c:v>46238.447827592587</c:v>
                </c:pt>
                <c:pt idx="7">
                  <c:v>46238.447839224536</c:v>
                </c:pt>
                <c:pt idx="8">
                  <c:v>46238.447850937497</c:v>
                </c:pt>
                <c:pt idx="9">
                  <c:v>46238.447862696761</c:v>
                </c:pt>
                <c:pt idx="10">
                  <c:v>46238.447874398153</c:v>
                </c:pt>
                <c:pt idx="11">
                  <c:v>46238.447886122682</c:v>
                </c:pt>
                <c:pt idx="12">
                  <c:v>46238.447897743063</c:v>
                </c:pt>
                <c:pt idx="13">
                  <c:v>46238.447909502313</c:v>
                </c:pt>
                <c:pt idx="14">
                  <c:v>46238.447921226849</c:v>
                </c:pt>
                <c:pt idx="15">
                  <c:v>46238.447932951392</c:v>
                </c:pt>
                <c:pt idx="16">
                  <c:v>46238.447944722233</c:v>
                </c:pt>
                <c:pt idx="17">
                  <c:v>46238.447956469907</c:v>
                </c:pt>
                <c:pt idx="18">
                  <c:v>46238.447968217602</c:v>
                </c:pt>
                <c:pt idx="19">
                  <c:v>46238.447979872682</c:v>
                </c:pt>
                <c:pt idx="20">
                  <c:v>46238.44799148148</c:v>
                </c:pt>
                <c:pt idx="21">
                  <c:v>46238.448003229169</c:v>
                </c:pt>
                <c:pt idx="22">
                  <c:v>46238.448014849528</c:v>
                </c:pt>
                <c:pt idx="23">
                  <c:v>46238.448026620368</c:v>
                </c:pt>
                <c:pt idx="24">
                  <c:v>46238.448038356481</c:v>
                </c:pt>
                <c:pt idx="25">
                  <c:v>46238.448049965278</c:v>
                </c:pt>
                <c:pt idx="26">
                  <c:v>46238.448061736111</c:v>
                </c:pt>
                <c:pt idx="27">
                  <c:v>46238.448073472216</c:v>
                </c:pt>
                <c:pt idx="28">
                  <c:v>46238.448085231481</c:v>
                </c:pt>
                <c:pt idx="29">
                  <c:v>46238.448097002307</c:v>
                </c:pt>
                <c:pt idx="30">
                  <c:v>46238.448108599543</c:v>
                </c:pt>
                <c:pt idx="31">
                  <c:v>46238.448120347217</c:v>
                </c:pt>
                <c:pt idx="32">
                  <c:v>46238.448132094913</c:v>
                </c:pt>
                <c:pt idx="33">
                  <c:v>46238.448143784721</c:v>
                </c:pt>
                <c:pt idx="34">
                  <c:v>46238.448155532409</c:v>
                </c:pt>
                <c:pt idx="35">
                  <c:v>46238.44816728009</c:v>
                </c:pt>
                <c:pt idx="36">
                  <c:v>46238.448179039347</c:v>
                </c:pt>
                <c:pt idx="37">
                  <c:v>46238.448190798612</c:v>
                </c:pt>
                <c:pt idx="38">
                  <c:v>46238.448202523148</c:v>
                </c:pt>
                <c:pt idx="39">
                  <c:v>46238.448214247677</c:v>
                </c:pt>
                <c:pt idx="40">
                  <c:v>46238.448225983797</c:v>
                </c:pt>
                <c:pt idx="41">
                  <c:v>46238.448237731478</c:v>
                </c:pt>
                <c:pt idx="42">
                  <c:v>46238.44824946759</c:v>
                </c:pt>
                <c:pt idx="43">
                  <c:v>46238.448261215279</c:v>
                </c:pt>
                <c:pt idx="44">
                  <c:v>46238.448272951391</c:v>
                </c:pt>
                <c:pt idx="45">
                  <c:v>46238.448284699072</c:v>
                </c:pt>
                <c:pt idx="46">
                  <c:v>46238.448296446761</c:v>
                </c:pt>
                <c:pt idx="47">
                  <c:v>46238.448308055558</c:v>
                </c:pt>
                <c:pt idx="48">
                  <c:v>46238.448319768519</c:v>
                </c:pt>
                <c:pt idx="49">
                  <c:v>46238.448331493048</c:v>
                </c:pt>
                <c:pt idx="50">
                  <c:v>46238.448343252312</c:v>
                </c:pt>
                <c:pt idx="51">
                  <c:v>46238.448355</c:v>
                </c:pt>
                <c:pt idx="52">
                  <c:v>46238.448366747682</c:v>
                </c:pt>
                <c:pt idx="53">
                  <c:v>46238.448378472232</c:v>
                </c:pt>
                <c:pt idx="54">
                  <c:v>46238.448390196761</c:v>
                </c:pt>
                <c:pt idx="55">
                  <c:v>46238.448401956019</c:v>
                </c:pt>
                <c:pt idx="56">
                  <c:v>46238.448413564824</c:v>
                </c:pt>
                <c:pt idx="57">
                  <c:v>46238.448425312497</c:v>
                </c:pt>
                <c:pt idx="58">
                  <c:v>46238.44843704861</c:v>
                </c:pt>
                <c:pt idx="59">
                  <c:v>46238.448448784722</c:v>
                </c:pt>
                <c:pt idx="60">
                  <c:v>46238.448460509258</c:v>
                </c:pt>
                <c:pt idx="61">
                  <c:v>46238.448472164353</c:v>
                </c:pt>
                <c:pt idx="62">
                  <c:v>46238.448483865737</c:v>
                </c:pt>
                <c:pt idx="63">
                  <c:v>46238.448495613433</c:v>
                </c:pt>
                <c:pt idx="64">
                  <c:v>46238.448507465277</c:v>
                </c:pt>
                <c:pt idx="65">
                  <c:v>46238.448519166668</c:v>
                </c:pt>
                <c:pt idx="66">
                  <c:v>46238.448530856484</c:v>
                </c:pt>
                <c:pt idx="67">
                  <c:v>46238.448542592603</c:v>
                </c:pt>
                <c:pt idx="68">
                  <c:v>46238.448554282397</c:v>
                </c:pt>
                <c:pt idx="69">
                  <c:v>46238.448566006948</c:v>
                </c:pt>
                <c:pt idx="70">
                  <c:v>46238.448577685187</c:v>
                </c:pt>
                <c:pt idx="71">
                  <c:v>46238.448589409723</c:v>
                </c:pt>
              </c:numCache>
            </c:numRef>
          </c:cat>
          <c:val>
            <c:numRef>
              <c:f>'차트 데이터'!$AQ$5:$AQ$76</c:f>
              <c:numCache>
                <c:formatCode>General</c:formatCode>
                <c:ptCount val="72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0-EE43-4286-9785-A26771440B0E}"/>
            </c:ext>
          </c:extLst>
        </c:ser>
        <c:ser>
          <c:idx val="33"/>
          <c:order val="33"/>
          <c:tx>
            <c:strRef>
              <c:f>'차트 데이터'!$AR$4</c:f>
              <c:strCache>
                <c:ptCount val="1"/>
                <c:pt idx="0">
                  <c:v>ForkJoinPool-15-worker-2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'차트 데이터'!$J$5:$J$76</c:f>
              <c:numCache>
                <c:formatCode>hh:mm:ss</c:formatCode>
                <c:ptCount val="72"/>
                <c:pt idx="0">
                  <c:v>46238.447757256938</c:v>
                </c:pt>
                <c:pt idx="1">
                  <c:v>46238.447769004633</c:v>
                </c:pt>
                <c:pt idx="2">
                  <c:v>46238.44778072917</c:v>
                </c:pt>
                <c:pt idx="3">
                  <c:v>46238.44779244213</c:v>
                </c:pt>
                <c:pt idx="4">
                  <c:v>46238.447804178242</c:v>
                </c:pt>
                <c:pt idx="5">
                  <c:v>46238.447815949083</c:v>
                </c:pt>
                <c:pt idx="6">
                  <c:v>46238.447827592587</c:v>
                </c:pt>
                <c:pt idx="7">
                  <c:v>46238.447839224536</c:v>
                </c:pt>
                <c:pt idx="8">
                  <c:v>46238.447850937497</c:v>
                </c:pt>
                <c:pt idx="9">
                  <c:v>46238.447862696761</c:v>
                </c:pt>
                <c:pt idx="10">
                  <c:v>46238.447874398153</c:v>
                </c:pt>
                <c:pt idx="11">
                  <c:v>46238.447886122682</c:v>
                </c:pt>
                <c:pt idx="12">
                  <c:v>46238.447897743063</c:v>
                </c:pt>
                <c:pt idx="13">
                  <c:v>46238.447909502313</c:v>
                </c:pt>
                <c:pt idx="14">
                  <c:v>46238.447921226849</c:v>
                </c:pt>
                <c:pt idx="15">
                  <c:v>46238.447932951392</c:v>
                </c:pt>
                <c:pt idx="16">
                  <c:v>46238.447944722233</c:v>
                </c:pt>
                <c:pt idx="17">
                  <c:v>46238.447956469907</c:v>
                </c:pt>
                <c:pt idx="18">
                  <c:v>46238.447968217602</c:v>
                </c:pt>
                <c:pt idx="19">
                  <c:v>46238.447979872682</c:v>
                </c:pt>
                <c:pt idx="20">
                  <c:v>46238.44799148148</c:v>
                </c:pt>
                <c:pt idx="21">
                  <c:v>46238.448003229169</c:v>
                </c:pt>
                <c:pt idx="22">
                  <c:v>46238.448014849528</c:v>
                </c:pt>
                <c:pt idx="23">
                  <c:v>46238.448026620368</c:v>
                </c:pt>
                <c:pt idx="24">
                  <c:v>46238.448038356481</c:v>
                </c:pt>
                <c:pt idx="25">
                  <c:v>46238.448049965278</c:v>
                </c:pt>
                <c:pt idx="26">
                  <c:v>46238.448061736111</c:v>
                </c:pt>
                <c:pt idx="27">
                  <c:v>46238.448073472216</c:v>
                </c:pt>
                <c:pt idx="28">
                  <c:v>46238.448085231481</c:v>
                </c:pt>
                <c:pt idx="29">
                  <c:v>46238.448097002307</c:v>
                </c:pt>
                <c:pt idx="30">
                  <c:v>46238.448108599543</c:v>
                </c:pt>
                <c:pt idx="31">
                  <c:v>46238.448120347217</c:v>
                </c:pt>
                <c:pt idx="32">
                  <c:v>46238.448132094913</c:v>
                </c:pt>
                <c:pt idx="33">
                  <c:v>46238.448143784721</c:v>
                </c:pt>
                <c:pt idx="34">
                  <c:v>46238.448155532409</c:v>
                </c:pt>
                <c:pt idx="35">
                  <c:v>46238.44816728009</c:v>
                </c:pt>
                <c:pt idx="36">
                  <c:v>46238.448179039347</c:v>
                </c:pt>
                <c:pt idx="37">
                  <c:v>46238.448190798612</c:v>
                </c:pt>
                <c:pt idx="38">
                  <c:v>46238.448202523148</c:v>
                </c:pt>
                <c:pt idx="39">
                  <c:v>46238.448214247677</c:v>
                </c:pt>
                <c:pt idx="40">
                  <c:v>46238.448225983797</c:v>
                </c:pt>
                <c:pt idx="41">
                  <c:v>46238.448237731478</c:v>
                </c:pt>
                <c:pt idx="42">
                  <c:v>46238.44824946759</c:v>
                </c:pt>
                <c:pt idx="43">
                  <c:v>46238.448261215279</c:v>
                </c:pt>
                <c:pt idx="44">
                  <c:v>46238.448272951391</c:v>
                </c:pt>
                <c:pt idx="45">
                  <c:v>46238.448284699072</c:v>
                </c:pt>
                <c:pt idx="46">
                  <c:v>46238.448296446761</c:v>
                </c:pt>
                <c:pt idx="47">
                  <c:v>46238.448308055558</c:v>
                </c:pt>
                <c:pt idx="48">
                  <c:v>46238.448319768519</c:v>
                </c:pt>
                <c:pt idx="49">
                  <c:v>46238.448331493048</c:v>
                </c:pt>
                <c:pt idx="50">
                  <c:v>46238.448343252312</c:v>
                </c:pt>
                <c:pt idx="51">
                  <c:v>46238.448355</c:v>
                </c:pt>
                <c:pt idx="52">
                  <c:v>46238.448366747682</c:v>
                </c:pt>
                <c:pt idx="53">
                  <c:v>46238.448378472232</c:v>
                </c:pt>
                <c:pt idx="54">
                  <c:v>46238.448390196761</c:v>
                </c:pt>
                <c:pt idx="55">
                  <c:v>46238.448401956019</c:v>
                </c:pt>
                <c:pt idx="56">
                  <c:v>46238.448413564824</c:v>
                </c:pt>
                <c:pt idx="57">
                  <c:v>46238.448425312497</c:v>
                </c:pt>
                <c:pt idx="58">
                  <c:v>46238.44843704861</c:v>
                </c:pt>
                <c:pt idx="59">
                  <c:v>46238.448448784722</c:v>
                </c:pt>
                <c:pt idx="60">
                  <c:v>46238.448460509258</c:v>
                </c:pt>
                <c:pt idx="61">
                  <c:v>46238.448472164353</c:v>
                </c:pt>
                <c:pt idx="62">
                  <c:v>46238.448483865737</c:v>
                </c:pt>
                <c:pt idx="63">
                  <c:v>46238.448495613433</c:v>
                </c:pt>
                <c:pt idx="64">
                  <c:v>46238.448507465277</c:v>
                </c:pt>
                <c:pt idx="65">
                  <c:v>46238.448519166668</c:v>
                </c:pt>
                <c:pt idx="66">
                  <c:v>46238.448530856484</c:v>
                </c:pt>
                <c:pt idx="67">
                  <c:v>46238.448542592603</c:v>
                </c:pt>
                <c:pt idx="68">
                  <c:v>46238.448554282397</c:v>
                </c:pt>
                <c:pt idx="69">
                  <c:v>46238.448566006948</c:v>
                </c:pt>
                <c:pt idx="70">
                  <c:v>46238.448577685187</c:v>
                </c:pt>
                <c:pt idx="71">
                  <c:v>46238.448589409723</c:v>
                </c:pt>
              </c:numCache>
            </c:numRef>
          </c:cat>
          <c:val>
            <c:numRef>
              <c:f>'차트 데이터'!$AR$5:$AR$76</c:f>
              <c:numCache>
                <c:formatCode>General</c:formatCode>
                <c:ptCount val="72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1-EE43-4286-9785-A26771440B0E}"/>
            </c:ext>
          </c:extLst>
        </c:ser>
        <c:ser>
          <c:idx val="34"/>
          <c:order val="34"/>
          <c:tx>
            <c:strRef>
              <c:f>'차트 데이터'!$AS$4</c:f>
              <c:strCache>
                <c:ptCount val="1"/>
                <c:pt idx="0">
                  <c:v>ForkJoinPool-15-worker-3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'차트 데이터'!$J$5:$J$76</c:f>
              <c:numCache>
                <c:formatCode>hh:mm:ss</c:formatCode>
                <c:ptCount val="72"/>
                <c:pt idx="0">
                  <c:v>46238.447757256938</c:v>
                </c:pt>
                <c:pt idx="1">
                  <c:v>46238.447769004633</c:v>
                </c:pt>
                <c:pt idx="2">
                  <c:v>46238.44778072917</c:v>
                </c:pt>
                <c:pt idx="3">
                  <c:v>46238.44779244213</c:v>
                </c:pt>
                <c:pt idx="4">
                  <c:v>46238.447804178242</c:v>
                </c:pt>
                <c:pt idx="5">
                  <c:v>46238.447815949083</c:v>
                </c:pt>
                <c:pt idx="6">
                  <c:v>46238.447827592587</c:v>
                </c:pt>
                <c:pt idx="7">
                  <c:v>46238.447839224536</c:v>
                </c:pt>
                <c:pt idx="8">
                  <c:v>46238.447850937497</c:v>
                </c:pt>
                <c:pt idx="9">
                  <c:v>46238.447862696761</c:v>
                </c:pt>
                <c:pt idx="10">
                  <c:v>46238.447874398153</c:v>
                </c:pt>
                <c:pt idx="11">
                  <c:v>46238.447886122682</c:v>
                </c:pt>
                <c:pt idx="12">
                  <c:v>46238.447897743063</c:v>
                </c:pt>
                <c:pt idx="13">
                  <c:v>46238.447909502313</c:v>
                </c:pt>
                <c:pt idx="14">
                  <c:v>46238.447921226849</c:v>
                </c:pt>
                <c:pt idx="15">
                  <c:v>46238.447932951392</c:v>
                </c:pt>
                <c:pt idx="16">
                  <c:v>46238.447944722233</c:v>
                </c:pt>
                <c:pt idx="17">
                  <c:v>46238.447956469907</c:v>
                </c:pt>
                <c:pt idx="18">
                  <c:v>46238.447968217602</c:v>
                </c:pt>
                <c:pt idx="19">
                  <c:v>46238.447979872682</c:v>
                </c:pt>
                <c:pt idx="20">
                  <c:v>46238.44799148148</c:v>
                </c:pt>
                <c:pt idx="21">
                  <c:v>46238.448003229169</c:v>
                </c:pt>
                <c:pt idx="22">
                  <c:v>46238.448014849528</c:v>
                </c:pt>
                <c:pt idx="23">
                  <c:v>46238.448026620368</c:v>
                </c:pt>
                <c:pt idx="24">
                  <c:v>46238.448038356481</c:v>
                </c:pt>
                <c:pt idx="25">
                  <c:v>46238.448049965278</c:v>
                </c:pt>
                <c:pt idx="26">
                  <c:v>46238.448061736111</c:v>
                </c:pt>
                <c:pt idx="27">
                  <c:v>46238.448073472216</c:v>
                </c:pt>
                <c:pt idx="28">
                  <c:v>46238.448085231481</c:v>
                </c:pt>
                <c:pt idx="29">
                  <c:v>46238.448097002307</c:v>
                </c:pt>
                <c:pt idx="30">
                  <c:v>46238.448108599543</c:v>
                </c:pt>
                <c:pt idx="31">
                  <c:v>46238.448120347217</c:v>
                </c:pt>
                <c:pt idx="32">
                  <c:v>46238.448132094913</c:v>
                </c:pt>
                <c:pt idx="33">
                  <c:v>46238.448143784721</c:v>
                </c:pt>
                <c:pt idx="34">
                  <c:v>46238.448155532409</c:v>
                </c:pt>
                <c:pt idx="35">
                  <c:v>46238.44816728009</c:v>
                </c:pt>
                <c:pt idx="36">
                  <c:v>46238.448179039347</c:v>
                </c:pt>
                <c:pt idx="37">
                  <c:v>46238.448190798612</c:v>
                </c:pt>
                <c:pt idx="38">
                  <c:v>46238.448202523148</c:v>
                </c:pt>
                <c:pt idx="39">
                  <c:v>46238.448214247677</c:v>
                </c:pt>
                <c:pt idx="40">
                  <c:v>46238.448225983797</c:v>
                </c:pt>
                <c:pt idx="41">
                  <c:v>46238.448237731478</c:v>
                </c:pt>
                <c:pt idx="42">
                  <c:v>46238.44824946759</c:v>
                </c:pt>
                <c:pt idx="43">
                  <c:v>46238.448261215279</c:v>
                </c:pt>
                <c:pt idx="44">
                  <c:v>46238.448272951391</c:v>
                </c:pt>
                <c:pt idx="45">
                  <c:v>46238.448284699072</c:v>
                </c:pt>
                <c:pt idx="46">
                  <c:v>46238.448296446761</c:v>
                </c:pt>
                <c:pt idx="47">
                  <c:v>46238.448308055558</c:v>
                </c:pt>
                <c:pt idx="48">
                  <c:v>46238.448319768519</c:v>
                </c:pt>
                <c:pt idx="49">
                  <c:v>46238.448331493048</c:v>
                </c:pt>
                <c:pt idx="50">
                  <c:v>46238.448343252312</c:v>
                </c:pt>
                <c:pt idx="51">
                  <c:v>46238.448355</c:v>
                </c:pt>
                <c:pt idx="52">
                  <c:v>46238.448366747682</c:v>
                </c:pt>
                <c:pt idx="53">
                  <c:v>46238.448378472232</c:v>
                </c:pt>
                <c:pt idx="54">
                  <c:v>46238.448390196761</c:v>
                </c:pt>
                <c:pt idx="55">
                  <c:v>46238.448401956019</c:v>
                </c:pt>
                <c:pt idx="56">
                  <c:v>46238.448413564824</c:v>
                </c:pt>
                <c:pt idx="57">
                  <c:v>46238.448425312497</c:v>
                </c:pt>
                <c:pt idx="58">
                  <c:v>46238.44843704861</c:v>
                </c:pt>
                <c:pt idx="59">
                  <c:v>46238.448448784722</c:v>
                </c:pt>
                <c:pt idx="60">
                  <c:v>46238.448460509258</c:v>
                </c:pt>
                <c:pt idx="61">
                  <c:v>46238.448472164353</c:v>
                </c:pt>
                <c:pt idx="62">
                  <c:v>46238.448483865737</c:v>
                </c:pt>
                <c:pt idx="63">
                  <c:v>46238.448495613433</c:v>
                </c:pt>
                <c:pt idx="64">
                  <c:v>46238.448507465277</c:v>
                </c:pt>
                <c:pt idx="65">
                  <c:v>46238.448519166668</c:v>
                </c:pt>
                <c:pt idx="66">
                  <c:v>46238.448530856484</c:v>
                </c:pt>
                <c:pt idx="67">
                  <c:v>46238.448542592603</c:v>
                </c:pt>
                <c:pt idx="68">
                  <c:v>46238.448554282397</c:v>
                </c:pt>
                <c:pt idx="69">
                  <c:v>46238.448566006948</c:v>
                </c:pt>
                <c:pt idx="70">
                  <c:v>46238.448577685187</c:v>
                </c:pt>
                <c:pt idx="71">
                  <c:v>46238.448589409723</c:v>
                </c:pt>
              </c:numCache>
            </c:numRef>
          </c:cat>
          <c:val>
            <c:numRef>
              <c:f>'차트 데이터'!$AS$5:$AS$76</c:f>
              <c:numCache>
                <c:formatCode>General</c:formatCode>
                <c:ptCount val="72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2-EE43-4286-9785-A26771440B0E}"/>
            </c:ext>
          </c:extLst>
        </c:ser>
        <c:ser>
          <c:idx val="35"/>
          <c:order val="35"/>
          <c:tx>
            <c:strRef>
              <c:f>'차트 데이터'!$AT$4</c:f>
              <c:strCache>
                <c:ptCount val="1"/>
                <c:pt idx="0">
                  <c:v>ForkJoinPool-15-worker-4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'차트 데이터'!$J$5:$J$76</c:f>
              <c:numCache>
                <c:formatCode>hh:mm:ss</c:formatCode>
                <c:ptCount val="72"/>
                <c:pt idx="0">
                  <c:v>46238.447757256938</c:v>
                </c:pt>
                <c:pt idx="1">
                  <c:v>46238.447769004633</c:v>
                </c:pt>
                <c:pt idx="2">
                  <c:v>46238.44778072917</c:v>
                </c:pt>
                <c:pt idx="3">
                  <c:v>46238.44779244213</c:v>
                </c:pt>
                <c:pt idx="4">
                  <c:v>46238.447804178242</c:v>
                </c:pt>
                <c:pt idx="5">
                  <c:v>46238.447815949083</c:v>
                </c:pt>
                <c:pt idx="6">
                  <c:v>46238.447827592587</c:v>
                </c:pt>
                <c:pt idx="7">
                  <c:v>46238.447839224536</c:v>
                </c:pt>
                <c:pt idx="8">
                  <c:v>46238.447850937497</c:v>
                </c:pt>
                <c:pt idx="9">
                  <c:v>46238.447862696761</c:v>
                </c:pt>
                <c:pt idx="10">
                  <c:v>46238.447874398153</c:v>
                </c:pt>
                <c:pt idx="11">
                  <c:v>46238.447886122682</c:v>
                </c:pt>
                <c:pt idx="12">
                  <c:v>46238.447897743063</c:v>
                </c:pt>
                <c:pt idx="13">
                  <c:v>46238.447909502313</c:v>
                </c:pt>
                <c:pt idx="14">
                  <c:v>46238.447921226849</c:v>
                </c:pt>
                <c:pt idx="15">
                  <c:v>46238.447932951392</c:v>
                </c:pt>
                <c:pt idx="16">
                  <c:v>46238.447944722233</c:v>
                </c:pt>
                <c:pt idx="17">
                  <c:v>46238.447956469907</c:v>
                </c:pt>
                <c:pt idx="18">
                  <c:v>46238.447968217602</c:v>
                </c:pt>
                <c:pt idx="19">
                  <c:v>46238.447979872682</c:v>
                </c:pt>
                <c:pt idx="20">
                  <c:v>46238.44799148148</c:v>
                </c:pt>
                <c:pt idx="21">
                  <c:v>46238.448003229169</c:v>
                </c:pt>
                <c:pt idx="22">
                  <c:v>46238.448014849528</c:v>
                </c:pt>
                <c:pt idx="23">
                  <c:v>46238.448026620368</c:v>
                </c:pt>
                <c:pt idx="24">
                  <c:v>46238.448038356481</c:v>
                </c:pt>
                <c:pt idx="25">
                  <c:v>46238.448049965278</c:v>
                </c:pt>
                <c:pt idx="26">
                  <c:v>46238.448061736111</c:v>
                </c:pt>
                <c:pt idx="27">
                  <c:v>46238.448073472216</c:v>
                </c:pt>
                <c:pt idx="28">
                  <c:v>46238.448085231481</c:v>
                </c:pt>
                <c:pt idx="29">
                  <c:v>46238.448097002307</c:v>
                </c:pt>
                <c:pt idx="30">
                  <c:v>46238.448108599543</c:v>
                </c:pt>
                <c:pt idx="31">
                  <c:v>46238.448120347217</c:v>
                </c:pt>
                <c:pt idx="32">
                  <c:v>46238.448132094913</c:v>
                </c:pt>
                <c:pt idx="33">
                  <c:v>46238.448143784721</c:v>
                </c:pt>
                <c:pt idx="34">
                  <c:v>46238.448155532409</c:v>
                </c:pt>
                <c:pt idx="35">
                  <c:v>46238.44816728009</c:v>
                </c:pt>
                <c:pt idx="36">
                  <c:v>46238.448179039347</c:v>
                </c:pt>
                <c:pt idx="37">
                  <c:v>46238.448190798612</c:v>
                </c:pt>
                <c:pt idx="38">
                  <c:v>46238.448202523148</c:v>
                </c:pt>
                <c:pt idx="39">
                  <c:v>46238.448214247677</c:v>
                </c:pt>
                <c:pt idx="40">
                  <c:v>46238.448225983797</c:v>
                </c:pt>
                <c:pt idx="41">
                  <c:v>46238.448237731478</c:v>
                </c:pt>
                <c:pt idx="42">
                  <c:v>46238.44824946759</c:v>
                </c:pt>
                <c:pt idx="43">
                  <c:v>46238.448261215279</c:v>
                </c:pt>
                <c:pt idx="44">
                  <c:v>46238.448272951391</c:v>
                </c:pt>
                <c:pt idx="45">
                  <c:v>46238.448284699072</c:v>
                </c:pt>
                <c:pt idx="46">
                  <c:v>46238.448296446761</c:v>
                </c:pt>
                <c:pt idx="47">
                  <c:v>46238.448308055558</c:v>
                </c:pt>
                <c:pt idx="48">
                  <c:v>46238.448319768519</c:v>
                </c:pt>
                <c:pt idx="49">
                  <c:v>46238.448331493048</c:v>
                </c:pt>
                <c:pt idx="50">
                  <c:v>46238.448343252312</c:v>
                </c:pt>
                <c:pt idx="51">
                  <c:v>46238.448355</c:v>
                </c:pt>
                <c:pt idx="52">
                  <c:v>46238.448366747682</c:v>
                </c:pt>
                <c:pt idx="53">
                  <c:v>46238.448378472232</c:v>
                </c:pt>
                <c:pt idx="54">
                  <c:v>46238.448390196761</c:v>
                </c:pt>
                <c:pt idx="55">
                  <c:v>46238.448401956019</c:v>
                </c:pt>
                <c:pt idx="56">
                  <c:v>46238.448413564824</c:v>
                </c:pt>
                <c:pt idx="57">
                  <c:v>46238.448425312497</c:v>
                </c:pt>
                <c:pt idx="58">
                  <c:v>46238.44843704861</c:v>
                </c:pt>
                <c:pt idx="59">
                  <c:v>46238.448448784722</c:v>
                </c:pt>
                <c:pt idx="60">
                  <c:v>46238.448460509258</c:v>
                </c:pt>
                <c:pt idx="61">
                  <c:v>46238.448472164353</c:v>
                </c:pt>
                <c:pt idx="62">
                  <c:v>46238.448483865737</c:v>
                </c:pt>
                <c:pt idx="63">
                  <c:v>46238.448495613433</c:v>
                </c:pt>
                <c:pt idx="64">
                  <c:v>46238.448507465277</c:v>
                </c:pt>
                <c:pt idx="65">
                  <c:v>46238.448519166668</c:v>
                </c:pt>
                <c:pt idx="66">
                  <c:v>46238.448530856484</c:v>
                </c:pt>
                <c:pt idx="67">
                  <c:v>46238.448542592603</c:v>
                </c:pt>
                <c:pt idx="68">
                  <c:v>46238.448554282397</c:v>
                </c:pt>
                <c:pt idx="69">
                  <c:v>46238.448566006948</c:v>
                </c:pt>
                <c:pt idx="70">
                  <c:v>46238.448577685187</c:v>
                </c:pt>
                <c:pt idx="71">
                  <c:v>46238.448589409723</c:v>
                </c:pt>
              </c:numCache>
            </c:numRef>
          </c:cat>
          <c:val>
            <c:numRef>
              <c:f>'차트 데이터'!$AT$5:$AT$76</c:f>
              <c:numCache>
                <c:formatCode>General</c:formatCode>
                <c:ptCount val="72"/>
                <c:pt idx="58" formatCode="0.00">
                  <c:v>4.247036821133503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3-EE43-4286-9785-A26771440B0E}"/>
            </c:ext>
          </c:extLst>
        </c:ser>
        <c:ser>
          <c:idx val="36"/>
          <c:order val="36"/>
          <c:tx>
            <c:strRef>
              <c:f>'차트 데이터'!$AU$4</c:f>
              <c:strCache>
                <c:ptCount val="1"/>
                <c:pt idx="0">
                  <c:v>ForkJoinPool-15-worker-7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'차트 데이터'!$J$5:$J$76</c:f>
              <c:numCache>
                <c:formatCode>hh:mm:ss</c:formatCode>
                <c:ptCount val="72"/>
                <c:pt idx="0">
                  <c:v>46238.447757256938</c:v>
                </c:pt>
                <c:pt idx="1">
                  <c:v>46238.447769004633</c:v>
                </c:pt>
                <c:pt idx="2">
                  <c:v>46238.44778072917</c:v>
                </c:pt>
                <c:pt idx="3">
                  <c:v>46238.44779244213</c:v>
                </c:pt>
                <c:pt idx="4">
                  <c:v>46238.447804178242</c:v>
                </c:pt>
                <c:pt idx="5">
                  <c:v>46238.447815949083</c:v>
                </c:pt>
                <c:pt idx="6">
                  <c:v>46238.447827592587</c:v>
                </c:pt>
                <c:pt idx="7">
                  <c:v>46238.447839224536</c:v>
                </c:pt>
                <c:pt idx="8">
                  <c:v>46238.447850937497</c:v>
                </c:pt>
                <c:pt idx="9">
                  <c:v>46238.447862696761</c:v>
                </c:pt>
                <c:pt idx="10">
                  <c:v>46238.447874398153</c:v>
                </c:pt>
                <c:pt idx="11">
                  <c:v>46238.447886122682</c:v>
                </c:pt>
                <c:pt idx="12">
                  <c:v>46238.447897743063</c:v>
                </c:pt>
                <c:pt idx="13">
                  <c:v>46238.447909502313</c:v>
                </c:pt>
                <c:pt idx="14">
                  <c:v>46238.447921226849</c:v>
                </c:pt>
                <c:pt idx="15">
                  <c:v>46238.447932951392</c:v>
                </c:pt>
                <c:pt idx="16">
                  <c:v>46238.447944722233</c:v>
                </c:pt>
                <c:pt idx="17">
                  <c:v>46238.447956469907</c:v>
                </c:pt>
                <c:pt idx="18">
                  <c:v>46238.447968217602</c:v>
                </c:pt>
                <c:pt idx="19">
                  <c:v>46238.447979872682</c:v>
                </c:pt>
                <c:pt idx="20">
                  <c:v>46238.44799148148</c:v>
                </c:pt>
                <c:pt idx="21">
                  <c:v>46238.448003229169</c:v>
                </c:pt>
                <c:pt idx="22">
                  <c:v>46238.448014849528</c:v>
                </c:pt>
                <c:pt idx="23">
                  <c:v>46238.448026620368</c:v>
                </c:pt>
                <c:pt idx="24">
                  <c:v>46238.448038356481</c:v>
                </c:pt>
                <c:pt idx="25">
                  <c:v>46238.448049965278</c:v>
                </c:pt>
                <c:pt idx="26">
                  <c:v>46238.448061736111</c:v>
                </c:pt>
                <c:pt idx="27">
                  <c:v>46238.448073472216</c:v>
                </c:pt>
                <c:pt idx="28">
                  <c:v>46238.448085231481</c:v>
                </c:pt>
                <c:pt idx="29">
                  <c:v>46238.448097002307</c:v>
                </c:pt>
                <c:pt idx="30">
                  <c:v>46238.448108599543</c:v>
                </c:pt>
                <c:pt idx="31">
                  <c:v>46238.448120347217</c:v>
                </c:pt>
                <c:pt idx="32">
                  <c:v>46238.448132094913</c:v>
                </c:pt>
                <c:pt idx="33">
                  <c:v>46238.448143784721</c:v>
                </c:pt>
                <c:pt idx="34">
                  <c:v>46238.448155532409</c:v>
                </c:pt>
                <c:pt idx="35">
                  <c:v>46238.44816728009</c:v>
                </c:pt>
                <c:pt idx="36">
                  <c:v>46238.448179039347</c:v>
                </c:pt>
                <c:pt idx="37">
                  <c:v>46238.448190798612</c:v>
                </c:pt>
                <c:pt idx="38">
                  <c:v>46238.448202523148</c:v>
                </c:pt>
                <c:pt idx="39">
                  <c:v>46238.448214247677</c:v>
                </c:pt>
                <c:pt idx="40">
                  <c:v>46238.448225983797</c:v>
                </c:pt>
                <c:pt idx="41">
                  <c:v>46238.448237731478</c:v>
                </c:pt>
                <c:pt idx="42">
                  <c:v>46238.44824946759</c:v>
                </c:pt>
                <c:pt idx="43">
                  <c:v>46238.448261215279</c:v>
                </c:pt>
                <c:pt idx="44">
                  <c:v>46238.448272951391</c:v>
                </c:pt>
                <c:pt idx="45">
                  <c:v>46238.448284699072</c:v>
                </c:pt>
                <c:pt idx="46">
                  <c:v>46238.448296446761</c:v>
                </c:pt>
                <c:pt idx="47">
                  <c:v>46238.448308055558</c:v>
                </c:pt>
                <c:pt idx="48">
                  <c:v>46238.448319768519</c:v>
                </c:pt>
                <c:pt idx="49">
                  <c:v>46238.448331493048</c:v>
                </c:pt>
                <c:pt idx="50">
                  <c:v>46238.448343252312</c:v>
                </c:pt>
                <c:pt idx="51">
                  <c:v>46238.448355</c:v>
                </c:pt>
                <c:pt idx="52">
                  <c:v>46238.448366747682</c:v>
                </c:pt>
                <c:pt idx="53">
                  <c:v>46238.448378472232</c:v>
                </c:pt>
                <c:pt idx="54">
                  <c:v>46238.448390196761</c:v>
                </c:pt>
                <c:pt idx="55">
                  <c:v>46238.448401956019</c:v>
                </c:pt>
                <c:pt idx="56">
                  <c:v>46238.448413564824</c:v>
                </c:pt>
                <c:pt idx="57">
                  <c:v>46238.448425312497</c:v>
                </c:pt>
                <c:pt idx="58">
                  <c:v>46238.44843704861</c:v>
                </c:pt>
                <c:pt idx="59">
                  <c:v>46238.448448784722</c:v>
                </c:pt>
                <c:pt idx="60">
                  <c:v>46238.448460509258</c:v>
                </c:pt>
                <c:pt idx="61">
                  <c:v>46238.448472164353</c:v>
                </c:pt>
                <c:pt idx="62">
                  <c:v>46238.448483865737</c:v>
                </c:pt>
                <c:pt idx="63">
                  <c:v>46238.448495613433</c:v>
                </c:pt>
                <c:pt idx="64">
                  <c:v>46238.448507465277</c:v>
                </c:pt>
                <c:pt idx="65">
                  <c:v>46238.448519166668</c:v>
                </c:pt>
                <c:pt idx="66">
                  <c:v>46238.448530856484</c:v>
                </c:pt>
                <c:pt idx="67">
                  <c:v>46238.448542592603</c:v>
                </c:pt>
                <c:pt idx="68">
                  <c:v>46238.448554282397</c:v>
                </c:pt>
                <c:pt idx="69">
                  <c:v>46238.448566006948</c:v>
                </c:pt>
                <c:pt idx="70">
                  <c:v>46238.448577685187</c:v>
                </c:pt>
                <c:pt idx="71">
                  <c:v>46238.448589409723</c:v>
                </c:pt>
              </c:numCache>
            </c:numRef>
          </c:cat>
          <c:val>
            <c:numRef>
              <c:f>'차트 데이터'!$AU$5:$AU$76</c:f>
              <c:numCache>
                <c:formatCode>General</c:formatCode>
                <c:ptCount val="72"/>
                <c:pt idx="59" formatCode="0.00">
                  <c:v>4.2352709826877408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24-EE43-4286-9785-A26771440B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시간</a:t>
                </a:r>
              </a:p>
            </c:rich>
          </c:tx>
          <c:overlay val="1"/>
        </c:title>
        <c:numFmt formatCode="hh:mm:ss" sourceLinked="1"/>
        <c:majorTickMark val="out"/>
        <c:minorTickMark val="none"/>
        <c:tickLblPos val="low"/>
        <c:crossAx val="100"/>
        <c:crosses val="autoZero"/>
        <c:auto val="1"/>
        <c:lblAlgn val="ctr"/>
        <c:lblOffset val="100"/>
        <c:tickLblSkip val="10"/>
        <c:tickMarkSkip val="10"/>
        <c:noMultiLvlLbl val="1"/>
      </c:catAx>
      <c:valAx>
        <c:axId val="100"/>
        <c:scaling>
          <c:orientation val="minMax"/>
          <c:max val="4.5999999999999996"/>
          <c:min val="3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클럭</a:t>
                </a:r>
                <a:r>
                  <a:rPr lang="en-US" altLang="ko-KR"/>
                  <a:t>(</a:t>
                </a:r>
                <a:r>
                  <a:rPr lang="en-US"/>
                  <a:t>GHz)</a:t>
                </a:r>
              </a:p>
            </c:rich>
          </c:tx>
          <c:overlay val="1"/>
        </c:title>
        <c:numFmt formatCode="0.0" sourceLinked="0"/>
        <c:majorTickMark val="out"/>
        <c:minorTickMark val="none"/>
        <c:tickLblPos val="nextTo"/>
        <c:crossAx val="10"/>
        <c:crosses val="autoZero"/>
        <c:crossBetween val="between"/>
        <c:majorUnit val="0.2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ko-KR" altLang="en-US"/>
              <a:t>구간별 평균 클럭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차트!$B$3</c:f>
              <c:strCache>
                <c:ptCount val="1"/>
                <c:pt idx="0">
                  <c:v>순차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차트!$A$4:$A$11</c:f>
              <c:strCache>
                <c:ptCount val="8"/>
                <c:pt idx="0">
                  <c:v>전체</c:v>
                </c:pt>
                <c:pt idx="1">
                  <c:v>워밍업</c:v>
                </c:pt>
                <c:pt idx="2">
                  <c:v>측정 1회차</c:v>
                </c:pt>
                <c:pt idx="3">
                  <c:v>측정 2회차</c:v>
                </c:pt>
                <c:pt idx="4">
                  <c:v>측정 3회차</c:v>
                </c:pt>
                <c:pt idx="5">
                  <c:v>측정 4회차</c:v>
                </c:pt>
                <c:pt idx="6">
                  <c:v>측정 5회차</c:v>
                </c:pt>
                <c:pt idx="7">
                  <c:v>워커별 CPU 읽기 실행</c:v>
                </c:pt>
              </c:strCache>
            </c:strRef>
          </c:cat>
          <c:val>
            <c:numRef>
              <c:f>차트!$B$4:$B$11</c:f>
              <c:numCache>
                <c:formatCode>General</c:formatCode>
                <c:ptCount val="8"/>
                <c:pt idx="0" formatCode="0.00">
                  <c:v>4.1737948872756956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9A-4A01-B215-2B5E0A9306AF}"/>
            </c:ext>
          </c:extLst>
        </c:ser>
        <c:ser>
          <c:idx val="1"/>
          <c:order val="1"/>
          <c:tx>
            <c:strRef>
              <c:f>차트!$C$3</c:f>
              <c:strCache>
                <c:ptCount val="1"/>
                <c:pt idx="0">
                  <c:v>병렬도 6 분할 2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차트!$A$4:$A$11</c:f>
              <c:strCache>
                <c:ptCount val="8"/>
                <c:pt idx="0">
                  <c:v>전체</c:v>
                </c:pt>
                <c:pt idx="1">
                  <c:v>워밍업</c:v>
                </c:pt>
                <c:pt idx="2">
                  <c:v>측정 1회차</c:v>
                </c:pt>
                <c:pt idx="3">
                  <c:v>측정 2회차</c:v>
                </c:pt>
                <c:pt idx="4">
                  <c:v>측정 3회차</c:v>
                </c:pt>
                <c:pt idx="5">
                  <c:v>측정 4회차</c:v>
                </c:pt>
                <c:pt idx="6">
                  <c:v>측정 5회차</c:v>
                </c:pt>
                <c:pt idx="7">
                  <c:v>워커별 CPU 읽기 실행</c:v>
                </c:pt>
              </c:strCache>
            </c:strRef>
          </c:cat>
          <c:val>
            <c:numRef>
              <c:f>차트!$C$4:$C$11</c:f>
              <c:numCache>
                <c:formatCode>0.00</c:formatCode>
                <c:ptCount val="8"/>
                <c:pt idx="0">
                  <c:v>4.232918940002822</c:v>
                </c:pt>
                <c:pt idx="1">
                  <c:v>4.2383910586639644</c:v>
                </c:pt>
                <c:pt idx="2">
                  <c:v>4.2273839269406128</c:v>
                </c:pt>
                <c:pt idx="3">
                  <c:v>4.251865249581793</c:v>
                </c:pt>
                <c:pt idx="4">
                  <c:v>4.2448272725317269</c:v>
                </c:pt>
                <c:pt idx="5">
                  <c:v>4.2435202487414534</c:v>
                </c:pt>
                <c:pt idx="6">
                  <c:v>4.2226626099906177</c:v>
                </c:pt>
                <c:pt idx="7">
                  <c:v>4.1903559286439895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9A-4A01-B215-2B5E0A9306AF}"/>
            </c:ext>
          </c:extLst>
        </c:ser>
        <c:ser>
          <c:idx val="2"/>
          <c:order val="2"/>
          <c:tx>
            <c:strRef>
              <c:f>차트!$D$3</c:f>
              <c:strCache>
                <c:ptCount val="1"/>
                <c:pt idx="0">
                  <c:v>병렬도 12 분할 2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차트!$A$4:$A$11</c:f>
              <c:strCache>
                <c:ptCount val="8"/>
                <c:pt idx="0">
                  <c:v>전체</c:v>
                </c:pt>
                <c:pt idx="1">
                  <c:v>워밍업</c:v>
                </c:pt>
                <c:pt idx="2">
                  <c:v>측정 1회차</c:v>
                </c:pt>
                <c:pt idx="3">
                  <c:v>측정 2회차</c:v>
                </c:pt>
                <c:pt idx="4">
                  <c:v>측정 3회차</c:v>
                </c:pt>
                <c:pt idx="5">
                  <c:v>측정 4회차</c:v>
                </c:pt>
                <c:pt idx="6">
                  <c:v>측정 5회차</c:v>
                </c:pt>
                <c:pt idx="7">
                  <c:v>워커별 CPU 읽기 실행</c:v>
                </c:pt>
              </c:strCache>
            </c:strRef>
          </c:cat>
          <c:val>
            <c:numRef>
              <c:f>차트!$D$4:$D$11</c:f>
              <c:numCache>
                <c:formatCode>0.00</c:formatCode>
                <c:ptCount val="8"/>
                <c:pt idx="0">
                  <c:v>4.2330466424822113</c:v>
                </c:pt>
                <c:pt idx="1">
                  <c:v>4.2278924228645938</c:v>
                </c:pt>
                <c:pt idx="2">
                  <c:v>4.224190546037768</c:v>
                </c:pt>
                <c:pt idx="3">
                  <c:v>4.2604350412775149</c:v>
                </c:pt>
                <c:pt idx="4">
                  <c:v>4.2524648185877263</c:v>
                </c:pt>
                <c:pt idx="5">
                  <c:v>4.2564338721534725</c:v>
                </c:pt>
                <c:pt idx="6">
                  <c:v>4.2411539019106224</c:v>
                </c:pt>
                <c:pt idx="7">
                  <c:v>4.1936222902683404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69A-4A01-B215-2B5E0A9306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구간 종류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4.5999999999999996"/>
          <c:min val="3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클럭</a:t>
                </a:r>
                <a:r>
                  <a:rPr lang="en-US" altLang="ko-KR"/>
                  <a:t>(</a:t>
                </a:r>
                <a:r>
                  <a:rPr lang="en-US"/>
                  <a:t>GHz)</a:t>
                </a:r>
              </a:p>
            </c:rich>
          </c:tx>
          <c:overlay val="1"/>
        </c:title>
        <c:numFmt formatCode="0.0" sourceLinked="0"/>
        <c:majorTickMark val="out"/>
        <c:minorTickMark val="none"/>
        <c:tickLblPos val="nextTo"/>
        <c:crossAx val="10"/>
        <c:crosses val="autoZero"/>
        <c:crossBetween val="between"/>
        <c:majorUnit val="0.2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ko-KR" altLang="en-US"/>
              <a:t>병렬도 </a:t>
            </a:r>
            <a:r>
              <a:rPr lang="en-US" altLang="ko-KR"/>
              <a:t>6 </a:t>
            </a:r>
            <a:r>
              <a:rPr lang="ko-KR" altLang="en-US"/>
              <a:t>분할 </a:t>
            </a:r>
            <a:r>
              <a:rPr lang="en-US" altLang="ko-KR"/>
              <a:t>2 </a:t>
            </a:r>
            <a:r>
              <a:rPr lang="ko-KR" altLang="en-US"/>
              <a:t>측정 </a:t>
            </a:r>
            <a:r>
              <a:rPr lang="en-US" altLang="ko-KR"/>
              <a:t>1</a:t>
            </a:r>
            <a:r>
              <a:rPr lang="ko-KR" altLang="en-US"/>
              <a:t>회차 스레드별 클럭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'차트 데이터'!$B$4</c:f>
              <c:strCache>
                <c:ptCount val="1"/>
                <c:pt idx="0">
                  <c:v>ForkJoinPool-3-worker-1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'차트 데이터'!$A$5:$A$6</c:f>
              <c:numCache>
                <c:formatCode>hh:mm:ss.000</c:formatCode>
                <c:ptCount val="2"/>
                <c:pt idx="0">
                  <c:v>46238.448143784721</c:v>
                </c:pt>
                <c:pt idx="1">
                  <c:v>46238.448155532409</c:v>
                </c:pt>
              </c:numCache>
            </c:numRef>
          </c:cat>
          <c:val>
            <c:numRef>
              <c:f>'차트 데이터'!$B$5:$B$6</c:f>
              <c:numCache>
                <c:formatCode>0.00</c:formatCode>
                <c:ptCount val="2"/>
                <c:pt idx="0">
                  <c:v>4.2047476320377051</c:v>
                </c:pt>
                <c:pt idx="1">
                  <c:v>4.2500202218435206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0B0-4762-A783-64A1CB62DF7A}"/>
            </c:ext>
          </c:extLst>
        </c:ser>
        <c:ser>
          <c:idx val="1"/>
          <c:order val="1"/>
          <c:tx>
            <c:strRef>
              <c:f>'차트 데이터'!$C$4</c:f>
              <c:strCache>
                <c:ptCount val="1"/>
                <c:pt idx="0">
                  <c:v>ForkJoinPool-3-worker-2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'차트 데이터'!$A$5:$A$6</c:f>
              <c:numCache>
                <c:formatCode>hh:mm:ss.000</c:formatCode>
                <c:ptCount val="2"/>
                <c:pt idx="0">
                  <c:v>46238.448143784721</c:v>
                </c:pt>
                <c:pt idx="1">
                  <c:v>46238.448155532409</c:v>
                </c:pt>
              </c:numCache>
            </c:numRef>
          </c:cat>
          <c:val>
            <c:numRef>
              <c:f>'차트 데이터'!$C$5:$C$6</c:f>
              <c:numCache>
                <c:formatCode>0.00</c:formatCode>
                <c:ptCount val="2"/>
                <c:pt idx="0">
                  <c:v>4.2047476320377051</c:v>
                </c:pt>
                <c:pt idx="1">
                  <c:v>4.2500202218435206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0B0-4762-A783-64A1CB62DF7A}"/>
            </c:ext>
          </c:extLst>
        </c:ser>
        <c:ser>
          <c:idx val="2"/>
          <c:order val="2"/>
          <c:tx>
            <c:strRef>
              <c:f>'차트 데이터'!$D$4</c:f>
              <c:strCache>
                <c:ptCount val="1"/>
                <c:pt idx="0">
                  <c:v>main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'차트 데이터'!$A$5:$A$6</c:f>
              <c:numCache>
                <c:formatCode>hh:mm:ss.000</c:formatCode>
                <c:ptCount val="2"/>
                <c:pt idx="0">
                  <c:v>46238.448143784721</c:v>
                </c:pt>
                <c:pt idx="1">
                  <c:v>46238.448155532409</c:v>
                </c:pt>
              </c:numCache>
            </c:numRef>
          </c:cat>
          <c:val>
            <c:numRef>
              <c:f>'차트 데이터'!$D$5:$D$6</c:f>
              <c:numCache>
                <c:formatCode>0.00</c:formatCode>
                <c:ptCount val="2"/>
                <c:pt idx="0">
                  <c:v>4.2047476320377051</c:v>
                </c:pt>
                <c:pt idx="1">
                  <c:v>4.2500202218435206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30B0-4762-A783-64A1CB62DF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시간</a:t>
                </a:r>
              </a:p>
            </c:rich>
          </c:tx>
          <c:overlay val="1"/>
        </c:title>
        <c:numFmt formatCode="hh:mm:ss.000" sourceLinked="1"/>
        <c:majorTickMark val="out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4.5999999999999996"/>
          <c:min val="3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클럭</a:t>
                </a:r>
                <a:r>
                  <a:rPr lang="en-US" altLang="ko-KR"/>
                  <a:t>(</a:t>
                </a:r>
                <a:r>
                  <a:rPr lang="en-US"/>
                  <a:t>GHz)</a:t>
                </a:r>
              </a:p>
            </c:rich>
          </c:tx>
          <c:overlay val="1"/>
        </c:title>
        <c:numFmt formatCode="0.0" sourceLinked="0"/>
        <c:majorTickMark val="out"/>
        <c:minorTickMark val="none"/>
        <c:tickLblPos val="nextTo"/>
        <c:crossAx val="10"/>
        <c:crosses val="autoZero"/>
        <c:crossBetween val="between"/>
        <c:majorUnit val="0.2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ko-KR" altLang="en-US"/>
              <a:t>병렬도 </a:t>
            </a:r>
            <a:r>
              <a:rPr lang="en-US" altLang="ko-KR"/>
              <a:t>6 </a:t>
            </a:r>
            <a:r>
              <a:rPr lang="ko-KR" altLang="en-US"/>
              <a:t>분할 </a:t>
            </a:r>
            <a:r>
              <a:rPr lang="en-US" altLang="ko-KR"/>
              <a:t>2 </a:t>
            </a:r>
            <a:r>
              <a:rPr lang="ko-KR" altLang="en-US"/>
              <a:t>측정 </a:t>
            </a:r>
            <a:r>
              <a:rPr lang="en-US" altLang="ko-KR"/>
              <a:t>2</a:t>
            </a:r>
            <a:r>
              <a:rPr lang="ko-KR" altLang="en-US"/>
              <a:t>회차 스레드별 클럭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'차트 데이터'!$B$9</c:f>
              <c:strCache>
                <c:ptCount val="1"/>
                <c:pt idx="0">
                  <c:v>ForkJoinPool-4-worker-1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'차트 데이터'!$A$10:$A$11</c:f>
              <c:numCache>
                <c:formatCode>hh:mm:ss.000</c:formatCode>
                <c:ptCount val="2"/>
                <c:pt idx="0">
                  <c:v>46238.44816728009</c:v>
                </c:pt>
                <c:pt idx="1">
                  <c:v>46238.448179039347</c:v>
                </c:pt>
              </c:numCache>
            </c:numRef>
          </c:cat>
          <c:val>
            <c:numRef>
              <c:f>'차트 데이터'!$B$10:$B$11</c:f>
              <c:numCache>
                <c:formatCode>0.00</c:formatCode>
                <c:ptCount val="2"/>
                <c:pt idx="0">
                  <c:v>4.2333021212623114</c:v>
                </c:pt>
                <c:pt idx="1">
                  <c:v>4.2704283779012755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80B-4326-9F6D-94B07032F8C0}"/>
            </c:ext>
          </c:extLst>
        </c:ser>
        <c:ser>
          <c:idx val="1"/>
          <c:order val="1"/>
          <c:tx>
            <c:strRef>
              <c:f>'차트 데이터'!$C$9</c:f>
              <c:strCache>
                <c:ptCount val="1"/>
                <c:pt idx="0">
                  <c:v>ForkJoinPool-4-worker-2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'차트 데이터'!$A$10:$A$11</c:f>
              <c:numCache>
                <c:formatCode>hh:mm:ss.000</c:formatCode>
                <c:ptCount val="2"/>
                <c:pt idx="0">
                  <c:v>46238.44816728009</c:v>
                </c:pt>
                <c:pt idx="1">
                  <c:v>46238.448179039347</c:v>
                </c:pt>
              </c:numCache>
            </c:numRef>
          </c:cat>
          <c:val>
            <c:numRef>
              <c:f>'차트 데이터'!$C$10:$C$11</c:f>
              <c:numCache>
                <c:formatCode>General</c:formatCode>
                <c:ptCount val="2"/>
                <c:pt idx="0" formatCode="0.00">
                  <c:v>4.2333021212623114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80B-4326-9F6D-94B07032F8C0}"/>
            </c:ext>
          </c:extLst>
        </c:ser>
        <c:ser>
          <c:idx val="2"/>
          <c:order val="2"/>
          <c:tx>
            <c:strRef>
              <c:f>'차트 데이터'!$D$9</c:f>
              <c:strCache>
                <c:ptCount val="1"/>
                <c:pt idx="0">
                  <c:v>ForkJoinPool-4-worker-4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'차트 데이터'!$A$10:$A$11</c:f>
              <c:numCache>
                <c:formatCode>hh:mm:ss.000</c:formatCode>
                <c:ptCount val="2"/>
                <c:pt idx="0">
                  <c:v>46238.44816728009</c:v>
                </c:pt>
                <c:pt idx="1">
                  <c:v>46238.448179039347</c:v>
                </c:pt>
              </c:numCache>
            </c:numRef>
          </c:cat>
          <c:val>
            <c:numRef>
              <c:f>'차트 데이터'!$D$10:$D$11</c:f>
              <c:numCache>
                <c:formatCode>0.00</c:formatCode>
                <c:ptCount val="2"/>
                <c:pt idx="1">
                  <c:v>4.2704283779012755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A80B-4326-9F6D-94B07032F8C0}"/>
            </c:ext>
          </c:extLst>
        </c:ser>
        <c:ser>
          <c:idx val="3"/>
          <c:order val="3"/>
          <c:tx>
            <c:strRef>
              <c:f>'차트 데이터'!$E$9</c:f>
              <c:strCache>
                <c:ptCount val="1"/>
                <c:pt idx="0">
                  <c:v>main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'차트 데이터'!$A$10:$A$11</c:f>
              <c:numCache>
                <c:formatCode>hh:mm:ss.000</c:formatCode>
                <c:ptCount val="2"/>
                <c:pt idx="0">
                  <c:v>46238.44816728009</c:v>
                </c:pt>
                <c:pt idx="1">
                  <c:v>46238.448179039347</c:v>
                </c:pt>
              </c:numCache>
            </c:numRef>
          </c:cat>
          <c:val>
            <c:numRef>
              <c:f>'차트 데이터'!$E$10:$E$11</c:f>
              <c:numCache>
                <c:formatCode>0.00</c:formatCode>
                <c:ptCount val="2"/>
                <c:pt idx="0">
                  <c:v>4.2333021212623114</c:v>
                </c:pt>
                <c:pt idx="1">
                  <c:v>4.2704283779012755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A80B-4326-9F6D-94B07032F8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시간</a:t>
                </a:r>
              </a:p>
            </c:rich>
          </c:tx>
          <c:overlay val="1"/>
        </c:title>
        <c:numFmt formatCode="hh:mm:ss.000" sourceLinked="1"/>
        <c:majorTickMark val="out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4.5999999999999996"/>
          <c:min val="3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클럭</a:t>
                </a:r>
                <a:r>
                  <a:rPr lang="en-US" altLang="ko-KR"/>
                  <a:t>(</a:t>
                </a:r>
                <a:r>
                  <a:rPr lang="en-US"/>
                  <a:t>GHz)</a:t>
                </a:r>
              </a:p>
            </c:rich>
          </c:tx>
          <c:overlay val="1"/>
        </c:title>
        <c:numFmt formatCode="0.0" sourceLinked="0"/>
        <c:majorTickMark val="out"/>
        <c:minorTickMark val="none"/>
        <c:tickLblPos val="nextTo"/>
        <c:crossAx val="10"/>
        <c:crosses val="autoZero"/>
        <c:crossBetween val="between"/>
        <c:majorUnit val="0.2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ko-KR" altLang="en-US"/>
              <a:t>병렬도 </a:t>
            </a:r>
            <a:r>
              <a:rPr lang="en-US" altLang="ko-KR"/>
              <a:t>6 </a:t>
            </a:r>
            <a:r>
              <a:rPr lang="ko-KR" altLang="en-US"/>
              <a:t>분할 </a:t>
            </a:r>
            <a:r>
              <a:rPr lang="en-US" altLang="ko-KR"/>
              <a:t>2 </a:t>
            </a:r>
            <a:r>
              <a:rPr lang="ko-KR" altLang="en-US"/>
              <a:t>측정 </a:t>
            </a:r>
            <a:r>
              <a:rPr lang="en-US" altLang="ko-KR"/>
              <a:t>3</a:t>
            </a:r>
            <a:r>
              <a:rPr lang="ko-KR" altLang="en-US"/>
              <a:t>회차 스레드별 클럭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'차트 데이터'!$B$14</c:f>
              <c:strCache>
                <c:ptCount val="1"/>
                <c:pt idx="0">
                  <c:v>ForkJoinPool-5-worker-1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'차트 데이터'!$A$15:$A$17</c:f>
              <c:numCache>
                <c:formatCode>hh:mm:ss.000</c:formatCode>
                <c:ptCount val="3"/>
                <c:pt idx="0">
                  <c:v>46238.448190798612</c:v>
                </c:pt>
                <c:pt idx="1">
                  <c:v>46238.448202523148</c:v>
                </c:pt>
                <c:pt idx="2">
                  <c:v>46238.448214247677</c:v>
                </c:pt>
              </c:numCache>
            </c:numRef>
          </c:cat>
          <c:val>
            <c:numRef>
              <c:f>'차트 데이터'!$B$15:$B$17</c:f>
              <c:numCache>
                <c:formatCode>0.00</c:formatCode>
                <c:ptCount val="3"/>
                <c:pt idx="0">
                  <c:v>4.2587368465642683</c:v>
                </c:pt>
                <c:pt idx="1">
                  <c:v>4.232557061698536</c:v>
                </c:pt>
                <c:pt idx="2">
                  <c:v>4.2431879093323746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CBE-49CF-B558-5EB9B3E717F7}"/>
            </c:ext>
          </c:extLst>
        </c:ser>
        <c:ser>
          <c:idx val="1"/>
          <c:order val="1"/>
          <c:tx>
            <c:strRef>
              <c:f>'차트 데이터'!$C$14</c:f>
              <c:strCache>
                <c:ptCount val="1"/>
                <c:pt idx="0">
                  <c:v>ForkJoinPool-5-worker-2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'차트 데이터'!$A$15:$A$17</c:f>
              <c:numCache>
                <c:formatCode>hh:mm:ss.000</c:formatCode>
                <c:ptCount val="3"/>
                <c:pt idx="0">
                  <c:v>46238.448190798612</c:v>
                </c:pt>
                <c:pt idx="1">
                  <c:v>46238.448202523148</c:v>
                </c:pt>
                <c:pt idx="2">
                  <c:v>46238.448214247677</c:v>
                </c:pt>
              </c:numCache>
            </c:numRef>
          </c:cat>
          <c:val>
            <c:numRef>
              <c:f>'차트 데이터'!$C$15:$C$17</c:f>
              <c:numCache>
                <c:formatCode>0.00</c:formatCode>
                <c:ptCount val="3"/>
                <c:pt idx="0">
                  <c:v>4.2587368465642683</c:v>
                </c:pt>
                <c:pt idx="1">
                  <c:v>4.232557061698536</c:v>
                </c:pt>
                <c:pt idx="2">
                  <c:v>4.2431879093323746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CBE-49CF-B558-5EB9B3E717F7}"/>
            </c:ext>
          </c:extLst>
        </c:ser>
        <c:ser>
          <c:idx val="2"/>
          <c:order val="2"/>
          <c:tx>
            <c:strRef>
              <c:f>'차트 데이터'!$D$14</c:f>
              <c:strCache>
                <c:ptCount val="1"/>
                <c:pt idx="0">
                  <c:v>main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'차트 데이터'!$A$15:$A$17</c:f>
              <c:numCache>
                <c:formatCode>hh:mm:ss.000</c:formatCode>
                <c:ptCount val="3"/>
                <c:pt idx="0">
                  <c:v>46238.448190798612</c:v>
                </c:pt>
                <c:pt idx="1">
                  <c:v>46238.448202523148</c:v>
                </c:pt>
                <c:pt idx="2">
                  <c:v>46238.448214247677</c:v>
                </c:pt>
              </c:numCache>
            </c:numRef>
          </c:cat>
          <c:val>
            <c:numRef>
              <c:f>'차트 데이터'!$D$15:$D$17</c:f>
              <c:numCache>
                <c:formatCode>0.00</c:formatCode>
                <c:ptCount val="3"/>
                <c:pt idx="0">
                  <c:v>4.2587368465642683</c:v>
                </c:pt>
                <c:pt idx="1">
                  <c:v>4.232557061698536</c:v>
                </c:pt>
                <c:pt idx="2">
                  <c:v>4.2431879093323746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BCBE-49CF-B558-5EB9B3E717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시간</a:t>
                </a:r>
              </a:p>
            </c:rich>
          </c:tx>
          <c:overlay val="1"/>
        </c:title>
        <c:numFmt formatCode="hh:mm:ss.000" sourceLinked="1"/>
        <c:majorTickMark val="out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4.5999999999999996"/>
          <c:min val="3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클럭</a:t>
                </a:r>
                <a:r>
                  <a:rPr lang="en-US" altLang="ko-KR"/>
                  <a:t>(</a:t>
                </a:r>
                <a:r>
                  <a:rPr lang="en-US"/>
                  <a:t>GHz)</a:t>
                </a:r>
              </a:p>
            </c:rich>
          </c:tx>
          <c:overlay val="1"/>
        </c:title>
        <c:numFmt formatCode="0.0" sourceLinked="0"/>
        <c:majorTickMark val="out"/>
        <c:minorTickMark val="none"/>
        <c:tickLblPos val="nextTo"/>
        <c:crossAx val="10"/>
        <c:crosses val="autoZero"/>
        <c:crossBetween val="between"/>
        <c:majorUnit val="0.2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ko-KR" altLang="en-US"/>
              <a:t>병렬도 </a:t>
            </a:r>
            <a:r>
              <a:rPr lang="en-US" altLang="ko-KR"/>
              <a:t>6 </a:t>
            </a:r>
            <a:r>
              <a:rPr lang="ko-KR" altLang="en-US"/>
              <a:t>분할 </a:t>
            </a:r>
            <a:r>
              <a:rPr lang="en-US" altLang="ko-KR"/>
              <a:t>2 </a:t>
            </a:r>
            <a:r>
              <a:rPr lang="ko-KR" altLang="en-US"/>
              <a:t>측정 </a:t>
            </a:r>
            <a:r>
              <a:rPr lang="en-US" altLang="ko-KR"/>
              <a:t>4</a:t>
            </a:r>
            <a:r>
              <a:rPr lang="ko-KR" altLang="en-US"/>
              <a:t>회차 스레드별 클럭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'차트 데이터'!$B$20</c:f>
              <c:strCache>
                <c:ptCount val="1"/>
                <c:pt idx="0">
                  <c:v>ForkJoinPool-6-worker-1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'차트 데이터'!$A$21:$A$22</c:f>
              <c:numCache>
                <c:formatCode>hh:mm:ss.000</c:formatCode>
                <c:ptCount val="2"/>
                <c:pt idx="0">
                  <c:v>46238.448225983797</c:v>
                </c:pt>
                <c:pt idx="1">
                  <c:v>46238.448237731478</c:v>
                </c:pt>
              </c:numCache>
            </c:numRef>
          </c:cat>
          <c:val>
            <c:numRef>
              <c:f>'차트 데이터'!$B$21:$B$22</c:f>
              <c:numCache>
                <c:formatCode>0.00</c:formatCode>
                <c:ptCount val="2"/>
                <c:pt idx="0">
                  <c:v>4.2463316583663078</c:v>
                </c:pt>
                <c:pt idx="1">
                  <c:v>4.2407088391165981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534-4C9A-8FB2-0BC7A1E29E0A}"/>
            </c:ext>
          </c:extLst>
        </c:ser>
        <c:ser>
          <c:idx val="1"/>
          <c:order val="1"/>
          <c:tx>
            <c:strRef>
              <c:f>'차트 데이터'!$C$20</c:f>
              <c:strCache>
                <c:ptCount val="1"/>
                <c:pt idx="0">
                  <c:v>ForkJoinPool-6-worker-2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'차트 데이터'!$A$21:$A$22</c:f>
              <c:numCache>
                <c:formatCode>hh:mm:ss.000</c:formatCode>
                <c:ptCount val="2"/>
                <c:pt idx="0">
                  <c:v>46238.448225983797</c:v>
                </c:pt>
                <c:pt idx="1">
                  <c:v>46238.448237731478</c:v>
                </c:pt>
              </c:numCache>
            </c:numRef>
          </c:cat>
          <c:val>
            <c:numRef>
              <c:f>'차트 데이터'!$C$21:$C$22</c:f>
              <c:numCache>
                <c:formatCode>0.00</c:formatCode>
                <c:ptCount val="2"/>
                <c:pt idx="0">
                  <c:v>4.2463316583663078</c:v>
                </c:pt>
                <c:pt idx="1">
                  <c:v>4.2407088391165981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534-4C9A-8FB2-0BC7A1E29E0A}"/>
            </c:ext>
          </c:extLst>
        </c:ser>
        <c:ser>
          <c:idx val="2"/>
          <c:order val="2"/>
          <c:tx>
            <c:strRef>
              <c:f>'차트 데이터'!$D$20</c:f>
              <c:strCache>
                <c:ptCount val="1"/>
                <c:pt idx="0">
                  <c:v>main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'차트 데이터'!$A$21:$A$22</c:f>
              <c:numCache>
                <c:formatCode>hh:mm:ss.000</c:formatCode>
                <c:ptCount val="2"/>
                <c:pt idx="0">
                  <c:v>46238.448225983797</c:v>
                </c:pt>
                <c:pt idx="1">
                  <c:v>46238.448237731478</c:v>
                </c:pt>
              </c:numCache>
            </c:numRef>
          </c:cat>
          <c:val>
            <c:numRef>
              <c:f>'차트 데이터'!$D$21:$D$22</c:f>
              <c:numCache>
                <c:formatCode>0.00</c:formatCode>
                <c:ptCount val="2"/>
                <c:pt idx="0">
                  <c:v>4.2463316583663078</c:v>
                </c:pt>
                <c:pt idx="1">
                  <c:v>4.2407088391165981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3534-4C9A-8FB2-0BC7A1E29E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시간</a:t>
                </a:r>
              </a:p>
            </c:rich>
          </c:tx>
          <c:overlay val="1"/>
        </c:title>
        <c:numFmt formatCode="hh:mm:ss.000" sourceLinked="1"/>
        <c:majorTickMark val="out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4.5999999999999996"/>
          <c:min val="3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클럭</a:t>
                </a:r>
                <a:r>
                  <a:rPr lang="en-US" altLang="ko-KR"/>
                  <a:t>(</a:t>
                </a:r>
                <a:r>
                  <a:rPr lang="en-US"/>
                  <a:t>GHz)</a:t>
                </a:r>
              </a:p>
            </c:rich>
          </c:tx>
          <c:overlay val="1"/>
        </c:title>
        <c:numFmt formatCode="0.0" sourceLinked="0"/>
        <c:majorTickMark val="out"/>
        <c:minorTickMark val="none"/>
        <c:tickLblPos val="nextTo"/>
        <c:crossAx val="10"/>
        <c:crosses val="autoZero"/>
        <c:crossBetween val="between"/>
        <c:majorUnit val="0.2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ko-KR" altLang="en-US"/>
              <a:t>병렬도 </a:t>
            </a:r>
            <a:r>
              <a:rPr lang="en-US" altLang="ko-KR"/>
              <a:t>6 </a:t>
            </a:r>
            <a:r>
              <a:rPr lang="ko-KR" altLang="en-US"/>
              <a:t>분할 </a:t>
            </a:r>
            <a:r>
              <a:rPr lang="en-US" altLang="ko-KR"/>
              <a:t>2 </a:t>
            </a:r>
            <a:r>
              <a:rPr lang="ko-KR" altLang="en-US"/>
              <a:t>측정 </a:t>
            </a:r>
            <a:r>
              <a:rPr lang="en-US" altLang="ko-KR"/>
              <a:t>5</a:t>
            </a:r>
            <a:r>
              <a:rPr lang="ko-KR" altLang="en-US"/>
              <a:t>회차 스레드별 클럭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'차트 데이터'!$B$25</c:f>
              <c:strCache>
                <c:ptCount val="1"/>
                <c:pt idx="0">
                  <c:v>ForkJoinPool-7-worker-1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'차트 데이터'!$A$26:$A$27</c:f>
              <c:numCache>
                <c:formatCode>hh:mm:ss.000</c:formatCode>
                <c:ptCount val="2"/>
                <c:pt idx="0">
                  <c:v>46238.44824946759</c:v>
                </c:pt>
                <c:pt idx="1">
                  <c:v>46238.448261215279</c:v>
                </c:pt>
              </c:numCache>
            </c:numRef>
          </c:cat>
          <c:val>
            <c:numRef>
              <c:f>'차트 데이터'!$B$26:$B$27</c:f>
              <c:numCache>
                <c:formatCode>0.00</c:formatCode>
                <c:ptCount val="2"/>
                <c:pt idx="0">
                  <c:v>4.2255423338758389</c:v>
                </c:pt>
                <c:pt idx="1">
                  <c:v>4.2197828861053974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D7B-4BE5-B779-EEB11C8B738B}"/>
            </c:ext>
          </c:extLst>
        </c:ser>
        <c:ser>
          <c:idx val="1"/>
          <c:order val="1"/>
          <c:tx>
            <c:strRef>
              <c:f>'차트 데이터'!$C$25</c:f>
              <c:strCache>
                <c:ptCount val="1"/>
                <c:pt idx="0">
                  <c:v>ForkJoinPool-7-worker-2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'차트 데이터'!$A$26:$A$27</c:f>
              <c:numCache>
                <c:formatCode>hh:mm:ss.000</c:formatCode>
                <c:ptCount val="2"/>
                <c:pt idx="0">
                  <c:v>46238.44824946759</c:v>
                </c:pt>
                <c:pt idx="1">
                  <c:v>46238.448261215279</c:v>
                </c:pt>
              </c:numCache>
            </c:numRef>
          </c:cat>
          <c:val>
            <c:numRef>
              <c:f>'차트 데이터'!$C$26:$C$27</c:f>
              <c:numCache>
                <c:formatCode>General</c:formatCode>
                <c:ptCount val="2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D7B-4BE5-B779-EEB11C8B738B}"/>
            </c:ext>
          </c:extLst>
        </c:ser>
        <c:ser>
          <c:idx val="2"/>
          <c:order val="2"/>
          <c:tx>
            <c:strRef>
              <c:f>'차트 데이터'!$D$25</c:f>
              <c:strCache>
                <c:ptCount val="1"/>
                <c:pt idx="0">
                  <c:v>ForkJoinPool-7-worker-4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'차트 데이터'!$A$26:$A$27</c:f>
              <c:numCache>
                <c:formatCode>hh:mm:ss.000</c:formatCode>
                <c:ptCount val="2"/>
                <c:pt idx="0">
                  <c:v>46238.44824946759</c:v>
                </c:pt>
                <c:pt idx="1">
                  <c:v>46238.448261215279</c:v>
                </c:pt>
              </c:numCache>
            </c:numRef>
          </c:cat>
          <c:val>
            <c:numRef>
              <c:f>'차트 데이터'!$D$26:$D$27</c:f>
              <c:numCache>
                <c:formatCode>0.00</c:formatCode>
                <c:ptCount val="2"/>
                <c:pt idx="0">
                  <c:v>4.2255423338758389</c:v>
                </c:pt>
                <c:pt idx="1">
                  <c:v>4.2197828861053974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0D7B-4BE5-B779-EEB11C8B738B}"/>
            </c:ext>
          </c:extLst>
        </c:ser>
        <c:ser>
          <c:idx val="3"/>
          <c:order val="3"/>
          <c:tx>
            <c:strRef>
              <c:f>'차트 데이터'!$E$25</c:f>
              <c:strCache>
                <c:ptCount val="1"/>
                <c:pt idx="0">
                  <c:v>main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'차트 데이터'!$A$26:$A$27</c:f>
              <c:numCache>
                <c:formatCode>hh:mm:ss.000</c:formatCode>
                <c:ptCount val="2"/>
                <c:pt idx="0">
                  <c:v>46238.44824946759</c:v>
                </c:pt>
                <c:pt idx="1">
                  <c:v>46238.448261215279</c:v>
                </c:pt>
              </c:numCache>
            </c:numRef>
          </c:cat>
          <c:val>
            <c:numRef>
              <c:f>'차트 데이터'!$E$26:$E$27</c:f>
              <c:numCache>
                <c:formatCode>0.00</c:formatCode>
                <c:ptCount val="2"/>
                <c:pt idx="0">
                  <c:v>4.2255423338758389</c:v>
                </c:pt>
                <c:pt idx="1">
                  <c:v>4.2197828861053974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0D7B-4BE5-B779-EEB11C8B73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시간</a:t>
                </a:r>
              </a:p>
            </c:rich>
          </c:tx>
          <c:overlay val="1"/>
        </c:title>
        <c:numFmt formatCode="hh:mm:ss.000" sourceLinked="1"/>
        <c:majorTickMark val="out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4.5999999999999996"/>
          <c:min val="3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클럭</a:t>
                </a:r>
                <a:r>
                  <a:rPr lang="en-US" altLang="ko-KR"/>
                  <a:t>(</a:t>
                </a:r>
                <a:r>
                  <a:rPr lang="en-US"/>
                  <a:t>GHz)</a:t>
                </a:r>
              </a:p>
            </c:rich>
          </c:tx>
          <c:overlay val="1"/>
        </c:title>
        <c:numFmt formatCode="0.0" sourceLinked="0"/>
        <c:majorTickMark val="out"/>
        <c:minorTickMark val="none"/>
        <c:tickLblPos val="nextTo"/>
        <c:crossAx val="10"/>
        <c:crosses val="autoZero"/>
        <c:crossBetween val="between"/>
        <c:majorUnit val="0.2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ko-KR" altLang="en-US"/>
              <a:t>병렬도 </a:t>
            </a:r>
            <a:r>
              <a:rPr lang="en-US" altLang="ko-KR"/>
              <a:t>12 </a:t>
            </a:r>
            <a:r>
              <a:rPr lang="ko-KR" altLang="en-US"/>
              <a:t>분할 </a:t>
            </a:r>
            <a:r>
              <a:rPr lang="en-US" altLang="ko-KR"/>
              <a:t>2 </a:t>
            </a:r>
            <a:r>
              <a:rPr lang="ko-KR" altLang="en-US"/>
              <a:t>측정 </a:t>
            </a:r>
            <a:r>
              <a:rPr lang="en-US" altLang="ko-KR"/>
              <a:t>1</a:t>
            </a:r>
            <a:r>
              <a:rPr lang="ko-KR" altLang="en-US"/>
              <a:t>회차 스레드별 클럭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'차트 데이터'!$B$30</c:f>
              <c:strCache>
                <c:ptCount val="1"/>
                <c:pt idx="0">
                  <c:v>ForkJoinPool-11-worker-1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'차트 데이터'!$A$31:$A$32</c:f>
              <c:numCache>
                <c:formatCode>hh:mm:ss.000</c:formatCode>
                <c:ptCount val="2"/>
                <c:pt idx="0">
                  <c:v>46238.448343252312</c:v>
                </c:pt>
                <c:pt idx="1">
                  <c:v>46238.448355</c:v>
                </c:pt>
              </c:numCache>
            </c:numRef>
          </c:cat>
          <c:val>
            <c:numRef>
              <c:f>'차트 데이터'!$B$31:$B$32</c:f>
              <c:numCache>
                <c:formatCode>General</c:formatCode>
                <c:ptCount val="2"/>
                <c:pt idx="0" formatCode="0.00">
                  <c:v>4.2323963987300779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FC3-4689-AD33-182A82BE3802}"/>
            </c:ext>
          </c:extLst>
        </c:ser>
        <c:ser>
          <c:idx val="1"/>
          <c:order val="1"/>
          <c:tx>
            <c:strRef>
              <c:f>'차트 데이터'!$C$30</c:f>
              <c:strCache>
                <c:ptCount val="1"/>
                <c:pt idx="0">
                  <c:v>ForkJoinPool-11-worker-2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'차트 데이터'!$A$31:$A$32</c:f>
              <c:numCache>
                <c:formatCode>hh:mm:ss.000</c:formatCode>
                <c:ptCount val="2"/>
                <c:pt idx="0">
                  <c:v>46238.448343252312</c:v>
                </c:pt>
                <c:pt idx="1">
                  <c:v>46238.448355</c:v>
                </c:pt>
              </c:numCache>
            </c:numRef>
          </c:cat>
          <c:val>
            <c:numRef>
              <c:f>'차트 데이터'!$C$31:$C$32</c:f>
              <c:numCache>
                <c:formatCode>General</c:formatCode>
                <c:ptCount val="2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FC3-4689-AD33-182A82BE3802}"/>
            </c:ext>
          </c:extLst>
        </c:ser>
        <c:ser>
          <c:idx val="2"/>
          <c:order val="2"/>
          <c:tx>
            <c:strRef>
              <c:f>'차트 데이터'!$D$30</c:f>
              <c:strCache>
                <c:ptCount val="1"/>
                <c:pt idx="0">
                  <c:v>ForkJoinPool-11-worker-3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'차트 데이터'!$A$31:$A$32</c:f>
              <c:numCache>
                <c:formatCode>hh:mm:ss.000</c:formatCode>
                <c:ptCount val="2"/>
                <c:pt idx="0">
                  <c:v>46238.448343252312</c:v>
                </c:pt>
                <c:pt idx="1">
                  <c:v>46238.448355</c:v>
                </c:pt>
              </c:numCache>
            </c:numRef>
          </c:cat>
          <c:val>
            <c:numRef>
              <c:f>'차트 데이터'!$D$31:$D$32</c:f>
              <c:numCache>
                <c:formatCode>General</c:formatCode>
                <c:ptCount val="2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3FC3-4689-AD33-182A82BE3802}"/>
            </c:ext>
          </c:extLst>
        </c:ser>
        <c:ser>
          <c:idx val="3"/>
          <c:order val="3"/>
          <c:tx>
            <c:strRef>
              <c:f>'차트 데이터'!$E$30</c:f>
              <c:strCache>
                <c:ptCount val="1"/>
                <c:pt idx="0">
                  <c:v>ForkJoinPool-11-worker-4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'차트 데이터'!$A$31:$A$32</c:f>
              <c:numCache>
                <c:formatCode>hh:mm:ss.000</c:formatCode>
                <c:ptCount val="2"/>
                <c:pt idx="0">
                  <c:v>46238.448343252312</c:v>
                </c:pt>
                <c:pt idx="1">
                  <c:v>46238.448355</c:v>
                </c:pt>
              </c:numCache>
            </c:numRef>
          </c:cat>
          <c:val>
            <c:numRef>
              <c:f>'차트 데이터'!$E$31:$E$32</c:f>
              <c:numCache>
                <c:formatCode>0.00</c:formatCode>
                <c:ptCount val="2"/>
                <c:pt idx="0">
                  <c:v>4.2323963987300779</c:v>
                </c:pt>
                <c:pt idx="1">
                  <c:v>4.2159846933454563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3FC3-4689-AD33-182A82BE3802}"/>
            </c:ext>
          </c:extLst>
        </c:ser>
        <c:ser>
          <c:idx val="4"/>
          <c:order val="4"/>
          <c:tx>
            <c:strRef>
              <c:f>'차트 데이터'!$F$30</c:f>
              <c:strCache>
                <c:ptCount val="1"/>
                <c:pt idx="0">
                  <c:v>ForkJoinPool-11-worker-6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'차트 데이터'!$A$31:$A$32</c:f>
              <c:numCache>
                <c:formatCode>hh:mm:ss.000</c:formatCode>
                <c:ptCount val="2"/>
                <c:pt idx="0">
                  <c:v>46238.448343252312</c:v>
                </c:pt>
                <c:pt idx="1">
                  <c:v>46238.448355</c:v>
                </c:pt>
              </c:numCache>
            </c:numRef>
          </c:cat>
          <c:val>
            <c:numRef>
              <c:f>'차트 데이터'!$F$31:$F$32</c:f>
              <c:numCache>
                <c:formatCode>0.00</c:formatCode>
                <c:ptCount val="2"/>
                <c:pt idx="1">
                  <c:v>4.2159846933454563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3FC3-4689-AD33-182A82BE3802}"/>
            </c:ext>
          </c:extLst>
        </c:ser>
        <c:ser>
          <c:idx val="5"/>
          <c:order val="5"/>
          <c:tx>
            <c:strRef>
              <c:f>'차트 데이터'!$G$30</c:f>
              <c:strCache>
                <c:ptCount val="1"/>
                <c:pt idx="0">
                  <c:v>main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'차트 데이터'!$A$31:$A$32</c:f>
              <c:numCache>
                <c:formatCode>hh:mm:ss.000</c:formatCode>
                <c:ptCount val="2"/>
                <c:pt idx="0">
                  <c:v>46238.448343252312</c:v>
                </c:pt>
                <c:pt idx="1">
                  <c:v>46238.448355</c:v>
                </c:pt>
              </c:numCache>
            </c:numRef>
          </c:cat>
          <c:val>
            <c:numRef>
              <c:f>'차트 데이터'!$G$31:$G$32</c:f>
              <c:numCache>
                <c:formatCode>0.00</c:formatCode>
                <c:ptCount val="2"/>
                <c:pt idx="0">
                  <c:v>4.2323963987300779</c:v>
                </c:pt>
                <c:pt idx="1">
                  <c:v>4.2159846933454563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3FC3-4689-AD33-182A82BE38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시간</a:t>
                </a:r>
              </a:p>
            </c:rich>
          </c:tx>
          <c:overlay val="1"/>
        </c:title>
        <c:numFmt formatCode="hh:mm:ss.000" sourceLinked="1"/>
        <c:majorTickMark val="out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4.5999999999999996"/>
          <c:min val="3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클럭</a:t>
                </a:r>
                <a:r>
                  <a:rPr lang="en-US" altLang="ko-KR"/>
                  <a:t>(</a:t>
                </a:r>
                <a:r>
                  <a:rPr lang="en-US"/>
                  <a:t>GHz)</a:t>
                </a:r>
              </a:p>
            </c:rich>
          </c:tx>
          <c:overlay val="1"/>
        </c:title>
        <c:numFmt formatCode="0.0" sourceLinked="0"/>
        <c:majorTickMark val="out"/>
        <c:minorTickMark val="none"/>
        <c:tickLblPos val="nextTo"/>
        <c:crossAx val="10"/>
        <c:crosses val="autoZero"/>
        <c:crossBetween val="between"/>
        <c:majorUnit val="0.2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ko-KR" altLang="en-US"/>
              <a:t>병렬도 </a:t>
            </a:r>
            <a:r>
              <a:rPr lang="en-US" altLang="ko-KR"/>
              <a:t>12 </a:t>
            </a:r>
            <a:r>
              <a:rPr lang="ko-KR" altLang="en-US"/>
              <a:t>분할 </a:t>
            </a:r>
            <a:r>
              <a:rPr lang="en-US" altLang="ko-KR"/>
              <a:t>2 </a:t>
            </a:r>
            <a:r>
              <a:rPr lang="ko-KR" altLang="en-US"/>
              <a:t>측정 </a:t>
            </a:r>
            <a:r>
              <a:rPr lang="en-US" altLang="ko-KR"/>
              <a:t>2</a:t>
            </a:r>
            <a:r>
              <a:rPr lang="ko-KR" altLang="en-US"/>
              <a:t>회차 스레드별 클럭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'차트 데이터'!$B$35</c:f>
              <c:strCache>
                <c:ptCount val="1"/>
                <c:pt idx="0">
                  <c:v>ForkJoinPool-12-worker-1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'차트 데이터'!$A$36:$A$37</c:f>
              <c:numCache>
                <c:formatCode>hh:mm:ss.000</c:formatCode>
                <c:ptCount val="2"/>
                <c:pt idx="0">
                  <c:v>46238.448366747682</c:v>
                </c:pt>
                <c:pt idx="1">
                  <c:v>46238.448378472232</c:v>
                </c:pt>
              </c:numCache>
            </c:numRef>
          </c:cat>
          <c:val>
            <c:numRef>
              <c:f>'차트 데이터'!$B$36:$B$37</c:f>
              <c:numCache>
                <c:formatCode>0.00</c:formatCode>
                <c:ptCount val="2"/>
                <c:pt idx="0">
                  <c:v>4.2553699726160206</c:v>
                </c:pt>
                <c:pt idx="1">
                  <c:v>4.2655001099390102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79F-460E-B9D9-4514CCD18E3E}"/>
            </c:ext>
          </c:extLst>
        </c:ser>
        <c:ser>
          <c:idx val="1"/>
          <c:order val="1"/>
          <c:tx>
            <c:strRef>
              <c:f>'차트 데이터'!$C$35</c:f>
              <c:strCache>
                <c:ptCount val="1"/>
                <c:pt idx="0">
                  <c:v>ForkJoinPool-12-worker-2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'차트 데이터'!$A$36:$A$37</c:f>
              <c:numCache>
                <c:formatCode>hh:mm:ss.000</c:formatCode>
                <c:ptCount val="2"/>
                <c:pt idx="0">
                  <c:v>46238.448366747682</c:v>
                </c:pt>
                <c:pt idx="1">
                  <c:v>46238.448378472232</c:v>
                </c:pt>
              </c:numCache>
            </c:numRef>
          </c:cat>
          <c:val>
            <c:numRef>
              <c:f>'차트 데이터'!$C$36:$C$37</c:f>
              <c:numCache>
                <c:formatCode>General</c:formatCode>
                <c:ptCount val="2"/>
                <c:pt idx="0" formatCode="0.00">
                  <c:v>4.2553699726160206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79F-460E-B9D9-4514CCD18E3E}"/>
            </c:ext>
          </c:extLst>
        </c:ser>
        <c:ser>
          <c:idx val="2"/>
          <c:order val="2"/>
          <c:tx>
            <c:strRef>
              <c:f>'차트 데이터'!$D$35</c:f>
              <c:strCache>
                <c:ptCount val="1"/>
                <c:pt idx="0">
                  <c:v>ForkJoinPool-12-worker-8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'차트 데이터'!$A$36:$A$37</c:f>
              <c:numCache>
                <c:formatCode>hh:mm:ss.000</c:formatCode>
                <c:ptCount val="2"/>
                <c:pt idx="0">
                  <c:v>46238.448366747682</c:v>
                </c:pt>
                <c:pt idx="1">
                  <c:v>46238.448378472232</c:v>
                </c:pt>
              </c:numCache>
            </c:numRef>
          </c:cat>
          <c:val>
            <c:numRef>
              <c:f>'차트 데이터'!$D$36:$D$37</c:f>
              <c:numCache>
                <c:formatCode>0.00</c:formatCode>
                <c:ptCount val="2"/>
                <c:pt idx="1">
                  <c:v>4.2655001099390102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C79F-460E-B9D9-4514CCD18E3E}"/>
            </c:ext>
          </c:extLst>
        </c:ser>
        <c:ser>
          <c:idx val="3"/>
          <c:order val="3"/>
          <c:tx>
            <c:strRef>
              <c:f>'차트 데이터'!$E$35</c:f>
              <c:strCache>
                <c:ptCount val="1"/>
                <c:pt idx="0">
                  <c:v>main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'차트 데이터'!$A$36:$A$37</c:f>
              <c:numCache>
                <c:formatCode>hh:mm:ss.000</c:formatCode>
                <c:ptCount val="2"/>
                <c:pt idx="0">
                  <c:v>46238.448366747682</c:v>
                </c:pt>
                <c:pt idx="1">
                  <c:v>46238.448378472232</c:v>
                </c:pt>
              </c:numCache>
            </c:numRef>
          </c:cat>
          <c:val>
            <c:numRef>
              <c:f>'차트 데이터'!$E$36:$E$37</c:f>
              <c:numCache>
                <c:formatCode>0.00</c:formatCode>
                <c:ptCount val="2"/>
                <c:pt idx="0">
                  <c:v>4.2553699726160206</c:v>
                </c:pt>
                <c:pt idx="1">
                  <c:v>4.2655001099390102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C79F-460E-B9D9-4514CCD18E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시간</a:t>
                </a:r>
              </a:p>
            </c:rich>
          </c:tx>
          <c:overlay val="1"/>
        </c:title>
        <c:numFmt formatCode="hh:mm:ss.000" sourceLinked="1"/>
        <c:majorTickMark val="out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4.5999999999999996"/>
          <c:min val="3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클럭</a:t>
                </a:r>
                <a:r>
                  <a:rPr lang="en-US" altLang="ko-KR"/>
                  <a:t>(</a:t>
                </a:r>
                <a:r>
                  <a:rPr lang="en-US"/>
                  <a:t>GHz)</a:t>
                </a:r>
              </a:p>
            </c:rich>
          </c:tx>
          <c:overlay val="1"/>
        </c:title>
        <c:numFmt formatCode="0.0" sourceLinked="0"/>
        <c:majorTickMark val="out"/>
        <c:minorTickMark val="none"/>
        <c:tickLblPos val="nextTo"/>
        <c:crossAx val="10"/>
        <c:crosses val="autoZero"/>
        <c:crossBetween val="between"/>
        <c:majorUnit val="0.2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ko-KR" altLang="en-US"/>
              <a:t>병렬도 </a:t>
            </a:r>
            <a:r>
              <a:rPr lang="en-US" altLang="ko-KR"/>
              <a:t>12 </a:t>
            </a:r>
            <a:r>
              <a:rPr lang="ko-KR" altLang="en-US"/>
              <a:t>분할 </a:t>
            </a:r>
            <a:r>
              <a:rPr lang="en-US" altLang="ko-KR"/>
              <a:t>2 </a:t>
            </a:r>
            <a:r>
              <a:rPr lang="ko-KR" altLang="en-US"/>
              <a:t>측정 </a:t>
            </a:r>
            <a:r>
              <a:rPr lang="en-US" altLang="ko-KR"/>
              <a:t>3</a:t>
            </a:r>
            <a:r>
              <a:rPr lang="ko-KR" altLang="en-US"/>
              <a:t>회차 스레드별 클럭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'차트 데이터'!$B$40</c:f>
              <c:strCache>
                <c:ptCount val="1"/>
                <c:pt idx="0">
                  <c:v>ForkJoinPool-13-worker-1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'차트 데이터'!$A$41:$A$42</c:f>
              <c:numCache>
                <c:formatCode>hh:mm:ss.000</c:formatCode>
                <c:ptCount val="2"/>
                <c:pt idx="0">
                  <c:v>46238.448390196761</c:v>
                </c:pt>
                <c:pt idx="1">
                  <c:v>46238.448401956019</c:v>
                </c:pt>
              </c:numCache>
            </c:numRef>
          </c:cat>
          <c:val>
            <c:numRef>
              <c:f>'차트 데이터'!$B$41:$B$42</c:f>
              <c:numCache>
                <c:formatCode>0.00</c:formatCode>
                <c:ptCount val="2"/>
                <c:pt idx="0">
                  <c:v>4.2473993532147656</c:v>
                </c:pt>
                <c:pt idx="1">
                  <c:v>4.2575302839606879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C40-42B4-8924-AD1BA44E45AC}"/>
            </c:ext>
          </c:extLst>
        </c:ser>
        <c:ser>
          <c:idx val="1"/>
          <c:order val="1"/>
          <c:tx>
            <c:strRef>
              <c:f>'차트 데이터'!$C$40</c:f>
              <c:strCache>
                <c:ptCount val="1"/>
                <c:pt idx="0">
                  <c:v>ForkJoinPool-13-worker-11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'차트 데이터'!$A$41:$A$42</c:f>
              <c:numCache>
                <c:formatCode>hh:mm:ss.000</c:formatCode>
                <c:ptCount val="2"/>
                <c:pt idx="0">
                  <c:v>46238.448390196761</c:v>
                </c:pt>
                <c:pt idx="1">
                  <c:v>46238.448401956019</c:v>
                </c:pt>
              </c:numCache>
            </c:numRef>
          </c:cat>
          <c:val>
            <c:numRef>
              <c:f>'차트 데이터'!$C$41:$C$42</c:f>
              <c:numCache>
                <c:formatCode>General</c:formatCode>
                <c:ptCount val="2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C40-42B4-8924-AD1BA44E45AC}"/>
            </c:ext>
          </c:extLst>
        </c:ser>
        <c:ser>
          <c:idx val="2"/>
          <c:order val="2"/>
          <c:tx>
            <c:strRef>
              <c:f>'차트 데이터'!$D$40</c:f>
              <c:strCache>
                <c:ptCount val="1"/>
                <c:pt idx="0">
                  <c:v>ForkJoinPool-13-worker-2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'차트 데이터'!$A$41:$A$42</c:f>
              <c:numCache>
                <c:formatCode>hh:mm:ss.000</c:formatCode>
                <c:ptCount val="2"/>
                <c:pt idx="0">
                  <c:v>46238.448390196761</c:v>
                </c:pt>
                <c:pt idx="1">
                  <c:v>46238.448401956019</c:v>
                </c:pt>
              </c:numCache>
            </c:numRef>
          </c:cat>
          <c:val>
            <c:numRef>
              <c:f>'차트 데이터'!$D$41:$D$42</c:f>
              <c:numCache>
                <c:formatCode>General</c:formatCode>
                <c:ptCount val="2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AC40-42B4-8924-AD1BA44E45AC}"/>
            </c:ext>
          </c:extLst>
        </c:ser>
        <c:ser>
          <c:idx val="3"/>
          <c:order val="3"/>
          <c:tx>
            <c:strRef>
              <c:f>'차트 데이터'!$E$40</c:f>
              <c:strCache>
                <c:ptCount val="1"/>
                <c:pt idx="0">
                  <c:v>ForkJoinPool-13-worker-4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'차트 데이터'!$A$41:$A$42</c:f>
              <c:numCache>
                <c:formatCode>hh:mm:ss.000</c:formatCode>
                <c:ptCount val="2"/>
                <c:pt idx="0">
                  <c:v>46238.448390196761</c:v>
                </c:pt>
                <c:pt idx="1">
                  <c:v>46238.448401956019</c:v>
                </c:pt>
              </c:numCache>
            </c:numRef>
          </c:cat>
          <c:val>
            <c:numRef>
              <c:f>'차트 데이터'!$E$41:$E$42</c:f>
              <c:numCache>
                <c:formatCode>General</c:formatCode>
                <c:ptCount val="2"/>
                <c:pt idx="0" formatCode="0.00">
                  <c:v>4.2473993532147656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AC40-42B4-8924-AD1BA44E45AC}"/>
            </c:ext>
          </c:extLst>
        </c:ser>
        <c:ser>
          <c:idx val="4"/>
          <c:order val="4"/>
          <c:tx>
            <c:strRef>
              <c:f>'차트 데이터'!$F$40</c:f>
              <c:strCache>
                <c:ptCount val="1"/>
                <c:pt idx="0">
                  <c:v>ForkJoinPool-13-worker-8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'차트 데이터'!$A$41:$A$42</c:f>
              <c:numCache>
                <c:formatCode>hh:mm:ss.000</c:formatCode>
                <c:ptCount val="2"/>
                <c:pt idx="0">
                  <c:v>46238.448390196761</c:v>
                </c:pt>
                <c:pt idx="1">
                  <c:v>46238.448401956019</c:v>
                </c:pt>
              </c:numCache>
            </c:numRef>
          </c:cat>
          <c:val>
            <c:numRef>
              <c:f>'차트 데이터'!$F$41:$F$42</c:f>
              <c:numCache>
                <c:formatCode>0.00</c:formatCode>
                <c:ptCount val="2"/>
                <c:pt idx="1">
                  <c:v>4.2575302839606879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AC40-42B4-8924-AD1BA44E45AC}"/>
            </c:ext>
          </c:extLst>
        </c:ser>
        <c:ser>
          <c:idx val="5"/>
          <c:order val="5"/>
          <c:tx>
            <c:strRef>
              <c:f>'차트 데이터'!$G$40</c:f>
              <c:strCache>
                <c:ptCount val="1"/>
                <c:pt idx="0">
                  <c:v>main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'차트 데이터'!$A$41:$A$42</c:f>
              <c:numCache>
                <c:formatCode>hh:mm:ss.000</c:formatCode>
                <c:ptCount val="2"/>
                <c:pt idx="0">
                  <c:v>46238.448390196761</c:v>
                </c:pt>
                <c:pt idx="1">
                  <c:v>46238.448401956019</c:v>
                </c:pt>
              </c:numCache>
            </c:numRef>
          </c:cat>
          <c:val>
            <c:numRef>
              <c:f>'차트 데이터'!$G$41:$G$42</c:f>
              <c:numCache>
                <c:formatCode>0.00</c:formatCode>
                <c:ptCount val="2"/>
                <c:pt idx="0">
                  <c:v>4.2473993532147656</c:v>
                </c:pt>
                <c:pt idx="1">
                  <c:v>4.2575302839606879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AC40-42B4-8924-AD1BA44E45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시간</a:t>
                </a:r>
              </a:p>
            </c:rich>
          </c:tx>
          <c:overlay val="1"/>
        </c:title>
        <c:numFmt formatCode="hh:mm:ss.000" sourceLinked="1"/>
        <c:majorTickMark val="out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4.5999999999999996"/>
          <c:min val="3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클럭</a:t>
                </a:r>
                <a:r>
                  <a:rPr lang="en-US" altLang="ko-KR"/>
                  <a:t>(</a:t>
                </a:r>
                <a:r>
                  <a:rPr lang="en-US"/>
                  <a:t>GHz)</a:t>
                </a:r>
              </a:p>
            </c:rich>
          </c:tx>
          <c:overlay val="1"/>
        </c:title>
        <c:numFmt formatCode="0.0" sourceLinked="0"/>
        <c:majorTickMark val="out"/>
        <c:minorTickMark val="none"/>
        <c:tickLblPos val="nextTo"/>
        <c:crossAx val="10"/>
        <c:crosses val="autoZero"/>
        <c:crossBetween val="between"/>
        <c:majorUnit val="0.2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ko-KR" altLang="en-US"/>
              <a:t>병렬도 </a:t>
            </a:r>
            <a:r>
              <a:rPr lang="en-US" altLang="ko-KR"/>
              <a:t>12 </a:t>
            </a:r>
            <a:r>
              <a:rPr lang="ko-KR" altLang="en-US"/>
              <a:t>분할 </a:t>
            </a:r>
            <a:r>
              <a:rPr lang="en-US" altLang="ko-KR"/>
              <a:t>2 </a:t>
            </a:r>
            <a:r>
              <a:rPr lang="ko-KR" altLang="en-US"/>
              <a:t>측정 </a:t>
            </a:r>
            <a:r>
              <a:rPr lang="en-US" altLang="ko-KR"/>
              <a:t>4</a:t>
            </a:r>
            <a:r>
              <a:rPr lang="ko-KR" altLang="en-US"/>
              <a:t>회차 스레드별 클럭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'차트 데이터'!$B$45</c:f>
              <c:strCache>
                <c:ptCount val="1"/>
                <c:pt idx="0">
                  <c:v>ForkJoinPool-14-worker-1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'차트 데이터'!$A$46:$A$47</c:f>
              <c:numCache>
                <c:formatCode>hh:mm:ss.000</c:formatCode>
                <c:ptCount val="2"/>
                <c:pt idx="0">
                  <c:v>46238.448413564824</c:v>
                </c:pt>
                <c:pt idx="1">
                  <c:v>46238.448425312497</c:v>
                </c:pt>
              </c:numCache>
            </c:numRef>
          </c:cat>
          <c:val>
            <c:numRef>
              <c:f>'차트 데이터'!$B$46:$B$47</c:f>
              <c:numCache>
                <c:formatCode>0.00</c:formatCode>
                <c:ptCount val="2"/>
                <c:pt idx="0">
                  <c:v>4.2662261341538139</c:v>
                </c:pt>
                <c:pt idx="1">
                  <c:v>4.246641610153131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88C-4438-A66B-688A5B987159}"/>
            </c:ext>
          </c:extLst>
        </c:ser>
        <c:ser>
          <c:idx val="1"/>
          <c:order val="1"/>
          <c:tx>
            <c:strRef>
              <c:f>'차트 데이터'!$C$45</c:f>
              <c:strCache>
                <c:ptCount val="1"/>
                <c:pt idx="0">
                  <c:v>ForkJoinPool-14-worker-2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'차트 데이터'!$A$46:$A$47</c:f>
              <c:numCache>
                <c:formatCode>hh:mm:ss.000</c:formatCode>
                <c:ptCount val="2"/>
                <c:pt idx="0">
                  <c:v>46238.448413564824</c:v>
                </c:pt>
                <c:pt idx="1">
                  <c:v>46238.448425312497</c:v>
                </c:pt>
              </c:numCache>
            </c:numRef>
          </c:cat>
          <c:val>
            <c:numRef>
              <c:f>'차트 데이터'!$C$46:$C$47</c:f>
              <c:numCache>
                <c:formatCode>General</c:formatCode>
                <c:ptCount val="2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88C-4438-A66B-688A5B987159}"/>
            </c:ext>
          </c:extLst>
        </c:ser>
        <c:ser>
          <c:idx val="2"/>
          <c:order val="2"/>
          <c:tx>
            <c:strRef>
              <c:f>'차트 데이터'!$D$45</c:f>
              <c:strCache>
                <c:ptCount val="1"/>
                <c:pt idx="0">
                  <c:v>ForkJoinPool-14-worker-3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'차트 데이터'!$A$46:$A$47</c:f>
              <c:numCache>
                <c:formatCode>hh:mm:ss.000</c:formatCode>
                <c:ptCount val="2"/>
                <c:pt idx="0">
                  <c:v>46238.448413564824</c:v>
                </c:pt>
                <c:pt idx="1">
                  <c:v>46238.448425312497</c:v>
                </c:pt>
              </c:numCache>
            </c:numRef>
          </c:cat>
          <c:val>
            <c:numRef>
              <c:f>'차트 데이터'!$D$46:$D$47</c:f>
              <c:numCache>
                <c:formatCode>0.00</c:formatCode>
                <c:ptCount val="2"/>
                <c:pt idx="0">
                  <c:v>4.2662261341538139</c:v>
                </c:pt>
                <c:pt idx="1">
                  <c:v>4.246641610153131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888C-4438-A66B-688A5B987159}"/>
            </c:ext>
          </c:extLst>
        </c:ser>
        <c:ser>
          <c:idx val="3"/>
          <c:order val="3"/>
          <c:tx>
            <c:strRef>
              <c:f>'차트 데이터'!$E$45</c:f>
              <c:strCache>
                <c:ptCount val="1"/>
                <c:pt idx="0">
                  <c:v>ForkJoinPool-14-worker-7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'차트 데이터'!$A$46:$A$47</c:f>
              <c:numCache>
                <c:formatCode>hh:mm:ss.000</c:formatCode>
                <c:ptCount val="2"/>
                <c:pt idx="0">
                  <c:v>46238.448413564824</c:v>
                </c:pt>
                <c:pt idx="1">
                  <c:v>46238.448425312497</c:v>
                </c:pt>
              </c:numCache>
            </c:numRef>
          </c:cat>
          <c:val>
            <c:numRef>
              <c:f>'차트 데이터'!$E$46:$E$47</c:f>
              <c:numCache>
                <c:formatCode>General</c:formatCode>
                <c:ptCount val="2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888C-4438-A66B-688A5B987159}"/>
            </c:ext>
          </c:extLst>
        </c:ser>
        <c:ser>
          <c:idx val="4"/>
          <c:order val="4"/>
          <c:tx>
            <c:strRef>
              <c:f>'차트 데이터'!$F$45</c:f>
              <c:strCache>
                <c:ptCount val="1"/>
                <c:pt idx="0">
                  <c:v>main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'차트 데이터'!$A$46:$A$47</c:f>
              <c:numCache>
                <c:formatCode>hh:mm:ss.000</c:formatCode>
                <c:ptCount val="2"/>
                <c:pt idx="0">
                  <c:v>46238.448413564824</c:v>
                </c:pt>
                <c:pt idx="1">
                  <c:v>46238.448425312497</c:v>
                </c:pt>
              </c:numCache>
            </c:numRef>
          </c:cat>
          <c:val>
            <c:numRef>
              <c:f>'차트 데이터'!$F$46:$F$47</c:f>
              <c:numCache>
                <c:formatCode>0.00</c:formatCode>
                <c:ptCount val="2"/>
                <c:pt idx="0">
                  <c:v>4.2662261341538139</c:v>
                </c:pt>
                <c:pt idx="1">
                  <c:v>4.246641610153131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888C-4438-A66B-688A5B9871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시간</a:t>
                </a:r>
              </a:p>
            </c:rich>
          </c:tx>
          <c:overlay val="1"/>
        </c:title>
        <c:numFmt formatCode="hh:mm:ss.000" sourceLinked="1"/>
        <c:majorTickMark val="out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4.5999999999999996"/>
          <c:min val="3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클럭</a:t>
                </a:r>
                <a:r>
                  <a:rPr lang="en-US" altLang="ko-KR"/>
                  <a:t>(</a:t>
                </a:r>
                <a:r>
                  <a:rPr lang="en-US"/>
                  <a:t>GHz)</a:t>
                </a:r>
              </a:p>
            </c:rich>
          </c:tx>
          <c:overlay val="1"/>
        </c:title>
        <c:numFmt formatCode="0.0" sourceLinked="0"/>
        <c:majorTickMark val="out"/>
        <c:minorTickMark val="none"/>
        <c:tickLblPos val="nextTo"/>
        <c:crossAx val="10"/>
        <c:crosses val="autoZero"/>
        <c:crossBetween val="between"/>
        <c:majorUnit val="0.2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>
              <a:defRPr/>
            </a:pPr>
            <a:r>
              <a:t>병렬도 12 분할 2 측정 5회차 스레드별 클럭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'차트 데이터'!$B$50</c:f>
              <c:strCache>
                <c:ptCount val="1"/>
                <c:pt idx="0">
                  <c:v>ForkJoinPool-15-worker-1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'차트 데이터'!$A$51:$A$52</c:f>
              <c:numCache>
                <c:formatCode>hh:mm:ss.000</c:formatCode>
                <c:ptCount val="2"/>
                <c:pt idx="0">
                  <c:v>46238.44843704861</c:v>
                </c:pt>
                <c:pt idx="1">
                  <c:v>46238.448448784722</c:v>
                </c:pt>
              </c:numCache>
            </c:numRef>
          </c:cat>
          <c:val>
            <c:numRef>
              <c:f>'차트 데이터'!$B$51:$B$52</c:f>
              <c:numCache>
                <c:formatCode>0.00</c:formatCode>
                <c:ptCount val="2"/>
                <c:pt idx="0">
                  <c:v>4.247036821133503</c:v>
                </c:pt>
                <c:pt idx="1">
                  <c:v>4.2352709826877408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129-4859-9743-051671A58A92}"/>
            </c:ext>
          </c:extLst>
        </c:ser>
        <c:ser>
          <c:idx val="1"/>
          <c:order val="1"/>
          <c:tx>
            <c:strRef>
              <c:f>'차트 데이터'!$C$50</c:f>
              <c:strCache>
                <c:ptCount val="1"/>
                <c:pt idx="0">
                  <c:v>ForkJoinPool-15-worker-10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'차트 데이터'!$A$51:$A$52</c:f>
              <c:numCache>
                <c:formatCode>hh:mm:ss.000</c:formatCode>
                <c:ptCount val="2"/>
                <c:pt idx="0">
                  <c:v>46238.44843704861</c:v>
                </c:pt>
                <c:pt idx="1">
                  <c:v>46238.448448784722</c:v>
                </c:pt>
              </c:numCache>
            </c:numRef>
          </c:cat>
          <c:val>
            <c:numRef>
              <c:f>'차트 데이터'!$C$51:$C$52</c:f>
              <c:numCache>
                <c:formatCode>General</c:formatCode>
                <c:ptCount val="2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129-4859-9743-051671A58A92}"/>
            </c:ext>
          </c:extLst>
        </c:ser>
        <c:ser>
          <c:idx val="2"/>
          <c:order val="2"/>
          <c:tx>
            <c:strRef>
              <c:f>'차트 데이터'!$D$50</c:f>
              <c:strCache>
                <c:ptCount val="1"/>
                <c:pt idx="0">
                  <c:v>ForkJoinPool-15-worker-2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'차트 데이터'!$A$51:$A$52</c:f>
              <c:numCache>
                <c:formatCode>hh:mm:ss.000</c:formatCode>
                <c:ptCount val="2"/>
                <c:pt idx="0">
                  <c:v>46238.44843704861</c:v>
                </c:pt>
                <c:pt idx="1">
                  <c:v>46238.448448784722</c:v>
                </c:pt>
              </c:numCache>
            </c:numRef>
          </c:cat>
          <c:val>
            <c:numRef>
              <c:f>'차트 데이터'!$D$51:$D$52</c:f>
              <c:numCache>
                <c:formatCode>General</c:formatCode>
                <c:ptCount val="2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A129-4859-9743-051671A58A92}"/>
            </c:ext>
          </c:extLst>
        </c:ser>
        <c:ser>
          <c:idx val="3"/>
          <c:order val="3"/>
          <c:tx>
            <c:strRef>
              <c:f>'차트 데이터'!$E$50</c:f>
              <c:strCache>
                <c:ptCount val="1"/>
                <c:pt idx="0">
                  <c:v>ForkJoinPool-15-worker-3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'차트 데이터'!$A$51:$A$52</c:f>
              <c:numCache>
                <c:formatCode>hh:mm:ss.000</c:formatCode>
                <c:ptCount val="2"/>
                <c:pt idx="0">
                  <c:v>46238.44843704861</c:v>
                </c:pt>
                <c:pt idx="1">
                  <c:v>46238.448448784722</c:v>
                </c:pt>
              </c:numCache>
            </c:numRef>
          </c:cat>
          <c:val>
            <c:numRef>
              <c:f>'차트 데이터'!$E$51:$E$52</c:f>
              <c:numCache>
                <c:formatCode>General</c:formatCode>
                <c:ptCount val="2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A129-4859-9743-051671A58A92}"/>
            </c:ext>
          </c:extLst>
        </c:ser>
        <c:ser>
          <c:idx val="4"/>
          <c:order val="4"/>
          <c:tx>
            <c:strRef>
              <c:f>'차트 데이터'!$F$50</c:f>
              <c:strCache>
                <c:ptCount val="1"/>
                <c:pt idx="0">
                  <c:v>ForkJoinPool-15-worker-4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'차트 데이터'!$A$51:$A$52</c:f>
              <c:numCache>
                <c:formatCode>hh:mm:ss.000</c:formatCode>
                <c:ptCount val="2"/>
                <c:pt idx="0">
                  <c:v>46238.44843704861</c:v>
                </c:pt>
                <c:pt idx="1">
                  <c:v>46238.448448784722</c:v>
                </c:pt>
              </c:numCache>
            </c:numRef>
          </c:cat>
          <c:val>
            <c:numRef>
              <c:f>'차트 데이터'!$F$51:$F$52</c:f>
              <c:numCache>
                <c:formatCode>General</c:formatCode>
                <c:ptCount val="2"/>
                <c:pt idx="0" formatCode="0.00">
                  <c:v>4.247036821133503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A129-4859-9743-051671A58A92}"/>
            </c:ext>
          </c:extLst>
        </c:ser>
        <c:ser>
          <c:idx val="5"/>
          <c:order val="5"/>
          <c:tx>
            <c:strRef>
              <c:f>'차트 데이터'!$G$50</c:f>
              <c:strCache>
                <c:ptCount val="1"/>
                <c:pt idx="0">
                  <c:v>ForkJoinPool-15-worker-7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'차트 데이터'!$A$51:$A$52</c:f>
              <c:numCache>
                <c:formatCode>hh:mm:ss.000</c:formatCode>
                <c:ptCount val="2"/>
                <c:pt idx="0">
                  <c:v>46238.44843704861</c:v>
                </c:pt>
                <c:pt idx="1">
                  <c:v>46238.448448784722</c:v>
                </c:pt>
              </c:numCache>
            </c:numRef>
          </c:cat>
          <c:val>
            <c:numRef>
              <c:f>'차트 데이터'!$G$51:$G$52</c:f>
              <c:numCache>
                <c:formatCode>0.00</c:formatCode>
                <c:ptCount val="2"/>
                <c:pt idx="1">
                  <c:v>4.2352709826877408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A129-4859-9743-051671A58A92}"/>
            </c:ext>
          </c:extLst>
        </c:ser>
        <c:ser>
          <c:idx val="6"/>
          <c:order val="6"/>
          <c:tx>
            <c:strRef>
              <c:f>'차트 데이터'!$H$50</c:f>
              <c:strCache>
                <c:ptCount val="1"/>
                <c:pt idx="0">
                  <c:v>main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'차트 데이터'!$A$51:$A$52</c:f>
              <c:numCache>
                <c:formatCode>hh:mm:ss.000</c:formatCode>
                <c:ptCount val="2"/>
                <c:pt idx="0">
                  <c:v>46238.44843704861</c:v>
                </c:pt>
                <c:pt idx="1">
                  <c:v>46238.448448784722</c:v>
                </c:pt>
              </c:numCache>
            </c:numRef>
          </c:cat>
          <c:val>
            <c:numRef>
              <c:f>'차트 데이터'!$H$51:$H$52</c:f>
              <c:numCache>
                <c:formatCode>0.00</c:formatCode>
                <c:ptCount val="2"/>
                <c:pt idx="0">
                  <c:v>4.247036821133503</c:v>
                </c:pt>
                <c:pt idx="1">
                  <c:v>4.2352709826877408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A129-4859-9743-051671A58A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시간</a:t>
                </a:r>
              </a:p>
            </c:rich>
          </c:tx>
          <c:overlay val="1"/>
        </c:title>
        <c:numFmt formatCode="hh:mm:ss.000" sourceLinked="1"/>
        <c:majorTickMark val="out"/>
        <c:minorTickMark val="none"/>
        <c:tickLblPos val="low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4.5999999999999996"/>
          <c:min val="3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클럭(GHz)</a:t>
                </a:r>
              </a:p>
            </c:rich>
          </c:tx>
          <c:overlay val="1"/>
        </c:title>
        <c:numFmt formatCode="0.0" sourceLinked="0"/>
        <c:majorTickMark val="out"/>
        <c:minorTickMark val="none"/>
        <c:tickLblPos val="nextTo"/>
        <c:crossAx val="10"/>
        <c:crosses val="autoZero"/>
        <c:crossBetween val="between"/>
        <c:majorUnit val="0.2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</xdr:row>
      <xdr:rowOff>0</xdr:rowOff>
    </xdr:from>
    <xdr:ext cx="1080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30</xdr:row>
      <xdr:rowOff>0</xdr:rowOff>
    </xdr:from>
    <xdr:ext cx="720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47</xdr:row>
      <xdr:rowOff>0</xdr:rowOff>
    </xdr:from>
    <xdr:ext cx="5760000" cy="25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0</xdr:colOff>
      <xdr:row>62</xdr:row>
      <xdr:rowOff>0</xdr:rowOff>
    </xdr:from>
    <xdr:ext cx="5760000" cy="252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0</xdr:colOff>
      <xdr:row>77</xdr:row>
      <xdr:rowOff>0</xdr:rowOff>
    </xdr:from>
    <xdr:ext cx="5760000" cy="252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0</xdr:col>
      <xdr:colOff>0</xdr:colOff>
      <xdr:row>92</xdr:row>
      <xdr:rowOff>0</xdr:rowOff>
    </xdr:from>
    <xdr:ext cx="5760000" cy="252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0</xdr:col>
      <xdr:colOff>0</xdr:colOff>
      <xdr:row>107</xdr:row>
      <xdr:rowOff>0</xdr:rowOff>
    </xdr:from>
    <xdr:ext cx="5760000" cy="2520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0</xdr:col>
      <xdr:colOff>0</xdr:colOff>
      <xdr:row>122</xdr:row>
      <xdr:rowOff>0</xdr:rowOff>
    </xdr:from>
    <xdr:ext cx="5760000" cy="25200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0</xdr:col>
      <xdr:colOff>0</xdr:colOff>
      <xdr:row>137</xdr:row>
      <xdr:rowOff>0</xdr:rowOff>
    </xdr:from>
    <xdr:ext cx="5760000" cy="2520000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  <xdr:oneCellAnchor>
    <xdr:from>
      <xdr:col>0</xdr:col>
      <xdr:colOff>0</xdr:colOff>
      <xdr:row>152</xdr:row>
      <xdr:rowOff>0</xdr:rowOff>
    </xdr:from>
    <xdr:ext cx="5760000" cy="2520000"/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oneCellAnchor>
  <xdr:oneCellAnchor>
    <xdr:from>
      <xdr:col>0</xdr:col>
      <xdr:colOff>0</xdr:colOff>
      <xdr:row>167</xdr:row>
      <xdr:rowOff>0</xdr:rowOff>
    </xdr:from>
    <xdr:ext cx="5760000" cy="2520000"/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oneCellAnchor>
  <xdr:oneCellAnchor>
    <xdr:from>
      <xdr:col>0</xdr:col>
      <xdr:colOff>0</xdr:colOff>
      <xdr:row>182</xdr:row>
      <xdr:rowOff>0</xdr:rowOff>
    </xdr:from>
    <xdr:ext cx="5760000" cy="2520000"/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7"/>
  <sheetViews>
    <sheetView workbookViewId="0"/>
  </sheetViews>
  <sheetFormatPr defaultRowHeight="16.5" x14ac:dyDescent="0.3"/>
  <cols>
    <col min="1" max="1" width="13" customWidth="1"/>
    <col min="2" max="15" width="11" customWidth="1"/>
  </cols>
  <sheetData>
    <row r="1" spans="1:15" x14ac:dyDescent="0.3">
      <c r="A1" s="1" t="s">
        <v>0</v>
      </c>
    </row>
    <row r="2" spans="1:15" x14ac:dyDescent="0.3">
      <c r="A2" s="2" t="s">
        <v>1</v>
      </c>
      <c r="B2" s="3">
        <v>2.69</v>
      </c>
      <c r="C2" s="4" t="s">
        <v>2</v>
      </c>
    </row>
    <row r="3" spans="1:15" x14ac:dyDescent="0.3">
      <c r="A3" s="4" t="s">
        <v>3</v>
      </c>
    </row>
    <row r="5" spans="1:15" x14ac:dyDescent="0.3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5" t="s">
        <v>11</v>
      </c>
      <c r="I5" s="5" t="s">
        <v>12</v>
      </c>
      <c r="J5" s="5" t="s">
        <v>13</v>
      </c>
      <c r="K5" s="5" t="s">
        <v>14</v>
      </c>
      <c r="L5" s="5" t="s">
        <v>15</v>
      </c>
      <c r="M5" s="5" t="s">
        <v>16</v>
      </c>
      <c r="N5" s="5" t="s">
        <v>17</v>
      </c>
      <c r="O5" s="5" t="s">
        <v>18</v>
      </c>
    </row>
    <row r="6" spans="1:15" x14ac:dyDescent="0.3">
      <c r="A6" s="6">
        <v>46238.447757256938</v>
      </c>
      <c r="B6" s="7">
        <v>144.16623340125059</v>
      </c>
      <c r="C6" s="7">
        <v>161.51423501223621</v>
      </c>
      <c r="D6" s="7">
        <v>144.84373614720681</v>
      </c>
      <c r="E6" s="7">
        <v>149.05905699750409</v>
      </c>
      <c r="F6" s="7">
        <v>138.8524337909692</v>
      </c>
      <c r="G6" s="7">
        <v>131.17211465056559</v>
      </c>
      <c r="H6" s="7">
        <v>143.03081012279131</v>
      </c>
      <c r="I6" s="7">
        <v>144.87016869033269</v>
      </c>
      <c r="J6" s="7">
        <v>155.9166504968392</v>
      </c>
      <c r="K6" s="7">
        <v>142.75447759225551</v>
      </c>
      <c r="L6" s="7">
        <v>145.2107016120242</v>
      </c>
      <c r="M6" s="7">
        <v>139.97612608683011</v>
      </c>
      <c r="N6" s="7">
        <v>148.12067329417081</v>
      </c>
      <c r="O6" s="8">
        <f t="shared" ref="O6:O37" si="0">N6*$B$2/100</f>
        <v>3.9844461116131948</v>
      </c>
    </row>
    <row r="7" spans="1:15" x14ac:dyDescent="0.3">
      <c r="A7" s="6">
        <v>46238.447769004633</v>
      </c>
      <c r="B7" s="7">
        <v>152.6093002580661</v>
      </c>
      <c r="C7" s="7">
        <v>151.5852948485817</v>
      </c>
      <c r="D7" s="7">
        <v>151.52712581644229</v>
      </c>
      <c r="E7" s="7">
        <v>152.43418837119009</v>
      </c>
      <c r="F7" s="7">
        <v>153.13129375592931</v>
      </c>
      <c r="G7" s="7">
        <v>150.94184070530909</v>
      </c>
      <c r="H7" s="7">
        <v>151.7143946171723</v>
      </c>
      <c r="I7" s="7">
        <v>151.98418279435629</v>
      </c>
      <c r="J7" s="7">
        <v>151.8787371361924</v>
      </c>
      <c r="K7" s="7">
        <v>151.77157920689891</v>
      </c>
      <c r="L7" s="7">
        <v>151.06153106729039</v>
      </c>
      <c r="M7" s="7">
        <v>151.55889452268801</v>
      </c>
      <c r="N7" s="7">
        <v>151.9080285812218</v>
      </c>
      <c r="O7" s="8">
        <f t="shared" si="0"/>
        <v>4.086325968834867</v>
      </c>
    </row>
    <row r="8" spans="1:15" x14ac:dyDescent="0.3">
      <c r="A8" s="6">
        <v>46238.44778072917</v>
      </c>
      <c r="B8" s="7">
        <v>150.77366660106281</v>
      </c>
      <c r="C8" s="7">
        <v>151.45766700962139</v>
      </c>
      <c r="D8" s="7">
        <v>152.14028318455149</v>
      </c>
      <c r="E8" s="7">
        <v>151.935583686885</v>
      </c>
      <c r="F8" s="7">
        <v>152.1206249036093</v>
      </c>
      <c r="G8" s="7">
        <v>151.29018451656091</v>
      </c>
      <c r="H8" s="7">
        <v>151.83882406843699</v>
      </c>
      <c r="I8" s="7">
        <v>152.20525685154351</v>
      </c>
      <c r="J8" s="7">
        <v>151.12953361179461</v>
      </c>
      <c r="K8" s="7">
        <v>151.47607118175529</v>
      </c>
      <c r="L8" s="7">
        <v>151.16901968977899</v>
      </c>
      <c r="M8" s="7">
        <v>151.23654812020439</v>
      </c>
      <c r="N8" s="7">
        <v>151.58619766775001</v>
      </c>
      <c r="O8" s="8">
        <f t="shared" si="0"/>
        <v>4.0776687172624753</v>
      </c>
    </row>
    <row r="9" spans="1:15" x14ac:dyDescent="0.3">
      <c r="A9" s="6">
        <v>46238.44779244213</v>
      </c>
      <c r="B9" s="7">
        <v>153.76635576144079</v>
      </c>
      <c r="C9" s="7">
        <v>153.32094642893611</v>
      </c>
      <c r="D9" s="7">
        <v>151.44192652656341</v>
      </c>
      <c r="E9" s="7">
        <v>151.41005326529699</v>
      </c>
      <c r="F9" s="7">
        <v>151.2878095726528</v>
      </c>
      <c r="G9" s="7">
        <v>152.12122977789971</v>
      </c>
      <c r="H9" s="7">
        <v>152.52390038229569</v>
      </c>
      <c r="I9" s="7">
        <v>156.54148668106549</v>
      </c>
      <c r="J9" s="7">
        <v>150.32576016788701</v>
      </c>
      <c r="K9" s="7">
        <v>148.99176091096339</v>
      </c>
      <c r="L9" s="7">
        <v>151.68117453240319</v>
      </c>
      <c r="M9" s="7">
        <v>151.06450797573581</v>
      </c>
      <c r="N9" s="7">
        <v>152.21883677223491</v>
      </c>
      <c r="O9" s="8">
        <f t="shared" si="0"/>
        <v>4.0946867091731187</v>
      </c>
    </row>
    <row r="10" spans="1:15" x14ac:dyDescent="0.3">
      <c r="A10" s="6">
        <v>46238.447804178242</v>
      </c>
      <c r="B10" s="7">
        <v>157.40838376806391</v>
      </c>
      <c r="C10" s="7">
        <v>157.4961129188286</v>
      </c>
      <c r="D10" s="7">
        <v>152.5803534730785</v>
      </c>
      <c r="E10" s="7">
        <v>159.3255378134341</v>
      </c>
      <c r="F10" s="7">
        <v>149.67582852128319</v>
      </c>
      <c r="G10" s="7">
        <v>146.7612065745237</v>
      </c>
      <c r="H10" s="7">
        <v>150.25622665913161</v>
      </c>
      <c r="I10" s="7">
        <v>155.83468348826909</v>
      </c>
      <c r="J10" s="7">
        <v>148.332050240727</v>
      </c>
      <c r="K10" s="7">
        <v>141.58853768374539</v>
      </c>
      <c r="L10" s="7">
        <v>155.39080578716019</v>
      </c>
      <c r="M10" s="7">
        <v>155.05487230221729</v>
      </c>
      <c r="N10" s="7">
        <v>154.4744238528346</v>
      </c>
      <c r="O10" s="8">
        <f t="shared" si="0"/>
        <v>4.1553620016412509</v>
      </c>
    </row>
    <row r="11" spans="1:15" x14ac:dyDescent="0.3">
      <c r="A11" s="6">
        <v>46238.447815949083</v>
      </c>
      <c r="B11" s="7">
        <v>156.3091352782088</v>
      </c>
      <c r="C11" s="7">
        <v>161.1315318485442</v>
      </c>
      <c r="D11" s="7">
        <v>156.00950775847039</v>
      </c>
      <c r="E11" s="7">
        <v>159.04906492023269</v>
      </c>
      <c r="F11" s="7">
        <v>157.42533306654661</v>
      </c>
      <c r="G11" s="7">
        <v>153.08715729765109</v>
      </c>
      <c r="H11" s="7">
        <v>155.2743100975832</v>
      </c>
      <c r="I11" s="7">
        <v>145.23201422586581</v>
      </c>
      <c r="J11" s="7">
        <v>149.04517944229079</v>
      </c>
      <c r="K11" s="7">
        <v>151.44740260709861</v>
      </c>
      <c r="L11" s="7">
        <v>157.35769028257181</v>
      </c>
      <c r="M11" s="7">
        <v>155.59320350619629</v>
      </c>
      <c r="N11" s="7">
        <v>156.08657955794359</v>
      </c>
      <c r="O11" s="8">
        <f t="shared" si="0"/>
        <v>4.1987289901086822</v>
      </c>
    </row>
    <row r="12" spans="1:15" x14ac:dyDescent="0.3">
      <c r="A12" s="6">
        <v>46238.447827592587</v>
      </c>
      <c r="B12" s="7">
        <v>154.72156692167951</v>
      </c>
      <c r="C12" s="7">
        <v>157.07778852544951</v>
      </c>
      <c r="D12" s="7">
        <v>151.6079738707524</v>
      </c>
      <c r="E12" s="7">
        <v>141.23762376237619</v>
      </c>
      <c r="F12" s="7">
        <v>159.2542360266938</v>
      </c>
      <c r="G12" s="7">
        <v>157.522058001668</v>
      </c>
      <c r="H12" s="7">
        <v>155.50660121868651</v>
      </c>
      <c r="I12" s="7">
        <v>156.6568597658499</v>
      </c>
      <c r="J12" s="7">
        <v>145.11569676288849</v>
      </c>
      <c r="K12" s="7">
        <v>134.33556526642229</v>
      </c>
      <c r="L12" s="7">
        <v>156.27186479918319</v>
      </c>
      <c r="M12" s="7">
        <v>153.43076400569291</v>
      </c>
      <c r="N12" s="7">
        <v>155.26800720052199</v>
      </c>
      <c r="O12" s="8">
        <f t="shared" si="0"/>
        <v>4.1767093936940416</v>
      </c>
    </row>
    <row r="13" spans="1:15" x14ac:dyDescent="0.3">
      <c r="A13" s="6">
        <v>46238.447839224536</v>
      </c>
      <c r="B13" s="7">
        <v>159.51473821390559</v>
      </c>
      <c r="C13" s="7">
        <v>157.46922795314029</v>
      </c>
      <c r="D13" s="7">
        <v>139.97503167972971</v>
      </c>
      <c r="E13" s="7">
        <v>161.7159590569029</v>
      </c>
      <c r="F13" s="7">
        <v>161.27359476262049</v>
      </c>
      <c r="G13" s="7">
        <v>163.59134595534431</v>
      </c>
      <c r="H13" s="7">
        <v>158.63912630579301</v>
      </c>
      <c r="I13" s="7">
        <v>161.7797846052068</v>
      </c>
      <c r="J13" s="7">
        <v>154.4012031112303</v>
      </c>
      <c r="K13" s="7">
        <v>141.9284398216939</v>
      </c>
      <c r="L13" s="7">
        <v>129.74515546139949</v>
      </c>
      <c r="M13" s="7">
        <v>122.06735235567351</v>
      </c>
      <c r="N13" s="7">
        <v>159.66815125145601</v>
      </c>
      <c r="O13" s="8">
        <f t="shared" si="0"/>
        <v>4.2950732686641659</v>
      </c>
    </row>
    <row r="14" spans="1:15" x14ac:dyDescent="0.3">
      <c r="A14" s="6">
        <v>46238.447850937497</v>
      </c>
      <c r="B14" s="7">
        <v>145.6736191252607</v>
      </c>
      <c r="C14" s="7">
        <v>161.5555804888057</v>
      </c>
      <c r="D14" s="7">
        <v>146.71374690385051</v>
      </c>
      <c r="E14" s="7">
        <v>145.37614908609649</v>
      </c>
      <c r="F14" s="7">
        <v>157.61834107362381</v>
      </c>
      <c r="G14" s="7">
        <v>156.40240672338129</v>
      </c>
      <c r="H14" s="7">
        <v>154.65974933929789</v>
      </c>
      <c r="I14" s="7">
        <v>155.5085152159661</v>
      </c>
      <c r="J14" s="7">
        <v>151.84253613140169</v>
      </c>
      <c r="K14" s="7">
        <v>145.33735738664069</v>
      </c>
      <c r="L14" s="7">
        <v>141.56437568131969</v>
      </c>
      <c r="M14" s="7">
        <v>144.2426401602556</v>
      </c>
      <c r="N14" s="7">
        <v>154.1925859773151</v>
      </c>
      <c r="O14" s="8">
        <f t="shared" si="0"/>
        <v>4.1477805627897757</v>
      </c>
    </row>
    <row r="15" spans="1:15" x14ac:dyDescent="0.3">
      <c r="A15" s="6">
        <v>46238.447862696761</v>
      </c>
      <c r="B15" s="7">
        <v>154.4255310477495</v>
      </c>
      <c r="C15" s="7">
        <v>156.7160534977709</v>
      </c>
      <c r="D15" s="7">
        <v>143.4822469057442</v>
      </c>
      <c r="E15" s="7">
        <v>143.74839483252109</v>
      </c>
      <c r="F15" s="7">
        <v>152.79090406361431</v>
      </c>
      <c r="G15" s="7">
        <v>157.15115638277069</v>
      </c>
      <c r="H15" s="7">
        <v>156.94708093412601</v>
      </c>
      <c r="I15" s="7">
        <v>158.12339193984479</v>
      </c>
      <c r="J15" s="7">
        <v>151.047117758095</v>
      </c>
      <c r="K15" s="7">
        <v>149.91179262071421</v>
      </c>
      <c r="L15" s="7">
        <v>140.9378844680102</v>
      </c>
      <c r="M15" s="7">
        <v>144.40714285714279</v>
      </c>
      <c r="N15" s="7">
        <v>154.412480665365</v>
      </c>
      <c r="O15" s="8">
        <f t="shared" si="0"/>
        <v>4.1536957298983186</v>
      </c>
    </row>
    <row r="16" spans="1:15" x14ac:dyDescent="0.3">
      <c r="A16" s="6">
        <v>46238.447874398153</v>
      </c>
      <c r="B16" s="7">
        <v>156.81287425149699</v>
      </c>
      <c r="C16" s="7">
        <v>156.3380514388578</v>
      </c>
      <c r="D16" s="7">
        <v>157.4551080555764</v>
      </c>
      <c r="E16" s="7">
        <v>141.94953947368421</v>
      </c>
      <c r="F16" s="7">
        <v>158.50044907928589</v>
      </c>
      <c r="G16" s="7">
        <v>161.656818402982</v>
      </c>
      <c r="H16" s="7">
        <v>157.50763705666239</v>
      </c>
      <c r="I16" s="7">
        <v>158.8560755763564</v>
      </c>
      <c r="J16" s="7">
        <v>149.987861346024</v>
      </c>
      <c r="K16" s="7">
        <v>126.294779238544</v>
      </c>
      <c r="L16" s="7">
        <v>132.3014788299526</v>
      </c>
      <c r="M16" s="7">
        <v>138.71070518266779</v>
      </c>
      <c r="N16" s="7">
        <v>156.85775269703839</v>
      </c>
      <c r="O16" s="8">
        <f t="shared" si="0"/>
        <v>4.2194735475503329</v>
      </c>
    </row>
    <row r="17" spans="1:15" x14ac:dyDescent="0.3">
      <c r="A17" s="6">
        <v>46238.447886122682</v>
      </c>
      <c r="B17" s="7">
        <v>149.19702744966631</v>
      </c>
      <c r="C17" s="7">
        <v>144.83890924379841</v>
      </c>
      <c r="D17" s="7">
        <v>156.02442843039611</v>
      </c>
      <c r="E17" s="7">
        <v>143.27767837172891</v>
      </c>
      <c r="F17" s="7">
        <v>156.16732181683199</v>
      </c>
      <c r="G17" s="7">
        <v>159.01532310098119</v>
      </c>
      <c r="H17" s="7">
        <v>154.58139685756481</v>
      </c>
      <c r="I17" s="7">
        <v>155.7080784584015</v>
      </c>
      <c r="J17" s="7">
        <v>153.03932532079199</v>
      </c>
      <c r="K17" s="7">
        <v>142.93902514173041</v>
      </c>
      <c r="L17" s="7">
        <v>144.35434316051061</v>
      </c>
      <c r="M17" s="7">
        <v>145.36668518261351</v>
      </c>
      <c r="N17" s="7">
        <v>154.06883236525911</v>
      </c>
      <c r="O17" s="8">
        <f t="shared" si="0"/>
        <v>4.1444515906254704</v>
      </c>
    </row>
    <row r="18" spans="1:15" x14ac:dyDescent="0.3">
      <c r="A18" s="6">
        <v>46238.447897743063</v>
      </c>
      <c r="B18" s="7">
        <v>152.14926857264891</v>
      </c>
      <c r="C18" s="7">
        <v>155.10402304648531</v>
      </c>
      <c r="D18" s="7">
        <v>143.23644338118021</v>
      </c>
      <c r="E18" s="7">
        <v>147.42720999943441</v>
      </c>
      <c r="F18" s="7">
        <v>156.04208942227609</v>
      </c>
      <c r="G18" s="7">
        <v>157.85831248500631</v>
      </c>
      <c r="H18" s="7">
        <v>155.4238027763713</v>
      </c>
      <c r="I18" s="7">
        <v>155.8092875985123</v>
      </c>
      <c r="J18" s="7">
        <v>148.71100325788919</v>
      </c>
      <c r="K18" s="7">
        <v>146.23748214923239</v>
      </c>
      <c r="L18" s="7">
        <v>144.24527585533599</v>
      </c>
      <c r="M18" s="7">
        <v>151.08291907385009</v>
      </c>
      <c r="N18" s="7">
        <v>153.7277187560363</v>
      </c>
      <c r="O18" s="8">
        <f t="shared" si="0"/>
        <v>4.1352756345373765</v>
      </c>
    </row>
    <row r="19" spans="1:15" x14ac:dyDescent="0.3">
      <c r="A19" s="6">
        <v>46238.447909502313</v>
      </c>
      <c r="B19" s="7">
        <v>150.57622727014649</v>
      </c>
      <c r="C19" s="7">
        <v>149.38397728378661</v>
      </c>
      <c r="D19" s="7">
        <v>144.7961594626168</v>
      </c>
      <c r="E19" s="7">
        <v>147.7529633087216</v>
      </c>
      <c r="F19" s="7">
        <v>152.51353512357659</v>
      </c>
      <c r="G19" s="7">
        <v>153.80504551077931</v>
      </c>
      <c r="H19" s="7">
        <v>153.47644104429389</v>
      </c>
      <c r="I19" s="7">
        <v>153.54007967688131</v>
      </c>
      <c r="J19" s="7">
        <v>150.2206270797594</v>
      </c>
      <c r="K19" s="7">
        <v>150.5370304856477</v>
      </c>
      <c r="L19" s="7">
        <v>145.8364482173678</v>
      </c>
      <c r="M19" s="7">
        <v>147.9765421831479</v>
      </c>
      <c r="N19" s="7">
        <v>151.56631891478511</v>
      </c>
      <c r="O19" s="8">
        <f t="shared" si="0"/>
        <v>4.0771339788077192</v>
      </c>
    </row>
    <row r="20" spans="1:15" x14ac:dyDescent="0.3">
      <c r="A20" s="6">
        <v>46238.447921226849</v>
      </c>
      <c r="B20" s="7">
        <v>145.36040314495281</v>
      </c>
      <c r="C20" s="7">
        <v>148.44617290288019</v>
      </c>
      <c r="D20" s="7">
        <v>148.98094800060139</v>
      </c>
      <c r="E20" s="7">
        <v>153.82795471129629</v>
      </c>
      <c r="F20" s="7">
        <v>149.68135114941001</v>
      </c>
      <c r="G20" s="7">
        <v>152.88131827036801</v>
      </c>
      <c r="H20" s="7">
        <v>151.3522328165497</v>
      </c>
      <c r="I20" s="7">
        <v>151.5606763532372</v>
      </c>
      <c r="J20" s="7">
        <v>150.72624228728131</v>
      </c>
      <c r="K20" s="7">
        <v>151.4966288659794</v>
      </c>
      <c r="L20" s="7">
        <v>151.3329360266907</v>
      </c>
      <c r="M20" s="7">
        <v>153.40641066735051</v>
      </c>
      <c r="N20" s="7">
        <v>150.93199256881539</v>
      </c>
      <c r="O20" s="8">
        <f t="shared" si="0"/>
        <v>4.0600706001011337</v>
      </c>
    </row>
    <row r="21" spans="1:15" x14ac:dyDescent="0.3">
      <c r="A21" s="6">
        <v>46238.447932951392</v>
      </c>
      <c r="B21" s="7">
        <v>148.8479178234314</v>
      </c>
      <c r="C21" s="7">
        <v>135.57683357406509</v>
      </c>
      <c r="D21" s="7">
        <v>151.46416301386091</v>
      </c>
      <c r="E21" s="7">
        <v>155.81514022992431</v>
      </c>
      <c r="F21" s="7">
        <v>150.98184970437501</v>
      </c>
      <c r="G21" s="7">
        <v>156.4847073852867</v>
      </c>
      <c r="H21" s="7">
        <v>146.31496770965271</v>
      </c>
      <c r="I21" s="7">
        <v>134.51064578567659</v>
      </c>
      <c r="J21" s="7">
        <v>149.57731070031991</v>
      </c>
      <c r="K21" s="7">
        <v>148.3874339331314</v>
      </c>
      <c r="L21" s="7">
        <v>153.4671119729943</v>
      </c>
      <c r="M21" s="7">
        <v>154.72907639040079</v>
      </c>
      <c r="N21" s="7">
        <v>152.29137325703019</v>
      </c>
      <c r="O21" s="8">
        <f t="shared" si="0"/>
        <v>4.0966379406141122</v>
      </c>
    </row>
    <row r="22" spans="1:15" x14ac:dyDescent="0.3">
      <c r="A22" s="6">
        <v>46238.447944722233</v>
      </c>
      <c r="B22" s="7">
        <v>156.86109422397641</v>
      </c>
      <c r="C22" s="7">
        <v>156.03648794901309</v>
      </c>
      <c r="D22" s="7">
        <v>145.30361797644329</v>
      </c>
      <c r="E22" s="7">
        <v>145.16137603132429</v>
      </c>
      <c r="F22" s="7">
        <v>150.62564338038999</v>
      </c>
      <c r="G22" s="7">
        <v>150.09832395617411</v>
      </c>
      <c r="H22" s="7">
        <v>147.72136899706209</v>
      </c>
      <c r="I22" s="7">
        <v>128.76599619892301</v>
      </c>
      <c r="J22" s="7">
        <v>154.3126250022124</v>
      </c>
      <c r="K22" s="7">
        <v>155.8042550296764</v>
      </c>
      <c r="L22" s="7">
        <v>158.05577472415891</v>
      </c>
      <c r="M22" s="7">
        <v>157.77242939202179</v>
      </c>
      <c r="N22" s="7">
        <v>154.63166171727809</v>
      </c>
      <c r="O22" s="8">
        <f t="shared" si="0"/>
        <v>4.1595917001947802</v>
      </c>
    </row>
    <row r="23" spans="1:15" x14ac:dyDescent="0.3">
      <c r="A23" s="6">
        <v>46238.447956469907</v>
      </c>
      <c r="B23" s="7">
        <v>144.69024072689001</v>
      </c>
      <c r="C23" s="7">
        <v>153.56876948263101</v>
      </c>
      <c r="D23" s="7">
        <v>157.83485420644061</v>
      </c>
      <c r="E23" s="7">
        <v>160.6728868077893</v>
      </c>
      <c r="F23" s="7">
        <v>160.16433277848731</v>
      </c>
      <c r="G23" s="7">
        <v>160.61873665188111</v>
      </c>
      <c r="H23" s="7">
        <v>151.2844437795066</v>
      </c>
      <c r="I23" s="7">
        <v>114.44814254496551</v>
      </c>
      <c r="J23" s="7">
        <v>157.03475276909219</v>
      </c>
      <c r="K23" s="7">
        <v>147.31026143518329</v>
      </c>
      <c r="L23" s="7">
        <v>156.28453364817</v>
      </c>
      <c r="M23" s="7">
        <v>160.09259367638671</v>
      </c>
      <c r="N23" s="7">
        <v>157.5757474766711</v>
      </c>
      <c r="O23" s="8">
        <f t="shared" si="0"/>
        <v>4.2387876071224522</v>
      </c>
    </row>
    <row r="24" spans="1:15" x14ac:dyDescent="0.3">
      <c r="A24" s="6">
        <v>46238.447968217602</v>
      </c>
      <c r="B24" s="7">
        <v>151.24238800785579</v>
      </c>
      <c r="C24" s="7">
        <v>153.20249849311631</v>
      </c>
      <c r="D24" s="7">
        <v>150.95813779402869</v>
      </c>
      <c r="E24" s="7">
        <v>151.5710329505757</v>
      </c>
      <c r="F24" s="7">
        <v>151.33619018999369</v>
      </c>
      <c r="G24" s="7">
        <v>151.02373327052271</v>
      </c>
      <c r="H24" s="7">
        <v>151.1729123735121</v>
      </c>
      <c r="I24" s="7">
        <v>151.9194482454057</v>
      </c>
      <c r="J24" s="7">
        <v>151.8130045575333</v>
      </c>
      <c r="K24" s="7">
        <v>151.3174983266579</v>
      </c>
      <c r="L24" s="7">
        <v>153.14215919895759</v>
      </c>
      <c r="M24" s="7">
        <v>153.84879780659409</v>
      </c>
      <c r="N24" s="7">
        <v>151.97003981859081</v>
      </c>
      <c r="O24" s="8">
        <f t="shared" si="0"/>
        <v>4.0879940711200922</v>
      </c>
    </row>
    <row r="25" spans="1:15" x14ac:dyDescent="0.3">
      <c r="A25" s="6">
        <v>46238.447979872682</v>
      </c>
      <c r="B25" s="7">
        <v>155.3003434343434</v>
      </c>
      <c r="C25" s="7">
        <v>151.653056965595</v>
      </c>
      <c r="D25" s="7">
        <v>156.51274493639579</v>
      </c>
      <c r="E25" s="7">
        <v>153.36978927977711</v>
      </c>
      <c r="F25" s="7">
        <v>153.20125464382389</v>
      </c>
      <c r="G25" s="7">
        <v>150.95681000916991</v>
      </c>
      <c r="H25" s="7">
        <v>151.3894704782135</v>
      </c>
      <c r="I25" s="7">
        <v>150.97347572195329</v>
      </c>
      <c r="J25" s="7">
        <v>152.66166707738719</v>
      </c>
      <c r="K25" s="7">
        <v>154.16801886692011</v>
      </c>
      <c r="L25" s="7">
        <v>153.4546597681105</v>
      </c>
      <c r="M25" s="7">
        <v>152.3785818010758</v>
      </c>
      <c r="N25" s="7">
        <v>153.374065501149</v>
      </c>
      <c r="O25" s="8">
        <f t="shared" si="0"/>
        <v>4.1257623619809083</v>
      </c>
    </row>
    <row r="26" spans="1:15" x14ac:dyDescent="0.3">
      <c r="A26" s="6">
        <v>46238.44799148148</v>
      </c>
      <c r="B26" s="7">
        <v>159.0257312478835</v>
      </c>
      <c r="C26" s="7">
        <v>155.3585567377994</v>
      </c>
      <c r="D26" s="7">
        <v>150.25908016169629</v>
      </c>
      <c r="E26" s="7">
        <v>155.1700718938184</v>
      </c>
      <c r="F26" s="7">
        <v>150.8918307309346</v>
      </c>
      <c r="G26" s="7">
        <v>145.52944745649921</v>
      </c>
      <c r="H26" s="7">
        <v>156.347307524874</v>
      </c>
      <c r="I26" s="7">
        <v>153.34705329644521</v>
      </c>
      <c r="J26" s="7">
        <v>152.19283994693831</v>
      </c>
      <c r="K26" s="7">
        <v>150.20185778347209</v>
      </c>
      <c r="L26" s="7">
        <v>158.9236543008976</v>
      </c>
      <c r="M26" s="7">
        <v>156.5192722283922</v>
      </c>
      <c r="N26" s="7">
        <v>156.00235718247359</v>
      </c>
      <c r="O26" s="8">
        <f t="shared" si="0"/>
        <v>4.1964634082085395</v>
      </c>
    </row>
    <row r="27" spans="1:15" x14ac:dyDescent="0.3">
      <c r="A27" s="6">
        <v>46238.448003229169</v>
      </c>
      <c r="B27" s="7">
        <v>158.72730210642661</v>
      </c>
      <c r="C27" s="7">
        <v>159.62557113137481</v>
      </c>
      <c r="D27" s="7">
        <v>149.93257139004081</v>
      </c>
      <c r="E27" s="7">
        <v>148.79915730337081</v>
      </c>
      <c r="F27" s="7">
        <v>145.56154348414631</v>
      </c>
      <c r="G27" s="7">
        <v>153.7337299673045</v>
      </c>
      <c r="H27" s="7">
        <v>149.80207825399759</v>
      </c>
      <c r="I27" s="7">
        <v>150.2609760589319</v>
      </c>
      <c r="J27" s="7">
        <v>149.60334289634531</v>
      </c>
      <c r="K27" s="7">
        <v>131.39429471473571</v>
      </c>
      <c r="L27" s="7">
        <v>156.90235971557649</v>
      </c>
      <c r="M27" s="7">
        <v>157.21648290558699</v>
      </c>
      <c r="N27" s="7">
        <v>155.1413593359438</v>
      </c>
      <c r="O27" s="8">
        <f t="shared" si="0"/>
        <v>4.1733025661368881</v>
      </c>
    </row>
    <row r="28" spans="1:15" x14ac:dyDescent="0.3">
      <c r="A28" s="6">
        <v>46238.448014849528</v>
      </c>
      <c r="B28" s="7">
        <v>147.71839115285559</v>
      </c>
      <c r="C28" s="7">
        <v>152.9257060559224</v>
      </c>
      <c r="D28" s="7">
        <v>155.63833319081081</v>
      </c>
      <c r="E28" s="7">
        <v>142.97355407439261</v>
      </c>
      <c r="F28" s="7">
        <v>147.05561898548359</v>
      </c>
      <c r="G28" s="7">
        <v>156.81171353836149</v>
      </c>
      <c r="H28" s="7">
        <v>148.08546366905051</v>
      </c>
      <c r="I28" s="7">
        <v>114.5376799322608</v>
      </c>
      <c r="J28" s="7">
        <v>152.68719622884581</v>
      </c>
      <c r="K28" s="7">
        <v>154.9381458272814</v>
      </c>
      <c r="L28" s="7">
        <v>158.6733026194222</v>
      </c>
      <c r="M28" s="7">
        <v>157.89935256710211</v>
      </c>
      <c r="N28" s="7">
        <v>155.25917585915309</v>
      </c>
      <c r="O28" s="8">
        <f t="shared" si="0"/>
        <v>4.1764718306112174</v>
      </c>
    </row>
    <row r="29" spans="1:15" x14ac:dyDescent="0.3">
      <c r="A29" s="6">
        <v>46238.448026620368</v>
      </c>
      <c r="B29" s="7">
        <v>157.28204828540669</v>
      </c>
      <c r="C29" s="7">
        <v>157.9011772944111</v>
      </c>
      <c r="D29" s="7">
        <v>154.2599161494513</v>
      </c>
      <c r="E29" s="7">
        <v>154.6415695217126</v>
      </c>
      <c r="F29" s="7">
        <v>145.91572219855141</v>
      </c>
      <c r="G29" s="7">
        <v>143.42803318770291</v>
      </c>
      <c r="H29" s="7">
        <v>159.27128912972489</v>
      </c>
      <c r="I29" s="7">
        <v>152.2980097535258</v>
      </c>
      <c r="J29" s="7">
        <v>154.5508331227033</v>
      </c>
      <c r="K29" s="7">
        <v>116.65124115466701</v>
      </c>
      <c r="L29" s="7">
        <v>157.60155259761521</v>
      </c>
      <c r="M29" s="7">
        <v>158.28106134216861</v>
      </c>
      <c r="N29" s="7">
        <v>156.49556706630969</v>
      </c>
      <c r="O29" s="8">
        <f t="shared" si="0"/>
        <v>4.209730754083731</v>
      </c>
    </row>
    <row r="30" spans="1:15" x14ac:dyDescent="0.3">
      <c r="A30" s="6">
        <v>46238.448038356481</v>
      </c>
      <c r="B30" s="7">
        <v>159.02893102973869</v>
      </c>
      <c r="C30" s="7">
        <v>162.05306330740811</v>
      </c>
      <c r="D30" s="7">
        <v>155.48612875089901</v>
      </c>
      <c r="E30" s="7">
        <v>144.40806033005239</v>
      </c>
      <c r="F30" s="7">
        <v>159.78184041038051</v>
      </c>
      <c r="G30" s="7">
        <v>158.63369904270189</v>
      </c>
      <c r="H30" s="7">
        <v>154.83853456379839</v>
      </c>
      <c r="I30" s="7">
        <v>156.64500471348049</v>
      </c>
      <c r="J30" s="7">
        <v>129.50596081700709</v>
      </c>
      <c r="K30" s="7">
        <v>145.1907955835311</v>
      </c>
      <c r="L30" s="7">
        <v>158.1779037566784</v>
      </c>
      <c r="M30" s="7">
        <v>159.0407426637245</v>
      </c>
      <c r="N30" s="7">
        <v>157.83376079507889</v>
      </c>
      <c r="O30" s="8">
        <f t="shared" si="0"/>
        <v>4.2457281653876215</v>
      </c>
    </row>
    <row r="31" spans="1:15" x14ac:dyDescent="0.3">
      <c r="A31" s="6">
        <v>46238.448049965278</v>
      </c>
      <c r="B31" s="7">
        <v>157.76828859542439</v>
      </c>
      <c r="C31" s="7">
        <v>156.78078873665879</v>
      </c>
      <c r="D31" s="7">
        <v>155.87037766762759</v>
      </c>
      <c r="E31" s="7">
        <v>140.88992742467559</v>
      </c>
      <c r="F31" s="7">
        <v>155.8206182412728</v>
      </c>
      <c r="G31" s="7">
        <v>142.7838243492431</v>
      </c>
      <c r="H31" s="7">
        <v>149.9819239702872</v>
      </c>
      <c r="I31" s="7">
        <v>113.9548896407282</v>
      </c>
      <c r="J31" s="7">
        <v>150.61808232806871</v>
      </c>
      <c r="K31" s="7">
        <v>159.51447526093679</v>
      </c>
      <c r="L31" s="7">
        <v>158.6264292544173</v>
      </c>
      <c r="M31" s="7">
        <v>158.51886728563281</v>
      </c>
      <c r="N31" s="7">
        <v>156.5336698828051</v>
      </c>
      <c r="O31" s="8">
        <f t="shared" si="0"/>
        <v>4.210755719847457</v>
      </c>
    </row>
    <row r="32" spans="1:15" x14ac:dyDescent="0.3">
      <c r="A32" s="6">
        <v>46238.448061736111</v>
      </c>
      <c r="B32" s="7">
        <v>156.1819170573072</v>
      </c>
      <c r="C32" s="7">
        <v>156.78106768050179</v>
      </c>
      <c r="D32" s="7">
        <v>157.67076503989469</v>
      </c>
      <c r="E32" s="7">
        <v>144.3111447779566</v>
      </c>
      <c r="F32" s="7">
        <v>157.80593365392451</v>
      </c>
      <c r="G32" s="7">
        <v>147.00188664413179</v>
      </c>
      <c r="H32" s="7">
        <v>159.32680976223969</v>
      </c>
      <c r="I32" s="7">
        <v>149.93786490974341</v>
      </c>
      <c r="J32" s="7">
        <v>151.0119797216571</v>
      </c>
      <c r="K32" s="7">
        <v>155.73495060281309</v>
      </c>
      <c r="L32" s="7">
        <v>158.11902605120301</v>
      </c>
      <c r="M32" s="7">
        <v>159.33151244537339</v>
      </c>
      <c r="N32" s="7">
        <v>157.33528164175689</v>
      </c>
      <c r="O32" s="8">
        <f t="shared" si="0"/>
        <v>4.232319076163261</v>
      </c>
    </row>
    <row r="33" spans="1:15" x14ac:dyDescent="0.3">
      <c r="A33" s="6">
        <v>46238.448073472216</v>
      </c>
      <c r="B33" s="7">
        <v>160.53723004891879</v>
      </c>
      <c r="C33" s="7">
        <v>162.63251098028221</v>
      </c>
      <c r="D33" s="7">
        <v>160.19255655760051</v>
      </c>
      <c r="E33" s="7">
        <v>143.86396628424259</v>
      </c>
      <c r="F33" s="7">
        <v>159.61665823297241</v>
      </c>
      <c r="G33" s="7">
        <v>150.69901880991139</v>
      </c>
      <c r="H33" s="7">
        <v>149.75849225534961</v>
      </c>
      <c r="I33" s="7">
        <v>113.99853672812409</v>
      </c>
      <c r="J33" s="7">
        <v>151.6721064029926</v>
      </c>
      <c r="K33" s="7">
        <v>158.0510022112847</v>
      </c>
      <c r="L33" s="7">
        <v>158.7251443588984</v>
      </c>
      <c r="M33" s="7">
        <v>158.30004539003829</v>
      </c>
      <c r="N33" s="7">
        <v>158.05247024010981</v>
      </c>
      <c r="O33" s="8">
        <f t="shared" si="0"/>
        <v>4.2516114494589541</v>
      </c>
    </row>
    <row r="34" spans="1:15" x14ac:dyDescent="0.3">
      <c r="A34" s="6">
        <v>46238.448085231481</v>
      </c>
      <c r="B34" s="7">
        <v>160.26286904537031</v>
      </c>
      <c r="C34" s="7">
        <v>162.08340798766639</v>
      </c>
      <c r="D34" s="7">
        <v>160.67577529445271</v>
      </c>
      <c r="E34" s="7">
        <v>158.68862253831301</v>
      </c>
      <c r="F34" s="7">
        <v>158.8933124863479</v>
      </c>
      <c r="G34" s="7">
        <v>141.634788833214</v>
      </c>
      <c r="H34" s="7">
        <v>151.70161680704811</v>
      </c>
      <c r="I34" s="7">
        <v>107.6860745410718</v>
      </c>
      <c r="J34" s="7">
        <v>153.62299314414651</v>
      </c>
      <c r="K34" s="7">
        <v>146.50068677824689</v>
      </c>
      <c r="L34" s="7">
        <v>157.8733205998671</v>
      </c>
      <c r="M34" s="7">
        <v>159.16496673466389</v>
      </c>
      <c r="N34" s="7">
        <v>158.18098180842711</v>
      </c>
      <c r="O34" s="8">
        <f t="shared" si="0"/>
        <v>4.2550684106466887</v>
      </c>
    </row>
    <row r="35" spans="1:15" x14ac:dyDescent="0.3">
      <c r="A35" s="6">
        <v>46238.448097002307</v>
      </c>
      <c r="B35" s="7">
        <v>154.65721979994871</v>
      </c>
      <c r="C35" s="7">
        <v>154.2456660485575</v>
      </c>
      <c r="D35" s="7">
        <v>158.8835678707249</v>
      </c>
      <c r="E35" s="7">
        <v>148.88853941419299</v>
      </c>
      <c r="F35" s="7">
        <v>155.6716946377405</v>
      </c>
      <c r="G35" s="7">
        <v>156.89051991654219</v>
      </c>
      <c r="H35" s="7">
        <v>154.17171292795189</v>
      </c>
      <c r="I35" s="7">
        <v>155.30019013764311</v>
      </c>
      <c r="J35" s="7">
        <v>157.9822559056542</v>
      </c>
      <c r="K35" s="7">
        <v>140.25143640637239</v>
      </c>
      <c r="L35" s="7">
        <v>156.59840632329789</v>
      </c>
      <c r="M35" s="7">
        <v>158.99080300249739</v>
      </c>
      <c r="N35" s="7">
        <v>156.7695426014181</v>
      </c>
      <c r="O35" s="8">
        <f t="shared" si="0"/>
        <v>4.2171006959781465</v>
      </c>
    </row>
    <row r="36" spans="1:15" x14ac:dyDescent="0.3">
      <c r="A36" s="6">
        <v>46238.448108599543</v>
      </c>
      <c r="B36" s="7">
        <v>158.24601534971279</v>
      </c>
      <c r="C36" s="7">
        <v>160.22110314212031</v>
      </c>
      <c r="D36" s="7">
        <v>159.04889714080281</v>
      </c>
      <c r="E36" s="7">
        <v>151.6987599530087</v>
      </c>
      <c r="F36" s="7">
        <v>156.57438412025931</v>
      </c>
      <c r="G36" s="7">
        <v>159.17646875422199</v>
      </c>
      <c r="H36" s="7">
        <v>161.03469894185889</v>
      </c>
      <c r="I36" s="7">
        <v>159.5797269026915</v>
      </c>
      <c r="J36" s="7">
        <v>158.30354770009279</v>
      </c>
      <c r="K36" s="7">
        <v>155.8777540867093</v>
      </c>
      <c r="L36" s="7">
        <v>150.6042647516808</v>
      </c>
      <c r="M36" s="7">
        <v>128.29931567985719</v>
      </c>
      <c r="N36" s="7">
        <v>158.5730439492213</v>
      </c>
      <c r="O36" s="8">
        <f t="shared" si="0"/>
        <v>4.2656148822340523</v>
      </c>
    </row>
    <row r="37" spans="1:15" x14ac:dyDescent="0.3">
      <c r="A37" s="6">
        <v>46238.448120347217</v>
      </c>
      <c r="B37" s="7">
        <v>154.02323544705661</v>
      </c>
      <c r="C37" s="7">
        <v>158.37006253891761</v>
      </c>
      <c r="D37" s="7">
        <v>157.5354522844942</v>
      </c>
      <c r="E37" s="7">
        <v>157.86748962761871</v>
      </c>
      <c r="F37" s="7">
        <v>158.22312419391551</v>
      </c>
      <c r="G37" s="7">
        <v>159.17751821440959</v>
      </c>
      <c r="H37" s="7">
        <v>160.39580382113729</v>
      </c>
      <c r="I37" s="7">
        <v>158.0314647984259</v>
      </c>
      <c r="J37" s="7">
        <v>157.88746192329069</v>
      </c>
      <c r="K37" s="7">
        <v>144.17646130373021</v>
      </c>
      <c r="L37" s="7">
        <v>151.79030152513769</v>
      </c>
      <c r="M37" s="7">
        <v>121.4210811396382</v>
      </c>
      <c r="N37" s="7">
        <v>158.00622926791641</v>
      </c>
      <c r="O37" s="8">
        <f t="shared" si="0"/>
        <v>4.2503675673069514</v>
      </c>
    </row>
    <row r="38" spans="1:15" x14ac:dyDescent="0.3">
      <c r="A38" s="6">
        <v>46238.448132094913</v>
      </c>
      <c r="B38" s="7">
        <v>149.06113252297661</v>
      </c>
      <c r="C38" s="7">
        <v>154.59585247230481</v>
      </c>
      <c r="D38" s="7">
        <v>150.39635201846431</v>
      </c>
      <c r="E38" s="7">
        <v>158.59897626985679</v>
      </c>
      <c r="F38" s="7">
        <v>156.46700756273631</v>
      </c>
      <c r="G38" s="7">
        <v>157.68416195342269</v>
      </c>
      <c r="H38" s="7">
        <v>159.62031758556071</v>
      </c>
      <c r="I38" s="7">
        <v>158.16044383140931</v>
      </c>
      <c r="J38" s="7">
        <v>157.82963094463179</v>
      </c>
      <c r="K38" s="7">
        <v>154.21553386235871</v>
      </c>
      <c r="L38" s="7">
        <v>151.58133320941471</v>
      </c>
      <c r="M38" s="7">
        <v>148.78467630092661</v>
      </c>
      <c r="N38" s="7">
        <v>156.89520777459879</v>
      </c>
      <c r="O38" s="8">
        <f t="shared" ref="O38:O69" si="1">N38*$B$2/100</f>
        <v>4.2204810891367073</v>
      </c>
    </row>
    <row r="39" spans="1:15" x14ac:dyDescent="0.3">
      <c r="A39" s="6">
        <v>46238.448143784721</v>
      </c>
      <c r="B39" s="7">
        <v>151.12668974833821</v>
      </c>
      <c r="C39" s="7">
        <v>153.04517706185209</v>
      </c>
      <c r="D39" s="7">
        <v>157.8849939349754</v>
      </c>
      <c r="E39" s="7">
        <v>157.00970032911829</v>
      </c>
      <c r="F39" s="7">
        <v>156.87767703877279</v>
      </c>
      <c r="G39" s="7">
        <v>158.02556373213861</v>
      </c>
      <c r="H39" s="7">
        <v>157.6465860273118</v>
      </c>
      <c r="I39" s="7">
        <v>157.41316084677601</v>
      </c>
      <c r="J39" s="7">
        <v>156.1061229543719</v>
      </c>
      <c r="K39" s="7">
        <v>154.2596756523769</v>
      </c>
      <c r="L39" s="7">
        <v>151.74420565808279</v>
      </c>
      <c r="M39" s="7">
        <v>147.81139419674449</v>
      </c>
      <c r="N39" s="7">
        <v>156.31032089359499</v>
      </c>
      <c r="O39" s="8">
        <f t="shared" si="1"/>
        <v>4.2047476320377051</v>
      </c>
    </row>
    <row r="40" spans="1:15" x14ac:dyDescent="0.3">
      <c r="A40" s="6">
        <v>46238.448155532409</v>
      </c>
      <c r="B40" s="7">
        <v>158.01280498356121</v>
      </c>
      <c r="C40" s="7">
        <v>147.03225540339881</v>
      </c>
      <c r="D40" s="7">
        <v>157.41579890306059</v>
      </c>
      <c r="E40" s="7">
        <v>156.78602598555261</v>
      </c>
      <c r="F40" s="7">
        <v>159.02873003701819</v>
      </c>
      <c r="G40" s="7">
        <v>160.0701875796758</v>
      </c>
      <c r="H40" s="7">
        <v>159.83922865379191</v>
      </c>
      <c r="I40" s="7">
        <v>158.5398191043459</v>
      </c>
      <c r="J40" s="7">
        <v>157.19996452083419</v>
      </c>
      <c r="K40" s="7">
        <v>155.6123868927348</v>
      </c>
      <c r="L40" s="7">
        <v>148.87243724372439</v>
      </c>
      <c r="M40" s="7">
        <v>146.15643846510699</v>
      </c>
      <c r="N40" s="7">
        <v>157.99331679715689</v>
      </c>
      <c r="O40" s="8">
        <f t="shared" si="1"/>
        <v>4.2500202218435206</v>
      </c>
    </row>
    <row r="41" spans="1:15" x14ac:dyDescent="0.3">
      <c r="A41" s="6">
        <v>46238.44816728009</v>
      </c>
      <c r="B41" s="7">
        <v>152.8292205931813</v>
      </c>
      <c r="C41" s="7">
        <v>155.74745742667929</v>
      </c>
      <c r="D41" s="7">
        <v>155.16729408445269</v>
      </c>
      <c r="E41" s="7">
        <v>157.62098779477009</v>
      </c>
      <c r="F41" s="7">
        <v>159.59860572998329</v>
      </c>
      <c r="G41" s="7">
        <v>159.1851334153923</v>
      </c>
      <c r="H41" s="7">
        <v>159.48519750182501</v>
      </c>
      <c r="I41" s="7">
        <v>156.92327618477199</v>
      </c>
      <c r="J41" s="7">
        <v>156.19271319193871</v>
      </c>
      <c r="K41" s="7">
        <v>155.3809851877368</v>
      </c>
      <c r="L41" s="7">
        <v>156.79471918820079</v>
      </c>
      <c r="M41" s="7">
        <v>133.00985302570001</v>
      </c>
      <c r="N41" s="7">
        <v>157.37182606923091</v>
      </c>
      <c r="O41" s="8">
        <f t="shared" si="1"/>
        <v>4.2333021212623114</v>
      </c>
    </row>
    <row r="42" spans="1:15" x14ac:dyDescent="0.3">
      <c r="A42" s="6">
        <v>46238.448179039347</v>
      </c>
      <c r="B42" s="7">
        <v>159.05390222832921</v>
      </c>
      <c r="C42" s="7">
        <v>159.29395155868849</v>
      </c>
      <c r="D42" s="7">
        <v>157.68059830419861</v>
      </c>
      <c r="E42" s="7">
        <v>149.07612605567721</v>
      </c>
      <c r="F42" s="7">
        <v>159.12620074597319</v>
      </c>
      <c r="G42" s="7">
        <v>161.48146541848061</v>
      </c>
      <c r="H42" s="7">
        <v>158.1942091654779</v>
      </c>
      <c r="I42" s="7">
        <v>155.48412833925769</v>
      </c>
      <c r="J42" s="7">
        <v>156.4778162221746</v>
      </c>
      <c r="K42" s="7">
        <v>148.7191970770788</v>
      </c>
      <c r="L42" s="7">
        <v>152.33166076650761</v>
      </c>
      <c r="M42" s="7">
        <v>158.39392950519959</v>
      </c>
      <c r="N42" s="7">
        <v>158.7519843085976</v>
      </c>
      <c r="O42" s="8">
        <f t="shared" si="1"/>
        <v>4.2704283779012755</v>
      </c>
    </row>
    <row r="43" spans="1:15" x14ac:dyDescent="0.3">
      <c r="A43" s="6">
        <v>46238.448190798612</v>
      </c>
      <c r="B43" s="7">
        <v>160.05779854915539</v>
      </c>
      <c r="C43" s="7">
        <v>156.89153873495709</v>
      </c>
      <c r="D43" s="7">
        <v>156.6010968611302</v>
      </c>
      <c r="E43" s="7">
        <v>158.49430911480329</v>
      </c>
      <c r="F43" s="7">
        <v>156.9061021021021</v>
      </c>
      <c r="G43" s="7">
        <v>161.77308312342569</v>
      </c>
      <c r="H43" s="7">
        <v>156.72940224828659</v>
      </c>
      <c r="I43" s="7">
        <v>156.52022663929259</v>
      </c>
      <c r="J43" s="7">
        <v>156.41771873053489</v>
      </c>
      <c r="K43" s="7">
        <v>140.41044819388881</v>
      </c>
      <c r="L43" s="7">
        <v>155.14608935103371</v>
      </c>
      <c r="M43" s="7">
        <v>157.04241131716759</v>
      </c>
      <c r="N43" s="7">
        <v>158.317354890865</v>
      </c>
      <c r="O43" s="8">
        <f t="shared" si="1"/>
        <v>4.2587368465642683</v>
      </c>
    </row>
    <row r="44" spans="1:15" x14ac:dyDescent="0.3">
      <c r="A44" s="6">
        <v>46238.448202523148</v>
      </c>
      <c r="B44" s="7">
        <v>149.46101819022661</v>
      </c>
      <c r="C44" s="7">
        <v>151.89251988911681</v>
      </c>
      <c r="D44" s="7">
        <v>141.5521211433757</v>
      </c>
      <c r="E44" s="7">
        <v>146.21248933805481</v>
      </c>
      <c r="F44" s="7">
        <v>155.81041169392219</v>
      </c>
      <c r="G44" s="7">
        <v>158.67033042053521</v>
      </c>
      <c r="H44" s="7">
        <v>160.24734749526661</v>
      </c>
      <c r="I44" s="7">
        <v>156.72981778593621</v>
      </c>
      <c r="J44" s="7">
        <v>159.51850891294089</v>
      </c>
      <c r="K44" s="7">
        <v>153.91079620756449</v>
      </c>
      <c r="L44" s="7">
        <v>157.15600676818951</v>
      </c>
      <c r="M44" s="7">
        <v>148.6935085623258</v>
      </c>
      <c r="N44" s="7">
        <v>157.34412868767791</v>
      </c>
      <c r="O44" s="8">
        <f t="shared" si="1"/>
        <v>4.232557061698536</v>
      </c>
    </row>
    <row r="45" spans="1:15" x14ac:dyDescent="0.3">
      <c r="A45" s="6">
        <v>46238.448214247677</v>
      </c>
      <c r="B45" s="7">
        <v>146.46820925149879</v>
      </c>
      <c r="C45" s="7">
        <v>157.91363297122481</v>
      </c>
      <c r="D45" s="7">
        <v>146.25699058571911</v>
      </c>
      <c r="E45" s="7">
        <v>147.6921928327645</v>
      </c>
      <c r="F45" s="7">
        <v>158.5510875434467</v>
      </c>
      <c r="G45" s="7">
        <v>157.28007167680281</v>
      </c>
      <c r="H45" s="7">
        <v>160.13126149524129</v>
      </c>
      <c r="I45" s="7">
        <v>159.2294120925049</v>
      </c>
      <c r="J45" s="7">
        <v>160.03554804695469</v>
      </c>
      <c r="K45" s="7">
        <v>158.00473395971491</v>
      </c>
      <c r="L45" s="7">
        <v>153.6356023436384</v>
      </c>
      <c r="M45" s="7">
        <v>145.41047493608119</v>
      </c>
      <c r="N45" s="7">
        <v>157.7393274844749</v>
      </c>
      <c r="O45" s="8">
        <f t="shared" si="1"/>
        <v>4.2431879093323746</v>
      </c>
    </row>
    <row r="46" spans="1:15" x14ac:dyDescent="0.3">
      <c r="A46" s="6">
        <v>46238.448225983797</v>
      </c>
      <c r="B46" s="7">
        <v>157.48914387112211</v>
      </c>
      <c r="C46" s="7">
        <v>153.90484057846629</v>
      </c>
      <c r="D46" s="7">
        <v>157.53511836400921</v>
      </c>
      <c r="E46" s="7">
        <v>143.52247038611091</v>
      </c>
      <c r="F46" s="7">
        <v>155.18028897575019</v>
      </c>
      <c r="G46" s="7">
        <v>154.6844658538665</v>
      </c>
      <c r="H46" s="7">
        <v>160.20110861983059</v>
      </c>
      <c r="I46" s="7">
        <v>158.99860380453259</v>
      </c>
      <c r="J46" s="7">
        <v>160.9885862956364</v>
      </c>
      <c r="K46" s="7">
        <v>157.92746298502959</v>
      </c>
      <c r="L46" s="7">
        <v>152.2655487585462</v>
      </c>
      <c r="M46" s="7">
        <v>136.5929727595736</v>
      </c>
      <c r="N46" s="7">
        <v>157.8561954783014</v>
      </c>
      <c r="O46" s="8">
        <f t="shared" si="1"/>
        <v>4.2463316583663078</v>
      </c>
    </row>
    <row r="47" spans="1:15" x14ac:dyDescent="0.3">
      <c r="A47" s="6">
        <v>46238.448237731478</v>
      </c>
      <c r="B47" s="7">
        <v>153.4840550724991</v>
      </c>
      <c r="C47" s="7">
        <v>159.51433292667971</v>
      </c>
      <c r="D47" s="7">
        <v>146.26341897735949</v>
      </c>
      <c r="E47" s="7">
        <v>156.505923059243</v>
      </c>
      <c r="F47" s="7">
        <v>158.1884725522452</v>
      </c>
      <c r="G47" s="7">
        <v>156.2700697141606</v>
      </c>
      <c r="H47" s="7">
        <v>158.82782535354761</v>
      </c>
      <c r="I47" s="7">
        <v>159.96082715824281</v>
      </c>
      <c r="J47" s="7">
        <v>159.26100873142471</v>
      </c>
      <c r="K47" s="7">
        <v>152.39307345861161</v>
      </c>
      <c r="L47" s="7">
        <v>156.5941544213498</v>
      </c>
      <c r="M47" s="7">
        <v>149.03497468936951</v>
      </c>
      <c r="N47" s="7">
        <v>157.64716874039399</v>
      </c>
      <c r="O47" s="8">
        <f t="shared" si="1"/>
        <v>4.2407088391165981</v>
      </c>
    </row>
    <row r="48" spans="1:15" x14ac:dyDescent="0.3">
      <c r="A48" s="6">
        <v>46238.44824946759</v>
      </c>
      <c r="B48" s="7">
        <v>158.75111530076271</v>
      </c>
      <c r="C48" s="7">
        <v>156.85089596882631</v>
      </c>
      <c r="D48" s="7">
        <v>157.14069197998651</v>
      </c>
      <c r="E48" s="7">
        <v>152.48112470710751</v>
      </c>
      <c r="F48" s="7">
        <v>159.38335878251129</v>
      </c>
      <c r="G48" s="7">
        <v>156.5439420753344</v>
      </c>
      <c r="H48" s="7">
        <v>156.853058016402</v>
      </c>
      <c r="I48" s="7">
        <v>157.6691834696845</v>
      </c>
      <c r="J48" s="7">
        <v>159.08590368492881</v>
      </c>
      <c r="K48" s="7">
        <v>141.87731998459759</v>
      </c>
      <c r="L48" s="7">
        <v>156.48891984357431</v>
      </c>
      <c r="M48" s="7">
        <v>153.1551516290138</v>
      </c>
      <c r="N48" s="7">
        <v>157.08335813664829</v>
      </c>
      <c r="O48" s="8">
        <f t="shared" si="1"/>
        <v>4.2255423338758389</v>
      </c>
    </row>
    <row r="49" spans="1:15" x14ac:dyDescent="0.3">
      <c r="A49" s="6">
        <v>46238.448261215279</v>
      </c>
      <c r="B49" s="7">
        <v>157.72339408350931</v>
      </c>
      <c r="C49" s="7">
        <v>155.8709573276108</v>
      </c>
      <c r="D49" s="7">
        <v>146.28237900177561</v>
      </c>
      <c r="E49" s="7">
        <v>150.0896092865232</v>
      </c>
      <c r="F49" s="7">
        <v>159.16568204589331</v>
      </c>
      <c r="G49" s="7">
        <v>159.6188690501555</v>
      </c>
      <c r="H49" s="7">
        <v>157.70052608248369</v>
      </c>
      <c r="I49" s="7">
        <v>154.1468159028023</v>
      </c>
      <c r="J49" s="7">
        <v>157.86382646653581</v>
      </c>
      <c r="K49" s="7">
        <v>135.4742225719271</v>
      </c>
      <c r="L49" s="7">
        <v>158.3065017726453</v>
      </c>
      <c r="M49" s="7">
        <v>153.52105788678671</v>
      </c>
      <c r="N49" s="7">
        <v>156.8692522715761</v>
      </c>
      <c r="O49" s="8">
        <f t="shared" si="1"/>
        <v>4.2197828861053974</v>
      </c>
    </row>
    <row r="50" spans="1:15" x14ac:dyDescent="0.3">
      <c r="A50" s="6">
        <v>46238.448272951391</v>
      </c>
      <c r="B50" s="7">
        <v>149.4479839119854</v>
      </c>
      <c r="C50" s="7">
        <v>157.09360710078079</v>
      </c>
      <c r="D50" s="7">
        <v>150.01021934527361</v>
      </c>
      <c r="E50" s="7">
        <v>150.10743081935709</v>
      </c>
      <c r="F50" s="7">
        <v>152.29376328566829</v>
      </c>
      <c r="G50" s="7">
        <v>155.4897418508092</v>
      </c>
      <c r="H50" s="7">
        <v>157.0573719742068</v>
      </c>
      <c r="I50" s="7">
        <v>157.2384010575434</v>
      </c>
      <c r="J50" s="7">
        <v>156.7698544556427</v>
      </c>
      <c r="K50" s="7">
        <v>147.81070992396491</v>
      </c>
      <c r="L50" s="7">
        <v>151.4400063653724</v>
      </c>
      <c r="M50" s="7">
        <v>151.93866371596789</v>
      </c>
      <c r="N50" s="7">
        <v>154.40259221350729</v>
      </c>
      <c r="O50" s="8">
        <f t="shared" si="1"/>
        <v>4.1534297305433459</v>
      </c>
    </row>
    <row r="51" spans="1:15" x14ac:dyDescent="0.3">
      <c r="A51" s="6">
        <v>46238.448284699072</v>
      </c>
      <c r="B51" s="7">
        <v>156.43603494630011</v>
      </c>
      <c r="C51" s="7">
        <v>145.15269256987051</v>
      </c>
      <c r="D51" s="7">
        <v>146.42301022102509</v>
      </c>
      <c r="E51" s="7">
        <v>157.3757578707685</v>
      </c>
      <c r="F51" s="7">
        <v>155.5605840140216</v>
      </c>
      <c r="G51" s="7">
        <v>158.04206284072919</v>
      </c>
      <c r="H51" s="7">
        <v>158.6153719165921</v>
      </c>
      <c r="I51" s="7">
        <v>160.36488174250789</v>
      </c>
      <c r="J51" s="7">
        <v>157.94336413965701</v>
      </c>
      <c r="K51" s="7">
        <v>155.38103087272239</v>
      </c>
      <c r="L51" s="7">
        <v>150.76086981760761</v>
      </c>
      <c r="M51" s="7">
        <v>152.71789966381249</v>
      </c>
      <c r="N51" s="7">
        <v>157.14803445147339</v>
      </c>
      <c r="O51" s="8">
        <f t="shared" si="1"/>
        <v>4.2272821267446341</v>
      </c>
    </row>
    <row r="52" spans="1:15" x14ac:dyDescent="0.3">
      <c r="A52" s="6">
        <v>46238.448296446761</v>
      </c>
      <c r="B52" s="7">
        <v>146.25554585499421</v>
      </c>
      <c r="C52" s="7">
        <v>150.90550758355329</v>
      </c>
      <c r="D52" s="7">
        <v>157.54500006696941</v>
      </c>
      <c r="E52" s="7">
        <v>150.11363700946259</v>
      </c>
      <c r="F52" s="7">
        <v>159.05559972534419</v>
      </c>
      <c r="G52" s="7">
        <v>149.39268221133759</v>
      </c>
      <c r="H52" s="7">
        <v>159.08426185457159</v>
      </c>
      <c r="I52" s="7">
        <v>158.1044836266156</v>
      </c>
      <c r="J52" s="7">
        <v>158.07418022422661</v>
      </c>
      <c r="K52" s="7">
        <v>154.29068290000191</v>
      </c>
      <c r="L52" s="7">
        <v>154.42774374585039</v>
      </c>
      <c r="M52" s="7">
        <v>147.9599344280515</v>
      </c>
      <c r="N52" s="7">
        <v>156.5997067819317</v>
      </c>
      <c r="O52" s="8">
        <f t="shared" si="1"/>
        <v>4.212532112433963</v>
      </c>
    </row>
    <row r="53" spans="1:15" x14ac:dyDescent="0.3">
      <c r="A53" s="6">
        <v>46238.448308055558</v>
      </c>
      <c r="B53" s="7">
        <v>147.2433948949207</v>
      </c>
      <c r="C53" s="7">
        <v>152.84162983265449</v>
      </c>
      <c r="D53" s="7">
        <v>136.2395912063356</v>
      </c>
      <c r="E53" s="7">
        <v>141.36848537412291</v>
      </c>
      <c r="F53" s="7">
        <v>159.09234067285499</v>
      </c>
      <c r="G53" s="7">
        <v>145.1984804547036</v>
      </c>
      <c r="H53" s="7">
        <v>160.03062893351029</v>
      </c>
      <c r="I53" s="7">
        <v>158.85926639917781</v>
      </c>
      <c r="J53" s="7">
        <v>159.56669301921099</v>
      </c>
      <c r="K53" s="7">
        <v>157.6584138980223</v>
      </c>
      <c r="L53" s="7">
        <v>156.57809386350851</v>
      </c>
      <c r="M53" s="7">
        <v>155.26679466759759</v>
      </c>
      <c r="N53" s="7">
        <v>157.12968958171089</v>
      </c>
      <c r="O53" s="8">
        <f t="shared" si="1"/>
        <v>4.2267886497480234</v>
      </c>
    </row>
    <row r="54" spans="1:15" x14ac:dyDescent="0.3">
      <c r="A54" s="6">
        <v>46238.448319768519</v>
      </c>
      <c r="B54" s="7">
        <v>149.66500873773359</v>
      </c>
      <c r="C54" s="7">
        <v>158.54014537928921</v>
      </c>
      <c r="D54" s="7">
        <v>141.2389826602915</v>
      </c>
      <c r="E54" s="7">
        <v>139.91903395504539</v>
      </c>
      <c r="F54" s="7">
        <v>159.34604920003301</v>
      </c>
      <c r="G54" s="7">
        <v>146.74416139291341</v>
      </c>
      <c r="H54" s="7">
        <v>159.6482270966774</v>
      </c>
      <c r="I54" s="7">
        <v>156.73622798337621</v>
      </c>
      <c r="J54" s="7">
        <v>159.52391715598361</v>
      </c>
      <c r="K54" s="7">
        <v>156.68373128541231</v>
      </c>
      <c r="L54" s="7">
        <v>156.84025073937249</v>
      </c>
      <c r="M54" s="7">
        <v>150.10736953455569</v>
      </c>
      <c r="N54" s="7">
        <v>157.21943226462179</v>
      </c>
      <c r="O54" s="8">
        <f t="shared" si="1"/>
        <v>4.2292027279183255</v>
      </c>
    </row>
    <row r="55" spans="1:15" x14ac:dyDescent="0.3">
      <c r="A55" s="6">
        <v>46238.448331493048</v>
      </c>
      <c r="B55" s="7">
        <v>151.65282029545199</v>
      </c>
      <c r="C55" s="7">
        <v>158.54354692097931</v>
      </c>
      <c r="D55" s="7">
        <v>156.9703515172431</v>
      </c>
      <c r="E55" s="7">
        <v>142.86985815602841</v>
      </c>
      <c r="F55" s="7">
        <v>159.36517926919919</v>
      </c>
      <c r="G55" s="7">
        <v>149.2467885283244</v>
      </c>
      <c r="H55" s="7">
        <v>160.3343049900671</v>
      </c>
      <c r="I55" s="7">
        <v>158.34169799116981</v>
      </c>
      <c r="J55" s="7">
        <v>159.18814400161989</v>
      </c>
      <c r="K55" s="7">
        <v>153.94674256422479</v>
      </c>
      <c r="L55" s="7">
        <v>156.1727565517354</v>
      </c>
      <c r="M55" s="7">
        <v>148.93354566056229</v>
      </c>
      <c r="N55" s="7">
        <v>157.73405953003959</v>
      </c>
      <c r="O55" s="8">
        <f t="shared" si="1"/>
        <v>4.243046201358065</v>
      </c>
    </row>
    <row r="56" spans="1:15" x14ac:dyDescent="0.3">
      <c r="A56" s="6">
        <v>46238.448343252312</v>
      </c>
      <c r="B56" s="7">
        <v>152.96302995127351</v>
      </c>
      <c r="C56" s="7">
        <v>138.39673403828141</v>
      </c>
      <c r="D56" s="7">
        <v>145.9988264512431</v>
      </c>
      <c r="E56" s="7">
        <v>140.17407260464191</v>
      </c>
      <c r="F56" s="7">
        <v>158.73075776589519</v>
      </c>
      <c r="G56" s="7">
        <v>158.2597678415097</v>
      </c>
      <c r="H56" s="7">
        <v>160.10865298066389</v>
      </c>
      <c r="I56" s="7">
        <v>155.7604275060701</v>
      </c>
      <c r="J56" s="7">
        <v>158.69796525132401</v>
      </c>
      <c r="K56" s="7">
        <v>150.92497809870181</v>
      </c>
      <c r="L56" s="7">
        <v>156.56453292944531</v>
      </c>
      <c r="M56" s="7">
        <v>155.72927270083301</v>
      </c>
      <c r="N56" s="7">
        <v>157.33815608661999</v>
      </c>
      <c r="O56" s="8">
        <f t="shared" si="1"/>
        <v>4.2323963987300779</v>
      </c>
    </row>
    <row r="57" spans="1:15" x14ac:dyDescent="0.3">
      <c r="A57" s="6">
        <v>46238.448355</v>
      </c>
      <c r="B57" s="7">
        <v>152.8208872607234</v>
      </c>
      <c r="C57" s="7">
        <v>148.0100030312216</v>
      </c>
      <c r="D57" s="7">
        <v>157.36298999745651</v>
      </c>
      <c r="E57" s="7">
        <v>157.40157769052581</v>
      </c>
      <c r="F57" s="7">
        <v>157.95217999435721</v>
      </c>
      <c r="G57" s="7">
        <v>157.5294325435874</v>
      </c>
      <c r="H57" s="7">
        <v>153.55191091225669</v>
      </c>
      <c r="I57" s="7">
        <v>138.42779291553131</v>
      </c>
      <c r="J57" s="7">
        <v>156.9231337454664</v>
      </c>
      <c r="K57" s="7">
        <v>141.84199462805091</v>
      </c>
      <c r="L57" s="7">
        <v>158.93164681193161</v>
      </c>
      <c r="M57" s="7">
        <v>155.68247061115801</v>
      </c>
      <c r="N57" s="7">
        <v>156.728055514701</v>
      </c>
      <c r="O57" s="8">
        <f t="shared" si="1"/>
        <v>4.2159846933454563</v>
      </c>
    </row>
    <row r="58" spans="1:15" x14ac:dyDescent="0.3">
      <c r="A58" s="6">
        <v>46238.448366747682</v>
      </c>
      <c r="B58" s="7">
        <v>157.7977970545943</v>
      </c>
      <c r="C58" s="7">
        <v>156.07747282350331</v>
      </c>
      <c r="D58" s="7">
        <v>160.5846420165137</v>
      </c>
      <c r="E58" s="7">
        <v>157.7668097576375</v>
      </c>
      <c r="F58" s="7">
        <v>154.85298129043539</v>
      </c>
      <c r="G58" s="7">
        <v>158.8545720549123</v>
      </c>
      <c r="H58" s="7">
        <v>158.3360188642169</v>
      </c>
      <c r="I58" s="7">
        <v>160.23502756496131</v>
      </c>
      <c r="J58" s="7">
        <v>156.73995370268949</v>
      </c>
      <c r="K58" s="7">
        <v>153.14002378000961</v>
      </c>
      <c r="L58" s="7">
        <v>159.30182799122031</v>
      </c>
      <c r="M58" s="7">
        <v>156.4067411628709</v>
      </c>
      <c r="N58" s="7">
        <v>158.19219229055841</v>
      </c>
      <c r="O58" s="8">
        <f t="shared" si="1"/>
        <v>4.2553699726160206</v>
      </c>
    </row>
    <row r="59" spans="1:15" x14ac:dyDescent="0.3">
      <c r="A59" s="6">
        <v>46238.448378472232</v>
      </c>
      <c r="B59" s="7">
        <v>158.52085404462929</v>
      </c>
      <c r="C59" s="7">
        <v>148.1469819591974</v>
      </c>
      <c r="D59" s="7">
        <v>151.35298497584219</v>
      </c>
      <c r="E59" s="7">
        <v>141.00703502300641</v>
      </c>
      <c r="F59" s="7">
        <v>154.5400988146005</v>
      </c>
      <c r="G59" s="7">
        <v>161.34735753040681</v>
      </c>
      <c r="H59" s="7">
        <v>160.00955152215559</v>
      </c>
      <c r="I59" s="7">
        <v>159.27406749555951</v>
      </c>
      <c r="J59" s="7">
        <v>158.38834310168389</v>
      </c>
      <c r="K59" s="7">
        <v>156.16312040598049</v>
      </c>
      <c r="L59" s="7">
        <v>158.10329137212599</v>
      </c>
      <c r="M59" s="7">
        <v>157.77009886665061</v>
      </c>
      <c r="N59" s="7">
        <v>158.56877732115279</v>
      </c>
      <c r="O59" s="8">
        <f t="shared" si="1"/>
        <v>4.2655001099390102</v>
      </c>
    </row>
    <row r="60" spans="1:15" x14ac:dyDescent="0.3">
      <c r="A60" s="6">
        <v>46238.448390196761</v>
      </c>
      <c r="B60" s="7">
        <v>153.76159366422689</v>
      </c>
      <c r="C60" s="7">
        <v>157.4181896087849</v>
      </c>
      <c r="D60" s="7">
        <v>157.43309556287309</v>
      </c>
      <c r="E60" s="7">
        <v>158.57676143056</v>
      </c>
      <c r="F60" s="7">
        <v>156.7812039636872</v>
      </c>
      <c r="G60" s="7">
        <v>160.59279659349869</v>
      </c>
      <c r="H60" s="7">
        <v>159.59972489012679</v>
      </c>
      <c r="I60" s="7">
        <v>159.99226889225409</v>
      </c>
      <c r="J60" s="7">
        <v>155.4787374588343</v>
      </c>
      <c r="K60" s="7">
        <v>154.8217029376018</v>
      </c>
      <c r="L60" s="7">
        <v>156.38724407381409</v>
      </c>
      <c r="M60" s="7">
        <v>147.09133882281179</v>
      </c>
      <c r="N60" s="7">
        <v>157.89588673660839</v>
      </c>
      <c r="O60" s="8">
        <f t="shared" si="1"/>
        <v>4.2473993532147656</v>
      </c>
    </row>
    <row r="61" spans="1:15" x14ac:dyDescent="0.3">
      <c r="A61" s="6">
        <v>46238.448401956019</v>
      </c>
      <c r="B61" s="7">
        <v>155.26954129892749</v>
      </c>
      <c r="C61" s="7">
        <v>161.1804454910135</v>
      </c>
      <c r="D61" s="7">
        <v>158.63255911226409</v>
      </c>
      <c r="E61" s="7">
        <v>157.49371020644409</v>
      </c>
      <c r="F61" s="7">
        <v>159.69536155929171</v>
      </c>
      <c r="G61" s="7">
        <v>154.2322493866215</v>
      </c>
      <c r="H61" s="7">
        <v>153.58460480111711</v>
      </c>
      <c r="I61" s="7">
        <v>159.9511565337618</v>
      </c>
      <c r="J61" s="7">
        <v>156.42339779324129</v>
      </c>
      <c r="K61" s="7">
        <v>151.7309862512914</v>
      </c>
      <c r="L61" s="7">
        <v>148.58625650733549</v>
      </c>
      <c r="M61" s="7">
        <v>149.954797588286</v>
      </c>
      <c r="N61" s="7">
        <v>158.2725012624791</v>
      </c>
      <c r="O61" s="8">
        <f t="shared" si="1"/>
        <v>4.2575302839606879</v>
      </c>
    </row>
    <row r="62" spans="1:15" x14ac:dyDescent="0.3">
      <c r="A62" s="6">
        <v>46238.448413564824</v>
      </c>
      <c r="B62" s="7">
        <v>158.4500400549891</v>
      </c>
      <c r="C62" s="7">
        <v>159.45241514578319</v>
      </c>
      <c r="D62" s="7">
        <v>160.59877149099199</v>
      </c>
      <c r="E62" s="7">
        <v>160.02341375168669</v>
      </c>
      <c r="F62" s="7">
        <v>160.01362634144419</v>
      </c>
      <c r="G62" s="7">
        <v>155.74313113368629</v>
      </c>
      <c r="H62" s="7">
        <v>156.75525227191301</v>
      </c>
      <c r="I62" s="7">
        <v>136.43872572467231</v>
      </c>
      <c r="J62" s="7">
        <v>156.08400120912069</v>
      </c>
      <c r="K62" s="7">
        <v>151.17791286212071</v>
      </c>
      <c r="L62" s="7">
        <v>157.37486080178181</v>
      </c>
      <c r="M62" s="7">
        <v>156.14558628579729</v>
      </c>
      <c r="N62" s="7">
        <v>158.59576706891499</v>
      </c>
      <c r="O62" s="8">
        <f t="shared" si="1"/>
        <v>4.2662261341538139</v>
      </c>
    </row>
    <row r="63" spans="1:15" x14ac:dyDescent="0.3">
      <c r="A63" s="6">
        <v>46238.448425312497</v>
      </c>
      <c r="B63" s="7">
        <v>157.9433306024799</v>
      </c>
      <c r="C63" s="7">
        <v>159.73897887264289</v>
      </c>
      <c r="D63" s="7">
        <v>152.92780598689259</v>
      </c>
      <c r="E63" s="7">
        <v>160.7753436573613</v>
      </c>
      <c r="F63" s="7">
        <v>156.49715078640341</v>
      </c>
      <c r="G63" s="7">
        <v>149.04067298268541</v>
      </c>
      <c r="H63" s="7">
        <v>158.34846988103749</v>
      </c>
      <c r="I63" s="7">
        <v>151.83562449253861</v>
      </c>
      <c r="J63" s="7">
        <v>151.69341920568081</v>
      </c>
      <c r="K63" s="7">
        <v>147.73005071159821</v>
      </c>
      <c r="L63" s="7">
        <v>158.6299996178636</v>
      </c>
      <c r="M63" s="7">
        <v>159.02765148383901</v>
      </c>
      <c r="N63" s="7">
        <v>157.8677178495588</v>
      </c>
      <c r="O63" s="8">
        <f t="shared" si="1"/>
        <v>4.246641610153131</v>
      </c>
    </row>
    <row r="64" spans="1:15" x14ac:dyDescent="0.3">
      <c r="A64" s="6">
        <v>46238.44843704861</v>
      </c>
      <c r="B64" s="7">
        <v>159.4099558349393</v>
      </c>
      <c r="C64" s="7">
        <v>160.17024828590661</v>
      </c>
      <c r="D64" s="7">
        <v>159.1253946318829</v>
      </c>
      <c r="E64" s="7">
        <v>159.29171811083819</v>
      </c>
      <c r="F64" s="7">
        <v>156.2387230597399</v>
      </c>
      <c r="G64" s="7">
        <v>154.07045478670969</v>
      </c>
      <c r="H64" s="7">
        <v>155.60772526750151</v>
      </c>
      <c r="I64" s="7">
        <v>155.27891485523679</v>
      </c>
      <c r="J64" s="7">
        <v>153.29277785194239</v>
      </c>
      <c r="K64" s="7">
        <v>141.43280015605191</v>
      </c>
      <c r="L64" s="7">
        <v>159.2706720334636</v>
      </c>
      <c r="M64" s="7">
        <v>156.76085426591601</v>
      </c>
      <c r="N64" s="7">
        <v>157.88240970756519</v>
      </c>
      <c r="O64" s="8">
        <f t="shared" si="1"/>
        <v>4.247036821133503</v>
      </c>
    </row>
    <row r="65" spans="1:15" x14ac:dyDescent="0.3">
      <c r="A65" s="6">
        <v>46238.448448784722</v>
      </c>
      <c r="B65" s="7">
        <v>159.61276983387751</v>
      </c>
      <c r="C65" s="7">
        <v>160.0176461566594</v>
      </c>
      <c r="D65" s="7">
        <v>159.5907991339366</v>
      </c>
      <c r="E65" s="7">
        <v>159.2085134503607</v>
      </c>
      <c r="F65" s="7">
        <v>159.45648978628441</v>
      </c>
      <c r="G65" s="7">
        <v>157.09540474438771</v>
      </c>
      <c r="H65" s="7">
        <v>149.48344694130159</v>
      </c>
      <c r="I65" s="7">
        <v>157.62932165634251</v>
      </c>
      <c r="J65" s="7">
        <v>147.54777145566621</v>
      </c>
      <c r="K65" s="7">
        <v>148.6372850500627</v>
      </c>
      <c r="L65" s="7">
        <v>150.06510375415809</v>
      </c>
      <c r="M65" s="7">
        <v>137.10275701388221</v>
      </c>
      <c r="N65" s="7">
        <v>157.4450179437822</v>
      </c>
      <c r="O65" s="8">
        <f t="shared" si="1"/>
        <v>4.2352709826877408</v>
      </c>
    </row>
    <row r="66" spans="1:15" x14ac:dyDescent="0.3">
      <c r="A66" s="6">
        <v>46238.448460509258</v>
      </c>
      <c r="B66" s="7">
        <v>159.4432772210898</v>
      </c>
      <c r="C66" s="7">
        <v>158.259956205848</v>
      </c>
      <c r="D66" s="7">
        <v>159.06232918632011</v>
      </c>
      <c r="E66" s="7">
        <v>157.25290981981581</v>
      </c>
      <c r="F66" s="7">
        <v>154.49343502141971</v>
      </c>
      <c r="G66" s="7">
        <v>153.7485794642551</v>
      </c>
      <c r="H66" s="7">
        <v>152.02491421370371</v>
      </c>
      <c r="I66" s="7">
        <v>156.90546546106819</v>
      </c>
      <c r="J66" s="7">
        <v>157.98837481014141</v>
      </c>
      <c r="K66" s="7">
        <v>153.13950545931681</v>
      </c>
      <c r="L66" s="7">
        <v>152.98363365628711</v>
      </c>
      <c r="M66" s="7">
        <v>149.95575112817269</v>
      </c>
      <c r="N66" s="7">
        <v>156.76754944377549</v>
      </c>
      <c r="O66" s="8">
        <f t="shared" si="1"/>
        <v>4.2170470800375606</v>
      </c>
    </row>
    <row r="67" spans="1:15" x14ac:dyDescent="0.3">
      <c r="A67" s="6">
        <v>46238.448472164353</v>
      </c>
      <c r="B67" s="7">
        <v>157.83619425792901</v>
      </c>
      <c r="C67" s="7">
        <v>159.00569100689069</v>
      </c>
      <c r="D67" s="7">
        <v>158.8652115907735</v>
      </c>
      <c r="E67" s="7">
        <v>158.14774311659659</v>
      </c>
      <c r="F67" s="7">
        <v>158.58378715728099</v>
      </c>
      <c r="G67" s="7">
        <v>155.45314634902809</v>
      </c>
      <c r="H67" s="7">
        <v>155.89497002866821</v>
      </c>
      <c r="I67" s="7">
        <v>150.90005535919599</v>
      </c>
      <c r="J67" s="7">
        <v>145.7520534025798</v>
      </c>
      <c r="K67" s="7">
        <v>148.18108441743419</v>
      </c>
      <c r="L67" s="7">
        <v>150.3503184713376</v>
      </c>
      <c r="M67" s="7">
        <v>148.60889242036899</v>
      </c>
      <c r="N67" s="7">
        <v>156.59118808836749</v>
      </c>
      <c r="O67" s="8">
        <f t="shared" si="1"/>
        <v>4.2123029595770856</v>
      </c>
    </row>
    <row r="68" spans="1:15" x14ac:dyDescent="0.3">
      <c r="A68" s="6">
        <v>46238.448483865737</v>
      </c>
      <c r="B68" s="7">
        <v>154.93983913932919</v>
      </c>
      <c r="C68" s="7">
        <v>158.299441652708</v>
      </c>
      <c r="D68" s="7">
        <v>155.5148192631049</v>
      </c>
      <c r="E68" s="7">
        <v>155.97385097190781</v>
      </c>
      <c r="F68" s="7">
        <v>153.9004956692813</v>
      </c>
      <c r="G68" s="7">
        <v>153.94368950708289</v>
      </c>
      <c r="H68" s="7">
        <v>152.0009569550773</v>
      </c>
      <c r="I68" s="7">
        <v>156.16923185505209</v>
      </c>
      <c r="J68" s="7">
        <v>152.57412938873711</v>
      </c>
      <c r="K68" s="7">
        <v>150.7076038448335</v>
      </c>
      <c r="L68" s="7">
        <v>148.5775717062202</v>
      </c>
      <c r="M68" s="7">
        <v>150.91273623873619</v>
      </c>
      <c r="N68" s="7">
        <v>154.3314807133969</v>
      </c>
      <c r="O68" s="8">
        <f t="shared" si="1"/>
        <v>4.151516831190377</v>
      </c>
    </row>
    <row r="69" spans="1:15" x14ac:dyDescent="0.3">
      <c r="A69" s="6">
        <v>46238.448495613433</v>
      </c>
      <c r="B69" s="7">
        <v>148.31031515336949</v>
      </c>
      <c r="C69" s="7">
        <v>156.53221447823461</v>
      </c>
      <c r="D69" s="7">
        <v>150.900602472956</v>
      </c>
      <c r="E69" s="7">
        <v>153.57111180703291</v>
      </c>
      <c r="F69" s="7">
        <v>150.31145798737961</v>
      </c>
      <c r="G69" s="7">
        <v>149.365201265287</v>
      </c>
      <c r="H69" s="7">
        <v>154.6749781617844</v>
      </c>
      <c r="I69" s="7">
        <v>152.1099344722677</v>
      </c>
      <c r="J69" s="7">
        <v>150.66256661223841</v>
      </c>
      <c r="K69" s="7">
        <v>150.11911808052821</v>
      </c>
      <c r="L69" s="7">
        <v>150.19393209334609</v>
      </c>
      <c r="M69" s="7">
        <v>150.4151991865443</v>
      </c>
      <c r="N69" s="7">
        <v>151.79891294749299</v>
      </c>
      <c r="O69" s="8">
        <f t="shared" si="1"/>
        <v>4.0833907582875613</v>
      </c>
    </row>
    <row r="70" spans="1:15" x14ac:dyDescent="0.3">
      <c r="A70" s="6">
        <v>46238.448507465277</v>
      </c>
      <c r="B70" s="7">
        <v>151.5645612998523</v>
      </c>
      <c r="C70" s="7">
        <v>152.01314296193721</v>
      </c>
      <c r="D70" s="7">
        <v>153.2937821234656</v>
      </c>
      <c r="E70" s="7">
        <v>151.5663280753727</v>
      </c>
      <c r="F70" s="7">
        <v>152.52107050757911</v>
      </c>
      <c r="G70" s="7">
        <v>151.63364452900311</v>
      </c>
      <c r="H70" s="7">
        <v>151.6756712911166</v>
      </c>
      <c r="I70" s="7">
        <v>151.55533865569501</v>
      </c>
      <c r="J70" s="7">
        <v>153.11177084991459</v>
      </c>
      <c r="K70" s="7">
        <v>151.30597487016499</v>
      </c>
      <c r="L70" s="7">
        <v>149.97584776594601</v>
      </c>
      <c r="M70" s="7">
        <v>151.13640855610379</v>
      </c>
      <c r="N70" s="7">
        <v>151.93890317302629</v>
      </c>
      <c r="O70" s="8">
        <f t="shared" ref="O70:O101" si="2">N70*$B$2/100</f>
        <v>4.0871564953544075</v>
      </c>
    </row>
    <row r="71" spans="1:15" x14ac:dyDescent="0.3">
      <c r="A71" s="6">
        <v>46238.448519166668</v>
      </c>
      <c r="B71" s="7">
        <v>155.17798543084351</v>
      </c>
      <c r="C71" s="7">
        <v>150.79276891073431</v>
      </c>
      <c r="D71" s="7">
        <v>155.0023567195388</v>
      </c>
      <c r="E71" s="7">
        <v>146.31451710383169</v>
      </c>
      <c r="F71" s="7">
        <v>150.17485652587229</v>
      </c>
      <c r="G71" s="7">
        <v>126.7969016715514</v>
      </c>
      <c r="H71" s="7">
        <v>148.0604205193554</v>
      </c>
      <c r="I71" s="7">
        <v>116.5121598346538</v>
      </c>
      <c r="J71" s="7">
        <v>143.37427866261831</v>
      </c>
      <c r="K71" s="7">
        <v>126.7027824151363</v>
      </c>
      <c r="L71" s="7">
        <v>127.92840699815839</v>
      </c>
      <c r="M71" s="7">
        <v>97.89981048641819</v>
      </c>
      <c r="N71" s="7">
        <v>147.77441722345961</v>
      </c>
      <c r="O71" s="8">
        <f t="shared" si="2"/>
        <v>3.9751318233110635</v>
      </c>
    </row>
    <row r="72" spans="1:15" x14ac:dyDescent="0.3">
      <c r="A72" s="6">
        <v>46238.448530856484</v>
      </c>
      <c r="B72" s="7">
        <v>158.12194820661611</v>
      </c>
      <c r="C72" s="7">
        <v>148.23400656974661</v>
      </c>
      <c r="D72" s="7">
        <v>154.03567648875881</v>
      </c>
      <c r="E72" s="7">
        <v>144.41405206095769</v>
      </c>
      <c r="F72" s="7">
        <v>139.9898357083465</v>
      </c>
      <c r="G72" s="7">
        <v>140.86862959420691</v>
      </c>
      <c r="H72" s="7">
        <v>138.5892452692336</v>
      </c>
      <c r="I72" s="7">
        <v>120.5659749837322</v>
      </c>
      <c r="J72" s="7">
        <v>136.5321938237868</v>
      </c>
      <c r="K72" s="7">
        <v>145.62624289001781</v>
      </c>
      <c r="L72" s="7">
        <v>130.7136733020204</v>
      </c>
      <c r="M72" s="7">
        <v>141.961332338376</v>
      </c>
      <c r="N72" s="7">
        <v>148.70104093368599</v>
      </c>
      <c r="O72" s="8">
        <f t="shared" si="2"/>
        <v>4.0000580011161535</v>
      </c>
    </row>
    <row r="73" spans="1:15" x14ac:dyDescent="0.3">
      <c r="A73" s="6">
        <v>46238.448542592603</v>
      </c>
      <c r="B73" s="7">
        <v>146.8446774866199</v>
      </c>
      <c r="C73" s="7">
        <v>148.52183451254251</v>
      </c>
      <c r="D73" s="7">
        <v>153.11985942723649</v>
      </c>
      <c r="E73" s="7">
        <v>154.45664819562759</v>
      </c>
      <c r="F73" s="7">
        <v>152.88622056423409</v>
      </c>
      <c r="G73" s="7">
        <v>151.99289933883651</v>
      </c>
      <c r="H73" s="7">
        <v>151.84294798417051</v>
      </c>
      <c r="I73" s="7">
        <v>152.7455139420025</v>
      </c>
      <c r="J73" s="7">
        <v>151.35384783958509</v>
      </c>
      <c r="K73" s="7">
        <v>151.61054565388091</v>
      </c>
      <c r="L73" s="7">
        <v>146.66374153126119</v>
      </c>
      <c r="M73" s="7">
        <v>145.30439933474591</v>
      </c>
      <c r="N73" s="7">
        <v>151.49992952310629</v>
      </c>
      <c r="O73" s="8">
        <f t="shared" si="2"/>
        <v>4.0753481041715585</v>
      </c>
    </row>
    <row r="74" spans="1:15" x14ac:dyDescent="0.3">
      <c r="A74" s="6">
        <v>46238.448554282397</v>
      </c>
      <c r="B74" s="7">
        <v>152.9916274978406</v>
      </c>
      <c r="C74" s="7">
        <v>152.84821870001451</v>
      </c>
      <c r="D74" s="7">
        <v>144.43787912534231</v>
      </c>
      <c r="E74" s="7">
        <v>159.32391438101101</v>
      </c>
      <c r="F74" s="7">
        <v>145.5418650563233</v>
      </c>
      <c r="G74" s="7">
        <v>139.89280348778979</v>
      </c>
      <c r="H74" s="7">
        <v>146.44536590170389</v>
      </c>
      <c r="I74" s="7">
        <v>119.3814319126819</v>
      </c>
      <c r="J74" s="7">
        <v>151.53479310344829</v>
      </c>
      <c r="K74" s="7">
        <v>135.91173637864611</v>
      </c>
      <c r="L74" s="7">
        <v>139.7241922543943</v>
      </c>
      <c r="M74" s="7">
        <v>110.34081663402139</v>
      </c>
      <c r="N74" s="7">
        <v>149.05266850142999</v>
      </c>
      <c r="O74" s="8">
        <f t="shared" si="2"/>
        <v>4.0095167826884666</v>
      </c>
    </row>
    <row r="75" spans="1:15" x14ac:dyDescent="0.3">
      <c r="A75" s="6">
        <v>46238.448566006948</v>
      </c>
      <c r="B75" s="7">
        <v>129.2394972636549</v>
      </c>
      <c r="C75" s="7">
        <v>131.5242734812218</v>
      </c>
      <c r="D75" s="7">
        <v>147.8822040685568</v>
      </c>
      <c r="E75" s="7">
        <v>150.89545710231801</v>
      </c>
      <c r="F75" s="7">
        <v>147.64885968303051</v>
      </c>
      <c r="G75" s="7">
        <v>144.71950530700619</v>
      </c>
      <c r="H75" s="7">
        <v>155.09038550308509</v>
      </c>
      <c r="I75" s="7">
        <v>117.8955250650166</v>
      </c>
      <c r="J75" s="7">
        <v>138.15444094007529</v>
      </c>
      <c r="K75" s="7">
        <v>138.15146331486369</v>
      </c>
      <c r="L75" s="7">
        <v>148.55063897591589</v>
      </c>
      <c r="M75" s="7">
        <v>134.54755279096409</v>
      </c>
      <c r="N75" s="7">
        <v>145.91953134660571</v>
      </c>
      <c r="O75" s="8">
        <f t="shared" si="2"/>
        <v>3.9252353932236934</v>
      </c>
    </row>
    <row r="76" spans="1:15" x14ac:dyDescent="0.3">
      <c r="A76" s="6">
        <v>46238.448577685187</v>
      </c>
      <c r="B76" s="7">
        <v>150.82605007696901</v>
      </c>
      <c r="C76" s="7">
        <v>138.1271971335857</v>
      </c>
      <c r="D76" s="7">
        <v>125.0763712415949</v>
      </c>
      <c r="E76" s="7">
        <v>159.34029987652141</v>
      </c>
      <c r="F76" s="7">
        <v>119.2824319801081</v>
      </c>
      <c r="G76" s="7">
        <v>113.586963472753</v>
      </c>
      <c r="H76" s="7">
        <v>144.55930864031481</v>
      </c>
      <c r="I76" s="7">
        <v>105.353531618152</v>
      </c>
      <c r="J76" s="7">
        <v>145.5235842242127</v>
      </c>
      <c r="K76" s="7">
        <v>108.5960412274537</v>
      </c>
      <c r="L76" s="7">
        <v>120.4114104065585</v>
      </c>
      <c r="M76" s="7">
        <v>130.46603522273199</v>
      </c>
      <c r="N76" s="7">
        <v>140.027964669494</v>
      </c>
      <c r="O76" s="8">
        <f t="shared" si="2"/>
        <v>3.7667522496093886</v>
      </c>
    </row>
    <row r="77" spans="1:15" x14ac:dyDescent="0.3">
      <c r="A77" s="6">
        <v>46238.448589409723</v>
      </c>
      <c r="B77" s="7">
        <v>149.25959035871901</v>
      </c>
      <c r="C77" s="7">
        <v>152.17042932406679</v>
      </c>
      <c r="D77" s="7">
        <v>154.33231287406409</v>
      </c>
      <c r="E77" s="7">
        <v>117.23469734272859</v>
      </c>
      <c r="F77" s="7">
        <v>130.669261836407</v>
      </c>
      <c r="G77" s="7">
        <v>136.34130889530829</v>
      </c>
      <c r="H77" s="7">
        <v>137.9471593390339</v>
      </c>
      <c r="I77" s="7">
        <v>136.25977011494251</v>
      </c>
      <c r="J77" s="7">
        <v>149.76498891712171</v>
      </c>
      <c r="K77" s="7">
        <v>145.65267841934929</v>
      </c>
      <c r="L77" s="7">
        <v>134.13963344935209</v>
      </c>
      <c r="M77" s="7">
        <v>141.19104156712851</v>
      </c>
      <c r="N77" s="7">
        <v>145.02661882618099</v>
      </c>
      <c r="O77" s="8">
        <f t="shared" si="2"/>
        <v>3.9012160464242687</v>
      </c>
    </row>
  </sheetData>
  <phoneticPr fontId="9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2"/>
  <sheetViews>
    <sheetView workbookViewId="0"/>
  </sheetViews>
  <sheetFormatPr defaultRowHeight="16.5" x14ac:dyDescent="0.3"/>
  <cols>
    <col min="1" max="1" width="32" customWidth="1"/>
    <col min="2" max="3" width="14" customWidth="1"/>
    <col min="4" max="4" width="9" customWidth="1"/>
    <col min="5" max="5" width="56" customWidth="1"/>
    <col min="6" max="6" width="11" customWidth="1"/>
    <col min="7" max="7" width="12" customWidth="1"/>
    <col min="8" max="8" width="13" customWidth="1"/>
  </cols>
  <sheetData>
    <row r="1" spans="1:8" x14ac:dyDescent="0.3">
      <c r="A1" s="1" t="s">
        <v>19</v>
      </c>
    </row>
    <row r="2" spans="1:8" x14ac:dyDescent="0.3">
      <c r="A2" s="4" t="s">
        <v>20</v>
      </c>
    </row>
    <row r="3" spans="1:8" x14ac:dyDescent="0.3">
      <c r="A3" s="4" t="s">
        <v>21</v>
      </c>
    </row>
    <row r="5" spans="1:8" x14ac:dyDescent="0.3">
      <c r="A5" s="5" t="s">
        <v>22</v>
      </c>
      <c r="B5" s="5" t="s">
        <v>23</v>
      </c>
      <c r="C5" s="5" t="s">
        <v>24</v>
      </c>
      <c r="D5" s="5" t="s">
        <v>25</v>
      </c>
      <c r="E5" s="5" t="s">
        <v>26</v>
      </c>
      <c r="F5" s="5" t="s">
        <v>27</v>
      </c>
      <c r="G5" s="5" t="s">
        <v>28</v>
      </c>
      <c r="H5" s="5" t="s">
        <v>29</v>
      </c>
    </row>
    <row r="6" spans="1:8" x14ac:dyDescent="0.3">
      <c r="A6" s="9" t="s">
        <v>30</v>
      </c>
      <c r="B6" s="10">
        <v>46238.447785961733</v>
      </c>
      <c r="C6" s="10">
        <v>46238.448092034661</v>
      </c>
      <c r="D6" s="11">
        <f t="shared" ref="D6:D22" si="0">(C6-B6)*86400</f>
        <v>26.444701035507023</v>
      </c>
      <c r="E6" s="12" t="s">
        <v>31</v>
      </c>
      <c r="F6" s="13">
        <f>COUNTIFS('클럭 정리'!$A$6:$A$77,"&gt;="&amp;B6,'클럭 정리'!$A$6:$A$77,"&lt;="&amp;C6)</f>
        <v>26</v>
      </c>
      <c r="G6" s="14">
        <f>AVERAGEIFS('클럭 정리'!$N$6:$N$77,'클럭 정리'!$A$6:$A$77,"&gt;="&amp;B6,'클럭 정리'!$A$6:$A$77,"&lt;="&amp;C6)</f>
        <v>155.15966123701472</v>
      </c>
      <c r="H6" s="15">
        <f>G6*'클럭 정리'!$B$2/100</f>
        <v>4.1737948872756956</v>
      </c>
    </row>
    <row r="7" spans="1:8" x14ac:dyDescent="0.3">
      <c r="A7" s="9" t="s">
        <v>32</v>
      </c>
      <c r="B7" s="10">
        <v>46238.448092034661</v>
      </c>
      <c r="C7" s="10">
        <v>46238.448287675426</v>
      </c>
      <c r="D7" s="11">
        <f t="shared" si="0"/>
        <v>16.903362097218633</v>
      </c>
      <c r="E7" s="12" t="s">
        <v>33</v>
      </c>
      <c r="F7" s="13">
        <f>COUNTIFS('클럭 정리'!$A$6:$A$77,"&gt;="&amp;B7,'클럭 정리'!$A$6:$A$77,"&lt;="&amp;C7)</f>
        <v>17</v>
      </c>
      <c r="G7" s="14">
        <f>AVERAGEIFS('클럭 정리'!$N$6:$N$77,'클럭 정리'!$A$6:$A$77,"&gt;="&amp;B7,'클럭 정리'!$A$6:$A$77,"&lt;="&amp;C7)</f>
        <v>157.35758141274434</v>
      </c>
      <c r="H7" s="15">
        <f>G7*'클럭 정리'!$B$2/100</f>
        <v>4.232918940002822</v>
      </c>
    </row>
    <row r="8" spans="1:8" x14ac:dyDescent="0.3">
      <c r="A8" s="13" t="s">
        <v>34</v>
      </c>
      <c r="B8" s="10">
        <v>46238.448092034661</v>
      </c>
      <c r="C8" s="10">
        <v>46238.448141562498</v>
      </c>
      <c r="D8" s="11">
        <f t="shared" si="0"/>
        <v>4.2792050633579493</v>
      </c>
      <c r="E8" s="12" t="s">
        <v>35</v>
      </c>
      <c r="F8" s="13">
        <f>COUNTIFS('클럭 정리'!$A$6:$A$77,"&gt;="&amp;B8,'클럭 정리'!$A$6:$A$77,"&lt;="&amp;C8)</f>
        <v>4</v>
      </c>
      <c r="G8" s="14">
        <f>AVERAGEIFS('클럭 정리'!$N$6:$N$77,'클럭 정리'!$A$6:$A$77,"&gt;="&amp;B8,'클럭 정리'!$A$6:$A$77,"&lt;="&amp;C8)</f>
        <v>157.56100589828864</v>
      </c>
      <c r="H8" s="15">
        <f>G8*'클럭 정리'!$B$2/100</f>
        <v>4.2383910586639644</v>
      </c>
    </row>
    <row r="9" spans="1:8" x14ac:dyDescent="0.3">
      <c r="A9" s="13" t="s">
        <v>36</v>
      </c>
      <c r="B9" s="10">
        <v>46238.448141562498</v>
      </c>
      <c r="C9" s="10">
        <v>46238.448166188216</v>
      </c>
      <c r="D9" s="11">
        <f t="shared" si="0"/>
        <v>2.1276620915159583</v>
      </c>
      <c r="E9" s="12" t="s">
        <v>37</v>
      </c>
      <c r="F9" s="13">
        <f>COUNTIFS('클럭 정리'!$A$6:$A$77,"&gt;="&amp;B9,'클럭 정리'!$A$6:$A$77,"&lt;="&amp;C9)</f>
        <v>2</v>
      </c>
      <c r="G9" s="14">
        <f>AVERAGEIFS('클럭 정리'!$N$6:$N$77,'클럭 정리'!$A$6:$A$77,"&gt;="&amp;B9,'클럭 정리'!$A$6:$A$77,"&lt;="&amp;C9)</f>
        <v>157.15181884537594</v>
      </c>
      <c r="H9" s="15">
        <f>G9*'클럭 정리'!$B$2/100</f>
        <v>4.2273839269406128</v>
      </c>
    </row>
    <row r="10" spans="1:8" x14ac:dyDescent="0.3">
      <c r="A10" s="13" t="s">
        <v>38</v>
      </c>
      <c r="B10" s="10">
        <v>46238.448166192131</v>
      </c>
      <c r="C10" s="10">
        <v>46238.448190156058</v>
      </c>
      <c r="D10" s="11">
        <f t="shared" si="0"/>
        <v>2.0704832626506686</v>
      </c>
      <c r="E10" s="12" t="s">
        <v>39</v>
      </c>
      <c r="F10" s="13">
        <f>COUNTIFS('클럭 정리'!$A$6:$A$77,"&gt;="&amp;B10,'클럭 정리'!$A$6:$A$77,"&lt;="&amp;C10)</f>
        <v>2</v>
      </c>
      <c r="G10" s="14">
        <f>AVERAGEIFS('클럭 정리'!$N$6:$N$77,'클럭 정리'!$A$6:$A$77,"&gt;="&amp;B10,'클럭 정리'!$A$6:$A$77,"&lt;="&amp;C10)</f>
        <v>158.06190518891424</v>
      </c>
      <c r="H10" s="15">
        <f>G10*'클럭 정리'!$B$2/100</f>
        <v>4.251865249581793</v>
      </c>
    </row>
    <row r="11" spans="1:8" x14ac:dyDescent="0.3">
      <c r="A11" s="13" t="s">
        <v>40</v>
      </c>
      <c r="B11" s="10">
        <v>46238.448190162038</v>
      </c>
      <c r="C11" s="10">
        <v>46238.448214549528</v>
      </c>
      <c r="D11" s="11">
        <f t="shared" si="0"/>
        <v>2.1070790709927678</v>
      </c>
      <c r="E11" s="12" t="s">
        <v>41</v>
      </c>
      <c r="F11" s="13">
        <f>COUNTIFS('클럭 정리'!$A$6:$A$77,"&gt;="&amp;B11,'클럭 정리'!$A$6:$A$77,"&lt;="&amp;C11)</f>
        <v>3</v>
      </c>
      <c r="G11" s="14">
        <f>AVERAGEIFS('클럭 정리'!$N$6:$N$77,'클럭 정리'!$A$6:$A$77,"&gt;="&amp;B11,'클럭 정리'!$A$6:$A$77,"&lt;="&amp;C11)</f>
        <v>157.80027035433929</v>
      </c>
      <c r="H11" s="15">
        <f>G11*'클럭 정리'!$B$2/100</f>
        <v>4.2448272725317269</v>
      </c>
    </row>
    <row r="12" spans="1:8" x14ac:dyDescent="0.3">
      <c r="A12" s="13" t="s">
        <v>42</v>
      </c>
      <c r="B12" s="10">
        <v>46238.448214560187</v>
      </c>
      <c r="C12" s="10">
        <v>46238.44823846472</v>
      </c>
      <c r="D12" s="11">
        <f t="shared" si="0"/>
        <v>2.065351651981473</v>
      </c>
      <c r="E12" s="12" t="s">
        <v>43</v>
      </c>
      <c r="F12" s="13">
        <f>COUNTIFS('클럭 정리'!$A$6:$A$77,"&gt;="&amp;B12,'클럭 정리'!$A$6:$A$77,"&lt;="&amp;C12)</f>
        <v>2</v>
      </c>
      <c r="G12" s="14">
        <f>AVERAGEIFS('클럭 정리'!$N$6:$N$77,'클럭 정리'!$A$6:$A$77,"&gt;="&amp;B12,'클럭 정리'!$A$6:$A$77,"&lt;="&amp;C12)</f>
        <v>157.75168210934771</v>
      </c>
      <c r="H12" s="15">
        <f>G12*'클럭 정리'!$B$2/100</f>
        <v>4.2435202487414534</v>
      </c>
    </row>
    <row r="13" spans="1:8" x14ac:dyDescent="0.3">
      <c r="A13" s="13" t="s">
        <v>44</v>
      </c>
      <c r="B13" s="10">
        <v>46238.448238472221</v>
      </c>
      <c r="C13" s="10">
        <v>46238.448262852107</v>
      </c>
      <c r="D13" s="11">
        <f t="shared" si="0"/>
        <v>2.1064221393316984</v>
      </c>
      <c r="E13" s="12" t="s">
        <v>45</v>
      </c>
      <c r="F13" s="13">
        <f>COUNTIFS('클럭 정리'!$A$6:$A$77,"&gt;="&amp;B13,'클럭 정리'!$A$6:$A$77,"&lt;="&amp;C13)</f>
        <v>2</v>
      </c>
      <c r="G13" s="14">
        <f>AVERAGEIFS('클럭 정리'!$N$6:$N$77,'클럭 정리'!$A$6:$A$77,"&gt;="&amp;B13,'클럭 정리'!$A$6:$A$77,"&lt;="&amp;C13)</f>
        <v>156.97630520411218</v>
      </c>
      <c r="H13" s="15">
        <f>G13*'클럭 정리'!$B$2/100</f>
        <v>4.2226626099906177</v>
      </c>
    </row>
    <row r="14" spans="1:8" x14ac:dyDescent="0.3">
      <c r="A14" s="13" t="s">
        <v>46</v>
      </c>
      <c r="B14" s="10">
        <v>46238.448262852107</v>
      </c>
      <c r="C14" s="10">
        <v>46238.448287675426</v>
      </c>
      <c r="D14" s="11">
        <f t="shared" si="0"/>
        <v>2.1447347709909081</v>
      </c>
      <c r="E14" s="12" t="s">
        <v>47</v>
      </c>
      <c r="F14" s="13">
        <f>COUNTIFS('클럭 정리'!$A$6:$A$77,"&gt;="&amp;B14,'클럭 정리'!$A$6:$A$77,"&lt;="&amp;C14)</f>
        <v>2</v>
      </c>
      <c r="G14" s="14">
        <f>AVERAGEIFS('클럭 정리'!$N$6:$N$77,'클럭 정리'!$A$6:$A$77,"&gt;="&amp;B14,'클럭 정리'!$A$6:$A$77,"&lt;="&amp;C14)</f>
        <v>155.77531333249033</v>
      </c>
      <c r="H14" s="15">
        <f>G14*'클럭 정리'!$B$2/100</f>
        <v>4.1903559286439895</v>
      </c>
    </row>
    <row r="15" spans="1:8" x14ac:dyDescent="0.3">
      <c r="A15" s="9" t="s">
        <v>48</v>
      </c>
      <c r="B15" s="10">
        <v>46238.448287675426</v>
      </c>
      <c r="C15" s="10">
        <v>46238.448484620283</v>
      </c>
      <c r="D15" s="11">
        <f t="shared" si="0"/>
        <v>17.016035621054471</v>
      </c>
      <c r="E15" s="12" t="s">
        <v>33</v>
      </c>
      <c r="F15" s="13">
        <f>COUNTIFS('클럭 정리'!$A$6:$A$77,"&gt;="&amp;B15,'클럭 정리'!$A$6:$A$77,"&lt;="&amp;C15)</f>
        <v>17</v>
      </c>
      <c r="G15" s="14">
        <f>AVERAGEIFS('클럭 정리'!$N$6:$N$77,'클럭 정리'!$A$6:$A$77,"&gt;="&amp;B15,'클럭 정리'!$A$6:$A$77,"&lt;="&amp;C15)</f>
        <v>157.36232871681085</v>
      </c>
      <c r="H15" s="15">
        <f>G15*'클럭 정리'!$B$2/100</f>
        <v>4.2330466424822113</v>
      </c>
    </row>
    <row r="16" spans="1:8" x14ac:dyDescent="0.3">
      <c r="A16" s="13" t="s">
        <v>49</v>
      </c>
      <c r="B16" s="10">
        <v>46238.448287675426</v>
      </c>
      <c r="C16" s="10">
        <v>46238.448336979163</v>
      </c>
      <c r="D16" s="11">
        <f t="shared" si="0"/>
        <v>4.2598428670316935</v>
      </c>
      <c r="E16" s="12" t="s">
        <v>35</v>
      </c>
      <c r="F16" s="13">
        <f>COUNTIFS('클럭 정리'!$A$6:$A$77,"&gt;="&amp;B16,'클럭 정리'!$A$6:$A$77,"&lt;="&amp;C16)</f>
        <v>4</v>
      </c>
      <c r="G16" s="14">
        <f>AVERAGEIFS('클럭 정리'!$N$6:$N$77,'클럭 정리'!$A$6:$A$77,"&gt;="&amp;B16,'클럭 정리'!$A$6:$A$77,"&lt;="&amp;C16)</f>
        <v>157.17072203957599</v>
      </c>
      <c r="H16" s="15">
        <f>G16*'클럭 정리'!$B$2/100</f>
        <v>4.2278924228645938</v>
      </c>
    </row>
    <row r="17" spans="1:8" x14ac:dyDescent="0.3">
      <c r="A17" s="13" t="s">
        <v>50</v>
      </c>
      <c r="B17" s="10">
        <v>46238.448336979163</v>
      </c>
      <c r="C17" s="10">
        <v>46238.448360863811</v>
      </c>
      <c r="D17" s="11">
        <f t="shared" si="0"/>
        <v>2.0636335713788867</v>
      </c>
      <c r="E17" s="12" t="s">
        <v>51</v>
      </c>
      <c r="F17" s="13">
        <f>COUNTIFS('클럭 정리'!$A$6:$A$77,"&gt;="&amp;B17,'클럭 정리'!$A$6:$A$77,"&lt;="&amp;C17)</f>
        <v>2</v>
      </c>
      <c r="G17" s="14">
        <f>AVERAGEIFS('클럭 정리'!$N$6:$N$77,'클럭 정리'!$A$6:$A$77,"&gt;="&amp;B17,'클럭 정리'!$A$6:$A$77,"&lt;="&amp;C17)</f>
        <v>157.03310580066051</v>
      </c>
      <c r="H17" s="15">
        <f>G17*'클럭 정리'!$B$2/100</f>
        <v>4.224190546037768</v>
      </c>
    </row>
    <row r="18" spans="1:8" x14ac:dyDescent="0.3">
      <c r="A18" s="13" t="s">
        <v>52</v>
      </c>
      <c r="B18" s="10">
        <v>46238.448360856477</v>
      </c>
      <c r="C18" s="10">
        <v>46238.448384968273</v>
      </c>
      <c r="D18" s="11">
        <f t="shared" si="0"/>
        <v>2.0832591690123081</v>
      </c>
      <c r="E18" s="12" t="s">
        <v>53</v>
      </c>
      <c r="F18" s="13">
        <f>COUNTIFS('클럭 정리'!$A$6:$A$77,"&gt;="&amp;B18,'클럭 정리'!$A$6:$A$77,"&lt;="&amp;C18)</f>
        <v>2</v>
      </c>
      <c r="G18" s="14">
        <f>AVERAGEIFS('클럭 정리'!$N$6:$N$77,'클럭 정리'!$A$6:$A$77,"&gt;="&amp;B18,'클럭 정리'!$A$6:$A$77,"&lt;="&amp;C18)</f>
        <v>158.38048480585559</v>
      </c>
      <c r="H18" s="15">
        <f>G18*'클럭 정리'!$B$2/100</f>
        <v>4.2604350412775149</v>
      </c>
    </row>
    <row r="19" spans="1:8" x14ac:dyDescent="0.3">
      <c r="A19" s="13" t="s">
        <v>54</v>
      </c>
      <c r="B19" s="10">
        <v>46238.448384976851</v>
      </c>
      <c r="C19" s="10">
        <v>46238.448409339282</v>
      </c>
      <c r="D19" s="11">
        <f t="shared" si="0"/>
        <v>2.1049140254035592</v>
      </c>
      <c r="E19" s="12" t="s">
        <v>55</v>
      </c>
      <c r="F19" s="13">
        <f>COUNTIFS('클럭 정리'!$A$6:$A$77,"&gt;="&amp;B19,'클럭 정리'!$A$6:$A$77,"&lt;="&amp;C19)</f>
        <v>2</v>
      </c>
      <c r="G19" s="14">
        <f>AVERAGEIFS('클럭 정리'!$N$6:$N$77,'클럭 정리'!$A$6:$A$77,"&gt;="&amp;B19,'클럭 정리'!$A$6:$A$77,"&lt;="&amp;C19)</f>
        <v>158.08419399954374</v>
      </c>
      <c r="H19" s="15">
        <f>G19*'클럭 정리'!$B$2/100</f>
        <v>4.2524648185877263</v>
      </c>
    </row>
    <row r="20" spans="1:8" x14ac:dyDescent="0.3">
      <c r="A20" s="13" t="s">
        <v>56</v>
      </c>
      <c r="B20" s="10">
        <v>46238.448409340279</v>
      </c>
      <c r="C20" s="10">
        <v>46238.448434089893</v>
      </c>
      <c r="D20" s="11">
        <f t="shared" si="0"/>
        <v>2.1383666200563312</v>
      </c>
      <c r="E20" s="12" t="s">
        <v>57</v>
      </c>
      <c r="F20" s="13">
        <f>COUNTIFS('클럭 정리'!$A$6:$A$77,"&gt;="&amp;B20,'클럭 정리'!$A$6:$A$77,"&lt;="&amp;C20)</f>
        <v>2</v>
      </c>
      <c r="G20" s="14">
        <f>AVERAGEIFS('클럭 정리'!$N$6:$N$77,'클럭 정리'!$A$6:$A$77,"&gt;="&amp;B20,'클럭 정리'!$A$6:$A$77,"&lt;="&amp;C20)</f>
        <v>158.2317424592369</v>
      </c>
      <c r="H20" s="15">
        <f>G20*'클럭 정리'!$B$2/100</f>
        <v>4.2564338721534725</v>
      </c>
    </row>
    <row r="21" spans="1:8" x14ac:dyDescent="0.3">
      <c r="A21" s="13" t="s">
        <v>58</v>
      </c>
      <c r="B21" s="10">
        <v>46238.448434108803</v>
      </c>
      <c r="C21" s="10">
        <v>46238.448458831539</v>
      </c>
      <c r="D21" s="11">
        <f t="shared" si="0"/>
        <v>2.1360444137826562</v>
      </c>
      <c r="E21" s="12" t="s">
        <v>59</v>
      </c>
      <c r="F21" s="13">
        <f>COUNTIFS('클럭 정리'!$A$6:$A$77,"&gt;="&amp;B21,'클럭 정리'!$A$6:$A$77,"&lt;="&amp;C21)</f>
        <v>2</v>
      </c>
      <c r="G21" s="14">
        <f>AVERAGEIFS('클럭 정리'!$N$6:$N$77,'클럭 정리'!$A$6:$A$77,"&gt;="&amp;B21,'클럭 정리'!$A$6:$A$77,"&lt;="&amp;C21)</f>
        <v>157.66371382567371</v>
      </c>
      <c r="H21" s="15">
        <f>G21*'클럭 정리'!$B$2/100</f>
        <v>4.2411539019106224</v>
      </c>
    </row>
    <row r="22" spans="1:8" x14ac:dyDescent="0.3">
      <c r="A22" s="13" t="s">
        <v>60</v>
      </c>
      <c r="B22" s="10">
        <v>46238.448458831539</v>
      </c>
      <c r="C22" s="10">
        <v>46238.448484620283</v>
      </c>
      <c r="D22" s="11">
        <f t="shared" si="0"/>
        <v>2.2281474899500608</v>
      </c>
      <c r="E22" s="12" t="s">
        <v>61</v>
      </c>
      <c r="F22" s="13">
        <f>COUNTIFS('클럭 정리'!$A$6:$A$77,"&gt;="&amp;B22,'클럭 정리'!$A$6:$A$77,"&lt;="&amp;C22)</f>
        <v>3</v>
      </c>
      <c r="G22" s="14">
        <f>AVERAGEIFS('클럭 정리'!$N$6:$N$77,'클럭 정리'!$A$6:$A$77,"&gt;="&amp;B22,'클럭 정리'!$A$6:$A$77,"&lt;="&amp;C22)</f>
        <v>155.89673941517995</v>
      </c>
      <c r="H22" s="15">
        <f>G22*'클럭 정리'!$B$2/100</f>
        <v>4.1936222902683404</v>
      </c>
    </row>
  </sheetData>
  <phoneticPr fontId="9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97"/>
  <sheetViews>
    <sheetView tabSelected="1" topLeftCell="B1" workbookViewId="0">
      <selection activeCell="D29" sqref="D29"/>
    </sheetView>
  </sheetViews>
  <sheetFormatPr defaultRowHeight="16.5" x14ac:dyDescent="0.3"/>
  <cols>
    <col min="1" max="1" width="20" customWidth="1"/>
    <col min="2" max="2" width="6" customWidth="1"/>
    <col min="3" max="3" width="26" customWidth="1"/>
    <col min="4" max="4" width="40" customWidth="1"/>
    <col min="5" max="6" width="14" customWidth="1"/>
    <col min="7" max="7" width="17" customWidth="1"/>
    <col min="8" max="8" width="15" customWidth="1"/>
    <col min="9" max="9" width="11" customWidth="1"/>
    <col min="10" max="10" width="12" customWidth="1"/>
    <col min="11" max="11" width="13" customWidth="1"/>
  </cols>
  <sheetData>
    <row r="1" spans="1:11" x14ac:dyDescent="0.3">
      <c r="A1" s="1" t="s">
        <v>62</v>
      </c>
    </row>
    <row r="2" spans="1:11" x14ac:dyDescent="0.3">
      <c r="A2" s="4" t="s">
        <v>63</v>
      </c>
    </row>
    <row r="3" spans="1:11" x14ac:dyDescent="0.3">
      <c r="A3" s="4" t="s">
        <v>64</v>
      </c>
    </row>
    <row r="5" spans="1:11" x14ac:dyDescent="0.3">
      <c r="A5" s="5" t="s">
        <v>22</v>
      </c>
      <c r="B5" s="5" t="s">
        <v>65</v>
      </c>
      <c r="C5" s="5" t="s">
        <v>66</v>
      </c>
      <c r="D5" s="5" t="s">
        <v>67</v>
      </c>
      <c r="E5" s="5" t="s">
        <v>68</v>
      </c>
      <c r="F5" s="5" t="s">
        <v>69</v>
      </c>
      <c r="G5" s="5" t="s">
        <v>70</v>
      </c>
      <c r="H5" s="5" t="s">
        <v>71</v>
      </c>
      <c r="I5" s="5" t="s">
        <v>27</v>
      </c>
      <c r="J5" s="5" t="s">
        <v>28</v>
      </c>
      <c r="K5" s="5" t="s">
        <v>29</v>
      </c>
    </row>
    <row r="6" spans="1:11" x14ac:dyDescent="0.3">
      <c r="A6" s="13" t="s">
        <v>72</v>
      </c>
      <c r="B6" s="13">
        <v>1</v>
      </c>
      <c r="C6" s="13" t="s">
        <v>73</v>
      </c>
      <c r="D6" s="12" t="s">
        <v>74</v>
      </c>
      <c r="E6" s="10">
        <v>46238.448141574067</v>
      </c>
      <c r="F6" s="10">
        <v>46238.44816618583</v>
      </c>
      <c r="G6" s="13">
        <v>45</v>
      </c>
      <c r="H6" s="14">
        <v>2095.1261</v>
      </c>
      <c r="I6" s="13">
        <f>COUNTIFS('클럭 정리'!$A$6:$A$77,"&gt;="&amp;E6,'클럭 정리'!$A$6:$A$77,"&lt;="&amp;F6)</f>
        <v>2</v>
      </c>
      <c r="J6" s="14">
        <f>AVERAGEIFS('클럭 정리'!$N$6:$N$77,'클럭 정리'!$A$6:$A$77,"&gt;="&amp;E6,'클럭 정리'!$A$6:$A$77,"&lt;="&amp;F6)</f>
        <v>157.15181884537594</v>
      </c>
      <c r="K6" s="15">
        <f>J6*'클럭 정리'!$B$2/100</f>
        <v>4.2273839269406128</v>
      </c>
    </row>
    <row r="7" spans="1:11" x14ac:dyDescent="0.3">
      <c r="A7" s="13" t="s">
        <v>72</v>
      </c>
      <c r="B7" s="13">
        <v>1</v>
      </c>
      <c r="C7" s="13" t="s">
        <v>75</v>
      </c>
      <c r="D7" s="12" t="s">
        <v>74</v>
      </c>
      <c r="E7" s="10">
        <v>46238.448141574067</v>
      </c>
      <c r="F7" s="10">
        <v>46238.448166138893</v>
      </c>
      <c r="G7" s="13">
        <v>45</v>
      </c>
      <c r="H7" s="14">
        <v>2060.9146999999998</v>
      </c>
      <c r="I7" s="13">
        <f>COUNTIFS('클럭 정리'!$A$6:$A$77,"&gt;="&amp;E7,'클럭 정리'!$A$6:$A$77,"&lt;="&amp;F7)</f>
        <v>2</v>
      </c>
      <c r="J7" s="14">
        <f>AVERAGEIFS('클럭 정리'!$N$6:$N$77,'클럭 정리'!$A$6:$A$77,"&gt;="&amp;E7,'클럭 정리'!$A$6:$A$77,"&lt;="&amp;F7)</f>
        <v>157.15181884537594</v>
      </c>
      <c r="K7" s="15">
        <f>J7*'클럭 정리'!$B$2/100</f>
        <v>4.2273839269406128</v>
      </c>
    </row>
    <row r="8" spans="1:11" x14ac:dyDescent="0.3">
      <c r="A8" s="13" t="s">
        <v>72</v>
      </c>
      <c r="B8" s="13">
        <v>1</v>
      </c>
      <c r="C8" s="13" t="s">
        <v>76</v>
      </c>
      <c r="D8" s="12" t="s">
        <v>77</v>
      </c>
      <c r="E8" s="10">
        <v>46238.448141562498</v>
      </c>
      <c r="F8" s="10">
        <v>46238.448166188216</v>
      </c>
      <c r="G8" s="13">
        <v>45</v>
      </c>
      <c r="H8" s="14">
        <v>0</v>
      </c>
      <c r="I8" s="13">
        <f>COUNTIFS('클럭 정리'!$A$6:$A$77,"&gt;="&amp;E8,'클럭 정리'!$A$6:$A$77,"&lt;="&amp;F8)</f>
        <v>2</v>
      </c>
      <c r="J8" s="14">
        <f>AVERAGEIFS('클럭 정리'!$N$6:$N$77,'클럭 정리'!$A$6:$A$77,"&gt;="&amp;E8,'클럭 정리'!$A$6:$A$77,"&lt;="&amp;F8)</f>
        <v>157.15181884537594</v>
      </c>
      <c r="K8" s="15">
        <f>J8*'클럭 정리'!$B$2/100</f>
        <v>4.2273839269406128</v>
      </c>
    </row>
    <row r="9" spans="1:11" x14ac:dyDescent="0.3">
      <c r="A9" s="13" t="s">
        <v>72</v>
      </c>
      <c r="B9" s="13">
        <v>2</v>
      </c>
      <c r="C9" s="13" t="s">
        <v>78</v>
      </c>
      <c r="D9" s="12" t="s">
        <v>74</v>
      </c>
      <c r="E9" s="10">
        <v>46238.448166203707</v>
      </c>
      <c r="F9" s="10">
        <v>46238.448190142874</v>
      </c>
      <c r="G9" s="13">
        <v>45</v>
      </c>
      <c r="H9" s="14">
        <v>2000.7565999999999</v>
      </c>
      <c r="I9" s="13">
        <f>COUNTIFS('클럭 정리'!$A$6:$A$77,"&gt;="&amp;E9,'클럭 정리'!$A$6:$A$77,"&lt;="&amp;F9)</f>
        <v>2</v>
      </c>
      <c r="J9" s="14">
        <f>AVERAGEIFS('클럭 정리'!$N$6:$N$77,'클럭 정리'!$A$6:$A$77,"&gt;="&amp;E9,'클럭 정리'!$A$6:$A$77,"&lt;="&amp;F9)</f>
        <v>158.06190518891424</v>
      </c>
      <c r="K9" s="15">
        <f>J9*'클럭 정리'!$B$2/100</f>
        <v>4.251865249581793</v>
      </c>
    </row>
    <row r="10" spans="1:11" x14ac:dyDescent="0.3">
      <c r="A10" s="13" t="s">
        <v>72</v>
      </c>
      <c r="B10" s="13">
        <v>2</v>
      </c>
      <c r="C10" s="13" t="s">
        <v>79</v>
      </c>
      <c r="D10" s="12" t="s">
        <v>74</v>
      </c>
      <c r="E10" s="10">
        <v>46238.448166203707</v>
      </c>
      <c r="F10" s="10">
        <v>46238.44816729163</v>
      </c>
      <c r="G10" s="13">
        <v>2</v>
      </c>
      <c r="H10" s="14">
        <v>93.428399999999996</v>
      </c>
      <c r="I10" s="13">
        <f>COUNTIFS('클럭 정리'!$A$6:$A$77,"&gt;="&amp;E10,'클럭 정리'!$A$6:$A$77,"&lt;="&amp;F10)</f>
        <v>1</v>
      </c>
      <c r="J10" s="14">
        <f>AVERAGEIFS('클럭 정리'!$N$6:$N$77,'클럭 정리'!$A$6:$A$77,"&gt;="&amp;E10,'클럭 정리'!$A$6:$A$77,"&lt;="&amp;F10)</f>
        <v>157.37182606923091</v>
      </c>
      <c r="K10" s="15">
        <f>J10*'클럭 정리'!$B$2/100</f>
        <v>4.2333021212623114</v>
      </c>
    </row>
    <row r="11" spans="1:11" x14ac:dyDescent="0.3">
      <c r="A11" s="13" t="s">
        <v>72</v>
      </c>
      <c r="B11" s="13">
        <v>2</v>
      </c>
      <c r="C11" s="13" t="s">
        <v>80</v>
      </c>
      <c r="D11" s="12" t="s">
        <v>74</v>
      </c>
      <c r="E11" s="10">
        <v>46238.448167291674</v>
      </c>
      <c r="F11" s="10">
        <v>46238.44819015493</v>
      </c>
      <c r="G11" s="13">
        <v>43</v>
      </c>
      <c r="H11" s="14">
        <v>1961.9250999999999</v>
      </c>
      <c r="I11" s="13">
        <f>COUNTIFS('클럭 정리'!$A$6:$A$77,"&gt;="&amp;E11,'클럭 정리'!$A$6:$A$77,"&lt;="&amp;F11)</f>
        <v>1</v>
      </c>
      <c r="J11" s="14">
        <f>AVERAGEIFS('클럭 정리'!$N$6:$N$77,'클럭 정리'!$A$6:$A$77,"&gt;="&amp;E11,'클럭 정리'!$A$6:$A$77,"&lt;="&amp;F11)</f>
        <v>158.7519843085976</v>
      </c>
      <c r="K11" s="15">
        <f>J11*'클럭 정리'!$B$2/100</f>
        <v>4.2704283779012755</v>
      </c>
    </row>
    <row r="12" spans="1:11" x14ac:dyDescent="0.3">
      <c r="A12" s="13" t="s">
        <v>72</v>
      </c>
      <c r="B12" s="13">
        <v>2</v>
      </c>
      <c r="C12" s="13" t="s">
        <v>76</v>
      </c>
      <c r="D12" s="12" t="s">
        <v>77</v>
      </c>
      <c r="E12" s="10">
        <v>46238.448166192131</v>
      </c>
      <c r="F12" s="10">
        <v>46238.448190156058</v>
      </c>
      <c r="G12" s="13">
        <v>45</v>
      </c>
      <c r="H12" s="14">
        <v>15.625</v>
      </c>
      <c r="I12" s="13">
        <f>COUNTIFS('클럭 정리'!$A$6:$A$77,"&gt;="&amp;E12,'클럭 정리'!$A$6:$A$77,"&lt;="&amp;F12)</f>
        <v>2</v>
      </c>
      <c r="J12" s="14">
        <f>AVERAGEIFS('클럭 정리'!$N$6:$N$77,'클럭 정리'!$A$6:$A$77,"&gt;="&amp;E12,'클럭 정리'!$A$6:$A$77,"&lt;="&amp;F12)</f>
        <v>158.06190518891424</v>
      </c>
      <c r="K12" s="15">
        <f>J12*'클럭 정리'!$B$2/100</f>
        <v>4.251865249581793</v>
      </c>
    </row>
    <row r="13" spans="1:11" x14ac:dyDescent="0.3">
      <c r="A13" s="13" t="s">
        <v>72</v>
      </c>
      <c r="B13" s="13">
        <v>3</v>
      </c>
      <c r="C13" s="13" t="s">
        <v>81</v>
      </c>
      <c r="D13" s="12" t="s">
        <v>74</v>
      </c>
      <c r="E13" s="10">
        <v>46238.448190173607</v>
      </c>
      <c r="F13" s="10">
        <v>46238.448214548378</v>
      </c>
      <c r="G13" s="13">
        <v>45</v>
      </c>
      <c r="H13" s="14">
        <v>2085.1235000000001</v>
      </c>
      <c r="I13" s="13">
        <f>COUNTIFS('클럭 정리'!$A$6:$A$77,"&gt;="&amp;E13,'클럭 정리'!$A$6:$A$77,"&lt;="&amp;F13)</f>
        <v>3</v>
      </c>
      <c r="J13" s="14">
        <f>AVERAGEIFS('클럭 정리'!$N$6:$N$77,'클럭 정리'!$A$6:$A$77,"&gt;="&amp;E13,'클럭 정리'!$A$6:$A$77,"&lt;="&amp;F13)</f>
        <v>157.80027035433929</v>
      </c>
      <c r="K13" s="15">
        <f>J13*'클럭 정리'!$B$2/100</f>
        <v>4.2448272725317269</v>
      </c>
    </row>
    <row r="14" spans="1:11" x14ac:dyDescent="0.3">
      <c r="A14" s="13" t="s">
        <v>72</v>
      </c>
      <c r="B14" s="13">
        <v>3</v>
      </c>
      <c r="C14" s="13" t="s">
        <v>82</v>
      </c>
      <c r="D14" s="12" t="s">
        <v>74</v>
      </c>
      <c r="E14" s="10">
        <v>46238.448190173607</v>
      </c>
      <c r="F14" s="10">
        <v>46238.4482144637</v>
      </c>
      <c r="G14" s="13">
        <v>45</v>
      </c>
      <c r="H14" s="14">
        <v>2046.7978000000001</v>
      </c>
      <c r="I14" s="13">
        <f>COUNTIFS('클럭 정리'!$A$6:$A$77,"&gt;="&amp;E14,'클럭 정리'!$A$6:$A$77,"&lt;="&amp;F14)</f>
        <v>3</v>
      </c>
      <c r="J14" s="14">
        <f>AVERAGEIFS('클럭 정리'!$N$6:$N$77,'클럭 정리'!$A$6:$A$77,"&gt;="&amp;E14,'클럭 정리'!$A$6:$A$77,"&lt;="&amp;F14)</f>
        <v>157.80027035433929</v>
      </c>
      <c r="K14" s="15">
        <f>J14*'클럭 정리'!$B$2/100</f>
        <v>4.2448272725317269</v>
      </c>
    </row>
    <row r="15" spans="1:11" x14ac:dyDescent="0.3">
      <c r="A15" s="13" t="s">
        <v>72</v>
      </c>
      <c r="B15" s="13">
        <v>3</v>
      </c>
      <c r="C15" s="13" t="s">
        <v>76</v>
      </c>
      <c r="D15" s="12" t="s">
        <v>77</v>
      </c>
      <c r="E15" s="10">
        <v>46238.448190162038</v>
      </c>
      <c r="F15" s="10">
        <v>46238.448214549528</v>
      </c>
      <c r="G15" s="13">
        <v>45</v>
      </c>
      <c r="H15" s="14">
        <v>15.625</v>
      </c>
      <c r="I15" s="13">
        <f>COUNTIFS('클럭 정리'!$A$6:$A$77,"&gt;="&amp;E15,'클럭 정리'!$A$6:$A$77,"&lt;="&amp;F15)</f>
        <v>3</v>
      </c>
      <c r="J15" s="14">
        <f>AVERAGEIFS('클럭 정리'!$N$6:$N$77,'클럭 정리'!$A$6:$A$77,"&gt;="&amp;E15,'클럭 정리'!$A$6:$A$77,"&lt;="&amp;F15)</f>
        <v>157.80027035433929</v>
      </c>
      <c r="K15" s="15">
        <f>J15*'클럭 정리'!$B$2/100</f>
        <v>4.2448272725317269</v>
      </c>
    </row>
    <row r="16" spans="1:11" x14ac:dyDescent="0.3">
      <c r="A16" s="13" t="s">
        <v>72</v>
      </c>
      <c r="B16" s="13">
        <v>4</v>
      </c>
      <c r="C16" s="13" t="s">
        <v>83</v>
      </c>
      <c r="D16" s="12" t="s">
        <v>74</v>
      </c>
      <c r="E16" s="10">
        <v>46238.448214571763</v>
      </c>
      <c r="F16" s="10">
        <v>46238.448238463046</v>
      </c>
      <c r="G16" s="13">
        <v>45</v>
      </c>
      <c r="H16" s="14">
        <v>2046.6840999999999</v>
      </c>
      <c r="I16" s="13">
        <f>COUNTIFS('클럭 정리'!$A$6:$A$77,"&gt;="&amp;E16,'클럭 정리'!$A$6:$A$77,"&lt;="&amp;F16)</f>
        <v>2</v>
      </c>
      <c r="J16" s="14">
        <f>AVERAGEIFS('클럭 정리'!$N$6:$N$77,'클럭 정리'!$A$6:$A$77,"&gt;="&amp;E16,'클럭 정리'!$A$6:$A$77,"&lt;="&amp;F16)</f>
        <v>157.75168210934771</v>
      </c>
      <c r="K16" s="15">
        <f>J16*'클럭 정리'!$B$2/100</f>
        <v>4.2435202487414534</v>
      </c>
    </row>
    <row r="17" spans="1:11" x14ac:dyDescent="0.3">
      <c r="A17" s="13" t="s">
        <v>72</v>
      </c>
      <c r="B17" s="13">
        <v>4</v>
      </c>
      <c r="C17" s="13" t="s">
        <v>84</v>
      </c>
      <c r="D17" s="12" t="s">
        <v>74</v>
      </c>
      <c r="E17" s="10">
        <v>46238.448214571763</v>
      </c>
      <c r="F17" s="10">
        <v>46238.448238454614</v>
      </c>
      <c r="G17" s="13">
        <v>45</v>
      </c>
      <c r="H17" s="14">
        <v>2028.2388000000001</v>
      </c>
      <c r="I17" s="13">
        <f>COUNTIFS('클럭 정리'!$A$6:$A$77,"&gt;="&amp;E17,'클럭 정리'!$A$6:$A$77,"&lt;="&amp;F17)</f>
        <v>2</v>
      </c>
      <c r="J17" s="14">
        <f>AVERAGEIFS('클럭 정리'!$N$6:$N$77,'클럭 정리'!$A$6:$A$77,"&gt;="&amp;E17,'클럭 정리'!$A$6:$A$77,"&lt;="&amp;F17)</f>
        <v>157.75168210934771</v>
      </c>
      <c r="K17" s="15">
        <f>J17*'클럭 정리'!$B$2/100</f>
        <v>4.2435202487414534</v>
      </c>
    </row>
    <row r="18" spans="1:11" x14ac:dyDescent="0.3">
      <c r="A18" s="13" t="s">
        <v>72</v>
      </c>
      <c r="B18" s="13">
        <v>4</v>
      </c>
      <c r="C18" s="13" t="s">
        <v>76</v>
      </c>
      <c r="D18" s="12" t="s">
        <v>77</v>
      </c>
      <c r="E18" s="10">
        <v>46238.448214560187</v>
      </c>
      <c r="F18" s="10">
        <v>46238.44823846472</v>
      </c>
      <c r="G18" s="13">
        <v>45</v>
      </c>
      <c r="H18" s="14">
        <v>0</v>
      </c>
      <c r="I18" s="13">
        <f>COUNTIFS('클럭 정리'!$A$6:$A$77,"&gt;="&amp;E18,'클럭 정리'!$A$6:$A$77,"&lt;="&amp;F18)</f>
        <v>2</v>
      </c>
      <c r="J18" s="14">
        <f>AVERAGEIFS('클럭 정리'!$N$6:$N$77,'클럭 정리'!$A$6:$A$77,"&gt;="&amp;E18,'클럭 정리'!$A$6:$A$77,"&lt;="&amp;F18)</f>
        <v>157.75168210934771</v>
      </c>
      <c r="K18" s="15">
        <f>J18*'클럭 정리'!$B$2/100</f>
        <v>4.2435202487414534</v>
      </c>
    </row>
    <row r="19" spans="1:11" x14ac:dyDescent="0.3">
      <c r="A19" s="13" t="s">
        <v>72</v>
      </c>
      <c r="B19" s="13">
        <v>5</v>
      </c>
      <c r="C19" s="13" t="s">
        <v>85</v>
      </c>
      <c r="D19" s="12" t="s">
        <v>74</v>
      </c>
      <c r="E19" s="10">
        <v>46238.448238483797</v>
      </c>
      <c r="F19" s="10">
        <v>46238.44826283912</v>
      </c>
      <c r="G19" s="13">
        <v>45</v>
      </c>
      <c r="H19" s="14">
        <v>2076.0086999999999</v>
      </c>
      <c r="I19" s="13">
        <f>COUNTIFS('클럭 정리'!$A$6:$A$77,"&gt;="&amp;E19,'클럭 정리'!$A$6:$A$77,"&lt;="&amp;F19)</f>
        <v>2</v>
      </c>
      <c r="J19" s="14">
        <f>AVERAGEIFS('클럭 정리'!$N$6:$N$77,'클럭 정리'!$A$6:$A$77,"&gt;="&amp;E19,'클럭 정리'!$A$6:$A$77,"&lt;="&amp;F19)</f>
        <v>156.97630520411218</v>
      </c>
      <c r="K19" s="15">
        <f>J19*'클럭 정리'!$B$2/100</f>
        <v>4.2226626099906177</v>
      </c>
    </row>
    <row r="20" spans="1:11" x14ac:dyDescent="0.3">
      <c r="A20" s="13" t="s">
        <v>72</v>
      </c>
      <c r="B20" s="13">
        <v>5</v>
      </c>
      <c r="C20" s="13" t="s">
        <v>86</v>
      </c>
      <c r="D20" s="12" t="s">
        <v>74</v>
      </c>
      <c r="E20" s="10">
        <v>46238.448238483797</v>
      </c>
      <c r="F20" s="10">
        <v>46238.448240595557</v>
      </c>
      <c r="G20" s="13">
        <v>4</v>
      </c>
      <c r="H20" s="14">
        <v>178.68899999999999</v>
      </c>
      <c r="I20" s="13">
        <f>COUNTIFS('클럭 정리'!$A$6:$A$77,"&gt;="&amp;E20,'클럭 정리'!$A$6:$A$77,"&lt;="&amp;F20)</f>
        <v>0</v>
      </c>
      <c r="J20" s="14" t="e">
        <f>AVERAGEIFS('클럭 정리'!$N$6:$N$77,'클럭 정리'!$A$6:$A$77,"&gt;="&amp;E20,'클럭 정리'!$A$6:$A$77,"&lt;="&amp;F20)</f>
        <v>#DIV/0!</v>
      </c>
      <c r="K20" s="15" t="e">
        <f>J20*'클럭 정리'!$B$2/100</f>
        <v>#DIV/0!</v>
      </c>
    </row>
    <row r="21" spans="1:11" x14ac:dyDescent="0.3">
      <c r="A21" s="13" t="s">
        <v>72</v>
      </c>
      <c r="B21" s="13">
        <v>5</v>
      </c>
      <c r="C21" s="13" t="s">
        <v>87</v>
      </c>
      <c r="D21" s="12" t="s">
        <v>74</v>
      </c>
      <c r="E21" s="10">
        <v>46238.448240590267</v>
      </c>
      <c r="F21" s="10">
        <v>46238.448262851147</v>
      </c>
      <c r="G21" s="13">
        <v>41</v>
      </c>
      <c r="H21" s="14">
        <v>1902.7996000000001</v>
      </c>
      <c r="I21" s="13">
        <f>COUNTIFS('클럭 정리'!$A$6:$A$77,"&gt;="&amp;E21,'클럭 정리'!$A$6:$A$77,"&lt;="&amp;F21)</f>
        <v>2</v>
      </c>
      <c r="J21" s="14">
        <f>AVERAGEIFS('클럭 정리'!$N$6:$N$77,'클럭 정리'!$A$6:$A$77,"&gt;="&amp;E21,'클럭 정리'!$A$6:$A$77,"&lt;="&amp;F21)</f>
        <v>156.97630520411218</v>
      </c>
      <c r="K21" s="15">
        <f>J21*'클럭 정리'!$B$2/100</f>
        <v>4.2226626099906177</v>
      </c>
    </row>
    <row r="22" spans="1:11" x14ac:dyDescent="0.3">
      <c r="A22" s="13" t="s">
        <v>72</v>
      </c>
      <c r="B22" s="13">
        <v>5</v>
      </c>
      <c r="C22" s="13" t="s">
        <v>76</v>
      </c>
      <c r="D22" s="12" t="s">
        <v>77</v>
      </c>
      <c r="E22" s="10">
        <v>46238.448238472221</v>
      </c>
      <c r="F22" s="10">
        <v>46238.448262852107</v>
      </c>
      <c r="G22" s="13">
        <v>45</v>
      </c>
      <c r="H22" s="14">
        <v>0</v>
      </c>
      <c r="I22" s="13">
        <f>COUNTIFS('클럭 정리'!$A$6:$A$77,"&gt;="&amp;E22,'클럭 정리'!$A$6:$A$77,"&lt;="&amp;F22)</f>
        <v>2</v>
      </c>
      <c r="J22" s="14">
        <f>AVERAGEIFS('클럭 정리'!$N$6:$N$77,'클럭 정리'!$A$6:$A$77,"&gt;="&amp;E22,'클럭 정리'!$A$6:$A$77,"&lt;="&amp;F22)</f>
        <v>156.97630520411218</v>
      </c>
      <c r="K22" s="15">
        <f>J22*'클럭 정리'!$B$2/100</f>
        <v>4.2226626099906177</v>
      </c>
    </row>
    <row r="23" spans="1:11" x14ac:dyDescent="0.3">
      <c r="A23" s="13" t="s">
        <v>88</v>
      </c>
      <c r="B23" s="13">
        <v>1</v>
      </c>
      <c r="C23" s="13" t="s">
        <v>89</v>
      </c>
      <c r="D23" s="12" t="s">
        <v>74</v>
      </c>
      <c r="E23" s="10">
        <v>46238.448336979163</v>
      </c>
      <c r="F23" s="10">
        <v>46238.448350766463</v>
      </c>
      <c r="G23" s="13">
        <v>26</v>
      </c>
      <c r="H23" s="14">
        <v>1185.6958</v>
      </c>
      <c r="I23" s="13">
        <f>COUNTIFS('클럭 정리'!$A$6:$A$77,"&gt;="&amp;E23,'클럭 정리'!$A$6:$A$77,"&lt;="&amp;F23)</f>
        <v>1</v>
      </c>
      <c r="J23" s="14">
        <f>AVERAGEIFS('클럭 정리'!$N$6:$N$77,'클럭 정리'!$A$6:$A$77,"&gt;="&amp;E23,'클럭 정리'!$A$6:$A$77,"&lt;="&amp;F23)</f>
        <v>157.33815608661999</v>
      </c>
      <c r="K23" s="15">
        <f>J23*'클럭 정리'!$B$2/100</f>
        <v>4.2323963987300779</v>
      </c>
    </row>
    <row r="24" spans="1:11" x14ac:dyDescent="0.3">
      <c r="A24" s="13" t="s">
        <v>88</v>
      </c>
      <c r="B24" s="13">
        <v>1</v>
      </c>
      <c r="C24" s="13" t="s">
        <v>90</v>
      </c>
      <c r="D24" s="12" t="s">
        <v>74</v>
      </c>
      <c r="E24" s="10">
        <v>46238.448336990739</v>
      </c>
      <c r="F24" s="10">
        <v>46238.448338625021</v>
      </c>
      <c r="G24" s="13">
        <v>3</v>
      </c>
      <c r="H24" s="14">
        <v>140.6343</v>
      </c>
      <c r="I24" s="13">
        <f>COUNTIFS('클럭 정리'!$A$6:$A$77,"&gt;="&amp;E24,'클럭 정리'!$A$6:$A$77,"&lt;="&amp;F24)</f>
        <v>0</v>
      </c>
      <c r="J24" s="14" t="e">
        <f>AVERAGEIFS('클럭 정리'!$N$6:$N$77,'클럭 정리'!$A$6:$A$77,"&gt;="&amp;E24,'클럭 정리'!$A$6:$A$77,"&lt;="&amp;F24)</f>
        <v>#DIV/0!</v>
      </c>
      <c r="K24" s="15" t="e">
        <f>J24*'클럭 정리'!$B$2/100</f>
        <v>#DIV/0!</v>
      </c>
    </row>
    <row r="25" spans="1:11" x14ac:dyDescent="0.3">
      <c r="A25" s="13" t="s">
        <v>88</v>
      </c>
      <c r="B25" s="13">
        <v>1</v>
      </c>
      <c r="C25" s="13" t="s">
        <v>91</v>
      </c>
      <c r="D25" s="12" t="s">
        <v>74</v>
      </c>
      <c r="E25" s="10">
        <v>46238.448338634262</v>
      </c>
      <c r="F25" s="10">
        <v>46238.448340212592</v>
      </c>
      <c r="G25" s="13">
        <v>3</v>
      </c>
      <c r="H25" s="14">
        <v>133.92939999999999</v>
      </c>
      <c r="I25" s="13">
        <f>COUNTIFS('클럭 정리'!$A$6:$A$77,"&gt;="&amp;E25,'클럭 정리'!$A$6:$A$77,"&lt;="&amp;F25)</f>
        <v>0</v>
      </c>
      <c r="J25" s="14" t="e">
        <f>AVERAGEIFS('클럭 정리'!$N$6:$N$77,'클럭 정리'!$A$6:$A$77,"&gt;="&amp;E25,'클럭 정리'!$A$6:$A$77,"&lt;="&amp;F25)</f>
        <v>#DIV/0!</v>
      </c>
      <c r="K25" s="15" t="e">
        <f>J25*'클럭 정리'!$B$2/100</f>
        <v>#DIV/0!</v>
      </c>
    </row>
    <row r="26" spans="1:11" x14ac:dyDescent="0.3">
      <c r="A26" s="13" t="s">
        <v>88</v>
      </c>
      <c r="B26" s="13">
        <v>1</v>
      </c>
      <c r="C26" s="13" t="s">
        <v>92</v>
      </c>
      <c r="D26" s="12" t="s">
        <v>74</v>
      </c>
      <c r="E26" s="10">
        <v>46238.448340208342</v>
      </c>
      <c r="F26" s="10">
        <v>46238.448360855742</v>
      </c>
      <c r="G26" s="13">
        <v>39</v>
      </c>
      <c r="H26" s="14">
        <v>1740.7023999999999</v>
      </c>
      <c r="I26" s="13">
        <f>COUNTIFS('클럭 정리'!$A$6:$A$77,"&gt;="&amp;E26,'클럭 정리'!$A$6:$A$77,"&lt;="&amp;F26)</f>
        <v>2</v>
      </c>
      <c r="J26" s="14">
        <f>AVERAGEIFS('클럭 정리'!$N$6:$N$77,'클럭 정리'!$A$6:$A$77,"&gt;="&amp;E26,'클럭 정리'!$A$6:$A$77,"&lt;="&amp;F26)</f>
        <v>157.03310580066051</v>
      </c>
      <c r="K26" s="15">
        <f>J26*'클럭 정리'!$B$2/100</f>
        <v>4.224190546037768</v>
      </c>
    </row>
    <row r="27" spans="1:11" x14ac:dyDescent="0.3">
      <c r="A27" s="13" t="s">
        <v>88</v>
      </c>
      <c r="B27" s="13">
        <v>1</v>
      </c>
      <c r="C27" s="13" t="s">
        <v>93</v>
      </c>
      <c r="D27" s="12" t="s">
        <v>74</v>
      </c>
      <c r="E27" s="10">
        <v>46238.448350763887</v>
      </c>
      <c r="F27" s="10">
        <v>46238.448360862683</v>
      </c>
      <c r="G27" s="13">
        <v>19</v>
      </c>
      <c r="H27" s="14">
        <v>868.81669999999997</v>
      </c>
      <c r="I27" s="13">
        <f>COUNTIFS('클럭 정리'!$A$6:$A$77,"&gt;="&amp;E27,'클럭 정리'!$A$6:$A$77,"&lt;="&amp;F27)</f>
        <v>1</v>
      </c>
      <c r="J27" s="14">
        <f>AVERAGEIFS('클럭 정리'!$N$6:$N$77,'클럭 정리'!$A$6:$A$77,"&gt;="&amp;E27,'클럭 정리'!$A$6:$A$77,"&lt;="&amp;F27)</f>
        <v>156.728055514701</v>
      </c>
      <c r="K27" s="15">
        <f>J27*'클럭 정리'!$B$2/100</f>
        <v>4.2159846933454563</v>
      </c>
    </row>
    <row r="28" spans="1:11" x14ac:dyDescent="0.3">
      <c r="A28" s="13" t="s">
        <v>88</v>
      </c>
      <c r="B28" s="13">
        <v>1</v>
      </c>
      <c r="C28" s="13" t="s">
        <v>76</v>
      </c>
      <c r="D28" s="12" t="s">
        <v>77</v>
      </c>
      <c r="E28" s="10">
        <v>46238.448336979163</v>
      </c>
      <c r="F28" s="10">
        <v>46238.448360863811</v>
      </c>
      <c r="G28" s="13">
        <v>45</v>
      </c>
      <c r="H28" s="14">
        <v>0</v>
      </c>
      <c r="I28" s="13">
        <f>COUNTIFS('클럭 정리'!$A$6:$A$77,"&gt;="&amp;E28,'클럭 정리'!$A$6:$A$77,"&lt;="&amp;F28)</f>
        <v>2</v>
      </c>
      <c r="J28" s="14">
        <f>AVERAGEIFS('클럭 정리'!$N$6:$N$77,'클럭 정리'!$A$6:$A$77,"&gt;="&amp;E28,'클럭 정리'!$A$6:$A$77,"&lt;="&amp;F28)</f>
        <v>157.03310580066051</v>
      </c>
      <c r="K28" s="15">
        <f>J28*'클럭 정리'!$B$2/100</f>
        <v>4.224190546037768</v>
      </c>
    </row>
    <row r="29" spans="1:11" x14ac:dyDescent="0.3">
      <c r="A29" s="13" t="s">
        <v>88</v>
      </c>
      <c r="B29" s="13">
        <v>2</v>
      </c>
      <c r="C29" s="13" t="s">
        <v>94</v>
      </c>
      <c r="D29" s="12" t="s">
        <v>74</v>
      </c>
      <c r="E29" s="10">
        <v>46238.448360868053</v>
      </c>
      <c r="F29" s="10">
        <v>46238.448384966992</v>
      </c>
      <c r="G29" s="13">
        <v>45</v>
      </c>
      <c r="H29" s="14">
        <v>2006.1305</v>
      </c>
      <c r="I29" s="13">
        <f>COUNTIFS('클럭 정리'!$A$6:$A$77,"&gt;="&amp;E29,'클럭 정리'!$A$6:$A$77,"&lt;="&amp;F29)</f>
        <v>2</v>
      </c>
      <c r="J29" s="14">
        <f>AVERAGEIFS('클럭 정리'!$N$6:$N$77,'클럭 정리'!$A$6:$A$77,"&gt;="&amp;E29,'클럭 정리'!$A$6:$A$77,"&lt;="&amp;F29)</f>
        <v>158.38048480585559</v>
      </c>
      <c r="K29" s="15">
        <f>J29*'클럭 정리'!$B$2/100</f>
        <v>4.2604350412775149</v>
      </c>
    </row>
    <row r="30" spans="1:11" x14ac:dyDescent="0.3">
      <c r="A30" s="13" t="s">
        <v>88</v>
      </c>
      <c r="B30" s="13">
        <v>2</v>
      </c>
      <c r="C30" s="13" t="s">
        <v>95</v>
      </c>
      <c r="D30" s="12" t="s">
        <v>74</v>
      </c>
      <c r="E30" s="10">
        <v>46238.448360868053</v>
      </c>
      <c r="F30" s="10">
        <v>46238.448369478327</v>
      </c>
      <c r="G30" s="13">
        <v>16</v>
      </c>
      <c r="H30" s="14">
        <v>722.2</v>
      </c>
      <c r="I30" s="13">
        <f>COUNTIFS('클럭 정리'!$A$6:$A$77,"&gt;="&amp;E30,'클럭 정리'!$A$6:$A$77,"&lt;="&amp;F30)</f>
        <v>1</v>
      </c>
      <c r="J30" s="14">
        <f>AVERAGEIFS('클럭 정리'!$N$6:$N$77,'클럭 정리'!$A$6:$A$77,"&gt;="&amp;E30,'클럭 정리'!$A$6:$A$77,"&lt;="&amp;F30)</f>
        <v>158.19219229055841</v>
      </c>
      <c r="K30" s="15">
        <f>J30*'클럭 정리'!$B$2/100</f>
        <v>4.2553699726160206</v>
      </c>
    </row>
    <row r="31" spans="1:11" x14ac:dyDescent="0.3">
      <c r="A31" s="13" t="s">
        <v>88</v>
      </c>
      <c r="B31" s="13">
        <v>2</v>
      </c>
      <c r="C31" s="13" t="s">
        <v>96</v>
      </c>
      <c r="D31" s="12" t="s">
        <v>74</v>
      </c>
      <c r="E31" s="10">
        <v>46238.448369479163</v>
      </c>
      <c r="F31" s="10">
        <v>46238.448384905263</v>
      </c>
      <c r="G31" s="13">
        <v>29</v>
      </c>
      <c r="H31" s="14">
        <v>1326.7782</v>
      </c>
      <c r="I31" s="13">
        <f>COUNTIFS('클럭 정리'!$A$6:$A$77,"&gt;="&amp;E31,'클럭 정리'!$A$6:$A$77,"&lt;="&amp;F31)</f>
        <v>1</v>
      </c>
      <c r="J31" s="14">
        <f>AVERAGEIFS('클럭 정리'!$N$6:$N$77,'클럭 정리'!$A$6:$A$77,"&gt;="&amp;E31,'클럭 정리'!$A$6:$A$77,"&lt;="&amp;F31)</f>
        <v>158.56877732115279</v>
      </c>
      <c r="K31" s="15">
        <f>J31*'클럭 정리'!$B$2/100</f>
        <v>4.2655001099390102</v>
      </c>
    </row>
    <row r="32" spans="1:11" x14ac:dyDescent="0.3">
      <c r="A32" s="13" t="s">
        <v>88</v>
      </c>
      <c r="B32" s="13">
        <v>2</v>
      </c>
      <c r="C32" s="13" t="s">
        <v>76</v>
      </c>
      <c r="D32" s="12" t="s">
        <v>77</v>
      </c>
      <c r="E32" s="10">
        <v>46238.448360856477</v>
      </c>
      <c r="F32" s="10">
        <v>46238.448384968273</v>
      </c>
      <c r="G32" s="13">
        <v>45</v>
      </c>
      <c r="H32" s="14">
        <v>15.625</v>
      </c>
      <c r="I32" s="13">
        <f>COUNTIFS('클럭 정리'!$A$6:$A$77,"&gt;="&amp;E32,'클럭 정리'!$A$6:$A$77,"&lt;="&amp;F32)</f>
        <v>2</v>
      </c>
      <c r="J32" s="14">
        <f>AVERAGEIFS('클럭 정리'!$N$6:$N$77,'클럭 정리'!$A$6:$A$77,"&gt;="&amp;E32,'클럭 정리'!$A$6:$A$77,"&lt;="&amp;F32)</f>
        <v>158.38048480585559</v>
      </c>
      <c r="K32" s="15">
        <f>J32*'클럭 정리'!$B$2/100</f>
        <v>4.2604350412775149</v>
      </c>
    </row>
    <row r="33" spans="1:11" x14ac:dyDescent="0.3">
      <c r="A33" s="13" t="s">
        <v>88</v>
      </c>
      <c r="B33" s="13">
        <v>3</v>
      </c>
      <c r="C33" s="13" t="s">
        <v>97</v>
      </c>
      <c r="D33" s="12" t="s">
        <v>74</v>
      </c>
      <c r="E33" s="10">
        <v>46238.448384988427</v>
      </c>
      <c r="F33" s="10">
        <v>46238.448409337507</v>
      </c>
      <c r="G33" s="13">
        <v>45</v>
      </c>
      <c r="H33" s="14">
        <v>2086.5713999999998</v>
      </c>
      <c r="I33" s="13">
        <f>COUNTIFS('클럭 정리'!$A$6:$A$77,"&gt;="&amp;E33,'클럭 정리'!$A$6:$A$77,"&lt;="&amp;F33)</f>
        <v>2</v>
      </c>
      <c r="J33" s="14">
        <f>AVERAGEIFS('클럭 정리'!$N$6:$N$77,'클럭 정리'!$A$6:$A$77,"&gt;="&amp;E33,'클럭 정리'!$A$6:$A$77,"&lt;="&amp;F33)</f>
        <v>158.08419399954374</v>
      </c>
      <c r="K33" s="15">
        <f>J33*'클럭 정리'!$B$2/100</f>
        <v>4.2524648185877263</v>
      </c>
    </row>
    <row r="34" spans="1:11" s="31" customFormat="1" x14ac:dyDescent="0.3">
      <c r="A34" s="26" t="s">
        <v>88</v>
      </c>
      <c r="B34" s="26">
        <v>3</v>
      </c>
      <c r="C34" s="26" t="s">
        <v>98</v>
      </c>
      <c r="D34" s="27" t="s">
        <v>74</v>
      </c>
      <c r="E34" s="28">
        <v>46238.448408229167</v>
      </c>
      <c r="F34" s="28">
        <v>46238.448409325742</v>
      </c>
      <c r="G34" s="26">
        <v>2</v>
      </c>
      <c r="H34" s="29">
        <v>92.523399999999995</v>
      </c>
      <c r="I34" s="26">
        <f>COUNTIFS('클럭 정리'!$A$6:$A$77,"&gt;="&amp;E34,'클럭 정리'!$A$6:$A$77,"&lt;="&amp;F34)</f>
        <v>0</v>
      </c>
      <c r="J34" s="29" t="e">
        <f>AVERAGEIFS('클럭 정리'!$N$6:$N$77,'클럭 정리'!$A$6:$A$77,"&gt;="&amp;E34,'클럭 정리'!$A$6:$A$77,"&lt;="&amp;F34)</f>
        <v>#DIV/0!</v>
      </c>
      <c r="K34" s="30" t="e">
        <f>J34*'클럭 정리'!$B$2/100</f>
        <v>#DIV/0!</v>
      </c>
    </row>
    <row r="35" spans="1:11" x14ac:dyDescent="0.3">
      <c r="A35" s="13" t="s">
        <v>88</v>
      </c>
      <c r="B35" s="13">
        <v>3</v>
      </c>
      <c r="C35" s="13" t="s">
        <v>99</v>
      </c>
      <c r="D35" s="12" t="s">
        <v>74</v>
      </c>
      <c r="E35" s="10">
        <v>46238.448384988427</v>
      </c>
      <c r="F35" s="10">
        <v>46238.448390108242</v>
      </c>
      <c r="G35" s="13">
        <v>9</v>
      </c>
      <c r="H35" s="14">
        <v>436.55889999999999</v>
      </c>
      <c r="I35" s="13">
        <f>COUNTIFS('클럭 정리'!$A$6:$A$77,"&gt;="&amp;E35,'클럭 정리'!$A$6:$A$77,"&lt;="&amp;F35)</f>
        <v>0</v>
      </c>
      <c r="J35" s="14" t="e">
        <f>AVERAGEIFS('클럭 정리'!$N$6:$N$77,'클럭 정리'!$A$6:$A$77,"&gt;="&amp;E35,'클럭 정리'!$A$6:$A$77,"&lt;="&amp;F35)</f>
        <v>#DIV/0!</v>
      </c>
      <c r="K35" s="15" t="e">
        <f>J35*'클럭 정리'!$B$2/100</f>
        <v>#DIV/0!</v>
      </c>
    </row>
    <row r="36" spans="1:11" x14ac:dyDescent="0.3">
      <c r="A36" s="13" t="s">
        <v>88</v>
      </c>
      <c r="B36" s="13">
        <v>3</v>
      </c>
      <c r="C36" s="13" t="s">
        <v>100</v>
      </c>
      <c r="D36" s="12" t="s">
        <v>74</v>
      </c>
      <c r="E36" s="10">
        <v>46238.448390104168</v>
      </c>
      <c r="F36" s="10">
        <v>46238.448395853753</v>
      </c>
      <c r="G36" s="13">
        <v>11</v>
      </c>
      <c r="H36" s="14">
        <v>491.13200000000001</v>
      </c>
      <c r="I36" s="13">
        <f>COUNTIFS('클럭 정리'!$A$6:$A$77,"&gt;="&amp;E36,'클럭 정리'!$A$6:$A$77,"&lt;="&amp;F36)</f>
        <v>1</v>
      </c>
      <c r="J36" s="14">
        <f>AVERAGEIFS('클럭 정리'!$N$6:$N$77,'클럭 정리'!$A$6:$A$77,"&gt;="&amp;E36,'클럭 정리'!$A$6:$A$77,"&lt;="&amp;F36)</f>
        <v>157.89588673660839</v>
      </c>
      <c r="K36" s="15">
        <f>J36*'클럭 정리'!$B$2/100</f>
        <v>4.2473993532147656</v>
      </c>
    </row>
    <row r="37" spans="1:11" x14ac:dyDescent="0.3">
      <c r="A37" s="13" t="s">
        <v>88</v>
      </c>
      <c r="B37" s="13">
        <v>3</v>
      </c>
      <c r="C37" s="13" t="s">
        <v>101</v>
      </c>
      <c r="D37" s="12" t="s">
        <v>74</v>
      </c>
      <c r="E37" s="10">
        <v>46238.448395856482</v>
      </c>
      <c r="F37" s="10">
        <v>46238.4484082294</v>
      </c>
      <c r="G37" s="13">
        <v>23</v>
      </c>
      <c r="H37" s="14">
        <v>1033.4764</v>
      </c>
      <c r="I37" s="13">
        <f>COUNTIFS('클럭 정리'!$A$6:$A$77,"&gt;="&amp;E37,'클럭 정리'!$A$6:$A$77,"&lt;="&amp;F37)</f>
        <v>1</v>
      </c>
      <c r="J37" s="14">
        <f>AVERAGEIFS('클럭 정리'!$N$6:$N$77,'클럭 정리'!$A$6:$A$77,"&gt;="&amp;E37,'클럭 정리'!$A$6:$A$77,"&lt;="&amp;F37)</f>
        <v>158.2725012624791</v>
      </c>
      <c r="K37" s="15">
        <f>J37*'클럭 정리'!$B$2/100</f>
        <v>4.2575302839606879</v>
      </c>
    </row>
    <row r="38" spans="1:11" x14ac:dyDescent="0.3">
      <c r="A38" s="13" t="s">
        <v>88</v>
      </c>
      <c r="B38" s="13">
        <v>3</v>
      </c>
      <c r="C38" s="13" t="s">
        <v>76</v>
      </c>
      <c r="D38" s="12" t="s">
        <v>77</v>
      </c>
      <c r="E38" s="10">
        <v>46238.448384976851</v>
      </c>
      <c r="F38" s="10">
        <v>46238.448409339282</v>
      </c>
      <c r="G38" s="13">
        <v>45</v>
      </c>
      <c r="H38" s="14">
        <v>15.625</v>
      </c>
      <c r="I38" s="13">
        <f>COUNTIFS('클럭 정리'!$A$6:$A$77,"&gt;="&amp;E38,'클럭 정리'!$A$6:$A$77,"&lt;="&amp;F38)</f>
        <v>2</v>
      </c>
      <c r="J38" s="14">
        <f>AVERAGEIFS('클럭 정리'!$N$6:$N$77,'클럭 정리'!$A$6:$A$77,"&gt;="&amp;E38,'클럭 정리'!$A$6:$A$77,"&lt;="&amp;F38)</f>
        <v>158.08419399954374</v>
      </c>
      <c r="K38" s="15">
        <f>J38*'클럭 정리'!$B$2/100</f>
        <v>4.2524648185877263</v>
      </c>
    </row>
    <row r="39" spans="1:11" x14ac:dyDescent="0.3">
      <c r="A39" s="13" t="s">
        <v>88</v>
      </c>
      <c r="B39" s="13">
        <v>4</v>
      </c>
      <c r="C39" s="13" t="s">
        <v>102</v>
      </c>
      <c r="D39" s="12" t="s">
        <v>74</v>
      </c>
      <c r="E39" s="10">
        <v>46238.448409340279</v>
      </c>
      <c r="F39" s="10">
        <v>46238.448434064419</v>
      </c>
      <c r="G39" s="13">
        <v>45</v>
      </c>
      <c r="H39" s="14">
        <v>2120.7694999999999</v>
      </c>
      <c r="I39" s="13">
        <f>COUNTIFS('클럭 정리'!$A$6:$A$77,"&gt;="&amp;E39,'클럭 정리'!$A$6:$A$77,"&lt;="&amp;F39)</f>
        <v>2</v>
      </c>
      <c r="J39" s="14">
        <f>AVERAGEIFS('클럭 정리'!$N$6:$N$77,'클럭 정리'!$A$6:$A$77,"&gt;="&amp;E39,'클럭 정리'!$A$6:$A$77,"&lt;="&amp;F39)</f>
        <v>158.2317424592369</v>
      </c>
      <c r="K39" s="15">
        <f>J39*'클럭 정리'!$B$2/100</f>
        <v>4.2564338721534725</v>
      </c>
    </row>
    <row r="40" spans="1:11" x14ac:dyDescent="0.3">
      <c r="A40" s="13" t="s">
        <v>88</v>
      </c>
      <c r="B40" s="13">
        <v>4</v>
      </c>
      <c r="C40" s="13" t="s">
        <v>103</v>
      </c>
      <c r="D40" s="12" t="s">
        <v>74</v>
      </c>
      <c r="E40" s="10">
        <v>46238.448409340279</v>
      </c>
      <c r="F40" s="10">
        <v>46238.448412710088</v>
      </c>
      <c r="G40" s="13">
        <v>6</v>
      </c>
      <c r="H40" s="14">
        <v>286.47449999999998</v>
      </c>
      <c r="I40" s="13">
        <f>COUNTIFS('클럭 정리'!$A$6:$A$77,"&gt;="&amp;E40,'클럭 정리'!$A$6:$A$77,"&lt;="&amp;F40)</f>
        <v>0</v>
      </c>
      <c r="J40" s="14" t="e">
        <f>AVERAGEIFS('클럭 정리'!$N$6:$N$77,'클럭 정리'!$A$6:$A$77,"&gt;="&amp;E40,'클럭 정리'!$A$6:$A$77,"&lt;="&amp;F40)</f>
        <v>#DIV/0!</v>
      </c>
      <c r="K40" s="15" t="e">
        <f>J40*'클럭 정리'!$B$2/100</f>
        <v>#DIV/0!</v>
      </c>
    </row>
    <row r="41" spans="1:11" x14ac:dyDescent="0.3">
      <c r="A41" s="13" t="s">
        <v>88</v>
      </c>
      <c r="B41" s="13">
        <v>4</v>
      </c>
      <c r="C41" s="13" t="s">
        <v>104</v>
      </c>
      <c r="D41" s="12" t="s">
        <v>74</v>
      </c>
      <c r="E41" s="10">
        <v>46238.44841271991</v>
      </c>
      <c r="F41" s="10">
        <v>46238.448431873308</v>
      </c>
      <c r="G41" s="13">
        <v>35</v>
      </c>
      <c r="H41" s="14">
        <v>1608.4005</v>
      </c>
      <c r="I41" s="13">
        <f>COUNTIFS('클럭 정리'!$A$6:$A$77,"&gt;="&amp;E41,'클럭 정리'!$A$6:$A$77,"&lt;="&amp;F41)</f>
        <v>2</v>
      </c>
      <c r="J41" s="14">
        <f>AVERAGEIFS('클럭 정리'!$N$6:$N$77,'클럭 정리'!$A$6:$A$77,"&gt;="&amp;E41,'클럭 정리'!$A$6:$A$77,"&lt;="&amp;F41)</f>
        <v>158.2317424592369</v>
      </c>
      <c r="K41" s="15">
        <f>J41*'클럭 정리'!$B$2/100</f>
        <v>4.2564338721534725</v>
      </c>
    </row>
    <row r="42" spans="1:11" x14ac:dyDescent="0.3">
      <c r="A42" s="13" t="s">
        <v>88</v>
      </c>
      <c r="B42" s="13">
        <v>4</v>
      </c>
      <c r="C42" s="13" t="s">
        <v>105</v>
      </c>
      <c r="D42" s="12" t="s">
        <v>74</v>
      </c>
      <c r="E42" s="10">
        <v>46238.448431874996</v>
      </c>
      <c r="F42" s="10">
        <v>46238.448434088583</v>
      </c>
      <c r="G42" s="13">
        <v>4</v>
      </c>
      <c r="H42" s="14">
        <v>190.8287</v>
      </c>
      <c r="I42" s="13">
        <f>COUNTIFS('클럭 정리'!$A$6:$A$77,"&gt;="&amp;E42,'클럭 정리'!$A$6:$A$77,"&lt;="&amp;F42)</f>
        <v>0</v>
      </c>
      <c r="J42" s="14" t="e">
        <f>AVERAGEIFS('클럭 정리'!$N$6:$N$77,'클럭 정리'!$A$6:$A$77,"&gt;="&amp;E42,'클럭 정리'!$A$6:$A$77,"&lt;="&amp;F42)</f>
        <v>#DIV/0!</v>
      </c>
      <c r="K42" s="15" t="e">
        <f>J42*'클럭 정리'!$B$2/100</f>
        <v>#DIV/0!</v>
      </c>
    </row>
    <row r="43" spans="1:11" x14ac:dyDescent="0.3">
      <c r="A43" s="13" t="s">
        <v>88</v>
      </c>
      <c r="B43" s="13">
        <v>4</v>
      </c>
      <c r="C43" s="13" t="s">
        <v>76</v>
      </c>
      <c r="D43" s="12" t="s">
        <v>77</v>
      </c>
      <c r="E43" s="10">
        <v>46238.448409340279</v>
      </c>
      <c r="F43" s="10">
        <v>46238.448434089893</v>
      </c>
      <c r="G43" s="13">
        <v>45</v>
      </c>
      <c r="H43" s="14">
        <v>0</v>
      </c>
      <c r="I43" s="13">
        <f>COUNTIFS('클럭 정리'!$A$6:$A$77,"&gt;="&amp;E43,'클럭 정리'!$A$6:$A$77,"&lt;="&amp;F43)</f>
        <v>2</v>
      </c>
      <c r="J43" s="14">
        <f>AVERAGEIFS('클럭 정리'!$N$6:$N$77,'클럭 정리'!$A$6:$A$77,"&gt;="&amp;E43,'클럭 정리'!$A$6:$A$77,"&lt;="&amp;F43)</f>
        <v>158.2317424592369</v>
      </c>
      <c r="K43" s="15">
        <f>J43*'클럭 정리'!$B$2/100</f>
        <v>4.2564338721534725</v>
      </c>
    </row>
    <row r="44" spans="1:11" x14ac:dyDescent="0.3">
      <c r="A44" s="13" t="s">
        <v>88</v>
      </c>
      <c r="B44" s="13">
        <v>5</v>
      </c>
      <c r="C44" s="13" t="s">
        <v>106</v>
      </c>
      <c r="D44" s="12" t="s">
        <v>74</v>
      </c>
      <c r="E44" s="10">
        <v>46238.448434108803</v>
      </c>
      <c r="F44" s="10">
        <v>46238.448454309888</v>
      </c>
      <c r="G44" s="13">
        <v>37</v>
      </c>
      <c r="H44" s="14">
        <v>1710.1721</v>
      </c>
      <c r="I44" s="13">
        <f>COUNTIFS('클럭 정리'!$A$6:$A$77,"&gt;="&amp;E44,'클럭 정리'!$A$6:$A$77,"&lt;="&amp;F44)</f>
        <v>2</v>
      </c>
      <c r="J44" s="14">
        <f>AVERAGEIFS('클럭 정리'!$N$6:$N$77,'클럭 정리'!$A$6:$A$77,"&gt;="&amp;E44,'클럭 정리'!$A$6:$A$77,"&lt;="&amp;F44)</f>
        <v>157.66371382567371</v>
      </c>
      <c r="K44" s="15">
        <f>J44*'클럭 정리'!$B$2/100</f>
        <v>4.2411539019106224</v>
      </c>
    </row>
    <row r="45" spans="1:11" x14ac:dyDescent="0.3">
      <c r="A45" s="13" t="s">
        <v>88</v>
      </c>
      <c r="B45" s="13">
        <v>5</v>
      </c>
      <c r="C45" s="13" t="s">
        <v>107</v>
      </c>
      <c r="D45" s="12" t="s">
        <v>74</v>
      </c>
      <c r="E45" s="10">
        <v>46238.448454305559</v>
      </c>
      <c r="F45" s="10">
        <v>46238.448458830382</v>
      </c>
      <c r="G45" s="13">
        <v>8</v>
      </c>
      <c r="H45" s="14">
        <v>380.56979999999999</v>
      </c>
      <c r="I45" s="13">
        <f>COUNTIFS('클럭 정리'!$A$6:$A$77,"&gt;="&amp;E45,'클럭 정리'!$A$6:$A$77,"&lt;="&amp;F45)</f>
        <v>0</v>
      </c>
      <c r="J45" s="14" t="e">
        <f>AVERAGEIFS('클럭 정리'!$N$6:$N$77,'클럭 정리'!$A$6:$A$77,"&gt;="&amp;E45,'클럭 정리'!$A$6:$A$77,"&lt;="&amp;F45)</f>
        <v>#DIV/0!</v>
      </c>
      <c r="K45" s="15" t="e">
        <f>J45*'클럭 정리'!$B$2/100</f>
        <v>#DIV/0!</v>
      </c>
    </row>
    <row r="46" spans="1:11" x14ac:dyDescent="0.3">
      <c r="A46" s="13" t="s">
        <v>88</v>
      </c>
      <c r="B46" s="13">
        <v>5</v>
      </c>
      <c r="C46" s="13" t="s">
        <v>108</v>
      </c>
      <c r="D46" s="12" t="s">
        <v>74</v>
      </c>
      <c r="E46" s="10">
        <v>46238.448434108803</v>
      </c>
      <c r="F46" s="10">
        <v>46238.448434704937</v>
      </c>
      <c r="G46" s="13">
        <v>1</v>
      </c>
      <c r="H46" s="14">
        <v>51.507199999999997</v>
      </c>
      <c r="I46" s="13">
        <f>COUNTIFS('클럭 정리'!$A$6:$A$77,"&gt;="&amp;E46,'클럭 정리'!$A$6:$A$77,"&lt;="&amp;F46)</f>
        <v>0</v>
      </c>
      <c r="J46" s="14" t="e">
        <f>AVERAGEIFS('클럭 정리'!$N$6:$N$77,'클럭 정리'!$A$6:$A$77,"&gt;="&amp;E46,'클럭 정리'!$A$6:$A$77,"&lt;="&amp;F46)</f>
        <v>#DIV/0!</v>
      </c>
      <c r="K46" s="15" t="e">
        <f>J46*'클럭 정리'!$B$2/100</f>
        <v>#DIV/0!</v>
      </c>
    </row>
    <row r="47" spans="1:11" x14ac:dyDescent="0.3">
      <c r="A47" s="13" t="s">
        <v>88</v>
      </c>
      <c r="B47" s="13">
        <v>5</v>
      </c>
      <c r="C47" s="13" t="s">
        <v>109</v>
      </c>
      <c r="D47" s="12" t="s">
        <v>74</v>
      </c>
      <c r="E47" s="10">
        <v>46238.448434710648</v>
      </c>
      <c r="F47" s="10">
        <v>46238.448435814898</v>
      </c>
      <c r="G47" s="13">
        <v>2</v>
      </c>
      <c r="H47" s="14">
        <v>92.757599999999996</v>
      </c>
      <c r="I47" s="13">
        <f>COUNTIFS('클럭 정리'!$A$6:$A$77,"&gt;="&amp;E47,'클럭 정리'!$A$6:$A$77,"&lt;="&amp;F47)</f>
        <v>0</v>
      </c>
      <c r="J47" s="14" t="e">
        <f>AVERAGEIFS('클럭 정리'!$N$6:$N$77,'클럭 정리'!$A$6:$A$77,"&gt;="&amp;E47,'클럭 정리'!$A$6:$A$77,"&lt;="&amp;F47)</f>
        <v>#DIV/0!</v>
      </c>
      <c r="K47" s="15" t="e">
        <f>J47*'클럭 정리'!$B$2/100</f>
        <v>#DIV/0!</v>
      </c>
    </row>
    <row r="48" spans="1:11" x14ac:dyDescent="0.3">
      <c r="A48" s="13" t="s">
        <v>88</v>
      </c>
      <c r="B48" s="13">
        <v>5</v>
      </c>
      <c r="C48" s="13" t="s">
        <v>110</v>
      </c>
      <c r="D48" s="12" t="s">
        <v>74</v>
      </c>
      <c r="E48" s="10">
        <v>46238.44843582176</v>
      </c>
      <c r="F48" s="10">
        <v>46238.448437951331</v>
      </c>
      <c r="G48" s="13">
        <v>4</v>
      </c>
      <c r="H48" s="14">
        <v>182.04179999999999</v>
      </c>
      <c r="I48" s="13">
        <f>COUNTIFS('클럭 정리'!$A$6:$A$77,"&gt;="&amp;E48,'클럭 정리'!$A$6:$A$77,"&lt;="&amp;F48)</f>
        <v>1</v>
      </c>
      <c r="J48" s="14">
        <f>AVERAGEIFS('클럭 정리'!$N$6:$N$77,'클럭 정리'!$A$6:$A$77,"&gt;="&amp;E48,'클럭 정리'!$A$6:$A$77,"&lt;="&amp;F48)</f>
        <v>157.88240970756519</v>
      </c>
      <c r="K48" s="15">
        <f>J48*'클럭 정리'!$B$2/100</f>
        <v>4.247036821133503</v>
      </c>
    </row>
    <row r="49" spans="1:11" x14ac:dyDescent="0.3">
      <c r="A49" s="13" t="s">
        <v>88</v>
      </c>
      <c r="B49" s="13">
        <v>5</v>
      </c>
      <c r="C49" s="13" t="s">
        <v>111</v>
      </c>
      <c r="D49" s="12" t="s">
        <v>74</v>
      </c>
      <c r="E49" s="10">
        <v>46238.448437951389</v>
      </c>
      <c r="F49" s="10">
        <v>46238.44845881861</v>
      </c>
      <c r="G49" s="13">
        <v>38</v>
      </c>
      <c r="H49" s="14">
        <v>1789.2168999999999</v>
      </c>
      <c r="I49" s="13">
        <f>COUNTIFS('클럭 정리'!$A$6:$A$77,"&gt;="&amp;E49,'클럭 정리'!$A$6:$A$77,"&lt;="&amp;F49)</f>
        <v>1</v>
      </c>
      <c r="J49" s="14">
        <f>AVERAGEIFS('클럭 정리'!$N$6:$N$77,'클럭 정리'!$A$6:$A$77,"&gt;="&amp;E49,'클럭 정리'!$A$6:$A$77,"&lt;="&amp;F49)</f>
        <v>157.4450179437822</v>
      </c>
      <c r="K49" s="15">
        <f>J49*'클럭 정리'!$B$2/100</f>
        <v>4.2352709826877408</v>
      </c>
    </row>
    <row r="50" spans="1:11" x14ac:dyDescent="0.3">
      <c r="A50" s="13" t="s">
        <v>88</v>
      </c>
      <c r="B50" s="13">
        <v>5</v>
      </c>
      <c r="C50" s="13" t="s">
        <v>76</v>
      </c>
      <c r="D50" s="12" t="s">
        <v>77</v>
      </c>
      <c r="E50" s="10">
        <v>46238.448434108803</v>
      </c>
      <c r="F50" s="10">
        <v>46238.448458831539</v>
      </c>
      <c r="G50" s="13">
        <v>45</v>
      </c>
      <c r="H50" s="14">
        <v>0</v>
      </c>
      <c r="I50" s="13">
        <f>COUNTIFS('클럭 정리'!$A$6:$A$77,"&gt;="&amp;E50,'클럭 정리'!$A$6:$A$77,"&lt;="&amp;F50)</f>
        <v>2</v>
      </c>
      <c r="J50" s="14">
        <f>AVERAGEIFS('클럭 정리'!$N$6:$N$77,'클럭 정리'!$A$6:$A$77,"&gt;="&amp;E50,'클럭 정리'!$A$6:$A$77,"&lt;="&amp;F50)</f>
        <v>157.66371382567371</v>
      </c>
      <c r="K50" s="15">
        <f>J50*'클럭 정리'!$B$2/100</f>
        <v>4.2411539019106224</v>
      </c>
    </row>
    <row r="53" spans="1:11" x14ac:dyDescent="0.3">
      <c r="A53" s="1" t="s">
        <v>112</v>
      </c>
    </row>
    <row r="54" spans="1:11" x14ac:dyDescent="0.3">
      <c r="A54" s="4" t="s">
        <v>113</v>
      </c>
    </row>
    <row r="55" spans="1:11" x14ac:dyDescent="0.3">
      <c r="A55" s="5" t="s">
        <v>22</v>
      </c>
      <c r="B55" s="5" t="s">
        <v>65</v>
      </c>
      <c r="C55" s="5" t="s">
        <v>114</v>
      </c>
      <c r="D55" s="5" t="s">
        <v>68</v>
      </c>
      <c r="E55" s="5" t="s">
        <v>69</v>
      </c>
      <c r="F55" s="5" t="s">
        <v>115</v>
      </c>
      <c r="G55" s="5" t="s">
        <v>116</v>
      </c>
      <c r="H55" s="5" t="s">
        <v>117</v>
      </c>
    </row>
    <row r="56" spans="1:11" x14ac:dyDescent="0.3">
      <c r="A56" s="13" t="s">
        <v>72</v>
      </c>
      <c r="B56" s="13">
        <v>1</v>
      </c>
      <c r="C56" s="13" t="s">
        <v>118</v>
      </c>
      <c r="D56" s="10">
        <v>46238.448141574067</v>
      </c>
      <c r="E56" s="10">
        <v>46238.44816618583</v>
      </c>
      <c r="F56" s="16">
        <f>'클럭 정리'!A39</f>
        <v>46238.448143784721</v>
      </c>
      <c r="G56" s="17">
        <f>'클럭 정리'!N39</f>
        <v>156.31032089359499</v>
      </c>
      <c r="H56" s="15">
        <f>'클럭 정리'!O39</f>
        <v>4.2047476320377051</v>
      </c>
    </row>
    <row r="57" spans="1:11" x14ac:dyDescent="0.3">
      <c r="A57" s="13" t="s">
        <v>72</v>
      </c>
      <c r="B57" s="13">
        <v>1</v>
      </c>
      <c r="C57" s="13" t="s">
        <v>118</v>
      </c>
      <c r="D57" s="10">
        <v>46238.448141574067</v>
      </c>
      <c r="E57" s="10">
        <v>46238.44816618583</v>
      </c>
      <c r="F57" s="16">
        <f>'클럭 정리'!A40</f>
        <v>46238.448155532409</v>
      </c>
      <c r="G57" s="17">
        <f>'클럭 정리'!N40</f>
        <v>157.99331679715689</v>
      </c>
      <c r="H57" s="15">
        <f>'클럭 정리'!O40</f>
        <v>4.2500202218435206</v>
      </c>
    </row>
    <row r="58" spans="1:11" x14ac:dyDescent="0.3">
      <c r="A58" s="13" t="s">
        <v>72</v>
      </c>
      <c r="B58" s="13">
        <v>1</v>
      </c>
      <c r="C58" s="13" t="s">
        <v>76</v>
      </c>
      <c r="D58" s="10">
        <v>46238.448141562498</v>
      </c>
      <c r="E58" s="10">
        <v>46238.448166188216</v>
      </c>
      <c r="F58" s="16">
        <f>'클럭 정리'!A39</f>
        <v>46238.448143784721</v>
      </c>
      <c r="G58" s="17">
        <f>'클럭 정리'!N39</f>
        <v>156.31032089359499</v>
      </c>
      <c r="H58" s="15">
        <f>'클럭 정리'!O39</f>
        <v>4.2047476320377051</v>
      </c>
    </row>
    <row r="59" spans="1:11" x14ac:dyDescent="0.3">
      <c r="A59" s="13" t="s">
        <v>72</v>
      </c>
      <c r="B59" s="13">
        <v>1</v>
      </c>
      <c r="C59" s="13" t="s">
        <v>76</v>
      </c>
      <c r="D59" s="10">
        <v>46238.448141562498</v>
      </c>
      <c r="E59" s="10">
        <v>46238.448166188216</v>
      </c>
      <c r="F59" s="16">
        <f>'클럭 정리'!A40</f>
        <v>46238.448155532409</v>
      </c>
      <c r="G59" s="17">
        <f>'클럭 정리'!N40</f>
        <v>157.99331679715689</v>
      </c>
      <c r="H59" s="15">
        <f>'클럭 정리'!O40</f>
        <v>4.2500202218435206</v>
      </c>
    </row>
    <row r="60" spans="1:11" x14ac:dyDescent="0.3">
      <c r="A60" s="13" t="s">
        <v>72</v>
      </c>
      <c r="B60" s="13">
        <v>2</v>
      </c>
      <c r="C60" s="13" t="s">
        <v>119</v>
      </c>
      <c r="D60" s="10">
        <v>46238.448166203707</v>
      </c>
      <c r="E60" s="10">
        <v>46238.44819015493</v>
      </c>
      <c r="F60" s="16">
        <f>'클럭 정리'!A41</f>
        <v>46238.44816728009</v>
      </c>
      <c r="G60" s="17">
        <f>'클럭 정리'!N41</f>
        <v>157.37182606923091</v>
      </c>
      <c r="H60" s="15">
        <f>'클럭 정리'!O41</f>
        <v>4.2333021212623114</v>
      </c>
    </row>
    <row r="61" spans="1:11" x14ac:dyDescent="0.3">
      <c r="A61" s="13" t="s">
        <v>72</v>
      </c>
      <c r="B61" s="13">
        <v>2</v>
      </c>
      <c r="C61" s="13" t="s">
        <v>119</v>
      </c>
      <c r="D61" s="10">
        <v>46238.448166203707</v>
      </c>
      <c r="E61" s="10">
        <v>46238.44819015493</v>
      </c>
      <c r="F61" s="16">
        <f>'클럭 정리'!A42</f>
        <v>46238.448179039347</v>
      </c>
      <c r="G61" s="17">
        <f>'클럭 정리'!N42</f>
        <v>158.7519843085976</v>
      </c>
      <c r="H61" s="15">
        <f>'클럭 정리'!O42</f>
        <v>4.2704283779012755</v>
      </c>
    </row>
    <row r="62" spans="1:11" x14ac:dyDescent="0.3">
      <c r="A62" s="13" t="s">
        <v>72</v>
      </c>
      <c r="B62" s="13">
        <v>2</v>
      </c>
      <c r="C62" s="13" t="s">
        <v>76</v>
      </c>
      <c r="D62" s="10">
        <v>46238.448166192131</v>
      </c>
      <c r="E62" s="10">
        <v>46238.448190156058</v>
      </c>
      <c r="F62" s="16">
        <f>'클럭 정리'!A41</f>
        <v>46238.44816728009</v>
      </c>
      <c r="G62" s="17">
        <f>'클럭 정리'!N41</f>
        <v>157.37182606923091</v>
      </c>
      <c r="H62" s="15">
        <f>'클럭 정리'!O41</f>
        <v>4.2333021212623114</v>
      </c>
    </row>
    <row r="63" spans="1:11" x14ac:dyDescent="0.3">
      <c r="A63" s="13" t="s">
        <v>72</v>
      </c>
      <c r="B63" s="13">
        <v>2</v>
      </c>
      <c r="C63" s="13" t="s">
        <v>76</v>
      </c>
      <c r="D63" s="10">
        <v>46238.448166192131</v>
      </c>
      <c r="E63" s="10">
        <v>46238.448190156058</v>
      </c>
      <c r="F63" s="16">
        <f>'클럭 정리'!A42</f>
        <v>46238.448179039347</v>
      </c>
      <c r="G63" s="17">
        <f>'클럭 정리'!N42</f>
        <v>158.7519843085976</v>
      </c>
      <c r="H63" s="15">
        <f>'클럭 정리'!O42</f>
        <v>4.2704283779012755</v>
      </c>
    </row>
    <row r="64" spans="1:11" x14ac:dyDescent="0.3">
      <c r="A64" s="13" t="s">
        <v>72</v>
      </c>
      <c r="B64" s="13">
        <v>3</v>
      </c>
      <c r="C64" s="13" t="s">
        <v>120</v>
      </c>
      <c r="D64" s="10">
        <v>46238.448190173607</v>
      </c>
      <c r="E64" s="10">
        <v>46238.448214548378</v>
      </c>
      <c r="F64" s="16">
        <f>'클럭 정리'!A43</f>
        <v>46238.448190798612</v>
      </c>
      <c r="G64" s="17">
        <f>'클럭 정리'!N43</f>
        <v>158.317354890865</v>
      </c>
      <c r="H64" s="15">
        <f>'클럭 정리'!O43</f>
        <v>4.2587368465642683</v>
      </c>
    </row>
    <row r="65" spans="1:8" x14ac:dyDescent="0.3">
      <c r="A65" s="13" t="s">
        <v>72</v>
      </c>
      <c r="B65" s="13">
        <v>3</v>
      </c>
      <c r="C65" s="13" t="s">
        <v>120</v>
      </c>
      <c r="D65" s="10">
        <v>46238.448190173607</v>
      </c>
      <c r="E65" s="10">
        <v>46238.448214548378</v>
      </c>
      <c r="F65" s="16">
        <f>'클럭 정리'!A44</f>
        <v>46238.448202523148</v>
      </c>
      <c r="G65" s="17">
        <f>'클럭 정리'!N44</f>
        <v>157.34412868767791</v>
      </c>
      <c r="H65" s="15">
        <f>'클럭 정리'!O44</f>
        <v>4.232557061698536</v>
      </c>
    </row>
    <row r="66" spans="1:8" x14ac:dyDescent="0.3">
      <c r="A66" s="13" t="s">
        <v>72</v>
      </c>
      <c r="B66" s="13">
        <v>3</v>
      </c>
      <c r="C66" s="13" t="s">
        <v>120</v>
      </c>
      <c r="D66" s="10">
        <v>46238.448190173607</v>
      </c>
      <c r="E66" s="10">
        <v>46238.448214548378</v>
      </c>
      <c r="F66" s="16">
        <f>'클럭 정리'!A45</f>
        <v>46238.448214247677</v>
      </c>
      <c r="G66" s="17">
        <f>'클럭 정리'!N45</f>
        <v>157.7393274844749</v>
      </c>
      <c r="H66" s="15">
        <f>'클럭 정리'!O45</f>
        <v>4.2431879093323746</v>
      </c>
    </row>
    <row r="67" spans="1:8" x14ac:dyDescent="0.3">
      <c r="A67" s="13" t="s">
        <v>72</v>
      </c>
      <c r="B67" s="13">
        <v>3</v>
      </c>
      <c r="C67" s="13" t="s">
        <v>76</v>
      </c>
      <c r="D67" s="10">
        <v>46238.448190162038</v>
      </c>
      <c r="E67" s="10">
        <v>46238.448214549528</v>
      </c>
      <c r="F67" s="16">
        <f>'클럭 정리'!A43</f>
        <v>46238.448190798612</v>
      </c>
      <c r="G67" s="17">
        <f>'클럭 정리'!N43</f>
        <v>158.317354890865</v>
      </c>
      <c r="H67" s="15">
        <f>'클럭 정리'!O43</f>
        <v>4.2587368465642683</v>
      </c>
    </row>
    <row r="68" spans="1:8" x14ac:dyDescent="0.3">
      <c r="A68" s="13" t="s">
        <v>72</v>
      </c>
      <c r="B68" s="13">
        <v>3</v>
      </c>
      <c r="C68" s="13" t="s">
        <v>76</v>
      </c>
      <c r="D68" s="10">
        <v>46238.448190162038</v>
      </c>
      <c r="E68" s="10">
        <v>46238.448214549528</v>
      </c>
      <c r="F68" s="16">
        <f>'클럭 정리'!A44</f>
        <v>46238.448202523148</v>
      </c>
      <c r="G68" s="17">
        <f>'클럭 정리'!N44</f>
        <v>157.34412868767791</v>
      </c>
      <c r="H68" s="15">
        <f>'클럭 정리'!O44</f>
        <v>4.232557061698536</v>
      </c>
    </row>
    <row r="69" spans="1:8" x14ac:dyDescent="0.3">
      <c r="A69" s="13" t="s">
        <v>72</v>
      </c>
      <c r="B69" s="13">
        <v>3</v>
      </c>
      <c r="C69" s="13" t="s">
        <v>76</v>
      </c>
      <c r="D69" s="10">
        <v>46238.448190162038</v>
      </c>
      <c r="E69" s="10">
        <v>46238.448214549528</v>
      </c>
      <c r="F69" s="16">
        <f>'클럭 정리'!A45</f>
        <v>46238.448214247677</v>
      </c>
      <c r="G69" s="17">
        <f>'클럭 정리'!N45</f>
        <v>157.7393274844749</v>
      </c>
      <c r="H69" s="15">
        <f>'클럭 정리'!O45</f>
        <v>4.2431879093323746</v>
      </c>
    </row>
    <row r="70" spans="1:8" x14ac:dyDescent="0.3">
      <c r="A70" s="13" t="s">
        <v>72</v>
      </c>
      <c r="B70" s="13">
        <v>4</v>
      </c>
      <c r="C70" s="13" t="s">
        <v>121</v>
      </c>
      <c r="D70" s="10">
        <v>46238.448214571763</v>
      </c>
      <c r="E70" s="10">
        <v>46238.448238463046</v>
      </c>
      <c r="F70" s="16">
        <f>'클럭 정리'!A46</f>
        <v>46238.448225983797</v>
      </c>
      <c r="G70" s="17">
        <f>'클럭 정리'!N46</f>
        <v>157.8561954783014</v>
      </c>
      <c r="H70" s="15">
        <f>'클럭 정리'!O46</f>
        <v>4.2463316583663078</v>
      </c>
    </row>
    <row r="71" spans="1:8" x14ac:dyDescent="0.3">
      <c r="A71" s="13" t="s">
        <v>72</v>
      </c>
      <c r="B71" s="13">
        <v>4</v>
      </c>
      <c r="C71" s="13" t="s">
        <v>121</v>
      </c>
      <c r="D71" s="10">
        <v>46238.448214571763</v>
      </c>
      <c r="E71" s="10">
        <v>46238.448238463046</v>
      </c>
      <c r="F71" s="16">
        <f>'클럭 정리'!A47</f>
        <v>46238.448237731478</v>
      </c>
      <c r="G71" s="17">
        <f>'클럭 정리'!N47</f>
        <v>157.64716874039399</v>
      </c>
      <c r="H71" s="15">
        <f>'클럭 정리'!O47</f>
        <v>4.2407088391165981</v>
      </c>
    </row>
    <row r="72" spans="1:8" x14ac:dyDescent="0.3">
      <c r="A72" s="13" t="s">
        <v>72</v>
      </c>
      <c r="B72" s="13">
        <v>4</v>
      </c>
      <c r="C72" s="13" t="s">
        <v>76</v>
      </c>
      <c r="D72" s="10">
        <v>46238.448214560187</v>
      </c>
      <c r="E72" s="10">
        <v>46238.44823846472</v>
      </c>
      <c r="F72" s="16">
        <f>'클럭 정리'!A46</f>
        <v>46238.448225983797</v>
      </c>
      <c r="G72" s="17">
        <f>'클럭 정리'!N46</f>
        <v>157.8561954783014</v>
      </c>
      <c r="H72" s="15">
        <f>'클럭 정리'!O46</f>
        <v>4.2463316583663078</v>
      </c>
    </row>
    <row r="73" spans="1:8" x14ac:dyDescent="0.3">
      <c r="A73" s="13" t="s">
        <v>72</v>
      </c>
      <c r="B73" s="13">
        <v>4</v>
      </c>
      <c r="C73" s="13" t="s">
        <v>76</v>
      </c>
      <c r="D73" s="10">
        <v>46238.448214560187</v>
      </c>
      <c r="E73" s="10">
        <v>46238.44823846472</v>
      </c>
      <c r="F73" s="16">
        <f>'클럭 정리'!A47</f>
        <v>46238.448237731478</v>
      </c>
      <c r="G73" s="17">
        <f>'클럭 정리'!N47</f>
        <v>157.64716874039399</v>
      </c>
      <c r="H73" s="15">
        <f>'클럭 정리'!O47</f>
        <v>4.2407088391165981</v>
      </c>
    </row>
    <row r="74" spans="1:8" x14ac:dyDescent="0.3">
      <c r="A74" s="13" t="s">
        <v>72</v>
      </c>
      <c r="B74" s="13">
        <v>5</v>
      </c>
      <c r="C74" s="13" t="s">
        <v>122</v>
      </c>
      <c r="D74" s="10">
        <v>46238.448238483797</v>
      </c>
      <c r="E74" s="10">
        <v>46238.448262851147</v>
      </c>
      <c r="F74" s="16">
        <f>'클럭 정리'!A48</f>
        <v>46238.44824946759</v>
      </c>
      <c r="G74" s="17">
        <f>'클럭 정리'!N48</f>
        <v>157.08335813664829</v>
      </c>
      <c r="H74" s="15">
        <f>'클럭 정리'!O48</f>
        <v>4.2255423338758389</v>
      </c>
    </row>
    <row r="75" spans="1:8" x14ac:dyDescent="0.3">
      <c r="A75" s="13" t="s">
        <v>72</v>
      </c>
      <c r="B75" s="13">
        <v>5</v>
      </c>
      <c r="C75" s="13" t="s">
        <v>122</v>
      </c>
      <c r="D75" s="10">
        <v>46238.448238483797</v>
      </c>
      <c r="E75" s="10">
        <v>46238.448262851147</v>
      </c>
      <c r="F75" s="16">
        <f>'클럭 정리'!A49</f>
        <v>46238.448261215279</v>
      </c>
      <c r="G75" s="17">
        <f>'클럭 정리'!N49</f>
        <v>156.8692522715761</v>
      </c>
      <c r="H75" s="15">
        <f>'클럭 정리'!O49</f>
        <v>4.2197828861053974</v>
      </c>
    </row>
    <row r="76" spans="1:8" x14ac:dyDescent="0.3">
      <c r="A76" s="13" t="s">
        <v>72</v>
      </c>
      <c r="B76" s="13">
        <v>5</v>
      </c>
      <c r="C76" s="13" t="s">
        <v>76</v>
      </c>
      <c r="D76" s="10">
        <v>46238.448238472221</v>
      </c>
      <c r="E76" s="10">
        <v>46238.448262852107</v>
      </c>
      <c r="F76" s="16">
        <f>'클럭 정리'!A48</f>
        <v>46238.44824946759</v>
      </c>
      <c r="G76" s="17">
        <f>'클럭 정리'!N48</f>
        <v>157.08335813664829</v>
      </c>
      <c r="H76" s="15">
        <f>'클럭 정리'!O48</f>
        <v>4.2255423338758389</v>
      </c>
    </row>
    <row r="77" spans="1:8" x14ac:dyDescent="0.3">
      <c r="A77" s="13" t="s">
        <v>72</v>
      </c>
      <c r="B77" s="13">
        <v>5</v>
      </c>
      <c r="C77" s="13" t="s">
        <v>76</v>
      </c>
      <c r="D77" s="10">
        <v>46238.448238472221</v>
      </c>
      <c r="E77" s="10">
        <v>46238.448262852107</v>
      </c>
      <c r="F77" s="16">
        <f>'클럭 정리'!A49</f>
        <v>46238.448261215279</v>
      </c>
      <c r="G77" s="17">
        <f>'클럭 정리'!N49</f>
        <v>156.8692522715761</v>
      </c>
      <c r="H77" s="15">
        <f>'클럭 정리'!O49</f>
        <v>4.2197828861053974</v>
      </c>
    </row>
    <row r="78" spans="1:8" x14ac:dyDescent="0.3">
      <c r="A78" s="13" t="s">
        <v>88</v>
      </c>
      <c r="B78" s="13">
        <v>1</v>
      </c>
      <c r="C78" s="13" t="s">
        <v>123</v>
      </c>
      <c r="D78" s="10">
        <v>46238.448336979163</v>
      </c>
      <c r="E78" s="10">
        <v>46238.448360862683</v>
      </c>
      <c r="F78" s="16">
        <f>'클럭 정리'!A56</f>
        <v>46238.448343252312</v>
      </c>
      <c r="G78" s="17">
        <f>'클럭 정리'!N56</f>
        <v>157.33815608661999</v>
      </c>
      <c r="H78" s="15">
        <f>'클럭 정리'!O56</f>
        <v>4.2323963987300779</v>
      </c>
    </row>
    <row r="79" spans="1:8" x14ac:dyDescent="0.3">
      <c r="A79" s="13" t="s">
        <v>88</v>
      </c>
      <c r="B79" s="13">
        <v>1</v>
      </c>
      <c r="C79" s="13" t="s">
        <v>123</v>
      </c>
      <c r="D79" s="10">
        <v>46238.448336979163</v>
      </c>
      <c r="E79" s="10">
        <v>46238.448360862683</v>
      </c>
      <c r="F79" s="16">
        <f>'클럭 정리'!A57</f>
        <v>46238.448355</v>
      </c>
      <c r="G79" s="17">
        <f>'클럭 정리'!N57</f>
        <v>156.728055514701</v>
      </c>
      <c r="H79" s="15">
        <f>'클럭 정리'!O57</f>
        <v>4.2159846933454563</v>
      </c>
    </row>
    <row r="80" spans="1:8" x14ac:dyDescent="0.3">
      <c r="A80" s="13" t="s">
        <v>88</v>
      </c>
      <c r="B80" s="13">
        <v>1</v>
      </c>
      <c r="C80" s="13" t="s">
        <v>76</v>
      </c>
      <c r="D80" s="10">
        <v>46238.448336979163</v>
      </c>
      <c r="E80" s="10">
        <v>46238.448360863811</v>
      </c>
      <c r="F80" s="16">
        <f>'클럭 정리'!A56</f>
        <v>46238.448343252312</v>
      </c>
      <c r="G80" s="17">
        <f>'클럭 정리'!N56</f>
        <v>157.33815608661999</v>
      </c>
      <c r="H80" s="15">
        <f>'클럭 정리'!O56</f>
        <v>4.2323963987300779</v>
      </c>
    </row>
    <row r="81" spans="1:8" x14ac:dyDescent="0.3">
      <c r="A81" s="13" t="s">
        <v>88</v>
      </c>
      <c r="B81" s="13">
        <v>1</v>
      </c>
      <c r="C81" s="13" t="s">
        <v>76</v>
      </c>
      <c r="D81" s="10">
        <v>46238.448336979163</v>
      </c>
      <c r="E81" s="10">
        <v>46238.448360863811</v>
      </c>
      <c r="F81" s="16">
        <f>'클럭 정리'!A57</f>
        <v>46238.448355</v>
      </c>
      <c r="G81" s="17">
        <f>'클럭 정리'!N57</f>
        <v>156.728055514701</v>
      </c>
      <c r="H81" s="15">
        <f>'클럭 정리'!O57</f>
        <v>4.2159846933454563</v>
      </c>
    </row>
    <row r="82" spans="1:8" x14ac:dyDescent="0.3">
      <c r="A82" s="13" t="s">
        <v>88</v>
      </c>
      <c r="B82" s="13">
        <v>2</v>
      </c>
      <c r="C82" s="13" t="s">
        <v>124</v>
      </c>
      <c r="D82" s="10">
        <v>46238.448360868053</v>
      </c>
      <c r="E82" s="10">
        <v>46238.448384966992</v>
      </c>
      <c r="F82" s="16">
        <f>'클럭 정리'!A58</f>
        <v>46238.448366747682</v>
      </c>
      <c r="G82" s="17">
        <f>'클럭 정리'!N58</f>
        <v>158.19219229055841</v>
      </c>
      <c r="H82" s="15">
        <f>'클럭 정리'!O58</f>
        <v>4.2553699726160206</v>
      </c>
    </row>
    <row r="83" spans="1:8" x14ac:dyDescent="0.3">
      <c r="A83" s="13" t="s">
        <v>88</v>
      </c>
      <c r="B83" s="13">
        <v>2</v>
      </c>
      <c r="C83" s="13" t="s">
        <v>124</v>
      </c>
      <c r="D83" s="10">
        <v>46238.448360868053</v>
      </c>
      <c r="E83" s="10">
        <v>46238.448384966992</v>
      </c>
      <c r="F83" s="16">
        <f>'클럭 정리'!A59</f>
        <v>46238.448378472232</v>
      </c>
      <c r="G83" s="17">
        <f>'클럭 정리'!N59</f>
        <v>158.56877732115279</v>
      </c>
      <c r="H83" s="15">
        <f>'클럭 정리'!O59</f>
        <v>4.2655001099390102</v>
      </c>
    </row>
    <row r="84" spans="1:8" x14ac:dyDescent="0.3">
      <c r="A84" s="13" t="s">
        <v>88</v>
      </c>
      <c r="B84" s="13">
        <v>2</v>
      </c>
      <c r="C84" s="13" t="s">
        <v>76</v>
      </c>
      <c r="D84" s="10">
        <v>46238.448360856477</v>
      </c>
      <c r="E84" s="10">
        <v>46238.448384968273</v>
      </c>
      <c r="F84" s="16">
        <f>'클럭 정리'!A58</f>
        <v>46238.448366747682</v>
      </c>
      <c r="G84" s="17">
        <f>'클럭 정리'!N58</f>
        <v>158.19219229055841</v>
      </c>
      <c r="H84" s="15">
        <f>'클럭 정리'!O58</f>
        <v>4.2553699726160206</v>
      </c>
    </row>
    <row r="85" spans="1:8" x14ac:dyDescent="0.3">
      <c r="A85" s="13" t="s">
        <v>88</v>
      </c>
      <c r="B85" s="13">
        <v>2</v>
      </c>
      <c r="C85" s="13" t="s">
        <v>76</v>
      </c>
      <c r="D85" s="10">
        <v>46238.448360856477</v>
      </c>
      <c r="E85" s="10">
        <v>46238.448384968273</v>
      </c>
      <c r="F85" s="16">
        <f>'클럭 정리'!A59</f>
        <v>46238.448378472232</v>
      </c>
      <c r="G85" s="17">
        <f>'클럭 정리'!N59</f>
        <v>158.56877732115279</v>
      </c>
      <c r="H85" s="15">
        <f>'클럭 정리'!O59</f>
        <v>4.2655001099390102</v>
      </c>
    </row>
    <row r="86" spans="1:8" x14ac:dyDescent="0.3">
      <c r="A86" s="13" t="s">
        <v>88</v>
      </c>
      <c r="B86" s="13">
        <v>3</v>
      </c>
      <c r="C86" s="13" t="s">
        <v>125</v>
      </c>
      <c r="D86" s="10">
        <v>46238.448384988427</v>
      </c>
      <c r="E86" s="10">
        <v>46238.448409337507</v>
      </c>
      <c r="F86" s="16">
        <f>'클럭 정리'!A60</f>
        <v>46238.448390196761</v>
      </c>
      <c r="G86" s="17">
        <f>'클럭 정리'!N60</f>
        <v>157.89588673660839</v>
      </c>
      <c r="H86" s="15">
        <f>'클럭 정리'!O60</f>
        <v>4.2473993532147656</v>
      </c>
    </row>
    <row r="87" spans="1:8" x14ac:dyDescent="0.3">
      <c r="A87" s="13" t="s">
        <v>88</v>
      </c>
      <c r="B87" s="13">
        <v>3</v>
      </c>
      <c r="C87" s="13" t="s">
        <v>125</v>
      </c>
      <c r="D87" s="10">
        <v>46238.448384988427</v>
      </c>
      <c r="E87" s="10">
        <v>46238.448409337507</v>
      </c>
      <c r="F87" s="16">
        <f>'클럭 정리'!A61</f>
        <v>46238.448401956019</v>
      </c>
      <c r="G87" s="17">
        <f>'클럭 정리'!N61</f>
        <v>158.2725012624791</v>
      </c>
      <c r="H87" s="15">
        <f>'클럭 정리'!O61</f>
        <v>4.2575302839606879</v>
      </c>
    </row>
    <row r="88" spans="1:8" x14ac:dyDescent="0.3">
      <c r="A88" s="13" t="s">
        <v>88</v>
      </c>
      <c r="B88" s="13">
        <v>3</v>
      </c>
      <c r="C88" s="13" t="s">
        <v>76</v>
      </c>
      <c r="D88" s="10">
        <v>46238.448384976851</v>
      </c>
      <c r="E88" s="10">
        <v>46238.448409339282</v>
      </c>
      <c r="F88" s="16">
        <f>'클럭 정리'!A60</f>
        <v>46238.448390196761</v>
      </c>
      <c r="G88" s="17">
        <f>'클럭 정리'!N60</f>
        <v>157.89588673660839</v>
      </c>
      <c r="H88" s="15">
        <f>'클럭 정리'!O60</f>
        <v>4.2473993532147656</v>
      </c>
    </row>
    <row r="89" spans="1:8" x14ac:dyDescent="0.3">
      <c r="A89" s="13" t="s">
        <v>88</v>
      </c>
      <c r="B89" s="13">
        <v>3</v>
      </c>
      <c r="C89" s="13" t="s">
        <v>76</v>
      </c>
      <c r="D89" s="10">
        <v>46238.448384976851</v>
      </c>
      <c r="E89" s="10">
        <v>46238.448409339282</v>
      </c>
      <c r="F89" s="16">
        <f>'클럭 정리'!A61</f>
        <v>46238.448401956019</v>
      </c>
      <c r="G89" s="17">
        <f>'클럭 정리'!N61</f>
        <v>158.2725012624791</v>
      </c>
      <c r="H89" s="15">
        <f>'클럭 정리'!O61</f>
        <v>4.2575302839606879</v>
      </c>
    </row>
    <row r="90" spans="1:8" x14ac:dyDescent="0.3">
      <c r="A90" s="13" t="s">
        <v>88</v>
      </c>
      <c r="B90" s="13">
        <v>4</v>
      </c>
      <c r="C90" s="13" t="s">
        <v>126</v>
      </c>
      <c r="D90" s="10">
        <v>46238.448409340279</v>
      </c>
      <c r="E90" s="10">
        <v>46238.448434088583</v>
      </c>
      <c r="F90" s="16">
        <f>'클럭 정리'!A62</f>
        <v>46238.448413564824</v>
      </c>
      <c r="G90" s="17">
        <f>'클럭 정리'!N62</f>
        <v>158.59576706891499</v>
      </c>
      <c r="H90" s="15">
        <f>'클럭 정리'!O62</f>
        <v>4.2662261341538139</v>
      </c>
    </row>
    <row r="91" spans="1:8" x14ac:dyDescent="0.3">
      <c r="A91" s="13" t="s">
        <v>88</v>
      </c>
      <c r="B91" s="13">
        <v>4</v>
      </c>
      <c r="C91" s="13" t="s">
        <v>126</v>
      </c>
      <c r="D91" s="10">
        <v>46238.448409340279</v>
      </c>
      <c r="E91" s="10">
        <v>46238.448434088583</v>
      </c>
      <c r="F91" s="16">
        <f>'클럭 정리'!A63</f>
        <v>46238.448425312497</v>
      </c>
      <c r="G91" s="17">
        <f>'클럭 정리'!N63</f>
        <v>157.8677178495588</v>
      </c>
      <c r="H91" s="15">
        <f>'클럭 정리'!O63</f>
        <v>4.246641610153131</v>
      </c>
    </row>
    <row r="92" spans="1:8" x14ac:dyDescent="0.3">
      <c r="A92" s="13" t="s">
        <v>88</v>
      </c>
      <c r="B92" s="13">
        <v>4</v>
      </c>
      <c r="C92" s="13" t="s">
        <v>76</v>
      </c>
      <c r="D92" s="10">
        <v>46238.448409340279</v>
      </c>
      <c r="E92" s="10">
        <v>46238.448434089893</v>
      </c>
      <c r="F92" s="16">
        <f>'클럭 정리'!A62</f>
        <v>46238.448413564824</v>
      </c>
      <c r="G92" s="17">
        <f>'클럭 정리'!N62</f>
        <v>158.59576706891499</v>
      </c>
      <c r="H92" s="15">
        <f>'클럭 정리'!O62</f>
        <v>4.2662261341538139</v>
      </c>
    </row>
    <row r="93" spans="1:8" x14ac:dyDescent="0.3">
      <c r="A93" s="13" t="s">
        <v>88</v>
      </c>
      <c r="B93" s="13">
        <v>4</v>
      </c>
      <c r="C93" s="13" t="s">
        <v>76</v>
      </c>
      <c r="D93" s="10">
        <v>46238.448409340279</v>
      </c>
      <c r="E93" s="10">
        <v>46238.448434089893</v>
      </c>
      <c r="F93" s="16">
        <f>'클럭 정리'!A63</f>
        <v>46238.448425312497</v>
      </c>
      <c r="G93" s="17">
        <f>'클럭 정리'!N63</f>
        <v>157.8677178495588</v>
      </c>
      <c r="H93" s="15">
        <f>'클럭 정리'!O63</f>
        <v>4.246641610153131</v>
      </c>
    </row>
    <row r="94" spans="1:8" x14ac:dyDescent="0.3">
      <c r="A94" s="13" t="s">
        <v>88</v>
      </c>
      <c r="B94" s="13">
        <v>5</v>
      </c>
      <c r="C94" s="13" t="s">
        <v>127</v>
      </c>
      <c r="D94" s="10">
        <v>46238.448434108803</v>
      </c>
      <c r="E94" s="10">
        <v>46238.448458830382</v>
      </c>
      <c r="F94" s="16">
        <f>'클럭 정리'!A64</f>
        <v>46238.44843704861</v>
      </c>
      <c r="G94" s="17">
        <f>'클럭 정리'!N64</f>
        <v>157.88240970756519</v>
      </c>
      <c r="H94" s="15">
        <f>'클럭 정리'!O64</f>
        <v>4.247036821133503</v>
      </c>
    </row>
    <row r="95" spans="1:8" x14ac:dyDescent="0.3">
      <c r="A95" s="13" t="s">
        <v>88</v>
      </c>
      <c r="B95" s="13">
        <v>5</v>
      </c>
      <c r="C95" s="13" t="s">
        <v>127</v>
      </c>
      <c r="D95" s="10">
        <v>46238.448434108803</v>
      </c>
      <c r="E95" s="10">
        <v>46238.448458830382</v>
      </c>
      <c r="F95" s="16">
        <f>'클럭 정리'!A65</f>
        <v>46238.448448784722</v>
      </c>
      <c r="G95" s="17">
        <f>'클럭 정리'!N65</f>
        <v>157.4450179437822</v>
      </c>
      <c r="H95" s="15">
        <f>'클럭 정리'!O65</f>
        <v>4.2352709826877408</v>
      </c>
    </row>
    <row r="96" spans="1:8" x14ac:dyDescent="0.3">
      <c r="A96" s="13" t="s">
        <v>88</v>
      </c>
      <c r="B96" s="13">
        <v>5</v>
      </c>
      <c r="C96" s="13" t="s">
        <v>76</v>
      </c>
      <c r="D96" s="10">
        <v>46238.448434108803</v>
      </c>
      <c r="E96" s="10">
        <v>46238.448458831539</v>
      </c>
      <c r="F96" s="16">
        <f>'클럭 정리'!A64</f>
        <v>46238.44843704861</v>
      </c>
      <c r="G96" s="17">
        <f>'클럭 정리'!N64</f>
        <v>157.88240970756519</v>
      </c>
      <c r="H96" s="15">
        <f>'클럭 정리'!O64</f>
        <v>4.247036821133503</v>
      </c>
    </row>
    <row r="97" spans="1:8" x14ac:dyDescent="0.3">
      <c r="A97" s="13" t="s">
        <v>88</v>
      </c>
      <c r="B97" s="13">
        <v>5</v>
      </c>
      <c r="C97" s="13" t="s">
        <v>76</v>
      </c>
      <c r="D97" s="10">
        <v>46238.448434108803</v>
      </c>
      <c r="E97" s="10">
        <v>46238.448458831539</v>
      </c>
      <c r="F97" s="16">
        <f>'클럭 정리'!A65</f>
        <v>46238.448448784722</v>
      </c>
      <c r="G97" s="17">
        <f>'클럭 정리'!N65</f>
        <v>157.4450179437822</v>
      </c>
      <c r="H97" s="15">
        <f>'클럭 정리'!O65</f>
        <v>4.2352709826877408</v>
      </c>
    </row>
  </sheetData>
  <phoneticPr fontId="9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9"/>
  <sheetViews>
    <sheetView workbookViewId="0"/>
  </sheetViews>
  <sheetFormatPr defaultRowHeight="16.5" x14ac:dyDescent="0.3"/>
  <cols>
    <col min="1" max="1" width="7" customWidth="1"/>
    <col min="2" max="2" width="8" customWidth="1"/>
    <col min="3" max="3" width="7" customWidth="1"/>
    <col min="4" max="4" width="6" customWidth="1"/>
    <col min="5" max="6" width="12" customWidth="1"/>
    <col min="7" max="8" width="11" customWidth="1"/>
    <col min="9" max="9" width="13" customWidth="1"/>
    <col min="10" max="11" width="12" customWidth="1"/>
    <col min="12" max="12" width="8" customWidth="1"/>
    <col min="13" max="13" width="11" customWidth="1"/>
  </cols>
  <sheetData>
    <row r="1" spans="1:13" x14ac:dyDescent="0.3">
      <c r="A1" s="1" t="s">
        <v>128</v>
      </c>
    </row>
    <row r="2" spans="1:13" x14ac:dyDescent="0.3">
      <c r="A2" s="4" t="s">
        <v>129</v>
      </c>
    </row>
    <row r="4" spans="1:13" x14ac:dyDescent="0.3">
      <c r="A4" s="5" t="s">
        <v>130</v>
      </c>
      <c r="B4" s="5" t="s">
        <v>131</v>
      </c>
      <c r="C4" s="5" t="s">
        <v>132</v>
      </c>
      <c r="D4" s="5" t="s">
        <v>65</v>
      </c>
      <c r="E4" s="5" t="s">
        <v>133</v>
      </c>
      <c r="F4" s="5" t="s">
        <v>134</v>
      </c>
      <c r="G4" s="5" t="s">
        <v>135</v>
      </c>
      <c r="H4" s="5" t="s">
        <v>136</v>
      </c>
      <c r="I4" s="5" t="s">
        <v>137</v>
      </c>
      <c r="J4" s="5" t="s">
        <v>138</v>
      </c>
      <c r="K4" s="5" t="s">
        <v>139</v>
      </c>
      <c r="L4" s="5" t="s">
        <v>140</v>
      </c>
      <c r="M4" s="5" t="s">
        <v>141</v>
      </c>
    </row>
    <row r="5" spans="1:13" x14ac:dyDescent="0.3">
      <c r="A5" s="13" t="s">
        <v>142</v>
      </c>
      <c r="B5" s="13" t="s">
        <v>143</v>
      </c>
      <c r="C5" s="13" t="s">
        <v>143</v>
      </c>
      <c r="D5" s="13">
        <v>1</v>
      </c>
      <c r="E5" s="14">
        <v>3923.7311</v>
      </c>
      <c r="F5" s="14">
        <v>4171.875</v>
      </c>
      <c r="G5" s="11">
        <f t="shared" ref="G5:G19" si="0">F5/E5</f>
        <v>1.0632418210310079</v>
      </c>
      <c r="H5" s="14">
        <v>3890.625</v>
      </c>
      <c r="I5" s="14">
        <v>0</v>
      </c>
      <c r="J5" s="14">
        <v>0</v>
      </c>
      <c r="K5" s="14">
        <v>281.25</v>
      </c>
      <c r="L5" s="13">
        <v>16</v>
      </c>
      <c r="M5" s="13"/>
    </row>
    <row r="6" spans="1:13" x14ac:dyDescent="0.3">
      <c r="A6" s="13" t="s">
        <v>142</v>
      </c>
      <c r="B6" s="13" t="s">
        <v>143</v>
      </c>
      <c r="C6" s="13" t="s">
        <v>143</v>
      </c>
      <c r="D6" s="13">
        <v>2</v>
      </c>
      <c r="E6" s="14">
        <v>3857.6963999999998</v>
      </c>
      <c r="F6" s="14">
        <v>4062.5</v>
      </c>
      <c r="G6" s="11">
        <f t="shared" si="0"/>
        <v>1.0530896106806125</v>
      </c>
      <c r="H6" s="14">
        <v>3843.75</v>
      </c>
      <c r="I6" s="14">
        <v>0</v>
      </c>
      <c r="J6" s="14">
        <v>0</v>
      </c>
      <c r="K6" s="14">
        <v>218.75</v>
      </c>
      <c r="L6" s="13">
        <v>18</v>
      </c>
      <c r="M6" s="13"/>
    </row>
    <row r="7" spans="1:13" x14ac:dyDescent="0.3">
      <c r="A7" s="13" t="s">
        <v>142</v>
      </c>
      <c r="B7" s="13" t="s">
        <v>143</v>
      </c>
      <c r="C7" s="13" t="s">
        <v>143</v>
      </c>
      <c r="D7" s="13">
        <v>3</v>
      </c>
      <c r="E7" s="14">
        <v>4165.5424000000003</v>
      </c>
      <c r="F7" s="14">
        <v>3875</v>
      </c>
      <c r="G7" s="11">
        <f t="shared" si="0"/>
        <v>0.93025100404691585</v>
      </c>
      <c r="H7" s="14">
        <v>3843.75</v>
      </c>
      <c r="I7" s="14">
        <v>0</v>
      </c>
      <c r="J7" s="14">
        <v>0</v>
      </c>
      <c r="K7" s="14">
        <v>31.25</v>
      </c>
      <c r="L7" s="13">
        <v>17</v>
      </c>
      <c r="M7" s="13"/>
    </row>
    <row r="8" spans="1:13" x14ac:dyDescent="0.3">
      <c r="A8" s="13" t="s">
        <v>142</v>
      </c>
      <c r="B8" s="13" t="s">
        <v>143</v>
      </c>
      <c r="C8" s="13" t="s">
        <v>143</v>
      </c>
      <c r="D8" s="13">
        <v>4</v>
      </c>
      <c r="E8" s="14">
        <v>3662.3204999999998</v>
      </c>
      <c r="F8" s="14">
        <v>3625</v>
      </c>
      <c r="G8" s="11">
        <f t="shared" si="0"/>
        <v>0.98980960295528486</v>
      </c>
      <c r="H8" s="14">
        <v>3625</v>
      </c>
      <c r="I8" s="14">
        <v>0</v>
      </c>
      <c r="J8" s="14">
        <v>0</v>
      </c>
      <c r="K8" s="14">
        <v>0</v>
      </c>
      <c r="L8" s="13">
        <v>18</v>
      </c>
      <c r="M8" s="13"/>
    </row>
    <row r="9" spans="1:13" x14ac:dyDescent="0.3">
      <c r="A9" s="13" t="s">
        <v>142</v>
      </c>
      <c r="B9" s="13" t="s">
        <v>143</v>
      </c>
      <c r="C9" s="13" t="s">
        <v>143</v>
      </c>
      <c r="D9" s="13">
        <v>5</v>
      </c>
      <c r="E9" s="14">
        <v>3644.0684000000001</v>
      </c>
      <c r="F9" s="14">
        <v>3734.375</v>
      </c>
      <c r="G9" s="11">
        <f t="shared" si="0"/>
        <v>1.0247818070593844</v>
      </c>
      <c r="H9" s="14">
        <v>3609.375</v>
      </c>
      <c r="I9" s="14">
        <v>0</v>
      </c>
      <c r="J9" s="14">
        <v>0</v>
      </c>
      <c r="K9" s="14">
        <v>125</v>
      </c>
      <c r="L9" s="13">
        <v>18</v>
      </c>
      <c r="M9" s="13"/>
    </row>
    <row r="10" spans="1:13" x14ac:dyDescent="0.3">
      <c r="A10" s="13" t="s">
        <v>144</v>
      </c>
      <c r="B10" s="13">
        <v>6</v>
      </c>
      <c r="C10" s="13">
        <v>2</v>
      </c>
      <c r="D10" s="13">
        <v>1</v>
      </c>
      <c r="E10" s="14">
        <v>2127.3049000000001</v>
      </c>
      <c r="F10" s="14">
        <v>4609.375</v>
      </c>
      <c r="G10" s="11">
        <f t="shared" si="0"/>
        <v>2.1667674436325512</v>
      </c>
      <c r="H10" s="14">
        <v>0</v>
      </c>
      <c r="I10" s="14">
        <v>4203.125</v>
      </c>
      <c r="J10" s="14">
        <v>0</v>
      </c>
      <c r="K10" s="14">
        <v>406.25</v>
      </c>
      <c r="L10" s="13">
        <v>18</v>
      </c>
      <c r="M10" s="11">
        <f t="shared" ref="M10:M19" si="1">AVERAGEIFS($E$5:$E$19,$A$5:$A$19,"순차")/E10</f>
        <v>1.8101174683516219</v>
      </c>
    </row>
    <row r="11" spans="1:13" x14ac:dyDescent="0.3">
      <c r="A11" s="13" t="s">
        <v>144</v>
      </c>
      <c r="B11" s="13">
        <v>6</v>
      </c>
      <c r="C11" s="13">
        <v>2</v>
      </c>
      <c r="D11" s="13">
        <v>2</v>
      </c>
      <c r="E11" s="14">
        <v>2070.0765000000001</v>
      </c>
      <c r="F11" s="14">
        <v>3937.5</v>
      </c>
      <c r="G11" s="11">
        <f t="shared" si="0"/>
        <v>1.9021036179097728</v>
      </c>
      <c r="H11" s="14">
        <v>15.625</v>
      </c>
      <c r="I11" s="14">
        <v>3890.625</v>
      </c>
      <c r="J11" s="14">
        <v>0</v>
      </c>
      <c r="K11" s="14">
        <v>31.25</v>
      </c>
      <c r="L11" s="13">
        <v>18</v>
      </c>
      <c r="M11" s="11">
        <f t="shared" si="1"/>
        <v>1.860159158369268</v>
      </c>
    </row>
    <row r="12" spans="1:13" x14ac:dyDescent="0.3">
      <c r="A12" s="13" t="s">
        <v>144</v>
      </c>
      <c r="B12" s="13">
        <v>6</v>
      </c>
      <c r="C12" s="13">
        <v>2</v>
      </c>
      <c r="D12" s="13">
        <v>3</v>
      </c>
      <c r="E12" s="14">
        <v>2107.3829000000001</v>
      </c>
      <c r="F12" s="14">
        <v>4156.25</v>
      </c>
      <c r="G12" s="11">
        <f t="shared" si="0"/>
        <v>1.9722329530148508</v>
      </c>
      <c r="H12" s="14">
        <v>15.625</v>
      </c>
      <c r="I12" s="14">
        <v>4109.375</v>
      </c>
      <c r="J12" s="14">
        <v>0</v>
      </c>
      <c r="K12" s="14">
        <v>31.25</v>
      </c>
      <c r="L12" s="13">
        <v>18</v>
      </c>
      <c r="M12" s="11">
        <f t="shared" si="1"/>
        <v>1.827229289940618</v>
      </c>
    </row>
    <row r="13" spans="1:13" x14ac:dyDescent="0.3">
      <c r="A13" s="13" t="s">
        <v>144</v>
      </c>
      <c r="B13" s="13">
        <v>6</v>
      </c>
      <c r="C13" s="13">
        <v>2</v>
      </c>
      <c r="D13" s="13">
        <v>4</v>
      </c>
      <c r="E13" s="14">
        <v>2064.7505000000001</v>
      </c>
      <c r="F13" s="14">
        <v>4046.875</v>
      </c>
      <c r="G13" s="11">
        <f t="shared" si="0"/>
        <v>1.9599825741657404</v>
      </c>
      <c r="H13" s="14">
        <v>0</v>
      </c>
      <c r="I13" s="14">
        <v>4031.25</v>
      </c>
      <c r="J13" s="14">
        <v>0</v>
      </c>
      <c r="K13" s="14">
        <v>15.625</v>
      </c>
      <c r="L13" s="13">
        <v>18</v>
      </c>
      <c r="M13" s="11">
        <f t="shared" si="1"/>
        <v>1.8649574173731887</v>
      </c>
    </row>
    <row r="14" spans="1:13" x14ac:dyDescent="0.3">
      <c r="A14" s="13" t="s">
        <v>144</v>
      </c>
      <c r="B14" s="13">
        <v>6</v>
      </c>
      <c r="C14" s="13">
        <v>2</v>
      </c>
      <c r="D14" s="13">
        <v>5</v>
      </c>
      <c r="E14" s="14">
        <v>2107.0945999999999</v>
      </c>
      <c r="F14" s="14">
        <v>4046.875</v>
      </c>
      <c r="G14" s="11">
        <f t="shared" si="0"/>
        <v>1.9205948323345332</v>
      </c>
      <c r="H14" s="14">
        <v>0</v>
      </c>
      <c r="I14" s="14">
        <v>3984.375</v>
      </c>
      <c r="J14" s="14">
        <v>0</v>
      </c>
      <c r="K14" s="14">
        <v>46.875</v>
      </c>
      <c r="L14" s="13">
        <v>19</v>
      </c>
      <c r="M14" s="11">
        <f t="shared" si="1"/>
        <v>1.8274792977970711</v>
      </c>
    </row>
    <row r="15" spans="1:13" x14ac:dyDescent="0.3">
      <c r="A15" s="13" t="s">
        <v>144</v>
      </c>
      <c r="B15" s="13">
        <v>12</v>
      </c>
      <c r="C15" s="13">
        <v>2</v>
      </c>
      <c r="D15" s="13">
        <v>1</v>
      </c>
      <c r="E15" s="14">
        <v>2062.8139000000001</v>
      </c>
      <c r="F15" s="14">
        <v>3984.375</v>
      </c>
      <c r="G15" s="11">
        <f t="shared" si="0"/>
        <v>1.9315242155387842</v>
      </c>
      <c r="H15" s="14">
        <v>0</v>
      </c>
      <c r="I15" s="14">
        <v>3953.125</v>
      </c>
      <c r="J15" s="14">
        <v>0</v>
      </c>
      <c r="K15" s="14">
        <v>31.25</v>
      </c>
      <c r="L15" s="13">
        <v>18</v>
      </c>
      <c r="M15" s="11">
        <f t="shared" si="1"/>
        <v>1.866708266800025</v>
      </c>
    </row>
    <row r="16" spans="1:13" x14ac:dyDescent="0.3">
      <c r="A16" s="13" t="s">
        <v>144</v>
      </c>
      <c r="B16" s="13">
        <v>12</v>
      </c>
      <c r="C16" s="13">
        <v>2</v>
      </c>
      <c r="D16" s="13">
        <v>2</v>
      </c>
      <c r="E16" s="14">
        <v>2083.2645000000002</v>
      </c>
      <c r="F16" s="14">
        <v>4000</v>
      </c>
      <c r="G16" s="11">
        <f t="shared" si="0"/>
        <v>1.9200634388960209</v>
      </c>
      <c r="H16" s="14">
        <v>15.625</v>
      </c>
      <c r="I16" s="14">
        <v>3968.75</v>
      </c>
      <c r="J16" s="14">
        <v>0</v>
      </c>
      <c r="K16" s="14">
        <v>15.625</v>
      </c>
      <c r="L16" s="13">
        <v>18</v>
      </c>
      <c r="M16" s="11">
        <f t="shared" si="1"/>
        <v>1.8483835153913484</v>
      </c>
    </row>
    <row r="17" spans="1:13" x14ac:dyDescent="0.3">
      <c r="A17" s="13" t="s">
        <v>144</v>
      </c>
      <c r="B17" s="13">
        <v>12</v>
      </c>
      <c r="C17" s="13">
        <v>2</v>
      </c>
      <c r="D17" s="13">
        <v>3</v>
      </c>
      <c r="E17" s="14">
        <v>2103.5187999999998</v>
      </c>
      <c r="F17" s="14">
        <v>4093.75</v>
      </c>
      <c r="G17" s="11">
        <f t="shared" si="0"/>
        <v>1.9461437663404768</v>
      </c>
      <c r="H17" s="14">
        <v>15.625</v>
      </c>
      <c r="I17" s="14">
        <v>4031.25</v>
      </c>
      <c r="J17" s="14">
        <v>0</v>
      </c>
      <c r="K17" s="14">
        <v>46.875</v>
      </c>
      <c r="L17" s="13">
        <v>19</v>
      </c>
      <c r="M17" s="11">
        <f t="shared" si="1"/>
        <v>1.830585854521481</v>
      </c>
    </row>
    <row r="18" spans="1:13" x14ac:dyDescent="0.3">
      <c r="A18" s="13" t="s">
        <v>144</v>
      </c>
      <c r="B18" s="13">
        <v>12</v>
      </c>
      <c r="C18" s="13">
        <v>2</v>
      </c>
      <c r="D18" s="13">
        <v>4</v>
      </c>
      <c r="E18" s="14">
        <v>2138.7422999999999</v>
      </c>
      <c r="F18" s="14">
        <v>4156.25</v>
      </c>
      <c r="G18" s="11">
        <f t="shared" si="0"/>
        <v>1.9433150034017657</v>
      </c>
      <c r="H18" s="14">
        <v>0</v>
      </c>
      <c r="I18" s="14">
        <v>4109.375</v>
      </c>
      <c r="J18" s="14">
        <v>0</v>
      </c>
      <c r="K18" s="14">
        <v>46.875</v>
      </c>
      <c r="L18" s="13">
        <v>21</v>
      </c>
      <c r="M18" s="11">
        <f t="shared" si="1"/>
        <v>1.800437462708808</v>
      </c>
    </row>
    <row r="19" spans="1:13" x14ac:dyDescent="0.3">
      <c r="A19" s="13" t="s">
        <v>144</v>
      </c>
      <c r="B19" s="13">
        <v>12</v>
      </c>
      <c r="C19" s="13">
        <v>2</v>
      </c>
      <c r="D19" s="13">
        <v>5</v>
      </c>
      <c r="E19" s="14">
        <v>2136.2267000000002</v>
      </c>
      <c r="F19" s="14">
        <v>4156.25</v>
      </c>
      <c r="G19" s="11">
        <f t="shared" si="0"/>
        <v>1.9456034324446931</v>
      </c>
      <c r="H19" s="14">
        <v>0</v>
      </c>
      <c r="I19" s="14">
        <v>4140.625</v>
      </c>
      <c r="J19" s="14">
        <v>0</v>
      </c>
      <c r="K19" s="14">
        <v>15.625</v>
      </c>
      <c r="L19" s="13">
        <v>20</v>
      </c>
      <c r="M19" s="11">
        <f t="shared" si="1"/>
        <v>1.8025576405350612</v>
      </c>
    </row>
  </sheetData>
  <phoneticPr fontId="9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1"/>
  <sheetViews>
    <sheetView workbookViewId="0">
      <selection activeCell="M25" sqref="M25"/>
    </sheetView>
  </sheetViews>
  <sheetFormatPr defaultRowHeight="16.5" x14ac:dyDescent="0.3"/>
  <cols>
    <col min="1" max="1" width="22" customWidth="1"/>
    <col min="2" max="4" width="18" customWidth="1"/>
  </cols>
  <sheetData>
    <row r="1" spans="1:4" x14ac:dyDescent="0.3">
      <c r="A1" s="18" t="s">
        <v>145</v>
      </c>
    </row>
    <row r="2" spans="1:4" x14ac:dyDescent="0.3">
      <c r="A2" s="18" t="s">
        <v>146</v>
      </c>
    </row>
    <row r="3" spans="1:4" x14ac:dyDescent="0.3">
      <c r="A3" s="19" t="s">
        <v>147</v>
      </c>
      <c r="B3" s="19" t="s">
        <v>142</v>
      </c>
      <c r="C3" s="19" t="s">
        <v>72</v>
      </c>
      <c r="D3" s="19" t="s">
        <v>88</v>
      </c>
    </row>
    <row r="4" spans="1:4" x14ac:dyDescent="0.3">
      <c r="A4" s="18" t="s">
        <v>148</v>
      </c>
      <c r="B4" s="20">
        <f>'구간과 스레드 매핑'!H6</f>
        <v>4.1737948872756956</v>
      </c>
      <c r="C4" s="20">
        <f>'구간과 스레드 매핑'!H7</f>
        <v>4.232918940002822</v>
      </c>
      <c r="D4" s="20">
        <f>'구간과 스레드 매핑'!H15</f>
        <v>4.2330466424822113</v>
      </c>
    </row>
    <row r="5" spans="1:4" x14ac:dyDescent="0.3">
      <c r="A5" s="18" t="s">
        <v>149</v>
      </c>
      <c r="C5" s="20">
        <f>'구간과 스레드 매핑'!H8</f>
        <v>4.2383910586639644</v>
      </c>
      <c r="D5" s="20">
        <f>'구간과 스레드 매핑'!H16</f>
        <v>4.2278924228645938</v>
      </c>
    </row>
    <row r="6" spans="1:4" x14ac:dyDescent="0.3">
      <c r="A6" s="18" t="s">
        <v>150</v>
      </c>
      <c r="C6" s="20">
        <f>'구간과 스레드 매핑'!H9</f>
        <v>4.2273839269406128</v>
      </c>
      <c r="D6" s="20">
        <f>'구간과 스레드 매핑'!H17</f>
        <v>4.224190546037768</v>
      </c>
    </row>
    <row r="7" spans="1:4" x14ac:dyDescent="0.3">
      <c r="A7" s="18" t="s">
        <v>151</v>
      </c>
      <c r="C7" s="20">
        <f>'구간과 스레드 매핑'!H10</f>
        <v>4.251865249581793</v>
      </c>
      <c r="D7" s="20">
        <f>'구간과 스레드 매핑'!H18</f>
        <v>4.2604350412775149</v>
      </c>
    </row>
    <row r="8" spans="1:4" x14ac:dyDescent="0.3">
      <c r="A8" s="18" t="s">
        <v>152</v>
      </c>
      <c r="C8" s="20">
        <f>'구간과 스레드 매핑'!H11</f>
        <v>4.2448272725317269</v>
      </c>
      <c r="D8" s="20">
        <f>'구간과 스레드 매핑'!H19</f>
        <v>4.2524648185877263</v>
      </c>
    </row>
    <row r="9" spans="1:4" x14ac:dyDescent="0.3">
      <c r="A9" s="18" t="s">
        <v>153</v>
      </c>
      <c r="C9" s="20">
        <f>'구간과 스레드 매핑'!H12</f>
        <v>4.2435202487414534</v>
      </c>
      <c r="D9" s="20">
        <f>'구간과 스레드 매핑'!H20</f>
        <v>4.2564338721534725</v>
      </c>
    </row>
    <row r="10" spans="1:4" x14ac:dyDescent="0.3">
      <c r="A10" s="18" t="s">
        <v>154</v>
      </c>
      <c r="C10" s="20">
        <f>'구간과 스레드 매핑'!H13</f>
        <v>4.2226626099906177</v>
      </c>
      <c r="D10" s="20">
        <f>'구간과 스레드 매핑'!H21</f>
        <v>4.2411539019106224</v>
      </c>
    </row>
    <row r="11" spans="1:4" x14ac:dyDescent="0.3">
      <c r="A11" s="18" t="s">
        <v>155</v>
      </c>
      <c r="C11" s="20">
        <f>'구간과 스레드 매핑'!H14</f>
        <v>4.1903559286439895</v>
      </c>
      <c r="D11" s="20">
        <f>'구간과 스레드 매핑'!H22</f>
        <v>4.1936222902683404</v>
      </c>
    </row>
  </sheetData>
  <phoneticPr fontId="9" type="noConversion"/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U76"/>
  <sheetViews>
    <sheetView workbookViewId="0"/>
  </sheetViews>
  <sheetFormatPr defaultRowHeight="16.5" x14ac:dyDescent="0.3"/>
  <cols>
    <col min="1" max="47" width="24" customWidth="1"/>
  </cols>
  <sheetData>
    <row r="1" spans="1:47" x14ac:dyDescent="0.3">
      <c r="A1" s="4" t="s">
        <v>156</v>
      </c>
    </row>
    <row r="3" spans="1:47" x14ac:dyDescent="0.3">
      <c r="A3" s="2" t="s">
        <v>157</v>
      </c>
      <c r="J3" s="2" t="s">
        <v>158</v>
      </c>
    </row>
    <row r="4" spans="1:47" x14ac:dyDescent="0.3">
      <c r="A4" s="21" t="s">
        <v>4</v>
      </c>
      <c r="B4" s="21" t="s">
        <v>73</v>
      </c>
      <c r="C4" s="21" t="s">
        <v>75</v>
      </c>
      <c r="D4" s="21" t="s">
        <v>76</v>
      </c>
      <c r="J4" s="21" t="s">
        <v>4</v>
      </c>
      <c r="K4" s="21" t="s">
        <v>159</v>
      </c>
      <c r="L4" s="21" t="s">
        <v>73</v>
      </c>
      <c r="M4" s="21" t="s">
        <v>75</v>
      </c>
      <c r="N4" s="21" t="s">
        <v>76</v>
      </c>
      <c r="O4" s="21" t="s">
        <v>78</v>
      </c>
      <c r="P4" s="21" t="s">
        <v>79</v>
      </c>
      <c r="Q4" s="21" t="s">
        <v>80</v>
      </c>
      <c r="R4" s="21" t="s">
        <v>81</v>
      </c>
      <c r="S4" s="21" t="s">
        <v>82</v>
      </c>
      <c r="T4" s="21" t="s">
        <v>83</v>
      </c>
      <c r="U4" s="21" t="s">
        <v>84</v>
      </c>
      <c r="V4" s="21" t="s">
        <v>85</v>
      </c>
      <c r="W4" s="21" t="s">
        <v>86</v>
      </c>
      <c r="X4" s="21" t="s">
        <v>87</v>
      </c>
      <c r="Y4" s="21" t="s">
        <v>89</v>
      </c>
      <c r="Z4" s="21" t="s">
        <v>90</v>
      </c>
      <c r="AA4" s="21" t="s">
        <v>91</v>
      </c>
      <c r="AB4" s="21" t="s">
        <v>92</v>
      </c>
      <c r="AC4" s="21" t="s">
        <v>93</v>
      </c>
      <c r="AD4" s="21" t="s">
        <v>94</v>
      </c>
      <c r="AE4" s="21" t="s">
        <v>95</v>
      </c>
      <c r="AF4" s="21" t="s">
        <v>96</v>
      </c>
      <c r="AG4" s="21" t="s">
        <v>97</v>
      </c>
      <c r="AH4" s="21" t="s">
        <v>98</v>
      </c>
      <c r="AI4" s="21" t="s">
        <v>99</v>
      </c>
      <c r="AJ4" s="21" t="s">
        <v>100</v>
      </c>
      <c r="AK4" s="21" t="s">
        <v>101</v>
      </c>
      <c r="AL4" s="21" t="s">
        <v>102</v>
      </c>
      <c r="AM4" s="21" t="s">
        <v>103</v>
      </c>
      <c r="AN4" s="21" t="s">
        <v>104</v>
      </c>
      <c r="AO4" s="21" t="s">
        <v>105</v>
      </c>
      <c r="AP4" s="21" t="s">
        <v>106</v>
      </c>
      <c r="AQ4" s="21" t="s">
        <v>107</v>
      </c>
      <c r="AR4" s="21" t="s">
        <v>108</v>
      </c>
      <c r="AS4" s="21" t="s">
        <v>109</v>
      </c>
      <c r="AT4" s="21" t="s">
        <v>110</v>
      </c>
      <c r="AU4" s="21" t="s">
        <v>111</v>
      </c>
    </row>
    <row r="5" spans="1:47" x14ac:dyDescent="0.3">
      <c r="A5" s="22">
        <f>'클럭 정리'!A39</f>
        <v>46238.448143784721</v>
      </c>
      <c r="B5" s="23">
        <f>'클럭 정리'!O39</f>
        <v>4.2047476320377051</v>
      </c>
      <c r="C5" s="23">
        <f>'클럭 정리'!O39</f>
        <v>4.2047476320377051</v>
      </c>
      <c r="D5" s="23">
        <f>'클럭 정리'!O39</f>
        <v>4.2047476320377051</v>
      </c>
      <c r="J5" s="24">
        <f>'클럭 정리'!A6</f>
        <v>46238.447757256938</v>
      </c>
      <c r="K5" s="23">
        <f>'클럭 정리'!O6</f>
        <v>3.9844461116131948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</row>
    <row r="6" spans="1:47" x14ac:dyDescent="0.3">
      <c r="A6" s="22">
        <f>'클럭 정리'!A40</f>
        <v>46238.448155532409</v>
      </c>
      <c r="B6" s="23">
        <f>'클럭 정리'!O40</f>
        <v>4.2500202218435206</v>
      </c>
      <c r="C6" s="23">
        <f>'클럭 정리'!O40</f>
        <v>4.2500202218435206</v>
      </c>
      <c r="D6" s="23">
        <f>'클럭 정리'!O40</f>
        <v>4.2500202218435206</v>
      </c>
      <c r="J6" s="24">
        <f>'클럭 정리'!A7</f>
        <v>46238.447769004633</v>
      </c>
      <c r="K6" s="23">
        <f>'클럭 정리'!O7</f>
        <v>4.086325968834867</v>
      </c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</row>
    <row r="7" spans="1:47" x14ac:dyDescent="0.3">
      <c r="J7" s="24">
        <f>'클럭 정리'!A8</f>
        <v>46238.44778072917</v>
      </c>
      <c r="K7" s="23">
        <f>'클럭 정리'!O8</f>
        <v>4.0776687172624753</v>
      </c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</row>
    <row r="8" spans="1:47" x14ac:dyDescent="0.3">
      <c r="A8" s="2" t="s">
        <v>160</v>
      </c>
      <c r="J8" s="24">
        <f>'클럭 정리'!A9</f>
        <v>46238.44779244213</v>
      </c>
      <c r="K8" s="23">
        <f>'클럭 정리'!O9</f>
        <v>4.0946867091731187</v>
      </c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</row>
    <row r="9" spans="1:47" x14ac:dyDescent="0.3">
      <c r="A9" s="21" t="s">
        <v>4</v>
      </c>
      <c r="B9" s="21" t="s">
        <v>78</v>
      </c>
      <c r="C9" s="21" t="s">
        <v>79</v>
      </c>
      <c r="D9" s="21" t="s">
        <v>80</v>
      </c>
      <c r="E9" s="21" t="s">
        <v>76</v>
      </c>
      <c r="J9" s="24">
        <f>'클럭 정리'!A10</f>
        <v>46238.447804178242</v>
      </c>
      <c r="K9" s="23">
        <f>'클럭 정리'!O10</f>
        <v>4.1553620016412509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</row>
    <row r="10" spans="1:47" x14ac:dyDescent="0.3">
      <c r="A10" s="22">
        <f>'클럭 정리'!A41</f>
        <v>46238.44816728009</v>
      </c>
      <c r="B10" s="23">
        <f>'클럭 정리'!O41</f>
        <v>4.2333021212623114</v>
      </c>
      <c r="C10" s="23">
        <f>'클럭 정리'!O41</f>
        <v>4.2333021212623114</v>
      </c>
      <c r="D10" s="25"/>
      <c r="E10" s="23">
        <f>'클럭 정리'!O41</f>
        <v>4.2333021212623114</v>
      </c>
      <c r="J10" s="24">
        <f>'클럭 정리'!A11</f>
        <v>46238.447815949083</v>
      </c>
      <c r="K10" s="23">
        <f>'클럭 정리'!O11</f>
        <v>4.1987289901086822</v>
      </c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</row>
    <row r="11" spans="1:47" x14ac:dyDescent="0.3">
      <c r="A11" s="22">
        <f>'클럭 정리'!A42</f>
        <v>46238.448179039347</v>
      </c>
      <c r="B11" s="23">
        <f>'클럭 정리'!O42</f>
        <v>4.2704283779012755</v>
      </c>
      <c r="C11" s="25"/>
      <c r="D11" s="23">
        <f>'클럭 정리'!O42</f>
        <v>4.2704283779012755</v>
      </c>
      <c r="E11" s="23">
        <f>'클럭 정리'!O42</f>
        <v>4.2704283779012755</v>
      </c>
      <c r="J11" s="24">
        <f>'클럭 정리'!A12</f>
        <v>46238.447827592587</v>
      </c>
      <c r="K11" s="23">
        <f>'클럭 정리'!O12</f>
        <v>4.1767093936940416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</row>
    <row r="12" spans="1:47" x14ac:dyDescent="0.3">
      <c r="J12" s="24">
        <f>'클럭 정리'!A13</f>
        <v>46238.447839224536</v>
      </c>
      <c r="K12" s="23">
        <f>'클럭 정리'!O13</f>
        <v>4.2950732686641659</v>
      </c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</row>
    <row r="13" spans="1:47" x14ac:dyDescent="0.3">
      <c r="A13" s="2" t="s">
        <v>161</v>
      </c>
      <c r="J13" s="24">
        <f>'클럭 정리'!A14</f>
        <v>46238.447850937497</v>
      </c>
      <c r="K13" s="23">
        <f>'클럭 정리'!O14</f>
        <v>4.1477805627897757</v>
      </c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</row>
    <row r="14" spans="1:47" x14ac:dyDescent="0.3">
      <c r="A14" s="21" t="s">
        <v>4</v>
      </c>
      <c r="B14" s="21" t="s">
        <v>81</v>
      </c>
      <c r="C14" s="21" t="s">
        <v>82</v>
      </c>
      <c r="D14" s="21" t="s">
        <v>76</v>
      </c>
      <c r="J14" s="24">
        <f>'클럭 정리'!A15</f>
        <v>46238.447862696761</v>
      </c>
      <c r="K14" s="23">
        <f>'클럭 정리'!O15</f>
        <v>4.1536957298983186</v>
      </c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</row>
    <row r="15" spans="1:47" x14ac:dyDescent="0.3">
      <c r="A15" s="22">
        <f>'클럭 정리'!A43</f>
        <v>46238.448190798612</v>
      </c>
      <c r="B15" s="23">
        <f>'클럭 정리'!O43</f>
        <v>4.2587368465642683</v>
      </c>
      <c r="C15" s="23">
        <f>'클럭 정리'!O43</f>
        <v>4.2587368465642683</v>
      </c>
      <c r="D15" s="23">
        <f>'클럭 정리'!O43</f>
        <v>4.2587368465642683</v>
      </c>
      <c r="J15" s="24">
        <f>'클럭 정리'!A16</f>
        <v>46238.447874398153</v>
      </c>
      <c r="K15" s="23">
        <f>'클럭 정리'!O16</f>
        <v>4.2194735475503329</v>
      </c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</row>
    <row r="16" spans="1:47" x14ac:dyDescent="0.3">
      <c r="A16" s="22">
        <f>'클럭 정리'!A44</f>
        <v>46238.448202523148</v>
      </c>
      <c r="B16" s="23">
        <f>'클럭 정리'!O44</f>
        <v>4.232557061698536</v>
      </c>
      <c r="C16" s="23">
        <f>'클럭 정리'!O44</f>
        <v>4.232557061698536</v>
      </c>
      <c r="D16" s="23">
        <f>'클럭 정리'!O44</f>
        <v>4.232557061698536</v>
      </c>
      <c r="J16" s="24">
        <f>'클럭 정리'!A17</f>
        <v>46238.447886122682</v>
      </c>
      <c r="K16" s="23">
        <f>'클럭 정리'!O17</f>
        <v>4.1444515906254704</v>
      </c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</row>
    <row r="17" spans="1:47" x14ac:dyDescent="0.3">
      <c r="A17" s="22">
        <f>'클럭 정리'!A45</f>
        <v>46238.448214247677</v>
      </c>
      <c r="B17" s="23">
        <f>'클럭 정리'!O45</f>
        <v>4.2431879093323746</v>
      </c>
      <c r="C17" s="23">
        <f>'클럭 정리'!O45</f>
        <v>4.2431879093323746</v>
      </c>
      <c r="D17" s="23">
        <f>'클럭 정리'!O45</f>
        <v>4.2431879093323746</v>
      </c>
      <c r="J17" s="24">
        <f>'클럭 정리'!A18</f>
        <v>46238.447897743063</v>
      </c>
      <c r="K17" s="23">
        <f>'클럭 정리'!O18</f>
        <v>4.1352756345373765</v>
      </c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</row>
    <row r="18" spans="1:47" x14ac:dyDescent="0.3">
      <c r="J18" s="24">
        <f>'클럭 정리'!A19</f>
        <v>46238.447909502313</v>
      </c>
      <c r="K18" s="23">
        <f>'클럭 정리'!O19</f>
        <v>4.0771339788077192</v>
      </c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</row>
    <row r="19" spans="1:47" x14ac:dyDescent="0.3">
      <c r="A19" s="2" t="s">
        <v>162</v>
      </c>
      <c r="J19" s="24">
        <f>'클럭 정리'!A20</f>
        <v>46238.447921226849</v>
      </c>
      <c r="K19" s="23">
        <f>'클럭 정리'!O20</f>
        <v>4.0600706001011337</v>
      </c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</row>
    <row r="20" spans="1:47" x14ac:dyDescent="0.3">
      <c r="A20" s="21" t="s">
        <v>4</v>
      </c>
      <c r="B20" s="21" t="s">
        <v>83</v>
      </c>
      <c r="C20" s="21" t="s">
        <v>84</v>
      </c>
      <c r="D20" s="21" t="s">
        <v>76</v>
      </c>
      <c r="J20" s="24">
        <f>'클럭 정리'!A21</f>
        <v>46238.447932951392</v>
      </c>
      <c r="K20" s="23">
        <f>'클럭 정리'!O21</f>
        <v>4.0966379406141122</v>
      </c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</row>
    <row r="21" spans="1:47" x14ac:dyDescent="0.3">
      <c r="A21" s="22">
        <f>'클럭 정리'!A46</f>
        <v>46238.448225983797</v>
      </c>
      <c r="B21" s="23">
        <f>'클럭 정리'!O46</f>
        <v>4.2463316583663078</v>
      </c>
      <c r="C21" s="23">
        <f>'클럭 정리'!O46</f>
        <v>4.2463316583663078</v>
      </c>
      <c r="D21" s="23">
        <f>'클럭 정리'!O46</f>
        <v>4.2463316583663078</v>
      </c>
      <c r="J21" s="24">
        <f>'클럭 정리'!A22</f>
        <v>46238.447944722233</v>
      </c>
      <c r="K21" s="23">
        <f>'클럭 정리'!O22</f>
        <v>4.1595917001947802</v>
      </c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</row>
    <row r="22" spans="1:47" x14ac:dyDescent="0.3">
      <c r="A22" s="22">
        <f>'클럭 정리'!A47</f>
        <v>46238.448237731478</v>
      </c>
      <c r="B22" s="23">
        <f>'클럭 정리'!O47</f>
        <v>4.2407088391165981</v>
      </c>
      <c r="C22" s="23">
        <f>'클럭 정리'!O47</f>
        <v>4.2407088391165981</v>
      </c>
      <c r="D22" s="23">
        <f>'클럭 정리'!O47</f>
        <v>4.2407088391165981</v>
      </c>
      <c r="J22" s="24">
        <f>'클럭 정리'!A23</f>
        <v>46238.447956469907</v>
      </c>
      <c r="K22" s="23">
        <f>'클럭 정리'!O23</f>
        <v>4.2387876071224522</v>
      </c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</row>
    <row r="23" spans="1:47" x14ac:dyDescent="0.3">
      <c r="J23" s="24">
        <f>'클럭 정리'!A24</f>
        <v>46238.447968217602</v>
      </c>
      <c r="K23" s="23">
        <f>'클럭 정리'!O24</f>
        <v>4.0879940711200922</v>
      </c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</row>
    <row r="24" spans="1:47" x14ac:dyDescent="0.3">
      <c r="A24" s="2" t="s">
        <v>163</v>
      </c>
      <c r="J24" s="24">
        <f>'클럭 정리'!A25</f>
        <v>46238.447979872682</v>
      </c>
      <c r="K24" s="23">
        <f>'클럭 정리'!O25</f>
        <v>4.1257623619809083</v>
      </c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</row>
    <row r="25" spans="1:47" x14ac:dyDescent="0.3">
      <c r="A25" s="21" t="s">
        <v>4</v>
      </c>
      <c r="B25" s="21" t="s">
        <v>85</v>
      </c>
      <c r="C25" s="21" t="s">
        <v>86</v>
      </c>
      <c r="D25" s="21" t="s">
        <v>87</v>
      </c>
      <c r="E25" s="21" t="s">
        <v>76</v>
      </c>
      <c r="J25" s="24">
        <f>'클럭 정리'!A26</f>
        <v>46238.44799148148</v>
      </c>
      <c r="K25" s="23">
        <f>'클럭 정리'!O26</f>
        <v>4.1964634082085395</v>
      </c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</row>
    <row r="26" spans="1:47" x14ac:dyDescent="0.3">
      <c r="A26" s="22">
        <f>'클럭 정리'!A48</f>
        <v>46238.44824946759</v>
      </c>
      <c r="B26" s="23">
        <f>'클럭 정리'!O48</f>
        <v>4.2255423338758389</v>
      </c>
      <c r="C26" s="25"/>
      <c r="D26" s="23">
        <f>'클럭 정리'!O48</f>
        <v>4.2255423338758389</v>
      </c>
      <c r="E26" s="23">
        <f>'클럭 정리'!O48</f>
        <v>4.2255423338758389</v>
      </c>
      <c r="J26" s="24">
        <f>'클럭 정리'!A27</f>
        <v>46238.448003229169</v>
      </c>
      <c r="K26" s="23">
        <f>'클럭 정리'!O27</f>
        <v>4.1733025661368881</v>
      </c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</row>
    <row r="27" spans="1:47" x14ac:dyDescent="0.3">
      <c r="A27" s="22">
        <f>'클럭 정리'!A49</f>
        <v>46238.448261215279</v>
      </c>
      <c r="B27" s="23">
        <f>'클럭 정리'!O49</f>
        <v>4.2197828861053974</v>
      </c>
      <c r="C27" s="25"/>
      <c r="D27" s="23">
        <f>'클럭 정리'!O49</f>
        <v>4.2197828861053974</v>
      </c>
      <c r="E27" s="23">
        <f>'클럭 정리'!O49</f>
        <v>4.2197828861053974</v>
      </c>
      <c r="J27" s="24">
        <f>'클럭 정리'!A28</f>
        <v>46238.448014849528</v>
      </c>
      <c r="K27" s="23">
        <f>'클럭 정리'!O28</f>
        <v>4.1764718306112174</v>
      </c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</row>
    <row r="28" spans="1:47" x14ac:dyDescent="0.3">
      <c r="J28" s="24">
        <f>'클럭 정리'!A29</f>
        <v>46238.448026620368</v>
      </c>
      <c r="K28" s="23">
        <f>'클럭 정리'!O29</f>
        <v>4.209730754083731</v>
      </c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</row>
    <row r="29" spans="1:47" x14ac:dyDescent="0.3">
      <c r="A29" s="2" t="s">
        <v>164</v>
      </c>
      <c r="J29" s="24">
        <f>'클럭 정리'!A30</f>
        <v>46238.448038356481</v>
      </c>
      <c r="K29" s="23">
        <f>'클럭 정리'!O30</f>
        <v>4.2457281653876215</v>
      </c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</row>
    <row r="30" spans="1:47" x14ac:dyDescent="0.3">
      <c r="A30" s="21" t="s">
        <v>4</v>
      </c>
      <c r="B30" s="21" t="s">
        <v>89</v>
      </c>
      <c r="C30" s="21" t="s">
        <v>90</v>
      </c>
      <c r="D30" s="21" t="s">
        <v>91</v>
      </c>
      <c r="E30" s="21" t="s">
        <v>92</v>
      </c>
      <c r="F30" s="21" t="s">
        <v>93</v>
      </c>
      <c r="G30" s="21" t="s">
        <v>76</v>
      </c>
      <c r="J30" s="24">
        <f>'클럭 정리'!A31</f>
        <v>46238.448049965278</v>
      </c>
      <c r="K30" s="23">
        <f>'클럭 정리'!O31</f>
        <v>4.210755719847457</v>
      </c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</row>
    <row r="31" spans="1:47" x14ac:dyDescent="0.3">
      <c r="A31" s="22">
        <f>'클럭 정리'!A56</f>
        <v>46238.448343252312</v>
      </c>
      <c r="B31" s="23">
        <f>'클럭 정리'!O56</f>
        <v>4.2323963987300779</v>
      </c>
      <c r="C31" s="25"/>
      <c r="D31" s="25"/>
      <c r="E31" s="23">
        <f>'클럭 정리'!O56</f>
        <v>4.2323963987300779</v>
      </c>
      <c r="F31" s="25"/>
      <c r="G31" s="23">
        <f>'클럭 정리'!O56</f>
        <v>4.2323963987300779</v>
      </c>
      <c r="J31" s="24">
        <f>'클럭 정리'!A32</f>
        <v>46238.448061736111</v>
      </c>
      <c r="K31" s="23">
        <f>'클럭 정리'!O32</f>
        <v>4.232319076163261</v>
      </c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</row>
    <row r="32" spans="1:47" x14ac:dyDescent="0.3">
      <c r="A32" s="22">
        <f>'클럭 정리'!A57</f>
        <v>46238.448355</v>
      </c>
      <c r="B32" s="25"/>
      <c r="C32" s="25"/>
      <c r="D32" s="25"/>
      <c r="E32" s="23">
        <f>'클럭 정리'!O57</f>
        <v>4.2159846933454563</v>
      </c>
      <c r="F32" s="23">
        <f>'클럭 정리'!O57</f>
        <v>4.2159846933454563</v>
      </c>
      <c r="G32" s="23">
        <f>'클럭 정리'!O57</f>
        <v>4.2159846933454563</v>
      </c>
      <c r="J32" s="24">
        <f>'클럭 정리'!A33</f>
        <v>46238.448073472216</v>
      </c>
      <c r="K32" s="23">
        <f>'클럭 정리'!O33</f>
        <v>4.2516114494589541</v>
      </c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</row>
    <row r="33" spans="1:47" x14ac:dyDescent="0.3">
      <c r="J33" s="24">
        <f>'클럭 정리'!A34</f>
        <v>46238.448085231481</v>
      </c>
      <c r="K33" s="23">
        <f>'클럭 정리'!O34</f>
        <v>4.2550684106466887</v>
      </c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</row>
    <row r="34" spans="1:47" x14ac:dyDescent="0.3">
      <c r="A34" s="2" t="s">
        <v>165</v>
      </c>
      <c r="J34" s="24">
        <f>'클럭 정리'!A35</f>
        <v>46238.448097002307</v>
      </c>
      <c r="K34" s="23">
        <f>'클럭 정리'!O35</f>
        <v>4.2171006959781465</v>
      </c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</row>
    <row r="35" spans="1:47" x14ac:dyDescent="0.3">
      <c r="A35" s="21" t="s">
        <v>4</v>
      </c>
      <c r="B35" s="21" t="s">
        <v>94</v>
      </c>
      <c r="C35" s="21" t="s">
        <v>95</v>
      </c>
      <c r="D35" s="21" t="s">
        <v>96</v>
      </c>
      <c r="E35" s="21" t="s">
        <v>76</v>
      </c>
      <c r="J35" s="24">
        <f>'클럭 정리'!A36</f>
        <v>46238.448108599543</v>
      </c>
      <c r="K35" s="23">
        <f>'클럭 정리'!O36</f>
        <v>4.2656148822340523</v>
      </c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</row>
    <row r="36" spans="1:47" x14ac:dyDescent="0.3">
      <c r="A36" s="22">
        <f>'클럭 정리'!A58</f>
        <v>46238.448366747682</v>
      </c>
      <c r="B36" s="23">
        <f>'클럭 정리'!O58</f>
        <v>4.2553699726160206</v>
      </c>
      <c r="C36" s="23">
        <f>'클럭 정리'!O58</f>
        <v>4.2553699726160206</v>
      </c>
      <c r="D36" s="25"/>
      <c r="E36" s="23">
        <f>'클럭 정리'!O58</f>
        <v>4.2553699726160206</v>
      </c>
      <c r="J36" s="24">
        <f>'클럭 정리'!A37</f>
        <v>46238.448120347217</v>
      </c>
      <c r="K36" s="23">
        <f>'클럭 정리'!O37</f>
        <v>4.2503675673069514</v>
      </c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</row>
    <row r="37" spans="1:47" x14ac:dyDescent="0.3">
      <c r="A37" s="22">
        <f>'클럭 정리'!A59</f>
        <v>46238.448378472232</v>
      </c>
      <c r="B37" s="23">
        <f>'클럭 정리'!O59</f>
        <v>4.2655001099390102</v>
      </c>
      <c r="C37" s="25"/>
      <c r="D37" s="23">
        <f>'클럭 정리'!O59</f>
        <v>4.2655001099390102</v>
      </c>
      <c r="E37" s="23">
        <f>'클럭 정리'!O59</f>
        <v>4.2655001099390102</v>
      </c>
      <c r="J37" s="24">
        <f>'클럭 정리'!A38</f>
        <v>46238.448132094913</v>
      </c>
      <c r="K37" s="23">
        <f>'클럭 정리'!O38</f>
        <v>4.2204810891367073</v>
      </c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</row>
    <row r="38" spans="1:47" x14ac:dyDescent="0.3">
      <c r="J38" s="24">
        <f>'클럭 정리'!A39</f>
        <v>46238.448143784721</v>
      </c>
      <c r="K38" s="23">
        <f>'클럭 정리'!O39</f>
        <v>4.2047476320377051</v>
      </c>
      <c r="L38" s="23">
        <f>'클럭 정리'!O39</f>
        <v>4.2047476320377051</v>
      </c>
      <c r="M38" s="23">
        <f>'클럭 정리'!O39</f>
        <v>4.2047476320377051</v>
      </c>
      <c r="N38" s="23">
        <f>'클럭 정리'!O39</f>
        <v>4.2047476320377051</v>
      </c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5"/>
      <c r="AU38" s="25"/>
    </row>
    <row r="39" spans="1:47" x14ac:dyDescent="0.3">
      <c r="A39" s="2" t="s">
        <v>166</v>
      </c>
      <c r="J39" s="24">
        <f>'클럭 정리'!A40</f>
        <v>46238.448155532409</v>
      </c>
      <c r="K39" s="23">
        <f>'클럭 정리'!O40</f>
        <v>4.2500202218435206</v>
      </c>
      <c r="L39" s="23">
        <f>'클럭 정리'!O40</f>
        <v>4.2500202218435206</v>
      </c>
      <c r="M39" s="23">
        <f>'클럭 정리'!O40</f>
        <v>4.2500202218435206</v>
      </c>
      <c r="N39" s="23">
        <f>'클럭 정리'!O40</f>
        <v>4.2500202218435206</v>
      </c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</row>
    <row r="40" spans="1:47" x14ac:dyDescent="0.3">
      <c r="A40" s="21" t="s">
        <v>4</v>
      </c>
      <c r="B40" s="21" t="s">
        <v>97</v>
      </c>
      <c r="C40" s="21" t="s">
        <v>98</v>
      </c>
      <c r="D40" s="21" t="s">
        <v>99</v>
      </c>
      <c r="E40" s="21" t="s">
        <v>100</v>
      </c>
      <c r="F40" s="21" t="s">
        <v>101</v>
      </c>
      <c r="G40" s="21" t="s">
        <v>76</v>
      </c>
      <c r="J40" s="24">
        <f>'클럭 정리'!A41</f>
        <v>46238.44816728009</v>
      </c>
      <c r="K40" s="23">
        <f>'클럭 정리'!O41</f>
        <v>4.2333021212623114</v>
      </c>
      <c r="L40" s="25"/>
      <c r="M40" s="25"/>
      <c r="N40" s="23">
        <f>'클럭 정리'!O41</f>
        <v>4.2333021212623114</v>
      </c>
      <c r="O40" s="23">
        <f>'클럭 정리'!O41</f>
        <v>4.2333021212623114</v>
      </c>
      <c r="P40" s="23">
        <f>'클럭 정리'!O41</f>
        <v>4.2333021212623114</v>
      </c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</row>
    <row r="41" spans="1:47" x14ac:dyDescent="0.3">
      <c r="A41" s="22">
        <f>'클럭 정리'!A60</f>
        <v>46238.448390196761</v>
      </c>
      <c r="B41" s="23">
        <f>'클럭 정리'!O60</f>
        <v>4.2473993532147656</v>
      </c>
      <c r="C41" s="25"/>
      <c r="D41" s="25"/>
      <c r="E41" s="23">
        <f>'클럭 정리'!O60</f>
        <v>4.2473993532147656</v>
      </c>
      <c r="F41" s="25"/>
      <c r="G41" s="23">
        <f>'클럭 정리'!O60</f>
        <v>4.2473993532147656</v>
      </c>
      <c r="J41" s="24">
        <f>'클럭 정리'!A42</f>
        <v>46238.448179039347</v>
      </c>
      <c r="K41" s="23">
        <f>'클럭 정리'!O42</f>
        <v>4.2704283779012755</v>
      </c>
      <c r="L41" s="25"/>
      <c r="M41" s="25"/>
      <c r="N41" s="23">
        <f>'클럭 정리'!O42</f>
        <v>4.2704283779012755</v>
      </c>
      <c r="O41" s="23">
        <f>'클럭 정리'!O42</f>
        <v>4.2704283779012755</v>
      </c>
      <c r="P41" s="25"/>
      <c r="Q41" s="23">
        <f>'클럭 정리'!O42</f>
        <v>4.2704283779012755</v>
      </c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</row>
    <row r="42" spans="1:47" x14ac:dyDescent="0.3">
      <c r="A42" s="22">
        <f>'클럭 정리'!A61</f>
        <v>46238.448401956019</v>
      </c>
      <c r="B42" s="23">
        <f>'클럭 정리'!O61</f>
        <v>4.2575302839606879</v>
      </c>
      <c r="C42" s="25"/>
      <c r="D42" s="25"/>
      <c r="E42" s="25"/>
      <c r="F42" s="23">
        <f>'클럭 정리'!O61</f>
        <v>4.2575302839606879</v>
      </c>
      <c r="G42" s="23">
        <f>'클럭 정리'!O61</f>
        <v>4.2575302839606879</v>
      </c>
      <c r="J42" s="24">
        <f>'클럭 정리'!A43</f>
        <v>46238.448190798612</v>
      </c>
      <c r="K42" s="23">
        <f>'클럭 정리'!O43</f>
        <v>4.2587368465642683</v>
      </c>
      <c r="L42" s="25"/>
      <c r="M42" s="25"/>
      <c r="N42" s="23">
        <f>'클럭 정리'!O43</f>
        <v>4.2587368465642683</v>
      </c>
      <c r="O42" s="25"/>
      <c r="P42" s="25"/>
      <c r="Q42" s="25"/>
      <c r="R42" s="23">
        <f>'클럭 정리'!O43</f>
        <v>4.2587368465642683</v>
      </c>
      <c r="S42" s="23">
        <f>'클럭 정리'!O43</f>
        <v>4.2587368465642683</v>
      </c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/>
    </row>
    <row r="43" spans="1:47" x14ac:dyDescent="0.3">
      <c r="J43" s="24">
        <f>'클럭 정리'!A44</f>
        <v>46238.448202523148</v>
      </c>
      <c r="K43" s="23">
        <f>'클럭 정리'!O44</f>
        <v>4.232557061698536</v>
      </c>
      <c r="L43" s="25"/>
      <c r="M43" s="25"/>
      <c r="N43" s="23">
        <f>'클럭 정리'!O44</f>
        <v>4.232557061698536</v>
      </c>
      <c r="O43" s="25"/>
      <c r="P43" s="25"/>
      <c r="Q43" s="25"/>
      <c r="R43" s="23">
        <f>'클럭 정리'!O44</f>
        <v>4.232557061698536</v>
      </c>
      <c r="S43" s="23">
        <f>'클럭 정리'!O44</f>
        <v>4.232557061698536</v>
      </c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5"/>
      <c r="AO43" s="25"/>
      <c r="AP43" s="25"/>
      <c r="AQ43" s="25"/>
      <c r="AR43" s="25"/>
      <c r="AS43" s="25"/>
      <c r="AT43" s="25"/>
      <c r="AU43" s="25"/>
    </row>
    <row r="44" spans="1:47" x14ac:dyDescent="0.3">
      <c r="A44" s="2" t="s">
        <v>167</v>
      </c>
      <c r="J44" s="24">
        <f>'클럭 정리'!A45</f>
        <v>46238.448214247677</v>
      </c>
      <c r="K44" s="23">
        <f>'클럭 정리'!O45</f>
        <v>4.2431879093323746</v>
      </c>
      <c r="L44" s="25"/>
      <c r="M44" s="25"/>
      <c r="N44" s="23">
        <f>'클럭 정리'!O45</f>
        <v>4.2431879093323746</v>
      </c>
      <c r="O44" s="25"/>
      <c r="P44" s="25"/>
      <c r="Q44" s="25"/>
      <c r="R44" s="23">
        <f>'클럭 정리'!O45</f>
        <v>4.2431879093323746</v>
      </c>
      <c r="S44" s="23">
        <f>'클럭 정리'!O45</f>
        <v>4.2431879093323746</v>
      </c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25"/>
      <c r="AP44" s="25"/>
      <c r="AQ44" s="25"/>
      <c r="AR44" s="25"/>
      <c r="AS44" s="25"/>
      <c r="AT44" s="25"/>
      <c r="AU44" s="25"/>
    </row>
    <row r="45" spans="1:47" x14ac:dyDescent="0.3">
      <c r="A45" s="21" t="s">
        <v>4</v>
      </c>
      <c r="B45" s="21" t="s">
        <v>102</v>
      </c>
      <c r="C45" s="21" t="s">
        <v>103</v>
      </c>
      <c r="D45" s="21" t="s">
        <v>104</v>
      </c>
      <c r="E45" s="21" t="s">
        <v>105</v>
      </c>
      <c r="F45" s="21" t="s">
        <v>76</v>
      </c>
      <c r="J45" s="24">
        <f>'클럭 정리'!A46</f>
        <v>46238.448225983797</v>
      </c>
      <c r="K45" s="23">
        <f>'클럭 정리'!O46</f>
        <v>4.2463316583663078</v>
      </c>
      <c r="L45" s="25"/>
      <c r="M45" s="25"/>
      <c r="N45" s="23">
        <f>'클럭 정리'!O46</f>
        <v>4.2463316583663078</v>
      </c>
      <c r="O45" s="25"/>
      <c r="P45" s="25"/>
      <c r="Q45" s="25"/>
      <c r="R45" s="25"/>
      <c r="S45" s="25"/>
      <c r="T45" s="23">
        <f>'클럭 정리'!O46</f>
        <v>4.2463316583663078</v>
      </c>
      <c r="U45" s="23">
        <f>'클럭 정리'!O46</f>
        <v>4.2463316583663078</v>
      </c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  <c r="AO45" s="25"/>
      <c r="AP45" s="25"/>
      <c r="AQ45" s="25"/>
      <c r="AR45" s="25"/>
      <c r="AS45" s="25"/>
      <c r="AT45" s="25"/>
      <c r="AU45" s="25"/>
    </row>
    <row r="46" spans="1:47" x14ac:dyDescent="0.3">
      <c r="A46" s="22">
        <f>'클럭 정리'!A62</f>
        <v>46238.448413564824</v>
      </c>
      <c r="B46" s="23">
        <f>'클럭 정리'!O62</f>
        <v>4.2662261341538139</v>
      </c>
      <c r="C46" s="25"/>
      <c r="D46" s="23">
        <f>'클럭 정리'!O62</f>
        <v>4.2662261341538139</v>
      </c>
      <c r="E46" s="25"/>
      <c r="F46" s="23">
        <f>'클럭 정리'!O62</f>
        <v>4.2662261341538139</v>
      </c>
      <c r="J46" s="24">
        <f>'클럭 정리'!A47</f>
        <v>46238.448237731478</v>
      </c>
      <c r="K46" s="23">
        <f>'클럭 정리'!O47</f>
        <v>4.2407088391165981</v>
      </c>
      <c r="L46" s="25"/>
      <c r="M46" s="25"/>
      <c r="N46" s="23">
        <f>'클럭 정리'!O47</f>
        <v>4.2407088391165981</v>
      </c>
      <c r="O46" s="25"/>
      <c r="P46" s="25"/>
      <c r="Q46" s="25"/>
      <c r="R46" s="25"/>
      <c r="S46" s="25"/>
      <c r="T46" s="23">
        <f>'클럭 정리'!O47</f>
        <v>4.2407088391165981</v>
      </c>
      <c r="U46" s="23">
        <f>'클럭 정리'!O47</f>
        <v>4.2407088391165981</v>
      </c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5"/>
      <c r="AQ46" s="25"/>
      <c r="AR46" s="25"/>
      <c r="AS46" s="25"/>
      <c r="AT46" s="25"/>
      <c r="AU46" s="25"/>
    </row>
    <row r="47" spans="1:47" x14ac:dyDescent="0.3">
      <c r="A47" s="22">
        <f>'클럭 정리'!A63</f>
        <v>46238.448425312497</v>
      </c>
      <c r="B47" s="23">
        <f>'클럭 정리'!O63</f>
        <v>4.246641610153131</v>
      </c>
      <c r="C47" s="25"/>
      <c r="D47" s="23">
        <f>'클럭 정리'!O63</f>
        <v>4.246641610153131</v>
      </c>
      <c r="E47" s="25"/>
      <c r="F47" s="23">
        <f>'클럭 정리'!O63</f>
        <v>4.246641610153131</v>
      </c>
      <c r="J47" s="24">
        <f>'클럭 정리'!A48</f>
        <v>46238.44824946759</v>
      </c>
      <c r="K47" s="23">
        <f>'클럭 정리'!O48</f>
        <v>4.2255423338758389</v>
      </c>
      <c r="L47" s="25"/>
      <c r="M47" s="25"/>
      <c r="N47" s="23">
        <f>'클럭 정리'!O48</f>
        <v>4.2255423338758389</v>
      </c>
      <c r="O47" s="25"/>
      <c r="P47" s="25"/>
      <c r="Q47" s="25"/>
      <c r="R47" s="25"/>
      <c r="S47" s="25"/>
      <c r="T47" s="25"/>
      <c r="U47" s="25"/>
      <c r="V47" s="23">
        <f>'클럭 정리'!O48</f>
        <v>4.2255423338758389</v>
      </c>
      <c r="W47" s="25"/>
      <c r="X47" s="23">
        <f>'클럭 정리'!O48</f>
        <v>4.2255423338758389</v>
      </c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</row>
    <row r="48" spans="1:47" x14ac:dyDescent="0.3">
      <c r="J48" s="24">
        <f>'클럭 정리'!A49</f>
        <v>46238.448261215279</v>
      </c>
      <c r="K48" s="23">
        <f>'클럭 정리'!O49</f>
        <v>4.2197828861053974</v>
      </c>
      <c r="L48" s="25"/>
      <c r="M48" s="25"/>
      <c r="N48" s="23">
        <f>'클럭 정리'!O49</f>
        <v>4.2197828861053974</v>
      </c>
      <c r="O48" s="25"/>
      <c r="P48" s="25"/>
      <c r="Q48" s="25"/>
      <c r="R48" s="25"/>
      <c r="S48" s="25"/>
      <c r="T48" s="25"/>
      <c r="U48" s="25"/>
      <c r="V48" s="23">
        <f>'클럭 정리'!O49</f>
        <v>4.2197828861053974</v>
      </c>
      <c r="W48" s="25"/>
      <c r="X48" s="23">
        <f>'클럭 정리'!O49</f>
        <v>4.2197828861053974</v>
      </c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5"/>
      <c r="AP48" s="25"/>
      <c r="AQ48" s="25"/>
      <c r="AR48" s="25"/>
      <c r="AS48" s="25"/>
      <c r="AT48" s="25"/>
      <c r="AU48" s="25"/>
    </row>
    <row r="49" spans="1:47" x14ac:dyDescent="0.3">
      <c r="A49" s="2" t="s">
        <v>168</v>
      </c>
      <c r="J49" s="24">
        <f>'클럭 정리'!A50</f>
        <v>46238.448272951391</v>
      </c>
      <c r="K49" s="23">
        <f>'클럭 정리'!O50</f>
        <v>4.1534297305433459</v>
      </c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25"/>
    </row>
    <row r="50" spans="1:47" x14ac:dyDescent="0.3">
      <c r="A50" s="21" t="s">
        <v>4</v>
      </c>
      <c r="B50" s="21" t="s">
        <v>106</v>
      </c>
      <c r="C50" s="21" t="s">
        <v>107</v>
      </c>
      <c r="D50" s="21" t="s">
        <v>108</v>
      </c>
      <c r="E50" s="21" t="s">
        <v>109</v>
      </c>
      <c r="F50" s="21" t="s">
        <v>110</v>
      </c>
      <c r="G50" s="21" t="s">
        <v>111</v>
      </c>
      <c r="H50" s="21" t="s">
        <v>76</v>
      </c>
      <c r="J50" s="24">
        <f>'클럭 정리'!A51</f>
        <v>46238.448284699072</v>
      </c>
      <c r="K50" s="23">
        <f>'클럭 정리'!O51</f>
        <v>4.2272821267446341</v>
      </c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</row>
    <row r="51" spans="1:47" x14ac:dyDescent="0.3">
      <c r="A51" s="22">
        <f>'클럭 정리'!A64</f>
        <v>46238.44843704861</v>
      </c>
      <c r="B51" s="23">
        <f>'클럭 정리'!O64</f>
        <v>4.247036821133503</v>
      </c>
      <c r="C51" s="25"/>
      <c r="D51" s="25"/>
      <c r="E51" s="25"/>
      <c r="F51" s="23">
        <f>'클럭 정리'!O64</f>
        <v>4.247036821133503</v>
      </c>
      <c r="G51" s="25"/>
      <c r="H51" s="23">
        <f>'클럭 정리'!O64</f>
        <v>4.247036821133503</v>
      </c>
      <c r="J51" s="24">
        <f>'클럭 정리'!A52</f>
        <v>46238.448296446761</v>
      </c>
      <c r="K51" s="23">
        <f>'클럭 정리'!O52</f>
        <v>4.212532112433963</v>
      </c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25"/>
      <c r="AQ51" s="25"/>
      <c r="AR51" s="25"/>
      <c r="AS51" s="25"/>
      <c r="AT51" s="25"/>
      <c r="AU51" s="25"/>
    </row>
    <row r="52" spans="1:47" x14ac:dyDescent="0.3">
      <c r="A52" s="22">
        <f>'클럭 정리'!A65</f>
        <v>46238.448448784722</v>
      </c>
      <c r="B52" s="23">
        <f>'클럭 정리'!O65</f>
        <v>4.2352709826877408</v>
      </c>
      <c r="C52" s="25"/>
      <c r="D52" s="25"/>
      <c r="E52" s="25"/>
      <c r="F52" s="25"/>
      <c r="G52" s="23">
        <f>'클럭 정리'!O65</f>
        <v>4.2352709826877408</v>
      </c>
      <c r="H52" s="23">
        <f>'클럭 정리'!O65</f>
        <v>4.2352709826877408</v>
      </c>
      <c r="J52" s="24">
        <f>'클럭 정리'!A53</f>
        <v>46238.448308055558</v>
      </c>
      <c r="K52" s="23">
        <f>'클럭 정리'!O53</f>
        <v>4.2267886497480234</v>
      </c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25"/>
      <c r="AT52" s="25"/>
      <c r="AU52" s="25"/>
    </row>
    <row r="53" spans="1:47" x14ac:dyDescent="0.3">
      <c r="J53" s="24">
        <f>'클럭 정리'!A54</f>
        <v>46238.448319768519</v>
      </c>
      <c r="K53" s="23">
        <f>'클럭 정리'!O54</f>
        <v>4.2292027279183255</v>
      </c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  <c r="AQ53" s="25"/>
      <c r="AR53" s="25"/>
      <c r="AS53" s="25"/>
      <c r="AT53" s="25"/>
      <c r="AU53" s="25"/>
    </row>
    <row r="54" spans="1:47" x14ac:dyDescent="0.3">
      <c r="J54" s="24">
        <f>'클럭 정리'!A55</f>
        <v>46238.448331493048</v>
      </c>
      <c r="K54" s="23">
        <f>'클럭 정리'!O55</f>
        <v>4.243046201358065</v>
      </c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  <c r="AO54" s="25"/>
      <c r="AP54" s="25"/>
      <c r="AQ54" s="25"/>
      <c r="AR54" s="25"/>
      <c r="AS54" s="25"/>
      <c r="AT54" s="25"/>
      <c r="AU54" s="25"/>
    </row>
    <row r="55" spans="1:47" x14ac:dyDescent="0.3">
      <c r="J55" s="24">
        <f>'클럭 정리'!A56</f>
        <v>46238.448343252312</v>
      </c>
      <c r="K55" s="23">
        <f>'클럭 정리'!O56</f>
        <v>4.2323963987300779</v>
      </c>
      <c r="L55" s="25"/>
      <c r="M55" s="25"/>
      <c r="N55" s="23">
        <f>'클럭 정리'!O56</f>
        <v>4.2323963987300779</v>
      </c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3">
        <f>'클럭 정리'!O56</f>
        <v>4.2323963987300779</v>
      </c>
      <c r="Z55" s="25"/>
      <c r="AA55" s="25"/>
      <c r="AB55" s="23">
        <f>'클럭 정리'!O56</f>
        <v>4.2323963987300779</v>
      </c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25"/>
      <c r="AP55" s="25"/>
      <c r="AQ55" s="25"/>
      <c r="AR55" s="25"/>
      <c r="AS55" s="25"/>
      <c r="AT55" s="25"/>
      <c r="AU55" s="25"/>
    </row>
    <row r="56" spans="1:47" x14ac:dyDescent="0.3">
      <c r="J56" s="24">
        <f>'클럭 정리'!A57</f>
        <v>46238.448355</v>
      </c>
      <c r="K56" s="23">
        <f>'클럭 정리'!O57</f>
        <v>4.2159846933454563</v>
      </c>
      <c r="L56" s="25"/>
      <c r="M56" s="25"/>
      <c r="N56" s="23">
        <f>'클럭 정리'!O57</f>
        <v>4.2159846933454563</v>
      </c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3">
        <f>'클럭 정리'!O57</f>
        <v>4.2159846933454563</v>
      </c>
      <c r="AC56" s="23">
        <f>'클럭 정리'!O57</f>
        <v>4.2159846933454563</v>
      </c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/>
      <c r="AS56" s="25"/>
      <c r="AT56" s="25"/>
      <c r="AU56" s="25"/>
    </row>
    <row r="57" spans="1:47" x14ac:dyDescent="0.3">
      <c r="J57" s="24">
        <f>'클럭 정리'!A58</f>
        <v>46238.448366747682</v>
      </c>
      <c r="K57" s="23">
        <f>'클럭 정리'!O58</f>
        <v>4.2553699726160206</v>
      </c>
      <c r="L57" s="25"/>
      <c r="M57" s="25"/>
      <c r="N57" s="23">
        <f>'클럭 정리'!O58</f>
        <v>4.2553699726160206</v>
      </c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3">
        <f>'클럭 정리'!O58</f>
        <v>4.2553699726160206</v>
      </c>
      <c r="AE57" s="23">
        <f>'클럭 정리'!O58</f>
        <v>4.2553699726160206</v>
      </c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25"/>
      <c r="AQ57" s="25"/>
      <c r="AR57" s="25"/>
      <c r="AS57" s="25"/>
      <c r="AT57" s="25"/>
      <c r="AU57" s="25"/>
    </row>
    <row r="58" spans="1:47" x14ac:dyDescent="0.3">
      <c r="J58" s="24">
        <f>'클럭 정리'!A59</f>
        <v>46238.448378472232</v>
      </c>
      <c r="K58" s="23">
        <f>'클럭 정리'!O59</f>
        <v>4.2655001099390102</v>
      </c>
      <c r="L58" s="25"/>
      <c r="M58" s="25"/>
      <c r="N58" s="23">
        <f>'클럭 정리'!O59</f>
        <v>4.2655001099390102</v>
      </c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3">
        <f>'클럭 정리'!O59</f>
        <v>4.2655001099390102</v>
      </c>
      <c r="AE58" s="25"/>
      <c r="AF58" s="23">
        <f>'클럭 정리'!O59</f>
        <v>4.2655001099390102</v>
      </c>
      <c r="AG58" s="25"/>
      <c r="AH58" s="25"/>
      <c r="AI58" s="25"/>
      <c r="AJ58" s="25"/>
      <c r="AK58" s="25"/>
      <c r="AL58" s="25"/>
      <c r="AM58" s="25"/>
      <c r="AN58" s="25"/>
      <c r="AO58" s="25"/>
      <c r="AP58" s="25"/>
      <c r="AQ58" s="25"/>
      <c r="AR58" s="25"/>
      <c r="AS58" s="25"/>
      <c r="AT58" s="25"/>
      <c r="AU58" s="25"/>
    </row>
    <row r="59" spans="1:47" x14ac:dyDescent="0.3">
      <c r="J59" s="24">
        <f>'클럭 정리'!A60</f>
        <v>46238.448390196761</v>
      </c>
      <c r="K59" s="23">
        <f>'클럭 정리'!O60</f>
        <v>4.2473993532147656</v>
      </c>
      <c r="L59" s="25"/>
      <c r="M59" s="25"/>
      <c r="N59" s="23">
        <f>'클럭 정리'!O60</f>
        <v>4.2473993532147656</v>
      </c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3">
        <f>'클럭 정리'!O60</f>
        <v>4.2473993532147656</v>
      </c>
      <c r="AH59" s="25"/>
      <c r="AI59" s="25"/>
      <c r="AJ59" s="23">
        <f>'클럭 정리'!O60</f>
        <v>4.2473993532147656</v>
      </c>
      <c r="AK59" s="25"/>
      <c r="AL59" s="25"/>
      <c r="AM59" s="25"/>
      <c r="AN59" s="25"/>
      <c r="AO59" s="25"/>
      <c r="AP59" s="25"/>
      <c r="AQ59" s="25"/>
      <c r="AR59" s="25"/>
      <c r="AS59" s="25"/>
      <c r="AT59" s="25"/>
      <c r="AU59" s="25"/>
    </row>
    <row r="60" spans="1:47" x14ac:dyDescent="0.3">
      <c r="J60" s="24">
        <f>'클럭 정리'!A61</f>
        <v>46238.448401956019</v>
      </c>
      <c r="K60" s="23">
        <f>'클럭 정리'!O61</f>
        <v>4.2575302839606879</v>
      </c>
      <c r="L60" s="25"/>
      <c r="M60" s="25"/>
      <c r="N60" s="23">
        <f>'클럭 정리'!O61</f>
        <v>4.2575302839606879</v>
      </c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3">
        <f>'클럭 정리'!O61</f>
        <v>4.2575302839606879</v>
      </c>
      <c r="AH60" s="25"/>
      <c r="AI60" s="25"/>
      <c r="AJ60" s="25"/>
      <c r="AK60" s="23">
        <f>'클럭 정리'!O61</f>
        <v>4.2575302839606879</v>
      </c>
      <c r="AL60" s="25"/>
      <c r="AM60" s="25"/>
      <c r="AN60" s="25"/>
      <c r="AO60" s="25"/>
      <c r="AP60" s="25"/>
      <c r="AQ60" s="25"/>
      <c r="AR60" s="25"/>
      <c r="AS60" s="25"/>
      <c r="AT60" s="25"/>
      <c r="AU60" s="25"/>
    </row>
    <row r="61" spans="1:47" x14ac:dyDescent="0.3">
      <c r="J61" s="24">
        <f>'클럭 정리'!A62</f>
        <v>46238.448413564824</v>
      </c>
      <c r="K61" s="23">
        <f>'클럭 정리'!O62</f>
        <v>4.2662261341538139</v>
      </c>
      <c r="L61" s="25"/>
      <c r="M61" s="25"/>
      <c r="N61" s="23">
        <f>'클럭 정리'!O62</f>
        <v>4.2662261341538139</v>
      </c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3">
        <f>'클럭 정리'!O62</f>
        <v>4.2662261341538139</v>
      </c>
      <c r="AM61" s="25"/>
      <c r="AN61" s="23">
        <f>'클럭 정리'!O62</f>
        <v>4.2662261341538139</v>
      </c>
      <c r="AO61" s="25"/>
      <c r="AP61" s="25"/>
      <c r="AQ61" s="25"/>
      <c r="AR61" s="25"/>
      <c r="AS61" s="25"/>
      <c r="AT61" s="25"/>
      <c r="AU61" s="25"/>
    </row>
    <row r="62" spans="1:47" x14ac:dyDescent="0.3">
      <c r="J62" s="24">
        <f>'클럭 정리'!A63</f>
        <v>46238.448425312497</v>
      </c>
      <c r="K62" s="23">
        <f>'클럭 정리'!O63</f>
        <v>4.246641610153131</v>
      </c>
      <c r="L62" s="25"/>
      <c r="M62" s="25"/>
      <c r="N62" s="23">
        <f>'클럭 정리'!O63</f>
        <v>4.246641610153131</v>
      </c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3">
        <f>'클럭 정리'!O63</f>
        <v>4.246641610153131</v>
      </c>
      <c r="AM62" s="25"/>
      <c r="AN62" s="23">
        <f>'클럭 정리'!O63</f>
        <v>4.246641610153131</v>
      </c>
      <c r="AO62" s="25"/>
      <c r="AP62" s="25"/>
      <c r="AQ62" s="25"/>
      <c r="AR62" s="25"/>
      <c r="AS62" s="25"/>
      <c r="AT62" s="25"/>
      <c r="AU62" s="25"/>
    </row>
    <row r="63" spans="1:47" x14ac:dyDescent="0.3">
      <c r="J63" s="24">
        <f>'클럭 정리'!A64</f>
        <v>46238.44843704861</v>
      </c>
      <c r="K63" s="23">
        <f>'클럭 정리'!O64</f>
        <v>4.247036821133503</v>
      </c>
      <c r="L63" s="25"/>
      <c r="M63" s="25"/>
      <c r="N63" s="23">
        <f>'클럭 정리'!O64</f>
        <v>4.247036821133503</v>
      </c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5"/>
      <c r="AP63" s="23">
        <f>'클럭 정리'!O64</f>
        <v>4.247036821133503</v>
      </c>
      <c r="AQ63" s="25"/>
      <c r="AR63" s="25"/>
      <c r="AS63" s="25"/>
      <c r="AT63" s="23">
        <f>'클럭 정리'!O64</f>
        <v>4.247036821133503</v>
      </c>
      <c r="AU63" s="25"/>
    </row>
    <row r="64" spans="1:47" x14ac:dyDescent="0.3">
      <c r="J64" s="24">
        <f>'클럭 정리'!A65</f>
        <v>46238.448448784722</v>
      </c>
      <c r="K64" s="23">
        <f>'클럭 정리'!O65</f>
        <v>4.2352709826877408</v>
      </c>
      <c r="L64" s="25"/>
      <c r="M64" s="25"/>
      <c r="N64" s="23">
        <f>'클럭 정리'!O65</f>
        <v>4.2352709826877408</v>
      </c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  <c r="AO64" s="25"/>
      <c r="AP64" s="23">
        <f>'클럭 정리'!O65</f>
        <v>4.2352709826877408</v>
      </c>
      <c r="AQ64" s="25"/>
      <c r="AR64" s="25"/>
      <c r="AS64" s="25"/>
      <c r="AT64" s="25"/>
      <c r="AU64" s="23">
        <f>'클럭 정리'!O65</f>
        <v>4.2352709826877408</v>
      </c>
    </row>
    <row r="65" spans="10:47" x14ac:dyDescent="0.3">
      <c r="J65" s="24">
        <f>'클럭 정리'!A66</f>
        <v>46238.448460509258</v>
      </c>
      <c r="K65" s="23">
        <f>'클럭 정리'!O66</f>
        <v>4.2170470800375606</v>
      </c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  <c r="AO65" s="25"/>
      <c r="AP65" s="25"/>
      <c r="AQ65" s="25"/>
      <c r="AR65" s="25"/>
      <c r="AS65" s="25"/>
      <c r="AT65" s="25"/>
      <c r="AU65" s="25"/>
    </row>
    <row r="66" spans="10:47" x14ac:dyDescent="0.3">
      <c r="J66" s="24">
        <f>'클럭 정리'!A67</f>
        <v>46238.448472164353</v>
      </c>
      <c r="K66" s="23">
        <f>'클럭 정리'!O67</f>
        <v>4.2123029595770856</v>
      </c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  <c r="AO66" s="25"/>
      <c r="AP66" s="25"/>
      <c r="AQ66" s="25"/>
      <c r="AR66" s="25"/>
      <c r="AS66" s="25"/>
      <c r="AT66" s="25"/>
      <c r="AU66" s="25"/>
    </row>
    <row r="67" spans="10:47" x14ac:dyDescent="0.3">
      <c r="J67" s="24">
        <f>'클럭 정리'!A68</f>
        <v>46238.448483865737</v>
      </c>
      <c r="K67" s="23">
        <f>'클럭 정리'!O68</f>
        <v>4.151516831190377</v>
      </c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5"/>
      <c r="AP67" s="25"/>
      <c r="AQ67" s="25"/>
      <c r="AR67" s="25"/>
      <c r="AS67" s="25"/>
      <c r="AT67" s="25"/>
      <c r="AU67" s="25"/>
    </row>
    <row r="68" spans="10:47" x14ac:dyDescent="0.3">
      <c r="J68" s="24">
        <f>'클럭 정리'!A69</f>
        <v>46238.448495613433</v>
      </c>
      <c r="K68" s="23">
        <f>'클럭 정리'!O69</f>
        <v>4.0833907582875613</v>
      </c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  <c r="AO68" s="25"/>
      <c r="AP68" s="25"/>
      <c r="AQ68" s="25"/>
      <c r="AR68" s="25"/>
      <c r="AS68" s="25"/>
      <c r="AT68" s="25"/>
      <c r="AU68" s="25"/>
    </row>
    <row r="69" spans="10:47" x14ac:dyDescent="0.3">
      <c r="J69" s="24">
        <f>'클럭 정리'!A70</f>
        <v>46238.448507465277</v>
      </c>
      <c r="K69" s="23">
        <f>'클럭 정리'!O70</f>
        <v>4.0871564953544075</v>
      </c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  <c r="AO69" s="25"/>
      <c r="AP69" s="25"/>
      <c r="AQ69" s="25"/>
      <c r="AR69" s="25"/>
      <c r="AS69" s="25"/>
      <c r="AT69" s="25"/>
      <c r="AU69" s="25"/>
    </row>
    <row r="70" spans="10:47" x14ac:dyDescent="0.3">
      <c r="J70" s="24">
        <f>'클럭 정리'!A71</f>
        <v>46238.448519166668</v>
      </c>
      <c r="K70" s="23">
        <f>'클럭 정리'!O71</f>
        <v>3.9751318233110635</v>
      </c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  <c r="AO70" s="25"/>
      <c r="AP70" s="25"/>
      <c r="AQ70" s="25"/>
      <c r="AR70" s="25"/>
      <c r="AS70" s="25"/>
      <c r="AT70" s="25"/>
      <c r="AU70" s="25"/>
    </row>
    <row r="71" spans="10:47" x14ac:dyDescent="0.3">
      <c r="J71" s="24">
        <f>'클럭 정리'!A72</f>
        <v>46238.448530856484</v>
      </c>
      <c r="K71" s="23">
        <f>'클럭 정리'!O72</f>
        <v>4.0000580011161535</v>
      </c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5"/>
      <c r="AM71" s="25"/>
      <c r="AN71" s="25"/>
      <c r="AO71" s="25"/>
      <c r="AP71" s="25"/>
      <c r="AQ71" s="25"/>
      <c r="AR71" s="25"/>
      <c r="AS71" s="25"/>
      <c r="AT71" s="25"/>
      <c r="AU71" s="25"/>
    </row>
    <row r="72" spans="10:47" x14ac:dyDescent="0.3">
      <c r="J72" s="24">
        <f>'클럭 정리'!A73</f>
        <v>46238.448542592603</v>
      </c>
      <c r="K72" s="23">
        <f>'클럭 정리'!O73</f>
        <v>4.0753481041715585</v>
      </c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25"/>
      <c r="AN72" s="25"/>
      <c r="AO72" s="25"/>
      <c r="AP72" s="25"/>
      <c r="AQ72" s="25"/>
      <c r="AR72" s="25"/>
      <c r="AS72" s="25"/>
      <c r="AT72" s="25"/>
      <c r="AU72" s="25"/>
    </row>
    <row r="73" spans="10:47" x14ac:dyDescent="0.3">
      <c r="J73" s="24">
        <f>'클럭 정리'!A74</f>
        <v>46238.448554282397</v>
      </c>
      <c r="K73" s="23">
        <f>'클럭 정리'!O74</f>
        <v>4.0095167826884666</v>
      </c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5"/>
      <c r="AM73" s="25"/>
      <c r="AN73" s="25"/>
      <c r="AO73" s="25"/>
      <c r="AP73" s="25"/>
      <c r="AQ73" s="25"/>
      <c r="AR73" s="25"/>
      <c r="AS73" s="25"/>
      <c r="AT73" s="25"/>
      <c r="AU73" s="25"/>
    </row>
    <row r="74" spans="10:47" x14ac:dyDescent="0.3">
      <c r="J74" s="24">
        <f>'클럭 정리'!A75</f>
        <v>46238.448566006948</v>
      </c>
      <c r="K74" s="23">
        <f>'클럭 정리'!O75</f>
        <v>3.9252353932236934</v>
      </c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/>
      <c r="AM74" s="25"/>
      <c r="AN74" s="25"/>
      <c r="AO74" s="25"/>
      <c r="AP74" s="25"/>
      <c r="AQ74" s="25"/>
      <c r="AR74" s="25"/>
      <c r="AS74" s="25"/>
      <c r="AT74" s="25"/>
      <c r="AU74" s="25"/>
    </row>
    <row r="75" spans="10:47" x14ac:dyDescent="0.3">
      <c r="J75" s="24">
        <f>'클럭 정리'!A76</f>
        <v>46238.448577685187</v>
      </c>
      <c r="K75" s="23">
        <f>'클럭 정리'!O76</f>
        <v>3.7667522496093886</v>
      </c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5"/>
      <c r="AM75" s="25"/>
      <c r="AN75" s="25"/>
      <c r="AO75" s="25"/>
      <c r="AP75" s="25"/>
      <c r="AQ75" s="25"/>
      <c r="AR75" s="25"/>
      <c r="AS75" s="25"/>
      <c r="AT75" s="25"/>
      <c r="AU75" s="25"/>
    </row>
    <row r="76" spans="10:47" x14ac:dyDescent="0.3">
      <c r="J76" s="24">
        <f>'클럭 정리'!A77</f>
        <v>46238.448589409723</v>
      </c>
      <c r="K76" s="23">
        <f>'클럭 정리'!O77</f>
        <v>3.9012160464242687</v>
      </c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25"/>
      <c r="AM76" s="25"/>
      <c r="AN76" s="25"/>
      <c r="AO76" s="25"/>
      <c r="AP76" s="25"/>
      <c r="AQ76" s="25"/>
      <c r="AR76" s="25"/>
      <c r="AS76" s="25"/>
      <c r="AT76" s="25"/>
      <c r="AU76" s="25"/>
    </row>
  </sheetData>
  <phoneticPr fontId="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클럭 정리</vt:lpstr>
      <vt:lpstr>구간과 스레드 매핑</vt:lpstr>
      <vt:lpstr>스레드별 클럭</vt:lpstr>
      <vt:lpstr>회차별 측정값</vt:lpstr>
      <vt:lpstr>차트</vt:lpstr>
      <vt:lpstr>차트 데이터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내컴퓨터</cp:lastModifiedBy>
  <dcterms:created xsi:type="dcterms:W3CDTF">2026-08-04T01:46:51Z</dcterms:created>
  <dcterms:modified xsi:type="dcterms:W3CDTF">2026-08-04T01:50:36Z</dcterms:modified>
</cp:coreProperties>
</file>